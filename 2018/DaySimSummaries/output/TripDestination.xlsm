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1" windowHeight="8460" windowWidth="23040" xWindow="0" yWindow="0"/>
  </bookViews>
  <sheets>
    <sheet name="IntermediateStopLocation" r:id="rId1" sheetId="24"/>
    <sheet name="calibration" r:id="rId2" sheetId="23"/>
    <sheet name="TLFD_Home" r:id="rId3" sheetId="3"/>
    <sheet name="TDFD_Home" r:id="rId4" sheetId="4"/>
    <sheet name="TLFD_Work" r:id="rId5" sheetId="8"/>
    <sheet name="TDFD_Work" r:id="rId6" sheetId="9"/>
    <sheet name="TLFD_School" r:id="rId7" sheetId="11"/>
    <sheet name="TDFD_School" r:id="rId8" sheetId="12"/>
    <sheet name="TLFD_Escort" r:id="rId9" sheetId="13"/>
    <sheet name="TDFD_Escort" r:id="rId10" sheetId="14"/>
    <sheet name="TLFD_PerBus" r:id="rId11" sheetId="15"/>
    <sheet name="TDFD_PerBus" r:id="rId12" sheetId="16"/>
    <sheet name="TLFD_Shop" r:id="rId13" sheetId="17"/>
    <sheet name="TDFD_Shop" r:id="rId14" sheetId="18"/>
    <sheet name="TLFD_Meal" r:id="rId15" sheetId="19"/>
    <sheet name="TDFD_Meal" r:id="rId16" sheetId="20"/>
    <sheet name="TLFD_SocRec" r:id="rId17" sheetId="21"/>
    <sheet name="TDFD_SocRec" r:id="rId18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</workbook>
</file>

<file path=xl/calcChain.xml><?xml version="1.0" encoding="utf-8"?>
<calcChain xmlns="http://schemas.openxmlformats.org/spreadsheetml/2006/main">
  <c i="23" l="1" r="X4"/>
  <c i="23" r="X5"/>
  <c i="23" r="X6"/>
  <c i="23" r="X7"/>
  <c i="23" r="X8"/>
  <c i="23" r="X9"/>
  <c i="23" r="X10"/>
  <c i="23" r="X11"/>
  <c i="23" r="X12"/>
  <c i="23" r="X13"/>
  <c i="23" r="X14"/>
  <c i="23" r="X15"/>
  <c i="23" r="X16"/>
  <c i="23" r="X17"/>
  <c i="23" r="X18"/>
  <c i="23" r="X19"/>
  <c i="23" r="X20"/>
  <c i="23" r="X21"/>
  <c i="23" r="X22"/>
  <c i="23" r="X23"/>
  <c i="23" r="X24"/>
  <c i="23" r="X25"/>
  <c i="23" r="X26"/>
  <c i="23" r="X27"/>
  <c i="23" r="X28"/>
  <c i="23" r="X29"/>
  <c i="23" r="X30"/>
  <c i="23" r="X31"/>
  <c i="23" r="X32"/>
  <c i="23" r="X33"/>
  <c i="23" r="X34"/>
  <c i="23" r="X35"/>
  <c i="23" r="X36"/>
  <c i="23" r="X37"/>
  <c i="23" r="X38"/>
  <c i="23" r="X39"/>
  <c i="23" r="X40"/>
  <c i="23" r="X41"/>
  <c i="23" r="X42"/>
  <c i="23" r="X43"/>
  <c i="23" r="X44"/>
  <c i="23" r="X45"/>
  <c i="23" r="X46"/>
  <c i="23" r="X47"/>
  <c i="23" r="X48"/>
  <c i="23" r="X49"/>
  <c i="23" r="X50"/>
  <c i="23" r="X51"/>
  <c i="23" r="X52"/>
  <c i="23" r="X53"/>
  <c i="23" r="X54"/>
  <c i="23" r="X55"/>
  <c i="23" r="X56"/>
  <c i="23" r="X57"/>
  <c i="23" r="X58"/>
  <c i="23" r="X59"/>
  <c i="23" r="X60"/>
  <c i="23" r="X61"/>
  <c i="23" r="X62"/>
  <c i="23" r="X63"/>
  <c i="23" r="X64"/>
  <c i="23" r="X65"/>
  <c i="23" r="X66"/>
  <c i="23" r="X67"/>
  <c i="23" r="X68"/>
  <c i="23" r="X69"/>
  <c i="23" r="X70"/>
  <c i="23" r="X71"/>
  <c i="23" r="X72"/>
  <c i="23" r="X73"/>
  <c i="23" r="X74"/>
  <c i="23" r="X75"/>
  <c i="23" r="X76"/>
  <c i="23" r="X77"/>
  <c i="23" r="X78"/>
  <c i="23" r="X79"/>
  <c i="23" r="X80"/>
  <c i="23" r="X81"/>
  <c i="23" r="X82"/>
  <c i="23" r="X83"/>
  <c i="23" r="X84"/>
  <c i="23" r="X85"/>
  <c i="23" r="X86"/>
  <c i="23" r="X87"/>
  <c i="23" r="X88"/>
  <c i="23" r="X89"/>
  <c i="23" r="X90"/>
  <c i="23" r="X91"/>
  <c i="23" r="X92"/>
  <c i="23" r="X93"/>
  <c i="23" r="X94"/>
  <c i="23" r="X3"/>
  <c i="23" r="V4"/>
  <c i="23" r="W4"/>
  <c i="23" r="V5"/>
  <c i="23" r="W5"/>
  <c i="23" r="V6"/>
  <c i="23" r="W6"/>
  <c i="23" r="V7"/>
  <c i="23" r="W7"/>
  <c i="23" r="V8"/>
  <c i="23" r="W8"/>
  <c i="23" r="V9"/>
  <c i="23" r="W9"/>
  <c i="23" r="V10"/>
  <c i="23" r="W10"/>
  <c i="23" r="V11"/>
  <c i="23" r="W11"/>
  <c i="23" r="V12"/>
  <c i="23" r="W12"/>
  <c i="23" r="V13"/>
  <c i="23" r="W13"/>
  <c i="23" r="V14"/>
  <c i="23" r="W14"/>
  <c i="23" r="V15"/>
  <c i="23" r="W15"/>
  <c i="23" r="V16"/>
  <c i="23" r="W16"/>
  <c i="23" r="V17"/>
  <c i="23" r="W17"/>
  <c i="23" r="V18"/>
  <c i="23" r="W18"/>
  <c i="23" r="V19"/>
  <c i="23" r="W19"/>
  <c i="23" r="V20"/>
  <c i="23" r="W20"/>
  <c i="23" r="V21"/>
  <c i="23" r="W21"/>
  <c i="23" r="V22"/>
  <c i="23" r="W22"/>
  <c i="23" r="V23"/>
  <c i="23" r="W23"/>
  <c i="23" r="V24"/>
  <c i="23" r="W24"/>
  <c i="23" r="V25"/>
  <c i="23" r="W25"/>
  <c i="23" r="V26"/>
  <c i="23" r="W26"/>
  <c i="23" r="V27"/>
  <c i="23" r="W27"/>
  <c i="23" r="V28"/>
  <c i="23" r="W28"/>
  <c i="23" r="V29"/>
  <c i="23" r="W29"/>
  <c i="23" r="V30"/>
  <c i="23" r="W30"/>
  <c i="23" r="V31"/>
  <c i="23" r="W31"/>
  <c i="23" r="V32"/>
  <c i="23" r="W32"/>
  <c i="23" r="V33"/>
  <c i="23" r="W33"/>
  <c i="23" r="V34"/>
  <c i="23" r="W34"/>
  <c i="23" r="V35"/>
  <c i="23" r="Y35" s="1"/>
  <c i="23" r="W35"/>
  <c i="23" r="V36"/>
  <c i="23" r="Y36" s="1"/>
  <c i="23" r="W36"/>
  <c i="23" r="V37"/>
  <c i="23" r="Y37" s="1"/>
  <c i="23" r="W37"/>
  <c i="23" r="V38"/>
  <c i="23" r="W38"/>
  <c i="23" r="V39"/>
  <c i="23" r="W39"/>
  <c i="23" r="V40"/>
  <c i="23" r="W40"/>
  <c i="23" r="V41"/>
  <c i="23" r="W41"/>
  <c i="23" r="V42"/>
  <c i="23" r="W42"/>
  <c i="23" r="V43"/>
  <c i="23" r="W43"/>
  <c i="23" r="V44"/>
  <c i="23" r="W44"/>
  <c i="23" r="V45"/>
  <c i="23" r="W45"/>
  <c i="23" r="V46"/>
  <c i="23" r="W46"/>
  <c i="23" r="V47"/>
  <c i="23" r="W47"/>
  <c i="23" r="V48"/>
  <c i="23" r="W48"/>
  <c i="23" r="V49"/>
  <c i="23" r="W49"/>
  <c i="23" r="V50"/>
  <c i="23" r="W50"/>
  <c i="23" r="V51"/>
  <c i="23" r="W51"/>
  <c i="23" r="V52"/>
  <c i="23" r="W52"/>
  <c i="23" r="V53"/>
  <c i="23" r="W53"/>
  <c i="23" r="V54"/>
  <c i="23" r="W54"/>
  <c i="23" r="V55"/>
  <c i="23" r="W55"/>
  <c i="23" r="V56"/>
  <c i="23" r="W56"/>
  <c i="23" r="V57"/>
  <c i="23" r="W57"/>
  <c i="23" r="V58"/>
  <c i="23" r="W58"/>
  <c i="23" r="V59"/>
  <c i="23" r="W59"/>
  <c i="23" r="V60"/>
  <c i="23" r="W60"/>
  <c i="23" r="V61"/>
  <c i="23" r="W61"/>
  <c i="23" r="V62"/>
  <c i="23" r="W62"/>
  <c i="23" r="V63"/>
  <c i="23" r="W63"/>
  <c i="23" r="V64"/>
  <c i="23" r="W64"/>
  <c i="23" r="V65"/>
  <c i="23" r="W65"/>
  <c i="23" r="V66"/>
  <c i="23" r="W66"/>
  <c i="23" r="V67"/>
  <c i="23" r="W67"/>
  <c i="23" r="V68"/>
  <c i="23" r="W68"/>
  <c i="23" r="V69"/>
  <c i="23" r="W69"/>
  <c i="23" r="V70"/>
  <c i="23" r="W70"/>
  <c i="23" r="V71"/>
  <c i="23" r="W71"/>
  <c i="23" r="V72"/>
  <c i="23" r="Y72" s="1"/>
  <c i="23" r="W72"/>
  <c i="23" r="V73"/>
  <c i="23" r="Y73" s="1"/>
  <c i="23" r="W73"/>
  <c i="23" r="V74"/>
  <c i="23" r="W74"/>
  <c i="23" r="V75"/>
  <c i="23" r="Y75" s="1"/>
  <c i="23" r="W75"/>
  <c i="23" r="V76"/>
  <c i="23" r="Y76" s="1"/>
  <c i="23" r="W76"/>
  <c i="23" r="V77"/>
  <c i="23" r="Y77" s="1"/>
  <c i="23" r="W77"/>
  <c i="23" r="V78"/>
  <c i="23" r="W78"/>
  <c i="23" r="V79"/>
  <c i="23" r="W79"/>
  <c i="23" r="V80"/>
  <c i="23" r="W80"/>
  <c i="23" r="V81"/>
  <c i="23" r="W81"/>
  <c i="23" r="V82"/>
  <c i="23" r="W82"/>
  <c i="23" r="V83"/>
  <c i="23" r="W83"/>
  <c i="23" r="V84"/>
  <c i="23" r="W84"/>
  <c i="23" r="V85"/>
  <c i="23" r="W85"/>
  <c i="23" r="V86"/>
  <c i="23" r="W86"/>
  <c i="23" r="V87"/>
  <c i="23" r="W87"/>
  <c i="23" r="V88"/>
  <c i="23" r="W88"/>
  <c i="23" r="V89"/>
  <c i="23" r="W89"/>
  <c i="23" r="V90"/>
  <c i="23" r="W90"/>
  <c i="23" r="V91"/>
  <c i="23" r="W91"/>
  <c i="23" r="V92"/>
  <c i="23" r="W92"/>
  <c i="23" r="V93"/>
  <c i="23" r="W93"/>
  <c i="23" r="V94"/>
  <c i="23" r="W94"/>
  <c i="23" r="W3"/>
  <c i="23" r="V3"/>
  <c i="23" l="1" r="Y74"/>
  <c i="23" r="Y31"/>
  <c i="23" r="Y33"/>
  <c i="23" r="Y71"/>
  <c i="23" r="Y70"/>
  <c i="23" r="Y69"/>
  <c i="23" r="Y66"/>
  <c i="23" r="Y82"/>
  <c i="23" r="Y42"/>
  <c i="23" r="Y65"/>
  <c i="23" r="Y41"/>
  <c i="23" r="Z41" s="1"/>
  <c i="23" r="Y68"/>
  <c i="23" r="Y67"/>
  <c i="23" r="Z67" s="1"/>
  <c i="23" r="Y80"/>
  <c i="23" r="Z80" s="1"/>
  <c i="23" r="Y40"/>
  <c i="23" r="Z40" s="1"/>
  <c i="23" r="Y29"/>
  <c i="23" r="Z29" s="1"/>
  <c i="23" r="Y39"/>
  <c i="23" r="Z39" s="1"/>
  <c i="23" r="Y81"/>
  <c i="23" r="Y79"/>
  <c i="23" r="Z79" s="1"/>
  <c i="23" r="Y78"/>
  <c i="23" r="Y26"/>
  <c i="23" r="Z26" s="1"/>
  <c i="23" r="Y64"/>
  <c i="23" r="Z64" s="1"/>
  <c i="23" r="Y24"/>
  <c i="23" r="Z24" s="1"/>
  <c i="23" r="Y27"/>
  <c i="23" r="Z27" s="1"/>
  <c i="23" r="Y61"/>
  <c i="23" r="Z61" s="1"/>
  <c i="23" r="Y58"/>
  <c i="23" r="Z58" s="1"/>
  <c i="23" r="Y18"/>
  <c i="23" r="Z18" s="1"/>
  <c i="23" r="Y28"/>
  <c i="23" r="Z28" s="1"/>
  <c i="23" r="Y19"/>
  <c i="23" r="Z19" s="1"/>
  <c i="23" r="Y21"/>
  <c i="23" r="Z21" s="1"/>
  <c i="23" r="Y57"/>
  <c i="23" r="Z57" s="1"/>
  <c i="23" r="Y20"/>
  <c i="23" r="Z20" s="1"/>
  <c i="23" r="Y16"/>
  <c i="23" r="Z16" s="1"/>
  <c i="23" r="Y32"/>
  <c i="23" r="Z32" s="1"/>
  <c i="23" r="Y30"/>
  <c i="23" r="Z30" s="1"/>
  <c i="23" r="Y22"/>
  <c i="23" r="Z22" s="1"/>
  <c i="23" r="Y23"/>
  <c i="23" r="Z23" s="1"/>
  <c i="23" r="Y25"/>
  <c i="23" r="Z25" s="1"/>
  <c i="23" r="Y63"/>
  <c i="23" r="Z63" s="1"/>
  <c i="23" r="Y62"/>
  <c i="23" r="Z62" s="1"/>
  <c i="23" r="Y59"/>
  <c i="23" r="Z59" s="1"/>
  <c i="23" r="Y14"/>
  <c i="23" r="Z14" s="1"/>
  <c i="23" r="Y15"/>
  <c i="23" r="Z15" s="1"/>
  <c i="23" r="Y60"/>
  <c i="23" r="Z60" s="1"/>
  <c i="23" r="Y93"/>
  <c i="23" r="Z93" s="1"/>
  <c i="23" r="Y10"/>
  <c i="23" r="Z10" s="1"/>
  <c i="23" r="Y9"/>
  <c i="23" r="Z9" s="1"/>
  <c i="23" r="Y53"/>
  <c i="23" r="Z53" s="1"/>
  <c i="23" r="Y89"/>
  <c i="23" r="Z89" s="1"/>
  <c i="23" r="Y13"/>
  <c i="23" r="Z13" s="1"/>
  <c i="23" r="Y92"/>
  <c i="23" r="Z92" s="1"/>
  <c i="23" r="Y87"/>
  <c i="23" r="Z87" s="1"/>
  <c i="23" r="P8"/>
  <c i="23" r="Y51"/>
  <c i="23" r="Z51" s="1"/>
  <c i="23" r="Y46"/>
  <c i="23" r="Z46" s="1"/>
  <c i="23" r="Y6"/>
  <c i="23" r="Z6" s="1"/>
  <c i="23" r="Y86"/>
  <c i="23" r="Z86" s="1"/>
  <c i="23" r="Y12"/>
  <c i="23" r="Z12" s="1"/>
  <c i="23" r="Y85"/>
  <c i="23" r="Z85" s="1"/>
  <c i="23" r="Y5"/>
  <c i="23" r="Z5" s="1"/>
  <c i="23" r="Y45"/>
  <c i="23" r="Z45" s="1"/>
  <c i="23" r="Y84"/>
  <c i="23" r="Z84" s="1"/>
  <c i="23" r="Y4"/>
  <c i="23" r="Z4" s="1"/>
  <c i="23" r="Y44"/>
  <c i="23" r="Z44" s="1"/>
  <c i="23" r="Y83"/>
  <c i="23" r="Z83" s="1"/>
  <c i="23" r="Y43"/>
  <c i="23" r="Z43" s="1"/>
  <c i="23" r="P6"/>
  <c i="23" r="Y55"/>
  <c i="23" r="Z55" s="1"/>
  <c i="23" r="P10"/>
  <c i="23" r="Y94"/>
  <c i="23" r="Z94" s="1"/>
  <c i="23" r="Y91"/>
  <c i="23" r="Z91" s="1"/>
  <c i="23" r="Y11"/>
  <c i="23" r="Z11" s="1"/>
  <c i="23" r="Y90"/>
  <c i="23" r="Z90" s="1"/>
  <c i="23" r="Y50"/>
  <c i="23" r="Z50" s="1"/>
  <c i="23" r="Y17"/>
  <c i="23" r="Z17" s="1"/>
  <c i="23" r="Y3"/>
  <c i="23" r="Z3" s="1"/>
  <c i="23" r="Y88"/>
  <c i="23" r="Z88" s="1"/>
  <c i="23" r="Y48"/>
  <c i="23" r="Z48" s="1"/>
  <c i="23" r="Y8"/>
  <c i="23" r="Z8" s="1"/>
  <c i="23" r="Y47"/>
  <c i="23" r="Z47" s="1"/>
  <c i="23" r="Y7"/>
  <c i="23" r="Z7" s="1"/>
  <c i="23" r="P11"/>
  <c i="23" r="Y56"/>
  <c i="23" r="Z56" s="1"/>
  <c i="23" r="P12"/>
  <c i="23" r="Z74"/>
  <c i="23" r="Z72"/>
  <c i="23" r="Z73"/>
  <c i="23" r="Z70"/>
  <c i="23" r="Z33"/>
  <c i="23" r="Z71"/>
  <c i="23" r="Z69"/>
  <c i="23" r="Z31"/>
  <c i="23" r="Z82"/>
  <c i="23" r="Z42"/>
  <c i="23" r="Z77"/>
  <c i="23" r="Z37"/>
  <c i="23" r="Z75"/>
  <c i="23" r="Z66"/>
  <c i="23" r="Z68"/>
  <c i="23" r="Z65"/>
  <c i="23" r="Z81"/>
  <c i="23" r="Z78"/>
  <c i="23" r="Z36"/>
  <c i="23" r="Z76"/>
  <c i="23" r="Z35"/>
  <c i="4" l="1" r="Z17"/>
  <c i="23" r="H12" s="1"/>
  <c i="4" r="V17"/>
  <c i="23" r="G12" s="1"/>
  <c i="4" r="Z16"/>
  <c i="4" r="V16"/>
  <c i="23" r="G11" s="1"/>
  <c i="4" r="Z15"/>
  <c i="23" r="H10" s="1"/>
  <c i="4" r="V15"/>
  <c i="23" r="G10" s="1"/>
  <c i="4" r="Z14"/>
  <c i="23" r="H9" s="1"/>
  <c i="4" r="V14"/>
  <c i="23" r="G9" s="1"/>
  <c i="4" r="Z13"/>
  <c i="23" r="H8" s="1"/>
  <c i="4" r="V13"/>
  <c i="23" r="G8" s="1"/>
  <c i="4" r="Z12"/>
  <c i="23" r="H7" s="1"/>
  <c i="4" r="V12"/>
  <c i="23" r="G7" s="1"/>
  <c i="4" r="Z11"/>
  <c i="23" r="H6" s="1"/>
  <c i="4" r="V11"/>
  <c i="23" r="G6" s="1"/>
  <c i="4" r="AB15"/>
  <c i="4" r="AC15" s="1"/>
  <c i="4" r="AB14"/>
  <c i="4" r="AC14" s="1"/>
  <c i="4" r="Z10"/>
  <c i="4" r="V10"/>
  <c i="23" r="G5" s="1"/>
  <c i="23" r="C6"/>
  <c i="23" r="C7"/>
  <c i="23" r="C8"/>
  <c i="23" r="C9"/>
  <c i="23" r="C10"/>
  <c i="23" r="C11"/>
  <c i="23" r="C12"/>
  <c i="23" r="C5"/>
  <c i="23" l="1" r="I6"/>
  <c i="23" r="K8"/>
  <c i="23" r="M8" s="1"/>
  <c i="23" r="Q8" s="1"/>
  <c i="23" r="Y38" s="1"/>
  <c i="23" r="Z38" s="1"/>
  <c i="23" r="K10"/>
  <c i="23" r="M10" s="1"/>
  <c i="23" r="Q10" s="1"/>
  <c i="23" r="Y49" s="1"/>
  <c i="23" r="Z49" s="1"/>
  <c i="23" r="I7"/>
  <c i="4" r="AB16"/>
  <c i="4" r="AC16" s="1"/>
  <c i="23" r="I10"/>
  <c i="23" r="I9"/>
  <c i="23" r="I8"/>
  <c i="23" r="I12"/>
  <c i="23" r="K7"/>
  <c i="23" r="M7" s="1"/>
  <c i="23" r="K9"/>
  <c i="23" r="M9" s="1"/>
  <c i="23" r="K6"/>
  <c i="23" r="M6" s="1"/>
  <c i="23" r="Q6" s="1"/>
  <c i="23" r="Y34" s="1"/>
  <c i="23" r="Z34" s="1"/>
  <c i="23" r="K12"/>
  <c i="23" r="M12" s="1"/>
  <c i="23" r="Q12" s="1"/>
  <c i="23" r="Y54" s="1"/>
  <c i="23" r="Z54" s="1"/>
  <c i="23" r="H11"/>
  <c i="4" r="AB17"/>
  <c i="4" r="AC17" s="1"/>
  <c i="4" r="AB11"/>
  <c i="4" r="AC11" s="1"/>
  <c i="4" r="AB10"/>
  <c i="4" r="AC10" s="1"/>
  <c i="23" r="H5"/>
  <c i="4" r="AB12"/>
  <c i="4" r="AC12" s="1"/>
  <c i="4" r="AB13"/>
  <c i="4" r="AC13" s="1"/>
  <c i="23" l="1" r="K5"/>
  <c i="23" r="M5" s="1"/>
  <c i="23" r="I5"/>
  <c i="23" r="K11"/>
  <c i="23" r="M11" s="1"/>
  <c i="23" r="Q11" s="1"/>
  <c i="23" r="Y52" s="1"/>
  <c i="23" r="Z52" s="1"/>
  <c i="23" r="I11"/>
  <c i="3" r="Z16"/>
  <c i="23" r="E11" s="1"/>
  <c i="3" r="V16"/>
  <c i="23" r="D11" s="1"/>
  <c i="23" r="J11" s="1"/>
  <c i="23" r="L11" s="1"/>
  <c i="3" r="Z17"/>
  <c i="23" r="E12" s="1"/>
  <c i="3" r="V17"/>
  <c i="23" r="D12" s="1"/>
  <c i="3" r="Z15"/>
  <c i="23" r="E10" s="1"/>
  <c i="3" r="V15"/>
  <c i="23" r="D10" s="1"/>
  <c i="3" r="Z14"/>
  <c i="23" r="E9" s="1"/>
  <c i="3" r="V14"/>
  <c i="23" r="D9" s="1"/>
  <c i="3" r="Z13"/>
  <c i="23" r="E8" s="1"/>
  <c i="3" r="V13"/>
  <c i="23" r="D8" s="1"/>
  <c i="3" r="Z12"/>
  <c i="23" r="E7" s="1"/>
  <c i="3" r="V12"/>
  <c i="23" r="D7" s="1"/>
  <c i="3" r="Z11"/>
  <c i="23" r="E6" s="1"/>
  <c i="3" r="V11"/>
  <c i="23" r="D6" s="1"/>
  <c i="3" r="Z10"/>
  <c i="23" r="E5" s="1"/>
  <c i="3" r="V10"/>
  <c i="23" r="D5" s="1"/>
  <c i="23" l="1" r="J6"/>
  <c i="23" r="L6" s="1"/>
  <c i="23" r="J8"/>
  <c i="23" r="L8" s="1"/>
  <c i="23" r="F7"/>
  <c i="23" r="F5"/>
  <c i="23" r="J9"/>
  <c i="23" r="L9" s="1"/>
  <c i="23" r="F9"/>
  <c i="23" r="J7"/>
  <c i="23" r="L7" s="1"/>
  <c i="23" r="F6"/>
  <c i="23" r="F8"/>
  <c i="23" r="F12"/>
  <c i="23" r="F10"/>
  <c i="23" r="F11"/>
  <c i="23" r="J5"/>
  <c i="23" r="L5" s="1"/>
  <c i="23" r="J10"/>
  <c i="23" r="L10" s="1"/>
  <c i="23" r="J12"/>
  <c i="23" r="L12" s="1"/>
  <c i="3" r="AB12"/>
  <c i="3" r="AC12" s="1"/>
  <c i="3" r="AB10"/>
  <c i="3" r="AC10" s="1"/>
  <c i="3" r="AB17"/>
  <c i="3" r="AC17" s="1"/>
  <c i="3" r="AB16"/>
  <c i="3" r="AC16" s="1"/>
  <c i="3" r="AB14"/>
  <c i="3" r="AC14" s="1"/>
  <c i="3" r="AB11"/>
  <c i="3" r="AC11" s="1"/>
  <c i="3" r="AB13"/>
  <c i="3" r="AC13" s="1"/>
  <c i="3" r="AB15"/>
  <c i="3" r="AC15" s="1"/>
  <c i="22" r="F102"/>
  <c i="22" r="B102"/>
  <c i="21" r="F102"/>
  <c i="21" r="B102"/>
  <c i="20" r="F102"/>
  <c i="20" r="B102"/>
  <c i="19" r="F102"/>
  <c i="19" r="B102"/>
  <c i="18" r="F102"/>
  <c i="18" r="B102"/>
  <c i="17" r="F102"/>
  <c i="17" r="B102"/>
  <c i="16" r="F102"/>
  <c i="16" r="B102"/>
  <c i="15" r="F102"/>
  <c i="15" r="B102"/>
  <c i="14" r="F102"/>
  <c i="14" r="B102"/>
  <c i="13" r="F102"/>
  <c i="13" r="B102"/>
  <c i="12" r="F102"/>
  <c i="12" r="B102"/>
  <c i="11" r="F102"/>
  <c i="11" r="B102"/>
  <c i="9" r="F102"/>
  <c i="9" r="B102"/>
  <c i="8" r="F102"/>
  <c i="8" r="B102"/>
  <c i="12" l="1" r="C34"/>
  <c i="4" r="U12"/>
  <c i="4" r="W12" s="1"/>
  <c i="14" r="C34"/>
  <c i="4" r="U13"/>
  <c i="4" r="W13" s="1"/>
  <c i="9" r="G78"/>
  <c i="4" r="Y11"/>
  <c i="4" r="AA11" s="1"/>
  <c i="9" r="C61"/>
  <c i="4" r="U11"/>
  <c i="4" r="W11" s="1"/>
  <c i="14" r="G65"/>
  <c i="4" r="Y13"/>
  <c i="4" r="AA13" s="1"/>
  <c i="16" r="C37"/>
  <c i="4" r="U14"/>
  <c i="4" r="W14" s="1"/>
  <c i="20" r="G102"/>
  <c i="4" r="Y16"/>
  <c i="4" r="AA16" s="1"/>
  <c i="12" r="G102"/>
  <c i="4" r="Y12"/>
  <c i="4" r="AA12" s="1"/>
  <c i="16" r="G89"/>
  <c i="4" r="Y14"/>
  <c i="4" r="AA14" s="1"/>
  <c i="20" r="C101"/>
  <c i="4" r="U16"/>
  <c i="4" r="W16" s="1"/>
  <c i="18" r="C93"/>
  <c i="4" r="U15"/>
  <c i="4" r="W15" s="1"/>
  <c i="22" r="C65"/>
  <c i="4" r="U17"/>
  <c i="4" r="W17" s="1"/>
  <c i="22" r="G102"/>
  <c i="4" r="Y17"/>
  <c i="4" r="AA17" s="1"/>
  <c i="18" r="G48"/>
  <c i="4" r="Y15"/>
  <c i="4" r="AA15" s="1"/>
  <c i="22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22" r="C40"/>
  <c i="19" r="C100"/>
  <c i="3" r="U16"/>
  <c i="3" r="W16" s="1"/>
  <c i="8" r="G51"/>
  <c i="3" r="Y1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B102"/>
  <c i="3" r="F102"/>
  <c i="3" r="B102"/>
  <c i="4" l="1" r="C100"/>
  <c i="4" r="U10"/>
  <c i="4" r="G101"/>
  <c i="4" r="Y10"/>
  <c i="3" r="AA11"/>
  <c i="3" r="W11"/>
  <c i="3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4" l="1" r="AA10"/>
  <c i="4" r="AA18" s="1"/>
  <c i="4" r="Y18"/>
  <c i="4" r="Y19" s="1"/>
  <c i="4" r="W10"/>
  <c i="4" r="W18" s="1"/>
  <c i="4" r="U18"/>
  <c i="4" r="U19" s="1"/>
  <c i="3" r="AA18"/>
  <c i="3" r="AA19" s="1"/>
  <c i="3" r="Y18"/>
  <c i="3" r="Y19" s="1"/>
  <c i="3" r="W19"/>
  <c i="3" r="V19" s="1"/>
  <c i="23" r="D13" s="1"/>
  <c i="3" r="V18"/>
  <c i="4" l="1" r="W19"/>
  <c i="4" r="V19" s="1"/>
  <c i="23" r="G13" s="1"/>
  <c i="4" r="V18"/>
  <c i="4" r="Z18"/>
  <c i="4" r="AA19"/>
  <c i="4" r="Z19" s="1"/>
  <c i="3" r="Z18"/>
  <c i="3" r="Z19"/>
  <c i="23" l="1" r="H13"/>
  <c i="23" r="I13" s="1"/>
  <c i="4" r="AB19"/>
  <c i="4" r="AC19" s="1"/>
  <c i="3" r="AB19"/>
  <c i="3" r="AC19" s="1"/>
  <c i="23" r="E13"/>
  <c i="23" r="K13"/>
  <c i="23" l="1" r="J13"/>
  <c i="23" r="F13"/>
</calcChain>
</file>

<file path=xl/sharedStrings.xml><?xml version="1.0" encoding="utf-8"?>
<sst xmlns="http://schemas.openxmlformats.org/spreadsheetml/2006/main" count="575" uniqueCount="183">
  <si>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</si>
  <si>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</si>
  <si>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</si>
  <si>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</si>
  <si>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</si>
  <si>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</si>
  <si>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</si>
  <si>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</si>
  <si>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</si>
  <si>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</si>
  <si>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</si>
  <si>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</si>
  <si>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</si>
  <si>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</si>
  <si>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</si>
  <si>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</si>
  <si>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</si>
  <si>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</si>
  <si>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</si>
  <si>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</si>
  <si>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</si>
  <si>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</si>
  <si>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</si>
  <si>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</si>
  <si>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</si>
  <si>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</si>
  <si>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</si>
  <si>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</si>
  <si>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</si>
  <si>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</si>
  <si>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</si>
  <si>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</si>
  <si>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</si>
  <si>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</si>
  <si>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</si>
  <si>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</si>
  <si>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</si>
  <si>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</si>
  <si>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</si>
  <si>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</si>
  <si>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</si>
  <si>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</si>
  <si>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</si>
  <si>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</si>
  <si>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</si>
  <si>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</si>
  <si>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</si>
  <si>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</si>
  <si>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</si>
  <si>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CHTS_Fresno</t>
  </si>
  <si>
    <t>TOTAL</t>
  </si>
  <si>
    <t>Avg. Time</t>
  </si>
  <si>
    <t>RATIO</t>
  </si>
  <si>
    <t>Time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</si>
  <si>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</si>
  <si>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</si>
  <si>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</si>
  <si>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</si>
  <si>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</si>
  <si>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</si>
  <si>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Created</t>
  </si>
  <si>
    <t>by</t>
  </si>
  <si>
    <t>ALOGIT</t>
  </si>
  <si>
    <t>version</t>
  </si>
  <si>
    <t>on</t>
  </si>
  <si>
    <t>END</t>
  </si>
  <si>
    <t>F</t>
  </si>
  <si>
    <t>T</t>
  </si>
  <si>
    <t>Open "IntermediateStopLocationCoefficients_SACOG-v1.8.F12" ini Notepad+</t>
  </si>
  <si>
    <t>Intermediate</t>
  </si>
  <si>
    <t>Stop</t>
  </si>
  <si>
    <t>Location</t>
  </si>
  <si>
    <t>Model</t>
  </si>
  <si>
    <t>(SACOG2000</t>
  </si>
  <si>
    <t>v2301</t>
  </si>
  <si>
    <t>data,</t>
  </si>
  <si>
    <t>alo</t>
  </si>
  <si>
    <t>&amp;</t>
  </si>
  <si>
    <t>coeffs)</t>
  </si>
  <si>
    <t>May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</si>
  <si>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</si>
  <si>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</si>
  <si>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</si>
  <si>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</si>
  <si>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</si>
  <si>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</si>
  <si>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</si>
  <si>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</si>
  <si>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</si>
  <si>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</si>
  <si>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</si>
  <si>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</si>
  <si>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</si>
  <si>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</si>
  <si>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</si>
  <si>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</si>
  <si>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</si>
  <si>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</si>
  <si>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</si>
  <si>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</si>
  <si>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</si>
  <si>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</si>
  <si>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</si>
  <si>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</si>
  <si>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</si>
  <si>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</si>
  <si>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</si>
  <si>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</si>
  <si>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</si>
  <si>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</si>
  <si>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</si>
  <si>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</si>
  <si>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</si>
  <si>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</si>
  <si>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</si>
  <si>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</si>
  <si>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</si>
  <si>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</si>
  <si>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</si>
  <si>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</si>
  <si>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</si>
  <si>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</si>
  <si>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</si>
  <si>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</si>
  <si>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</si>
  <si>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</si>
  <si>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</si>
  <si>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</si>
  <si>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</si>
  <si>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</si>
  <si>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</si>
  <si>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</si>
  <si>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</si>
  <si>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</si>
  <si>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</si>
  <si>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</si>
  <si>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</si>
  <si>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LSM_300</t>
  </si>
  <si>
    <t>Gamma061</t>
  </si>
  <si>
    <t>Gamma062</t>
  </si>
  <si>
    <t>Gamma063</t>
  </si>
  <si>
    <t>Gamma064</t>
  </si>
  <si>
    <t>Gamma065</t>
  </si>
  <si>
    <t>Gamma066</t>
  </si>
  <si>
    <t>Gamma067</t>
  </si>
  <si>
    <t>Gamma068</t>
  </si>
  <si>
    <t>Gamma069</t>
  </si>
  <si>
    <t>Gamma070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</si>
  <si>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</si>
  <si>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</si>
  <si>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</si>
  <si>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</si>
  <si>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</si>
  <si>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</si>
  <si>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</si>
  <si>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</si>
  <si>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</si>
  <si>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</si>
  <si>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</si>
  <si>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</si>
  <si>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</si>
  <si>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</si>
  <si>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</si>
  <si>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</si>
  <si>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</si>
  <si>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</si>
  <si>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</si>
  <si>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</si>
  <si>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</si>
  <si>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</si>
  <si>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</si>
  <si>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</si>
  <si>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018:31:50</t>
  </si>
  <si>
    <t>Old</t>
  </si>
  <si>
    <t>New</t>
  </si>
  <si>
    <t>Diff</t>
  </si>
  <si>
    <t>IntermediateStopLocationCoefficients_SACOG-v1.8.F12</t>
  </si>
  <si>
    <t>% Diff</t>
  </si>
  <si>
    <t>Coeff Index</t>
  </si>
  <si>
    <t>Old Coeff</t>
  </si>
  <si>
    <t>New Coeff</t>
  </si>
  <si>
    <t>damp</t>
  </si>
  <si>
    <t>same index as work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</si>
</sst>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00000000000"/>
    <numFmt numFmtId="167" formatCode="0.0000"/>
    <numFmt numFmtId="168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45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  <xf applyFont="1" borderId="0" fillId="0" fontId="0" numFmtId="9" xfId="9"/>
    <xf applyNumberFormat="1" borderId="0" fillId="0" fontId="0" numFmtId="165" xfId="0"/>
    <xf applyBorder="1" applyFont="1" applyNumberFormat="1" borderId="0" fillId="0" fontId="0" numFmtId="165" xfId="8"/>
    <xf applyBorder="1" applyNumberFormat="1" borderId="0" fillId="0" fontId="0" numFmtId="2" xfId="0"/>
    <xf applyBorder="1" applyFont="1" borderId="0" fillId="0" fontId="0" numFmtId="9" xfId="9"/>
    <xf applyBorder="1" applyFont="1" borderId="0" fillId="0" fontId="1" numFmtId="0" xfId="0"/>
    <xf applyBorder="1" applyFont="1" applyNumberFormat="1" borderId="0" fillId="0" fontId="1" numFmtId="165" xfId="8"/>
    <xf applyBorder="1" applyFont="1" applyNumberFormat="1" borderId="0" fillId="0" fontId="1" numFmtId="2" xfId="0"/>
    <xf applyBorder="1" applyFont="1" applyNumberFormat="1" borderId="0" fillId="0" fontId="1" numFmtId="43" xfId="0"/>
    <xf applyBorder="1" applyFont="1" applyNumberFormat="1" borderId="0" fillId="0" fontId="1" numFmtId="165" xfId="0"/>
    <xf applyFill="1" borderId="0" fillId="3" fontId="0" numFmtId="0" xfId="0"/>
    <xf applyFill="1" applyFont="1" borderId="0" fillId="3" fontId="1" numFmtId="0" xfId="0"/>
    <xf applyBorder="1" applyFill="1" borderId="0" fillId="3" fontId="0" numFmtId="0" xfId="0"/>
    <xf applyBorder="1" applyFill="1" borderId="4" fillId="3" fontId="0" numFmtId="0" xfId="0"/>
    <xf applyBorder="1" applyFill="1" applyNumberFormat="1" borderId="4" fillId="3" fontId="0" numFmtId="2" xfId="0"/>
    <xf applyFill="1" applyFont="1" borderId="0" fillId="4" fontId="4" numFmtId="0" xfId="0"/>
    <xf applyFill="1" borderId="0" fillId="4" fontId="0" numFmtId="0" xfId="0"/>
    <xf applyNumberFormat="1" borderId="0" fillId="0" fontId="0" numFmtId="21" xfId="0"/>
    <xf applyNumberFormat="1" borderId="0" fillId="0" fontId="0" numFmtId="11" xfId="0"/>
    <xf applyFont="1" borderId="0" fillId="0" fontId="4" numFmtId="0" xfId="0"/>
    <xf applyAlignment="1" applyFont="1" borderId="0" fillId="0" fontId="1" numFmtId="0" xfId="0">
      <alignment horizontal="right"/>
    </xf>
    <xf applyFill="1" applyNumberFormat="1" borderId="0" fillId="5" fontId="0" numFmtId="166" xfId="0"/>
    <xf applyBorder="1" applyFill="1" applyNumberFormat="1" borderId="0" fillId="3" fontId="0" numFmtId="2" xfId="0"/>
    <xf applyAlignment="1" applyBorder="1" applyFill="1" borderId="4" fillId="3" fontId="0" numFmtId="0" xfId="0">
      <alignment horizontal="right"/>
    </xf>
    <xf applyFill="1" applyFont="1" applyNumberFormat="1" borderId="0" fillId="3" fontId="0" numFmtId="167" xfId="8"/>
    <xf applyAlignment="1" applyBorder="1" applyFill="1" applyFont="1" borderId="4" fillId="3" fontId="1" numFmtId="0" xfId="0">
      <alignment horizontal="right"/>
    </xf>
    <xf applyBorder="1" applyFill="1" applyFont="1" applyNumberFormat="1" borderId="4" fillId="3" fontId="0" numFmtId="167" xfId="8"/>
    <xf applyFill="1" borderId="0" fillId="6" fontId="0" numFmtId="0" xfId="0"/>
    <xf applyFill="1" applyFont="1" applyNumberFormat="1" borderId="0" fillId="6" fontId="0" numFmtId="167" xfId="8"/>
    <xf applyBorder="1" applyFill="1" applyFont="1" borderId="4" fillId="3" fontId="0" numFmtId="9" xfId="9"/>
    <xf applyBorder="1" applyFill="1" applyFont="1" applyNumberFormat="1" borderId="0" fillId="3" fontId="0" numFmtId="167" xfId="8"/>
    <xf applyBorder="1" applyFill="1" applyFont="1" applyNumberFormat="1" borderId="0" fillId="6" fontId="0" numFmtId="167" xfId="8"/>
    <xf applyFill="1" borderId="0" fillId="7" fontId="0" numFmtId="0" xfId="0"/>
    <xf applyAlignment="1" borderId="0" fillId="0" fontId="0" numFmtId="0" xfId="0">
      <alignment horizontal="right"/>
    </xf>
    <xf applyBorder="1" applyFill="1" applyFont="1" borderId="4" fillId="3" fontId="0" numFmtId="43" xfId="8"/>
    <xf applyBorder="1" applyFill="1" borderId="6" fillId="3" fontId="0" numFmtId="0" xfId="0"/>
    <xf applyBorder="1" applyFill="1" applyNumberFormat="1" borderId="5" fillId="3" fontId="0" numFmtId="2" xfId="0"/>
    <xf applyBorder="1" applyFill="1" applyFont="1" borderId="0" fillId="3" fontId="0" numFmtId="9" xfId="9"/>
    <xf applyBorder="1" applyFill="1" applyNumberFormat="1" borderId="6" fillId="3" fontId="0" numFmtId="2" xfId="0"/>
    <xf applyBorder="1" applyFill="1" applyFont="1" applyNumberFormat="1" borderId="5" fillId="3" fontId="1" numFmtId="2" xfId="0"/>
    <xf applyBorder="1" applyFill="1" applyFont="1" applyNumberFormat="1" borderId="0" fillId="3" fontId="1" numFmtId="2" xfId="0"/>
    <xf applyBorder="1" applyFill="1" applyFont="1" borderId="0" fillId="3" fontId="1" numFmtId="9" xfId="9"/>
    <xf applyAlignment="1" applyBorder="1" applyFill="1" borderId="6" fillId="3" fontId="0" numFmtId="0" xfId="0">
      <alignment horizontal="right"/>
    </xf>
    <xf applyBorder="1" applyFill="1" applyFont="1" borderId="5" fillId="3" fontId="0" numFmtId="43" xfId="8"/>
    <xf applyBorder="1" applyFill="1" applyFont="1" borderId="0" fillId="3" fontId="0" numFmtId="43" xfId="8"/>
    <xf applyBorder="1" applyFill="1" applyFont="1" borderId="6" fillId="3" fontId="0" numFmtId="43" xfId="8"/>
    <xf applyBorder="1" applyFill="1" applyFont="1" borderId="5" fillId="3" fontId="1" numFmtId="43" xfId="8"/>
    <xf applyBorder="1" applyFill="1" applyFont="1" borderId="0" fillId="3" fontId="1" numFmtId="43" xfId="8"/>
    <xf applyAlignment="1" applyBorder="1" applyFill="1" borderId="7" fillId="3" fontId="0" numFmtId="0" xfId="0">
      <alignment horizontal="right"/>
    </xf>
    <xf applyBorder="1" applyFill="1" applyFont="1" borderId="8" fillId="3" fontId="0" numFmtId="9" xfId="9"/>
    <xf applyBorder="1" applyFill="1" applyFont="1" borderId="7" fillId="3" fontId="0" numFmtId="9" xfId="9"/>
    <xf applyBorder="1" applyFill="1" applyFont="1" borderId="8" fillId="3" fontId="1" numFmtId="9" xfId="9"/>
    <xf applyBorder="1" applyFill="1" applyFont="1" borderId="5" fillId="3" fontId="1" numFmtId="0" xfId="0"/>
    <xf applyBorder="1" applyFill="1" applyFont="1" borderId="0" fillId="3" fontId="1" numFmtId="0" xfId="0"/>
    <xf applyBorder="1" applyFill="1" applyNumberFormat="1" borderId="5" fillId="3" fontId="0" numFmtId="168" xfId="0"/>
    <xf applyBorder="1" applyFill="1" applyNumberFormat="1" borderId="0" fillId="3" fontId="0" numFmtId="168" xfId="0"/>
    <xf applyBorder="1" applyFill="1" applyNumberFormat="1" borderId="6" fillId="3" fontId="0" numFmtId="168" xfId="0"/>
    <xf applyBorder="1" applyFill="1" applyNumberFormat="1" borderId="4" fillId="3" fontId="0" numFmtId="168" xfId="0"/>
    <xf applyFill="1" borderId="0" fillId="0" fontId="0" numFmtId="0" xfId="0"/>
    <xf applyAlignment="1" applyBorder="1" applyFill="1" borderId="0" fillId="0" fontId="0" numFmtId="0" xfId="0">
      <alignment horizontal="right"/>
    </xf>
    <xf applyAlignment="1" applyBorder="1" applyFill="1" applyFont="1" borderId="6" fillId="3" fontId="1" numFmtId="0" xfId="0">
      <alignment horizontal="center"/>
    </xf>
    <xf applyAlignment="1" applyBorder="1" applyFill="1" applyFont="1" borderId="4" fillId="3" fontId="1" numFmtId="0" xfId="0">
      <alignment horizontal="center"/>
    </xf>
    <xf applyAlignment="1" applyBorder="1" applyFill="1" borderId="6" fillId="3" fontId="0" numFmtId="0" xfId="0">
      <alignment horizontal="center"/>
    </xf>
    <xf applyAlignment="1" applyBorder="1" applyFill="1" borderId="4" fillId="3" fontId="0" numFmtId="0" xfId="0">
      <alignment horizontal="center"/>
    </xf>
    <xf applyAlignment="1" applyBorder="1" applyFill="1" borderId="7" fillId="3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0.19098366905526451</c:v>
                </c:pt>
                <c:pt idx="1">
                  <c:v>0.2787214391625028</c:v>
                </c:pt>
                <c:pt idx="2">
                  <c:v>0.1694075929265163</c:v>
                </c:pt>
                <c:pt idx="3">
                  <c:v>0.10212829856048027</c:v>
                </c:pt>
                <c:pt idx="4">
                  <c:v>3.5159827917039574E-2</c:v>
                </c:pt>
                <c:pt idx="5">
                  <c:v>3.6024445112473394E-2</c:v>
                </c:pt>
                <c:pt idx="6">
                  <c:v>2.0667361136590581E-2</c:v>
                </c:pt>
                <c:pt idx="7">
                  <c:v>3.1421260934903397E-2</c:v>
                </c:pt>
                <c:pt idx="8">
                  <c:v>1.4082743711449729E-2</c:v>
                </c:pt>
                <c:pt idx="9">
                  <c:v>5.0273466968144189E-3</c:v>
                </c:pt>
                <c:pt idx="10">
                  <c:v>1.719959436225979E-2</c:v>
                </c:pt>
                <c:pt idx="11">
                  <c:v>3.703994949986935E-2</c:v>
                </c:pt>
                <c:pt idx="12">
                  <c:v>7.4008410021164156E-3</c:v>
                </c:pt>
                <c:pt idx="13">
                  <c:v>6.9387400559898669E-3</c:v>
                </c:pt>
                <c:pt idx="14">
                  <c:v>4.5159113056898563E-3</c:v>
                </c:pt>
                <c:pt idx="15">
                  <c:v>2.1340686156043347E-3</c:v>
                </c:pt>
                <c:pt idx="16">
                  <c:v>4.1193675357308673E-3</c:v>
                </c:pt>
                <c:pt idx="17">
                  <c:v>6.8082558499558193E-3</c:v>
                </c:pt>
                <c:pt idx="18">
                  <c:v>4.2244625208791384E-3</c:v>
                </c:pt>
                <c:pt idx="19">
                  <c:v>2.5601669216279675E-3</c:v>
                </c:pt>
                <c:pt idx="20">
                  <c:v>5.1774041447810336E-3</c:v>
                </c:pt>
                <c:pt idx="21">
                  <c:v>1.6117800964760411E-3</c:v>
                </c:pt>
                <c:pt idx="22">
                  <c:v>2.0565199227969063E-3</c:v>
                </c:pt>
                <c:pt idx="23">
                  <c:v>2.1570479851687695E-3</c:v>
                </c:pt>
                <c:pt idx="24">
                  <c:v>0</c:v>
                </c:pt>
                <c:pt idx="25">
                  <c:v>5.3080962454564217E-3</c:v>
                </c:pt>
                <c:pt idx="26">
                  <c:v>1.0120892290853109E-3</c:v>
                </c:pt>
                <c:pt idx="27">
                  <c:v>8.8626236670946224E-4</c:v>
                </c:pt>
                <c:pt idx="28">
                  <c:v>0</c:v>
                </c:pt>
                <c:pt idx="29">
                  <c:v>2.0067612888491813E-3</c:v>
                </c:pt>
                <c:pt idx="30">
                  <c:v>7.1785553507649211E-4</c:v>
                </c:pt>
                <c:pt idx="31">
                  <c:v>5.2916165233487513E-4</c:v>
                </c:pt>
                <c:pt idx="32">
                  <c:v>0</c:v>
                </c:pt>
                <c:pt idx="33">
                  <c:v>7.0242589946990845E-5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1.886925891129676E-4</c:v>
                </c:pt>
                <c:pt idx="38">
                  <c:v>0</c:v>
                </c:pt>
                <c:pt idx="39">
                  <c:v>0</c:v>
                </c:pt>
                <c:pt idx="40">
                  <c:v>8.4802711086243707E-4</c:v>
                </c:pt>
                <c:pt idx="41">
                  <c:v>0</c:v>
                </c:pt>
                <c:pt idx="42">
                  <c:v>1.3568212380086946E-4</c:v>
                </c:pt>
                <c:pt idx="43">
                  <c:v>0</c:v>
                </c:pt>
                <c:pt idx="44">
                  <c:v>0</c:v>
                </c:pt>
                <c:pt idx="45">
                  <c:v>6.3877389259959063E-5</c:v>
                </c:pt>
                <c:pt idx="46">
                  <c:v>0</c:v>
                </c:pt>
                <c:pt idx="47">
                  <c:v>4.2042968657219818E-4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2.4472715995146947E-4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0.26987327625876734</c:v>
                </c:pt>
                <c:pt idx="1">
                  <c:v>0.24964918357749322</c:v>
                </c:pt>
                <c:pt idx="2">
                  <c:v>0.14456165013931513</c:v>
                </c:pt>
                <c:pt idx="3">
                  <c:v>7.7187830273118291E-2</c:v>
                </c:pt>
                <c:pt idx="4">
                  <c:v>4.3801484680383959E-2</c:v>
                </c:pt>
                <c:pt idx="5">
                  <c:v>2.876631454390062E-2</c:v>
                </c:pt>
                <c:pt idx="6">
                  <c:v>2.4450956496235115E-2</c:v>
                </c:pt>
                <c:pt idx="7">
                  <c:v>2.0804362007150256E-2</c:v>
                </c:pt>
                <c:pt idx="8">
                  <c:v>1.7394173539718675E-2</c:v>
                </c:pt>
                <c:pt idx="9">
                  <c:v>1.5994068358002097E-2</c:v>
                </c:pt>
                <c:pt idx="10">
                  <c:v>1.3944794769232275E-2</c:v>
                </c:pt>
                <c:pt idx="11">
                  <c:v>1.165089783720091E-2</c:v>
                </c:pt>
                <c:pt idx="12">
                  <c:v>9.6079452650528353E-3</c:v>
                </c:pt>
                <c:pt idx="13">
                  <c:v>8.0371726345491307E-3</c:v>
                </c:pt>
                <c:pt idx="14">
                  <c:v>7.3033026047645026E-3</c:v>
                </c:pt>
                <c:pt idx="15">
                  <c:v>6.7887718517544368E-3</c:v>
                </c:pt>
                <c:pt idx="16">
                  <c:v>5.7211521443416577E-3</c:v>
                </c:pt>
                <c:pt idx="17">
                  <c:v>4.8431629355812382E-3</c:v>
                </c:pt>
                <c:pt idx="18">
                  <c:v>4.4575809216547751E-3</c:v>
                </c:pt>
                <c:pt idx="19">
                  <c:v>4.1567005304597006E-3</c:v>
                </c:pt>
                <c:pt idx="20">
                  <c:v>4.0144776564704316E-3</c:v>
                </c:pt>
                <c:pt idx="21">
                  <c:v>3.7211824852214498E-3</c:v>
                </c:pt>
                <c:pt idx="22">
                  <c:v>2.8476179880962513E-3</c:v>
                </c:pt>
                <c:pt idx="23">
                  <c:v>2.3659565215192607E-3</c:v>
                </c:pt>
                <c:pt idx="24">
                  <c:v>2.2458572057061001E-3</c:v>
                </c:pt>
                <c:pt idx="25">
                  <c:v>1.8741814283474774E-3</c:v>
                </c:pt>
                <c:pt idx="26">
                  <c:v>1.5126192775836472E-3</c:v>
                </c:pt>
                <c:pt idx="27">
                  <c:v>1.5227329041784395E-3</c:v>
                </c:pt>
                <c:pt idx="28">
                  <c:v>1.2066820730911752E-3</c:v>
                </c:pt>
                <c:pt idx="29">
                  <c:v>1.0707802157236515E-3</c:v>
                </c:pt>
                <c:pt idx="30">
                  <c:v>9.6711554312702887E-4</c:v>
                </c:pt>
                <c:pt idx="31">
                  <c:v>9.7343655974877418E-4</c:v>
                </c:pt>
                <c:pt idx="32">
                  <c:v>1.0145231677901184E-3</c:v>
                </c:pt>
                <c:pt idx="33">
                  <c:v>7.4524785970376932E-4</c:v>
                </c:pt>
                <c:pt idx="34">
                  <c:v>6.6686725359412782E-4</c:v>
                </c:pt>
                <c:pt idx="35">
                  <c:v>4.9872821145570314E-4</c:v>
                </c:pt>
                <c:pt idx="36">
                  <c:v>5.221159729561607E-4</c:v>
                </c:pt>
                <c:pt idx="37">
                  <c:v>4.1971550368388705E-4</c:v>
                </c:pt>
                <c:pt idx="38">
                  <c:v>3.6409055741252848E-4</c:v>
                </c:pt>
                <c:pt idx="39">
                  <c:v>3.242681526955332E-4</c:v>
                </c:pt>
                <c:pt idx="40">
                  <c:v>2.6864320642417468E-4</c:v>
                </c:pt>
                <c:pt idx="41">
                  <c:v>2.313492083558775E-4</c:v>
                </c:pt>
                <c:pt idx="42">
                  <c:v>2.2439609007195768E-4</c:v>
                </c:pt>
                <c:pt idx="43">
                  <c:v>1.7572426208451895E-4</c:v>
                </c:pt>
                <c:pt idx="44">
                  <c:v>2.1681087012586332E-4</c:v>
                </c:pt>
                <c:pt idx="45">
                  <c:v>1.9595151527410386E-4</c:v>
                </c:pt>
                <c:pt idx="46">
                  <c:v>1.6877114380059916E-4</c:v>
                </c:pt>
                <c:pt idx="47">
                  <c:v>1.3526975570534914E-4</c:v>
                </c:pt>
                <c:pt idx="48">
                  <c:v>1.0303257093444818E-4</c:v>
                </c:pt>
                <c:pt idx="49">
                  <c:v>7.4587996136594377E-5</c:v>
                </c:pt>
                <c:pt idx="50">
                  <c:v>6.3210166217452874E-5</c:v>
                </c:pt>
                <c:pt idx="51">
                  <c:v>5.4992844609183995E-5</c:v>
                </c:pt>
                <c:pt idx="52">
                  <c:v>3.413348975742455E-5</c:v>
                </c:pt>
                <c:pt idx="53">
                  <c:v>2.3387761500457558E-5</c:v>
                </c:pt>
                <c:pt idx="54">
                  <c:v>1.896304986523586E-5</c:v>
                </c:pt>
                <c:pt idx="55">
                  <c:v>1.8330948203061332E-5</c:v>
                </c:pt>
                <c:pt idx="56">
                  <c:v>2.2123558176108502E-5</c:v>
                </c:pt>
                <c:pt idx="57">
                  <c:v>2.1491456513933973E-5</c:v>
                </c:pt>
                <c:pt idx="58">
                  <c:v>1.1377829919141515E-5</c:v>
                </c:pt>
                <c:pt idx="59">
                  <c:v>8.2173216082688734E-6</c:v>
                </c:pt>
                <c:pt idx="60">
                  <c:v>1.1377829919141515E-5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5.2741552773692184E-2</c:v>
                </c:pt>
                <c:pt idx="1">
                  <c:v>7.6477324857974066E-2</c:v>
                </c:pt>
                <c:pt idx="2">
                  <c:v>0.18026906195978692</c:v>
                </c:pt>
                <c:pt idx="3">
                  <c:v>0.14899308552657467</c:v>
                </c:pt>
                <c:pt idx="4">
                  <c:v>7.7982200544518224E-2</c:v>
                </c:pt>
                <c:pt idx="5">
                  <c:v>0.13691398177320233</c:v>
                </c:pt>
                <c:pt idx="6">
                  <c:v>5.1095824363181018E-2</c:v>
                </c:pt>
                <c:pt idx="7">
                  <c:v>6.7043885077724005E-2</c:v>
                </c:pt>
                <c:pt idx="8">
                  <c:v>1.3804536273345666E-2</c:v>
                </c:pt>
                <c:pt idx="9">
                  <c:v>1.3167901322336265E-2</c:v>
                </c:pt>
                <c:pt idx="10">
                  <c:v>1.1528551879444116E-2</c:v>
                </c:pt>
                <c:pt idx="11">
                  <c:v>1.3212919439952106E-2</c:v>
                </c:pt>
                <c:pt idx="12">
                  <c:v>2.6147166736556485E-2</c:v>
                </c:pt>
                <c:pt idx="13">
                  <c:v>1.2025133814267784E-2</c:v>
                </c:pt>
                <c:pt idx="14">
                  <c:v>1.3120566420110053E-2</c:v>
                </c:pt>
                <c:pt idx="15">
                  <c:v>2.6167306314057028E-2</c:v>
                </c:pt>
                <c:pt idx="16">
                  <c:v>7.4813619653267471E-3</c:v>
                </c:pt>
                <c:pt idx="17">
                  <c:v>3.0297467215232299E-3</c:v>
                </c:pt>
                <c:pt idx="18">
                  <c:v>9.0384332274401936E-3</c:v>
                </c:pt>
                <c:pt idx="19">
                  <c:v>9.4650449341149422E-3</c:v>
                </c:pt>
                <c:pt idx="20">
                  <c:v>3.1862049979889204E-3</c:v>
                </c:pt>
                <c:pt idx="21">
                  <c:v>4.3304580964588155E-3</c:v>
                </c:pt>
                <c:pt idx="22">
                  <c:v>3.5299767646989675E-3</c:v>
                </c:pt>
                <c:pt idx="23">
                  <c:v>2.7452954530979984E-3</c:v>
                </c:pt>
                <c:pt idx="24">
                  <c:v>5.959055430180122E-3</c:v>
                </c:pt>
                <c:pt idx="25">
                  <c:v>4.6149118244965225E-3</c:v>
                </c:pt>
                <c:pt idx="26">
                  <c:v>2.7432235911685672E-3</c:v>
                </c:pt>
                <c:pt idx="27">
                  <c:v>1.1028244154172983E-3</c:v>
                </c:pt>
                <c:pt idx="28">
                  <c:v>9.5233975508600931E-4</c:v>
                </c:pt>
                <c:pt idx="29">
                  <c:v>5.7534056277117865E-4</c:v>
                </c:pt>
                <c:pt idx="30">
                  <c:v>1.1969616205841341E-3</c:v>
                </c:pt>
                <c:pt idx="31">
                  <c:v>3.6998218145396764E-3</c:v>
                </c:pt>
                <c:pt idx="32">
                  <c:v>2.2967565306766294E-3</c:v>
                </c:pt>
                <c:pt idx="33">
                  <c:v>1.3261593943788383E-3</c:v>
                </c:pt>
                <c:pt idx="34">
                  <c:v>1.5609362221693718E-3</c:v>
                </c:pt>
                <c:pt idx="35">
                  <c:v>3.4744897829584414E-3</c:v>
                </c:pt>
                <c:pt idx="36">
                  <c:v>3.5393966172751697E-4</c:v>
                </c:pt>
                <c:pt idx="37">
                  <c:v>1.0052919570985588E-3</c:v>
                </c:pt>
                <c:pt idx="38">
                  <c:v>9.579348746371056E-4</c:v>
                </c:pt>
                <c:pt idx="39">
                  <c:v>0</c:v>
                </c:pt>
                <c:pt idx="40">
                  <c:v>5.4154354448205158E-5</c:v>
                </c:pt>
                <c:pt idx="41">
                  <c:v>1.9686237798152177E-3</c:v>
                </c:pt>
                <c:pt idx="42">
                  <c:v>6.1887901680783897E-5</c:v>
                </c:pt>
                <c:pt idx="43">
                  <c:v>0</c:v>
                </c:pt>
                <c:pt idx="44">
                  <c:v>7.0242589946990832E-5</c:v>
                </c:pt>
                <c:pt idx="45">
                  <c:v>6.2614663928579114E-4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1.3568212380086944E-4</c:v>
                </c:pt>
                <c:pt idx="51">
                  <c:v>0</c:v>
                </c:pt>
                <c:pt idx="52">
                  <c:v>0</c:v>
                </c:pt>
                <c:pt idx="53">
                  <c:v>1.8869258911296757E-4</c:v>
                </c:pt>
                <c:pt idx="54">
                  <c:v>0</c:v>
                </c:pt>
                <c:pt idx="55">
                  <c:v>8.4802711086243696E-4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4.8430707583215719E-4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2.2443401617168866E-2</c:v>
                </c:pt>
                <c:pt idx="1">
                  <c:v>8.3133378507532135E-2</c:v>
                </c:pt>
                <c:pt idx="2">
                  <c:v>0.14665896345441057</c:v>
                </c:pt>
                <c:pt idx="3">
                  <c:v>0.14443839031519146</c:v>
                </c:pt>
                <c:pt idx="4">
                  <c:v>0.10843956855268957</c:v>
                </c:pt>
                <c:pt idx="5">
                  <c:v>7.7864179051645221E-2</c:v>
                </c:pt>
                <c:pt idx="6">
                  <c:v>5.6007367776974237E-2</c:v>
                </c:pt>
                <c:pt idx="7">
                  <c:v>4.0196608901002719E-2</c:v>
                </c:pt>
                <c:pt idx="8">
                  <c:v>3.0715083968384765E-2</c:v>
                </c:pt>
                <c:pt idx="9">
                  <c:v>2.5184826526019801E-2</c:v>
                </c:pt>
                <c:pt idx="10">
                  <c:v>2.2090056788013301E-2</c:v>
                </c:pt>
                <c:pt idx="11">
                  <c:v>2.0091351332217438E-2</c:v>
                </c:pt>
                <c:pt idx="12">
                  <c:v>1.9061025622872953E-2</c:v>
                </c:pt>
                <c:pt idx="13">
                  <c:v>1.7921346325972275E-2</c:v>
                </c:pt>
                <c:pt idx="14">
                  <c:v>1.6430850606564736E-2</c:v>
                </c:pt>
                <c:pt idx="15">
                  <c:v>1.4322159461550504E-2</c:v>
                </c:pt>
                <c:pt idx="16">
                  <c:v>1.2332935530687256E-2</c:v>
                </c:pt>
                <c:pt idx="17">
                  <c:v>1.087657330103714E-2</c:v>
                </c:pt>
                <c:pt idx="18">
                  <c:v>9.3133858904795273E-3</c:v>
                </c:pt>
                <c:pt idx="19">
                  <c:v>8.3886211587181903E-3</c:v>
                </c:pt>
                <c:pt idx="20">
                  <c:v>8.1111285290235702E-3</c:v>
                </c:pt>
                <c:pt idx="21">
                  <c:v>7.8665051857620266E-3</c:v>
                </c:pt>
                <c:pt idx="22">
                  <c:v>7.6206176391761353E-3</c:v>
                </c:pt>
                <c:pt idx="23">
                  <c:v>7.076378108043865E-3</c:v>
                </c:pt>
                <c:pt idx="24">
                  <c:v>6.757798870307901E-3</c:v>
                </c:pt>
                <c:pt idx="25">
                  <c:v>6.0865069050785505E-3</c:v>
                </c:pt>
                <c:pt idx="26">
                  <c:v>5.4291211764170393E-3</c:v>
                </c:pt>
                <c:pt idx="27">
                  <c:v>4.7205352131193907E-3</c:v>
                </c:pt>
                <c:pt idx="28">
                  <c:v>4.3671903839638286E-3</c:v>
                </c:pt>
                <c:pt idx="29">
                  <c:v>4.0915940592557336E-3</c:v>
                </c:pt>
                <c:pt idx="30">
                  <c:v>3.9013314589412002E-3</c:v>
                </c:pt>
                <c:pt idx="31">
                  <c:v>3.8147335312232892E-3</c:v>
                </c:pt>
                <c:pt idx="32">
                  <c:v>3.5669496796508736E-3</c:v>
                </c:pt>
                <c:pt idx="33">
                  <c:v>3.3387609796058683E-3</c:v>
                </c:pt>
                <c:pt idx="34">
                  <c:v>3.011964420261636E-3</c:v>
                </c:pt>
                <c:pt idx="35">
                  <c:v>2.6668369127143426E-3</c:v>
                </c:pt>
                <c:pt idx="36">
                  <c:v>2.4487618392641298E-3</c:v>
                </c:pt>
                <c:pt idx="37">
                  <c:v>2.2180447325704264E-3</c:v>
                </c:pt>
                <c:pt idx="38">
                  <c:v>1.988591829201072E-3</c:v>
                </c:pt>
                <c:pt idx="39">
                  <c:v>1.8659641067392131E-3</c:v>
                </c:pt>
                <c:pt idx="40">
                  <c:v>1.6327185933968115E-3</c:v>
                </c:pt>
                <c:pt idx="41">
                  <c:v>1.5612911055710894E-3</c:v>
                </c:pt>
                <c:pt idx="42">
                  <c:v>1.300865220755183E-3</c:v>
                </c:pt>
                <c:pt idx="43">
                  <c:v>1.2446081728216499E-3</c:v>
                </c:pt>
                <c:pt idx="44">
                  <c:v>1.1643312617254846E-3</c:v>
                </c:pt>
                <c:pt idx="45">
                  <c:v>1.0594023858045128E-3</c:v>
                </c:pt>
                <c:pt idx="46">
                  <c:v>1.0714123173858287E-3</c:v>
                </c:pt>
                <c:pt idx="47">
                  <c:v>9.8165388135704537E-4</c:v>
                </c:pt>
                <c:pt idx="48">
                  <c:v>9.8102177969487106E-4</c:v>
                </c:pt>
                <c:pt idx="49">
                  <c:v>8.9189544532826208E-4</c:v>
                </c:pt>
                <c:pt idx="50">
                  <c:v>9.222363251126395E-4</c:v>
                </c:pt>
                <c:pt idx="51">
                  <c:v>8.38166804043427E-4</c:v>
                </c:pt>
                <c:pt idx="52">
                  <c:v>7.0479335332460113E-4</c:v>
                </c:pt>
                <c:pt idx="53">
                  <c:v>6.1440281563364342E-4</c:v>
                </c:pt>
                <c:pt idx="54">
                  <c:v>6.042891890388508E-4</c:v>
                </c:pt>
                <c:pt idx="55">
                  <c:v>5.1579495633441658E-4</c:v>
                </c:pt>
                <c:pt idx="56">
                  <c:v>5.0125661810440235E-4</c:v>
                </c:pt>
                <c:pt idx="57">
                  <c:v>4.1023397875127011E-4</c:v>
                </c:pt>
                <c:pt idx="58">
                  <c:v>4.2161180867041168E-4</c:v>
                </c:pt>
                <c:pt idx="59">
                  <c:v>3.8431781060211436E-4</c:v>
                </c:pt>
                <c:pt idx="60">
                  <c:v>3.3058916931727927E-4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0.14574158502395446</c:v>
                </c:pt>
                <c:pt idx="1">
                  <c:v>0.25950761603129752</c:v>
                </c:pt>
                <c:pt idx="2">
                  <c:v>0.10427640769856121</c:v>
                </c:pt>
                <c:pt idx="3">
                  <c:v>3.2559548667214132E-2</c:v>
                </c:pt>
                <c:pt idx="4">
                  <c:v>8.038589312958401E-2</c:v>
                </c:pt>
                <c:pt idx="5">
                  <c:v>6.57960725574782E-2</c:v>
                </c:pt>
                <c:pt idx="6">
                  <c:v>3.1560798343953415E-2</c:v>
                </c:pt>
                <c:pt idx="7">
                  <c:v>5.9530383768677503E-2</c:v>
                </c:pt>
                <c:pt idx="8">
                  <c:v>1.9218717031923228E-2</c:v>
                </c:pt>
                <c:pt idx="9">
                  <c:v>1.6564696157014013E-2</c:v>
                </c:pt>
                <c:pt idx="10">
                  <c:v>3.079568304624454E-2</c:v>
                </c:pt>
                <c:pt idx="11">
                  <c:v>2.1008416369727542E-2</c:v>
                </c:pt>
                <c:pt idx="12">
                  <c:v>9.6877255553891282E-3</c:v>
                </c:pt>
                <c:pt idx="13">
                  <c:v>1.6017036185533455E-2</c:v>
                </c:pt>
                <c:pt idx="14">
                  <c:v>1.1813954368757E-2</c:v>
                </c:pt>
                <c:pt idx="15">
                  <c:v>2.5753842082766273E-3</c:v>
                </c:pt>
                <c:pt idx="16">
                  <c:v>7.5101736701407825E-3</c:v>
                </c:pt>
                <c:pt idx="17">
                  <c:v>2.2458719194772249E-2</c:v>
                </c:pt>
                <c:pt idx="18">
                  <c:v>1.0806841003896296E-2</c:v>
                </c:pt>
                <c:pt idx="19">
                  <c:v>0</c:v>
                </c:pt>
                <c:pt idx="20">
                  <c:v>7.5932361625730745E-3</c:v>
                </c:pt>
                <c:pt idx="21">
                  <c:v>7.6690005250066428E-3</c:v>
                </c:pt>
                <c:pt idx="22">
                  <c:v>0</c:v>
                </c:pt>
                <c:pt idx="23">
                  <c:v>2.6928850844887202E-3</c:v>
                </c:pt>
                <c:pt idx="24">
                  <c:v>3.3052097174166377E-3</c:v>
                </c:pt>
                <c:pt idx="25">
                  <c:v>1.7632831717688098E-2</c:v>
                </c:pt>
                <c:pt idx="26">
                  <c:v>3.293243437684236E-3</c:v>
                </c:pt>
                <c:pt idx="27">
                  <c:v>3.4236388289797096E-3</c:v>
                </c:pt>
                <c:pt idx="28">
                  <c:v>0</c:v>
                </c:pt>
                <c:pt idx="29">
                  <c:v>2.3192144246635478E-3</c:v>
                </c:pt>
                <c:pt idx="30">
                  <c:v>2.1441678498675021E-3</c:v>
                </c:pt>
                <c:pt idx="31">
                  <c:v>2.1192807044538109E-4</c:v>
                </c:pt>
                <c:pt idx="32">
                  <c:v>0</c:v>
                </c:pt>
                <c:pt idx="33">
                  <c:v>2.4053774883717042E-4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2.1874084406314556E-4</c:v>
                </c:pt>
                <c:pt idx="45">
                  <c:v>1.43971357589052E-3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0.15885953608247419</c:v>
                </c:pt>
                <c:pt idx="1">
                  <c:v>0.18287923416789389</c:v>
                </c:pt>
                <c:pt idx="2">
                  <c:v>0.13141108247422675</c:v>
                </c:pt>
                <c:pt idx="3">
                  <c:v>8.7819863770250334E-2</c:v>
                </c:pt>
                <c:pt idx="4">
                  <c:v>5.863402061855668E-2</c:v>
                </c:pt>
                <c:pt idx="5">
                  <c:v>4.4456461708394686E-2</c:v>
                </c:pt>
                <c:pt idx="6">
                  <c:v>3.8883008100147262E-2</c:v>
                </c:pt>
                <c:pt idx="7">
                  <c:v>3.15721649484536E-2</c:v>
                </c:pt>
                <c:pt idx="8">
                  <c:v>2.7600331369661259E-2</c:v>
                </c:pt>
                <c:pt idx="9">
                  <c:v>2.7167709867452126E-2</c:v>
                </c:pt>
                <c:pt idx="10">
                  <c:v>2.4456921944035339E-2</c:v>
                </c:pt>
                <c:pt idx="11">
                  <c:v>2.133422312223858E-2</c:v>
                </c:pt>
                <c:pt idx="12">
                  <c:v>1.773518041237113E-2</c:v>
                </c:pt>
                <c:pt idx="13">
                  <c:v>1.5671023564064798E-2</c:v>
                </c:pt>
                <c:pt idx="14">
                  <c:v>1.3425073637702499E-2</c:v>
                </c:pt>
                <c:pt idx="15">
                  <c:v>1.2709407216494842E-2</c:v>
                </c:pt>
                <c:pt idx="16">
                  <c:v>1.1443759204712809E-2</c:v>
                </c:pt>
                <c:pt idx="17">
                  <c:v>9.9433910162002922E-3</c:v>
                </c:pt>
                <c:pt idx="18">
                  <c:v>9.4049153166421186E-3</c:v>
                </c:pt>
                <c:pt idx="19">
                  <c:v>8.4062039764359331E-3</c:v>
                </c:pt>
                <c:pt idx="20">
                  <c:v>7.0715206185567002E-3</c:v>
                </c:pt>
                <c:pt idx="21">
                  <c:v>6.8022827687776125E-3</c:v>
                </c:pt>
                <c:pt idx="22">
                  <c:v>6.222385861561118E-3</c:v>
                </c:pt>
                <c:pt idx="23">
                  <c:v>5.3502393225331362E-3</c:v>
                </c:pt>
                <c:pt idx="24">
                  <c:v>4.9107142857142847E-3</c:v>
                </c:pt>
                <c:pt idx="25">
                  <c:v>4.4504786450662729E-3</c:v>
                </c:pt>
                <c:pt idx="26">
                  <c:v>3.8038475699558169E-3</c:v>
                </c:pt>
                <c:pt idx="27">
                  <c:v>3.6749815905743736E-3</c:v>
                </c:pt>
                <c:pt idx="28">
                  <c:v>3.4195508100147267E-3</c:v>
                </c:pt>
                <c:pt idx="29">
                  <c:v>2.9132916053019142E-3</c:v>
                </c:pt>
                <c:pt idx="30">
                  <c:v>2.3149852724594988E-3</c:v>
                </c:pt>
                <c:pt idx="31">
                  <c:v>2.1976251840942558E-3</c:v>
                </c:pt>
                <c:pt idx="32">
                  <c:v>2.0043262150220907E-3</c:v>
                </c:pt>
                <c:pt idx="33">
                  <c:v>1.7442930780559643E-3</c:v>
                </c:pt>
                <c:pt idx="34">
                  <c:v>1.4244293078055962E-3</c:v>
                </c:pt>
                <c:pt idx="35">
                  <c:v>1.1321796759941086E-3</c:v>
                </c:pt>
                <c:pt idx="36">
                  <c:v>1.024024300441826E-3</c:v>
                </c:pt>
                <c:pt idx="37">
                  <c:v>7.5478645066273913E-4</c:v>
                </c:pt>
                <c:pt idx="38">
                  <c:v>6.7884756995581724E-4</c:v>
                </c:pt>
                <c:pt idx="39">
                  <c:v>6.4202871870397632E-4</c:v>
                </c:pt>
                <c:pt idx="40">
                  <c:v>5.1776509572901315E-4</c:v>
                </c:pt>
                <c:pt idx="41">
                  <c:v>3.7969440353460962E-4</c:v>
                </c:pt>
                <c:pt idx="42">
                  <c:v>4.0040500736377018E-4</c:v>
                </c:pt>
                <c:pt idx="43">
                  <c:v>3.451767304860088E-4</c:v>
                </c:pt>
                <c:pt idx="44">
                  <c:v>3.0145434462444762E-4</c:v>
                </c:pt>
                <c:pt idx="45">
                  <c:v>3.1065905743740788E-4</c:v>
                </c:pt>
                <c:pt idx="46">
                  <c:v>2.4852724594992629E-4</c:v>
                </c:pt>
                <c:pt idx="47">
                  <c:v>1.7488954344624443E-4</c:v>
                </c:pt>
                <c:pt idx="48">
                  <c:v>1.7028718703976432E-4</c:v>
                </c:pt>
                <c:pt idx="49">
                  <c:v>1.1275773195876285E-4</c:v>
                </c:pt>
                <c:pt idx="50">
                  <c:v>1.3116715758468333E-4</c:v>
                </c:pt>
                <c:pt idx="51">
                  <c:v>8.2842415316642098E-5</c:v>
                </c:pt>
                <c:pt idx="52">
                  <c:v>7.8240058910161982E-5</c:v>
                </c:pt>
                <c:pt idx="53">
                  <c:v>5.9830633284241522E-5</c:v>
                </c:pt>
                <c:pt idx="54">
                  <c:v>4.8324742268041228E-5</c:v>
                </c:pt>
                <c:pt idx="55">
                  <c:v>4.6023564064801164E-5</c:v>
                </c:pt>
                <c:pt idx="56">
                  <c:v>4.1421207658321049E-5</c:v>
                </c:pt>
                <c:pt idx="57">
                  <c:v>2.7614138438880704E-5</c:v>
                </c:pt>
                <c:pt idx="58">
                  <c:v>2.0710603829160524E-5</c:v>
                </c:pt>
                <c:pt idx="59">
                  <c:v>2.0710603829160524E-5</c:v>
                </c:pt>
                <c:pt idx="60">
                  <c:v>2.5312960235640643E-5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2.1258455762017171E-2</c:v>
                </c:pt>
                <c:pt idx="1">
                  <c:v>7.6706560938056681E-2</c:v>
                </c:pt>
                <c:pt idx="2">
                  <c:v>0.12294622563365992</c:v>
                </c:pt>
                <c:pt idx="3">
                  <c:v>0.16645783588500965</c:v>
                </c:pt>
                <c:pt idx="4">
                  <c:v>9.7969048865648237E-2</c:v>
                </c:pt>
                <c:pt idx="5">
                  <c:v>3.8113737804182847E-2</c:v>
                </c:pt>
                <c:pt idx="6">
                  <c:v>4.9434611443857628E-2</c:v>
                </c:pt>
                <c:pt idx="7">
                  <c:v>7.0211689319673615E-2</c:v>
                </c:pt>
                <c:pt idx="8">
                  <c:v>1.7291656286819595E-2</c:v>
                </c:pt>
                <c:pt idx="9">
                  <c:v>4.0270594500327474E-2</c:v>
                </c:pt>
                <c:pt idx="10">
                  <c:v>2.1505853945165621E-2</c:v>
                </c:pt>
                <c:pt idx="11">
                  <c:v>3.5206702673726317E-2</c:v>
                </c:pt>
                <c:pt idx="12">
                  <c:v>3.4063129169772659E-2</c:v>
                </c:pt>
                <c:pt idx="13">
                  <c:v>2.5786446671628199E-2</c:v>
                </c:pt>
                <c:pt idx="14">
                  <c:v>1.3945111995812425E-2</c:v>
                </c:pt>
                <c:pt idx="15">
                  <c:v>1.3454849245484811E-2</c:v>
                </c:pt>
                <c:pt idx="16">
                  <c:v>1.8033009774154344E-2</c:v>
                </c:pt>
                <c:pt idx="17">
                  <c:v>1.5512452482178397E-2</c:v>
                </c:pt>
                <c:pt idx="18">
                  <c:v>1.5777941840091535E-2</c:v>
                </c:pt>
                <c:pt idx="19">
                  <c:v>4.6577907333100682E-3</c:v>
                </c:pt>
                <c:pt idx="20">
                  <c:v>3.216096458947321E-3</c:v>
                </c:pt>
                <c:pt idx="21">
                  <c:v>1.5055423917319503E-2</c:v>
                </c:pt>
                <c:pt idx="22">
                  <c:v>5.3310700328687106E-3</c:v>
                </c:pt>
                <c:pt idx="23">
                  <c:v>3.3133756252048236E-3</c:v>
                </c:pt>
                <c:pt idx="24">
                  <c:v>1.0503923874153109E-2</c:v>
                </c:pt>
                <c:pt idx="25">
                  <c:v>2.6538787988879976E-3</c:v>
                </c:pt>
                <c:pt idx="26">
                  <c:v>0</c:v>
                </c:pt>
                <c:pt idx="27">
                  <c:v>2.593864922143503E-3</c:v>
                </c:pt>
                <c:pt idx="28">
                  <c:v>1.3157343028796993E-2</c:v>
                </c:pt>
                <c:pt idx="29">
                  <c:v>7.7710145525213704E-3</c:v>
                </c:pt>
                <c:pt idx="30">
                  <c:v>1.4029260430689886E-3</c:v>
                </c:pt>
                <c:pt idx="31">
                  <c:v>3.2170098263751379E-3</c:v>
                </c:pt>
                <c:pt idx="32">
                  <c:v>0</c:v>
                </c:pt>
                <c:pt idx="33">
                  <c:v>1.5041816041924392E-2</c:v>
                </c:pt>
                <c:pt idx="34">
                  <c:v>0</c:v>
                </c:pt>
                <c:pt idx="35">
                  <c:v>6.5031843359975002E-3</c:v>
                </c:pt>
                <c:pt idx="36">
                  <c:v>1.2120260588394456E-3</c:v>
                </c:pt>
                <c:pt idx="37">
                  <c:v>3.8490389986069224E-3</c:v>
                </c:pt>
                <c:pt idx="38">
                  <c:v>9.6373288912344395E-4</c:v>
                </c:pt>
                <c:pt idx="39">
                  <c:v>0</c:v>
                </c:pt>
                <c:pt idx="40">
                  <c:v>0</c:v>
                </c:pt>
                <c:pt idx="41">
                  <c:v>3.2294027682023299E-4</c:v>
                </c:pt>
                <c:pt idx="42">
                  <c:v>1.2444693291652532E-3</c:v>
                </c:pt>
                <c:pt idx="43">
                  <c:v>0</c:v>
                </c:pt>
                <c:pt idx="44">
                  <c:v>2.4053774883717053E-4</c:v>
                </c:pt>
                <c:pt idx="45">
                  <c:v>2.144167849867503E-3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1.4397135758905206E-3</c:v>
                </c:pt>
                <c:pt idx="58">
                  <c:v>2.1874084406314567E-4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1.1349410898379986E-2</c:v>
                </c:pt>
                <c:pt idx="1">
                  <c:v>6.4971465390279898E-2</c:v>
                </c:pt>
                <c:pt idx="2">
                  <c:v>0.10635585419734918</c:v>
                </c:pt>
                <c:pt idx="3">
                  <c:v>0.11321796759941105</c:v>
                </c:pt>
                <c:pt idx="4">
                  <c:v>9.5586340206185685E-2</c:v>
                </c:pt>
                <c:pt idx="5">
                  <c:v>7.691227908689259E-2</c:v>
                </c:pt>
                <c:pt idx="6">
                  <c:v>6.1116991899852806E-2</c:v>
                </c:pt>
                <c:pt idx="7">
                  <c:v>4.7475607511045716E-2</c:v>
                </c:pt>
                <c:pt idx="8">
                  <c:v>3.6756719440353511E-2</c:v>
                </c:pt>
                <c:pt idx="9">
                  <c:v>3.1806885125184134E-2</c:v>
                </c:pt>
                <c:pt idx="10">
                  <c:v>2.7699282032400623E-2</c:v>
                </c:pt>
                <c:pt idx="11">
                  <c:v>2.5230117820324038E-2</c:v>
                </c:pt>
                <c:pt idx="12">
                  <c:v>2.3628497790868955E-2</c:v>
                </c:pt>
                <c:pt idx="13">
                  <c:v>2.2926638438880736E-2</c:v>
                </c:pt>
                <c:pt idx="14">
                  <c:v>2.186119293078059E-2</c:v>
                </c:pt>
                <c:pt idx="15">
                  <c:v>2.0176730486008862E-2</c:v>
                </c:pt>
                <c:pt idx="16">
                  <c:v>1.6653626656848327E-2</c:v>
                </c:pt>
                <c:pt idx="17">
                  <c:v>1.558818114874818E-2</c:v>
                </c:pt>
                <c:pt idx="18">
                  <c:v>1.3160438144329914E-2</c:v>
                </c:pt>
                <c:pt idx="19">
                  <c:v>1.1660069955817394E-2</c:v>
                </c:pt>
                <c:pt idx="20">
                  <c:v>1.1441458026509588E-2</c:v>
                </c:pt>
                <c:pt idx="21">
                  <c:v>1.0601527982326966E-2</c:v>
                </c:pt>
                <c:pt idx="22">
                  <c:v>1.0012426362297509E-2</c:v>
                </c:pt>
                <c:pt idx="23">
                  <c:v>9.7869108983799843E-3</c:v>
                </c:pt>
                <c:pt idx="24">
                  <c:v>9.9825110456553904E-3</c:v>
                </c:pt>
                <c:pt idx="25">
                  <c:v>8.781296023564077E-3</c:v>
                </c:pt>
                <c:pt idx="26">
                  <c:v>8.2290132547864631E-3</c:v>
                </c:pt>
                <c:pt idx="27">
                  <c:v>7.04390648011783E-3</c:v>
                </c:pt>
                <c:pt idx="28">
                  <c:v>6.4893225331369752E-3</c:v>
                </c:pt>
                <c:pt idx="29">
                  <c:v>6.0313880706922025E-3</c:v>
                </c:pt>
                <c:pt idx="30">
                  <c:v>5.7391384388807152E-3</c:v>
                </c:pt>
                <c:pt idx="31">
                  <c:v>5.4192746686303464E-3</c:v>
                </c:pt>
                <c:pt idx="32">
                  <c:v>4.9567378497790936E-3</c:v>
                </c:pt>
                <c:pt idx="33">
                  <c:v>4.8992083946980923E-3</c:v>
                </c:pt>
                <c:pt idx="34">
                  <c:v>4.7381259204712879E-3</c:v>
                </c:pt>
                <c:pt idx="35">
                  <c:v>4.1122054491899906E-3</c:v>
                </c:pt>
                <c:pt idx="36">
                  <c:v>3.3298048600883699E-3</c:v>
                </c:pt>
                <c:pt idx="37">
                  <c:v>3.2768777614138483E-3</c:v>
                </c:pt>
                <c:pt idx="38">
                  <c:v>3.0651693667157628E-3</c:v>
                </c:pt>
                <c:pt idx="39">
                  <c:v>3.0214469808542018E-3</c:v>
                </c:pt>
                <c:pt idx="40">
                  <c:v>2.3541053019145836E-3</c:v>
                </c:pt>
                <c:pt idx="41">
                  <c:v>2.3356958762886632E-3</c:v>
                </c:pt>
                <c:pt idx="42">
                  <c:v>1.9537002945508126E-3</c:v>
                </c:pt>
                <c:pt idx="43">
                  <c:v>1.7742083946980878E-3</c:v>
                </c:pt>
                <c:pt idx="44">
                  <c:v>1.5095729013254807E-3</c:v>
                </c:pt>
                <c:pt idx="45">
                  <c:v>1.3415868924889563E-3</c:v>
                </c:pt>
                <c:pt idx="46">
                  <c:v>1.2334315169366735E-3</c:v>
                </c:pt>
                <c:pt idx="47">
                  <c:v>1.1114690721649501E-3</c:v>
                </c:pt>
                <c:pt idx="48">
                  <c:v>1.0240243004418276E-3</c:v>
                </c:pt>
                <c:pt idx="49">
                  <c:v>9.1126656848306464E-4</c:v>
                </c:pt>
                <c:pt idx="50">
                  <c:v>8.5373711340206305E-4</c:v>
                </c:pt>
                <c:pt idx="51">
                  <c:v>7.7319587628866084E-4</c:v>
                </c:pt>
                <c:pt idx="52">
                  <c:v>6.3052282768777705E-4</c:v>
                </c:pt>
                <c:pt idx="53">
                  <c:v>5.3157216494845432E-4</c:v>
                </c:pt>
                <c:pt idx="54">
                  <c:v>5.9830633284241623E-4</c:v>
                </c:pt>
                <c:pt idx="55">
                  <c:v>4.8784977908689314E-4</c:v>
                </c:pt>
                <c:pt idx="56">
                  <c:v>4.257179675994115E-4</c:v>
                </c:pt>
                <c:pt idx="57">
                  <c:v>3.7739322533137016E-4</c:v>
                </c:pt>
                <c:pt idx="58">
                  <c:v>3.8659793814433042E-4</c:v>
                </c:pt>
                <c:pt idx="59">
                  <c:v>3.4287555228276924E-4</c:v>
                </c:pt>
                <c:pt idx="60">
                  <c:v>3.0605670103092827E-4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0.37917483693233939</c:v>
                </c:pt>
                <c:pt idx="1">
                  <c:v>0.22901998813179014</c:v>
                </c:pt>
                <c:pt idx="2">
                  <c:v>0.12029730347584695</c:v>
                </c:pt>
                <c:pt idx="3">
                  <c:v>0.15605761541964994</c:v>
                </c:pt>
                <c:pt idx="4">
                  <c:v>1.5254611294570727E-2</c:v>
                </c:pt>
                <c:pt idx="5">
                  <c:v>5.0586667969220447E-3</c:v>
                </c:pt>
                <c:pt idx="6">
                  <c:v>8.5842623309818076E-4</c:v>
                </c:pt>
                <c:pt idx="7">
                  <c:v>1.0899541124488672E-3</c:v>
                </c:pt>
                <c:pt idx="8">
                  <c:v>5.721408103385779E-3</c:v>
                </c:pt>
                <c:pt idx="9">
                  <c:v>0</c:v>
                </c:pt>
                <c:pt idx="10">
                  <c:v>1.2408419100549411E-2</c:v>
                </c:pt>
                <c:pt idx="11">
                  <c:v>2.829061680518059E-2</c:v>
                </c:pt>
                <c:pt idx="12">
                  <c:v>9.9451668665399996E-3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4.9242363498020521E-3</c:v>
                </c:pt>
                <c:pt idx="19">
                  <c:v>9.8619142602668509E-3</c:v>
                </c:pt>
                <c:pt idx="20">
                  <c:v>0</c:v>
                </c:pt>
                <c:pt idx="21">
                  <c:v>0</c:v>
                </c:pt>
                <c:pt idx="22">
                  <c:v>3.9863996313265369E-3</c:v>
                </c:pt>
                <c:pt idx="23">
                  <c:v>1.5808453125608888E-2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2.2419833606735287E-3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0.36729342055087871</c:v>
                </c:pt>
                <c:pt idx="1">
                  <c:v>0.27818485817371136</c:v>
                </c:pt>
                <c:pt idx="2">
                  <c:v>0.12414126895661604</c:v>
                </c:pt>
                <c:pt idx="3">
                  <c:v>6.4360095039746518E-2</c:v>
                </c:pt>
                <c:pt idx="4">
                  <c:v>2.853832389780292E-2</c:v>
                </c:pt>
                <c:pt idx="5">
                  <c:v>1.4555161186236829E-2</c:v>
                </c:pt>
                <c:pt idx="6">
                  <c:v>1.0645038279897915E-2</c:v>
                </c:pt>
                <c:pt idx="7">
                  <c:v>1.2636766301956523E-2</c:v>
                </c:pt>
                <c:pt idx="8">
                  <c:v>1.1847701739462022E-2</c:v>
                </c:pt>
                <c:pt idx="9">
                  <c:v>1.0762371300343193E-2</c:v>
                </c:pt>
                <c:pt idx="10">
                  <c:v>8.9437094834413731E-3</c:v>
                </c:pt>
                <c:pt idx="11">
                  <c:v>7.9053122525006552E-3</c:v>
                </c:pt>
                <c:pt idx="12">
                  <c:v>6.3975829397788248E-3</c:v>
                </c:pt>
                <c:pt idx="13">
                  <c:v>5.1186530169252857E-3</c:v>
                </c:pt>
                <c:pt idx="14">
                  <c:v>4.0509225308732492E-3</c:v>
                </c:pt>
                <c:pt idx="15">
                  <c:v>4.2005221319409798E-3</c:v>
                </c:pt>
                <c:pt idx="16">
                  <c:v>4.0949224135402289E-3</c:v>
                </c:pt>
                <c:pt idx="17">
                  <c:v>4.1741222023407914E-3</c:v>
                </c:pt>
                <c:pt idx="18">
                  <c:v>2.7837259100642387E-3</c:v>
                </c:pt>
                <c:pt idx="19">
                  <c:v>3.4671907541579871E-3</c:v>
                </c:pt>
                <c:pt idx="20">
                  <c:v>3.5581238450030782E-3</c:v>
                </c:pt>
                <c:pt idx="21">
                  <c:v>2.8423924202868778E-3</c:v>
                </c:pt>
                <c:pt idx="22">
                  <c:v>1.8567950485465364E-3</c:v>
                </c:pt>
                <c:pt idx="23">
                  <c:v>1.7071954474788059E-3</c:v>
                </c:pt>
                <c:pt idx="24">
                  <c:v>2.1765275292599208E-3</c:v>
                </c:pt>
                <c:pt idx="25">
                  <c:v>1.69839547094541E-3</c:v>
                </c:pt>
                <c:pt idx="26">
                  <c:v>1.3669296881874975E-3</c:v>
                </c:pt>
                <c:pt idx="27">
                  <c:v>1.1645302279193917E-3</c:v>
                </c:pt>
                <c:pt idx="28">
                  <c:v>1.0325305799184529E-3</c:v>
                </c:pt>
                <c:pt idx="29">
                  <c:v>9.1813088498430629E-4</c:v>
                </c:pt>
                <c:pt idx="30">
                  <c:v>8.2133114311695125E-4</c:v>
                </c:pt>
                <c:pt idx="31">
                  <c:v>7.6266463289431197E-4</c:v>
                </c:pt>
                <c:pt idx="32">
                  <c:v>5.8373177671526186E-4</c:v>
                </c:pt>
                <c:pt idx="33">
                  <c:v>5.6906514915960199E-4</c:v>
                </c:pt>
                <c:pt idx="34">
                  <c:v>4.4586547769205924E-4</c:v>
                </c:pt>
                <c:pt idx="35">
                  <c:v>3.8426564195828791E-4</c:v>
                </c:pt>
                <c:pt idx="36">
                  <c:v>4.810653838256429E-4</c:v>
                </c:pt>
                <c:pt idx="37">
                  <c:v>5.279985920037544E-4</c:v>
                </c:pt>
                <c:pt idx="38">
                  <c:v>3.6373236338036412E-4</c:v>
                </c:pt>
                <c:pt idx="39">
                  <c:v>3.4613241031357232E-4</c:v>
                </c:pt>
                <c:pt idx="40">
                  <c:v>2.8159924906866901E-4</c:v>
                </c:pt>
                <c:pt idx="41">
                  <c:v>2.7279927253527311E-4</c:v>
                </c:pt>
                <c:pt idx="42">
                  <c:v>2.5813264497961323E-4</c:v>
                </c:pt>
                <c:pt idx="43">
                  <c:v>1.7599953066791814E-4</c:v>
                </c:pt>
                <c:pt idx="44">
                  <c:v>2.2293273884602962E-4</c:v>
                </c:pt>
                <c:pt idx="45">
                  <c:v>1.9946613475697389E-4</c:v>
                </c:pt>
                <c:pt idx="46">
                  <c:v>1.9653280924584194E-4</c:v>
                </c:pt>
                <c:pt idx="47">
                  <c:v>1.5546625208999435E-4</c:v>
                </c:pt>
                <c:pt idx="48">
                  <c:v>1.0266639288961891E-4</c:v>
                </c:pt>
                <c:pt idx="49">
                  <c:v>7.9199788800563169E-5</c:v>
                </c:pt>
                <c:pt idx="50">
                  <c:v>7.6266463289431197E-5</c:v>
                </c:pt>
                <c:pt idx="51">
                  <c:v>9.6799741867354975E-5</c:v>
                </c:pt>
                <c:pt idx="52">
                  <c:v>3.8133231644715598E-5</c:v>
                </c:pt>
                <c:pt idx="53">
                  <c:v>1.7599953066791813E-5</c:v>
                </c:pt>
                <c:pt idx="54">
                  <c:v>1.4666627555659844E-5</c:v>
                </c:pt>
                <c:pt idx="55">
                  <c:v>1.7599953066791813E-5</c:v>
                </c:pt>
                <c:pt idx="56">
                  <c:v>1.4666627555659844E-5</c:v>
                </c:pt>
                <c:pt idx="57">
                  <c:v>2.3466604089055751E-5</c:v>
                </c:pt>
                <c:pt idx="58">
                  <c:v>1.7599953066791813E-5</c:v>
                </c:pt>
                <c:pt idx="59">
                  <c:v>1.1733302044527875E-5</c:v>
                </c:pt>
                <c:pt idx="60">
                  <c:v>5.8666510222639377E-6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0.1066084205639863</c:v>
                </c:pt>
                <c:pt idx="1">
                  <c:v>0.12286225851907043</c:v>
                </c:pt>
                <c:pt idx="2">
                  <c:v>0.2391433056354611</c:v>
                </c:pt>
                <c:pt idx="3">
                  <c:v>0.13321131711752293</c:v>
                </c:pt>
                <c:pt idx="4">
                  <c:v>5.3057754688895682E-2</c:v>
                </c:pt>
                <c:pt idx="5">
                  <c:v>0.11103639085917071</c:v>
                </c:pt>
                <c:pt idx="6">
                  <c:v>9.297296920541849E-2</c:v>
                </c:pt>
                <c:pt idx="7">
                  <c:v>3.5092719154365945E-2</c:v>
                </c:pt>
                <c:pt idx="8">
                  <c:v>1.087788630722801E-2</c:v>
                </c:pt>
                <c:pt idx="9">
                  <c:v>0</c:v>
                </c:pt>
                <c:pt idx="10">
                  <c:v>8.5842623309818108E-4</c:v>
                </c:pt>
                <c:pt idx="11">
                  <c:v>1.0899541124488677E-3</c:v>
                </c:pt>
                <c:pt idx="12">
                  <c:v>0</c:v>
                </c:pt>
                <c:pt idx="13">
                  <c:v>0</c:v>
                </c:pt>
                <c:pt idx="14">
                  <c:v>1.1201185582645757E-2</c:v>
                </c:pt>
                <c:pt idx="15">
                  <c:v>7.9189565504763741E-3</c:v>
                </c:pt>
                <c:pt idx="16">
                  <c:v>0</c:v>
                </c:pt>
                <c:pt idx="17">
                  <c:v>0</c:v>
                </c:pt>
                <c:pt idx="18">
                  <c:v>8.9548519373530665E-3</c:v>
                </c:pt>
                <c:pt idx="19">
                  <c:v>2.82906168051806E-2</c:v>
                </c:pt>
                <c:pt idx="20">
                  <c:v>0</c:v>
                </c:pt>
                <c:pt idx="21">
                  <c:v>0</c:v>
                </c:pt>
                <c:pt idx="22">
                  <c:v>4.9242363498020539E-3</c:v>
                </c:pt>
                <c:pt idx="23">
                  <c:v>0</c:v>
                </c:pt>
                <c:pt idx="24">
                  <c:v>3.9036953675442919E-3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5.9582188927225629E-3</c:v>
                </c:pt>
                <c:pt idx="31">
                  <c:v>1.5808453125608891E-2</c:v>
                </c:pt>
                <c:pt idx="32">
                  <c:v>0</c:v>
                </c:pt>
                <c:pt idx="33">
                  <c:v>0</c:v>
                </c:pt>
                <c:pt idx="34">
                  <c:v>3.9863996313265386E-3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2.2419833606735291E-3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3.4935906837581772E-3</c:v>
                </c:pt>
                <c:pt idx="1">
                  <c:v>0.11414156228916725</c:v>
                </c:pt>
                <c:pt idx="2">
                  <c:v>0.19093602417060224</c:v>
                </c:pt>
                <c:pt idx="3">
                  <c:v>0.15174679534187913</c:v>
                </c:pt>
                <c:pt idx="4">
                  <c:v>9.7163474230735389E-2</c:v>
                </c:pt>
                <c:pt idx="5">
                  <c:v>6.9997946672142222E-2</c:v>
                </c:pt>
                <c:pt idx="6">
                  <c:v>5.0752397993605362E-2</c:v>
                </c:pt>
                <c:pt idx="7">
                  <c:v>3.3199378134991644E-2</c:v>
                </c:pt>
                <c:pt idx="8">
                  <c:v>2.3850869731014052E-2</c:v>
                </c:pt>
                <c:pt idx="9">
                  <c:v>1.8591417089554429E-2</c:v>
                </c:pt>
                <c:pt idx="10">
                  <c:v>1.695168812883166E-2</c:v>
                </c:pt>
                <c:pt idx="11">
                  <c:v>1.5341292423220208E-2</c:v>
                </c:pt>
                <c:pt idx="12">
                  <c:v>1.5097826405796254E-2</c:v>
                </c:pt>
                <c:pt idx="13">
                  <c:v>1.5420492212020772E-2</c:v>
                </c:pt>
                <c:pt idx="14">
                  <c:v>1.4314628494324019E-2</c:v>
                </c:pt>
                <c:pt idx="15">
                  <c:v>1.3396497609339711E-2</c:v>
                </c:pt>
                <c:pt idx="16">
                  <c:v>1.2264233962042769E-2</c:v>
                </c:pt>
                <c:pt idx="17">
                  <c:v>1.0906104250388668E-2</c:v>
                </c:pt>
                <c:pt idx="18">
                  <c:v>8.7325100466398783E-3</c:v>
                </c:pt>
                <c:pt idx="19">
                  <c:v>7.9962453433457537E-3</c:v>
                </c:pt>
                <c:pt idx="20">
                  <c:v>7.8261124637000988E-3</c:v>
                </c:pt>
                <c:pt idx="21">
                  <c:v>6.9461148103605076E-3</c:v>
                </c:pt>
                <c:pt idx="22">
                  <c:v>6.2303833856443072E-3</c:v>
                </c:pt>
                <c:pt idx="23">
                  <c:v>6.4357161714235448E-3</c:v>
                </c:pt>
                <c:pt idx="24">
                  <c:v>5.9986506702648813E-3</c:v>
                </c:pt>
                <c:pt idx="25">
                  <c:v>5.687718166084892E-3</c:v>
                </c:pt>
                <c:pt idx="26">
                  <c:v>5.6143850283065936E-3</c:v>
                </c:pt>
                <c:pt idx="27">
                  <c:v>4.5173212871432358E-3</c:v>
                </c:pt>
                <c:pt idx="28">
                  <c:v>4.2445220146079621E-3</c:v>
                </c:pt>
                <c:pt idx="29">
                  <c:v>4.9514534627907673E-3</c:v>
                </c:pt>
                <c:pt idx="30">
                  <c:v>4.7930538851896414E-3</c:v>
                </c:pt>
                <c:pt idx="31">
                  <c:v>3.6490569358481719E-3</c:v>
                </c:pt>
                <c:pt idx="32">
                  <c:v>3.5522571939808172E-3</c:v>
                </c:pt>
                <c:pt idx="33">
                  <c:v>3.1767915285559247E-3</c:v>
                </c:pt>
                <c:pt idx="34">
                  <c:v>2.9714587427766867E-3</c:v>
                </c:pt>
                <c:pt idx="35">
                  <c:v>2.46986008037312E-3</c:v>
                </c:pt>
                <c:pt idx="36">
                  <c:v>2.5871931008183986E-3</c:v>
                </c:pt>
                <c:pt idx="37">
                  <c:v>2.4962600099733075E-3</c:v>
                </c:pt>
                <c:pt idx="38">
                  <c:v>2.4287935232172723E-3</c:v>
                </c:pt>
                <c:pt idx="39">
                  <c:v>1.9975946730808724E-3</c:v>
                </c:pt>
                <c:pt idx="40">
                  <c:v>1.8039951893461623E-3</c:v>
                </c:pt>
                <c:pt idx="41">
                  <c:v>1.7365287025901269E-3</c:v>
                </c:pt>
                <c:pt idx="42">
                  <c:v>1.3815963157431583E-3</c:v>
                </c:pt>
                <c:pt idx="43">
                  <c:v>1.5663958229444727E-3</c:v>
                </c:pt>
                <c:pt idx="44">
                  <c:v>1.3463964096095747E-3</c:v>
                </c:pt>
                <c:pt idx="45">
                  <c:v>1.1498636003637326E-3</c:v>
                </c:pt>
                <c:pt idx="46">
                  <c:v>1.3317297820539149E-3</c:v>
                </c:pt>
                <c:pt idx="47">
                  <c:v>1.0677304860520374E-3</c:v>
                </c:pt>
                <c:pt idx="48">
                  <c:v>1.0501305329852458E-3</c:v>
                </c:pt>
                <c:pt idx="49">
                  <c:v>8.7706432782845936E-4</c:v>
                </c:pt>
                <c:pt idx="50">
                  <c:v>9.4453081458449476E-4</c:v>
                </c:pt>
                <c:pt idx="51">
                  <c:v>8.7413100231732742E-4</c:v>
                </c:pt>
                <c:pt idx="52">
                  <c:v>7.9786453902789612E-4</c:v>
                </c:pt>
                <c:pt idx="53">
                  <c:v>7.8319791147223635E-4</c:v>
                </c:pt>
                <c:pt idx="54">
                  <c:v>7.7146460942770841E-4</c:v>
                </c:pt>
                <c:pt idx="55">
                  <c:v>7.6559795840544444E-4</c:v>
                </c:pt>
                <c:pt idx="56">
                  <c:v>7.0986477369393709E-4</c:v>
                </c:pt>
                <c:pt idx="57">
                  <c:v>5.2799859200375473E-4</c:v>
                </c:pt>
                <c:pt idx="58">
                  <c:v>6.1013170631545001E-4</c:v>
                </c:pt>
                <c:pt idx="59">
                  <c:v>4.8399870933677521E-4</c:v>
                </c:pt>
                <c:pt idx="60">
                  <c:v>3.9893226951394806E-4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0.15624708539275392</c:v>
                </c:pt>
                <c:pt idx="1">
                  <c:v>0.40503110730156033</c:v>
                </c:pt>
                <c:pt idx="2">
                  <c:v>0.1980236517013465</c:v>
                </c:pt>
                <c:pt idx="3">
                  <c:v>0.12071804092765123</c:v>
                </c:pt>
                <c:pt idx="4">
                  <c:v>1.2402943109940468E-2</c:v>
                </c:pt>
                <c:pt idx="5">
                  <c:v>2.019909135316475E-2</c:v>
                </c:pt>
                <c:pt idx="6">
                  <c:v>1.0331540314808478E-3</c:v>
                </c:pt>
                <c:pt idx="7">
                  <c:v>2.7931425954338882E-2</c:v>
                </c:pt>
                <c:pt idx="8">
                  <c:v>3.985790373942746E-3</c:v>
                </c:pt>
                <c:pt idx="9">
                  <c:v>6.3331157397581066E-3</c:v>
                </c:pt>
                <c:pt idx="10">
                  <c:v>1.4369051698757858E-2</c:v>
                </c:pt>
                <c:pt idx="11">
                  <c:v>0</c:v>
                </c:pt>
                <c:pt idx="12">
                  <c:v>5.7374347092260108E-4</c:v>
                </c:pt>
                <c:pt idx="13">
                  <c:v>8.9651987502656055E-3</c:v>
                </c:pt>
                <c:pt idx="14">
                  <c:v>4.4878353959381035E-4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1.5530192151024334E-3</c:v>
                </c:pt>
                <c:pt idx="19">
                  <c:v>1.4264813007305271E-3</c:v>
                </c:pt>
                <c:pt idx="20">
                  <c:v>0</c:v>
                </c:pt>
                <c:pt idx="21">
                  <c:v>5.1367338156869825E-3</c:v>
                </c:pt>
                <c:pt idx="22">
                  <c:v>0</c:v>
                </c:pt>
                <c:pt idx="23">
                  <c:v>0</c:v>
                </c:pt>
                <c:pt idx="24">
                  <c:v>1.1003761282536875E-2</c:v>
                </c:pt>
                <c:pt idx="25">
                  <c:v>0</c:v>
                </c:pt>
                <c:pt idx="26">
                  <c:v>0</c:v>
                </c:pt>
                <c:pt idx="27">
                  <c:v>5.1170358578758604E-4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3.0058763691411363E-3</c:v>
                </c:pt>
                <c:pt idx="32">
                  <c:v>0</c:v>
                </c:pt>
                <c:pt idx="33">
                  <c:v>1.1002410855368307E-3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0.32220029707371584</c:v>
                </c:pt>
                <c:pt idx="1">
                  <c:v>0.27408302885084534</c:v>
                </c:pt>
                <c:pt idx="2">
                  <c:v>0.13946382169794597</c:v>
                </c:pt>
                <c:pt idx="3">
                  <c:v>7.1198305740172441E-2</c:v>
                </c:pt>
                <c:pt idx="4">
                  <c:v>4.0527793739767719E-2</c:v>
                </c:pt>
                <c:pt idx="5">
                  <c:v>2.5968651856349285E-2</c:v>
                </c:pt>
                <c:pt idx="6">
                  <c:v>1.8794791452083289E-2</c:v>
                </c:pt>
                <c:pt idx="7">
                  <c:v>1.5679492878543092E-2</c:v>
                </c:pt>
                <c:pt idx="8">
                  <c:v>1.1308316979822828E-2</c:v>
                </c:pt>
                <c:pt idx="9">
                  <c:v>9.7271764625097915E-3</c:v>
                </c:pt>
                <c:pt idx="10">
                  <c:v>8.5616500240333262E-3</c:v>
                </c:pt>
                <c:pt idx="11">
                  <c:v>7.3455270890028434E-3</c:v>
                </c:pt>
                <c:pt idx="12">
                  <c:v>6.5142989313297052E-3</c:v>
                </c:pt>
                <c:pt idx="13">
                  <c:v>5.4716496987701375E-3</c:v>
                </c:pt>
                <c:pt idx="14">
                  <c:v>4.6386145233629269E-3</c:v>
                </c:pt>
                <c:pt idx="15">
                  <c:v>4.1543337706316207E-3</c:v>
                </c:pt>
                <c:pt idx="16">
                  <c:v>3.5706670425263514E-3</c:v>
                </c:pt>
                <c:pt idx="17">
                  <c:v>3.2417898149252398E-3</c:v>
                </c:pt>
                <c:pt idx="18">
                  <c:v>2.9111055695900567E-3</c:v>
                </c:pt>
                <c:pt idx="19">
                  <c:v>2.7358248493850688E-3</c:v>
                </c:pt>
                <c:pt idx="20">
                  <c:v>2.7014915124377002E-3</c:v>
                </c:pt>
                <c:pt idx="21">
                  <c:v>2.061807234576198E-3</c:v>
                </c:pt>
                <c:pt idx="22">
                  <c:v>1.9027896739778585E-3</c:v>
                </c:pt>
                <c:pt idx="23">
                  <c:v>1.8214738759446164E-3</c:v>
                </c:pt>
                <c:pt idx="24">
                  <c:v>1.7528072020498791E-3</c:v>
                </c:pt>
                <c:pt idx="25">
                  <c:v>1.4365790985872719E-3</c:v>
                </c:pt>
                <c:pt idx="26">
                  <c:v>1.25768434291414E-3</c:v>
                </c:pt>
                <c:pt idx="27">
                  <c:v>1.0571053744321435E-3</c:v>
                </c:pt>
                <c:pt idx="28">
                  <c:v>1.0552983566980716E-3</c:v>
                </c:pt>
                <c:pt idx="29">
                  <c:v>8.5833342368421908E-4</c:v>
                </c:pt>
                <c:pt idx="30">
                  <c:v>6.6859656160665488E-4</c:v>
                </c:pt>
                <c:pt idx="31">
                  <c:v>6.6498252613851074E-4</c:v>
                </c:pt>
                <c:pt idx="32">
                  <c:v>7.0835095175623974E-4</c:v>
                </c:pt>
                <c:pt idx="33">
                  <c:v>5.3126321381717981E-4</c:v>
                </c:pt>
                <c:pt idx="34">
                  <c:v>4.4994741578393806E-4</c:v>
                </c:pt>
                <c:pt idx="35">
                  <c:v>3.2526319213296726E-4</c:v>
                </c:pt>
                <c:pt idx="36">
                  <c:v>3.6501758228255218E-4</c:v>
                </c:pt>
                <c:pt idx="37">
                  <c:v>2.8008774878116624E-4</c:v>
                </c:pt>
                <c:pt idx="38">
                  <c:v>2.8731581971745441E-4</c:v>
                </c:pt>
                <c:pt idx="39">
                  <c:v>2.1503511035457279E-4</c:v>
                </c:pt>
                <c:pt idx="40">
                  <c:v>2.2226318129086095E-4</c:v>
                </c:pt>
                <c:pt idx="41">
                  <c:v>1.3914036552354711E-4</c:v>
                </c:pt>
                <c:pt idx="42">
                  <c:v>1.8070177340720405E-4</c:v>
                </c:pt>
                <c:pt idx="43">
                  <c:v>1.3191229458725894E-4</c:v>
                </c:pt>
                <c:pt idx="44">
                  <c:v>1.427544009916912E-4</c:v>
                </c:pt>
                <c:pt idx="45">
                  <c:v>1.3552633005540303E-4</c:v>
                </c:pt>
                <c:pt idx="46">
                  <c:v>1.3552633005540303E-4</c:v>
                </c:pt>
                <c:pt idx="47">
                  <c:v>8.8543868969529968E-5</c:v>
                </c:pt>
                <c:pt idx="48">
                  <c:v>8.4929833501385884E-5</c:v>
                </c:pt>
                <c:pt idx="49">
                  <c:v>4.6982461085873047E-5</c:v>
                </c:pt>
                <c:pt idx="50">
                  <c:v>3.4333336947368768E-5</c:v>
                </c:pt>
                <c:pt idx="51">
                  <c:v>3.0719301479224684E-5</c:v>
                </c:pt>
                <c:pt idx="52">
                  <c:v>2.5298248277008565E-5</c:v>
                </c:pt>
                <c:pt idx="53">
                  <c:v>1.9877195074792443E-5</c:v>
                </c:pt>
                <c:pt idx="54">
                  <c:v>1.2649124138504283E-5</c:v>
                </c:pt>
                <c:pt idx="55">
                  <c:v>1.0842106404432242E-5</c:v>
                </c:pt>
                <c:pt idx="56">
                  <c:v>7.2280709362881614E-6</c:v>
                </c:pt>
                <c:pt idx="57">
                  <c:v>3.6140354681440807E-6</c:v>
                </c:pt>
                <c:pt idx="58">
                  <c:v>1.0842106404432242E-5</c:v>
                </c:pt>
                <c:pt idx="59">
                  <c:v>5.4210532022161212E-6</c:v>
                </c:pt>
                <c:pt idx="60">
                  <c:v>9.0350886703602006E-6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4.9229886648089936E-2</c:v>
                </c:pt>
                <c:pt idx="1">
                  <c:v>4.4322088352582487E-2</c:v>
                </c:pt>
                <c:pt idx="2">
                  <c:v>0.27131854064093386</c:v>
                </c:pt>
                <c:pt idx="3">
                  <c:v>0.1947735313422464</c:v>
                </c:pt>
                <c:pt idx="4">
                  <c:v>0.14750001136196053</c:v>
                </c:pt>
                <c:pt idx="5">
                  <c:v>6.7592663519050245E-2</c:v>
                </c:pt>
                <c:pt idx="6">
                  <c:v>8.952281717609023E-2</c:v>
                </c:pt>
                <c:pt idx="7">
                  <c:v>3.470580261829679E-2</c:v>
                </c:pt>
                <c:pt idx="8">
                  <c:v>1.0880357753654455E-2</c:v>
                </c:pt>
                <c:pt idx="9">
                  <c:v>2.0723220989350153E-3</c:v>
                </c:pt>
                <c:pt idx="10">
                  <c:v>2.7869502991031735E-3</c:v>
                </c:pt>
                <c:pt idx="11">
                  <c:v>2.1326843680425298E-3</c:v>
                </c:pt>
                <c:pt idx="12">
                  <c:v>2.9055803648156023E-2</c:v>
                </c:pt>
                <c:pt idx="13">
                  <c:v>4.8450285820083212E-3</c:v>
                </c:pt>
                <c:pt idx="14">
                  <c:v>7.8859505692335952E-3</c:v>
                </c:pt>
                <c:pt idx="15">
                  <c:v>2.0261556848532886E-3</c:v>
                </c:pt>
                <c:pt idx="16">
                  <c:v>0</c:v>
                </c:pt>
                <c:pt idx="17">
                  <c:v>5.6238629214586883E-3</c:v>
                </c:pt>
                <c:pt idx="18">
                  <c:v>0</c:v>
                </c:pt>
                <c:pt idx="19">
                  <c:v>0</c:v>
                </c:pt>
                <c:pt idx="20">
                  <c:v>1.1716995452908572E-3</c:v>
                </c:pt>
                <c:pt idx="21">
                  <c:v>8.3672426758973489E-3</c:v>
                </c:pt>
                <c:pt idx="22">
                  <c:v>1.5530192151024334E-3</c:v>
                </c:pt>
                <c:pt idx="23">
                  <c:v>4.4878353959381035E-4</c:v>
                </c:pt>
                <c:pt idx="24">
                  <c:v>1.4264813007305271E-3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1.1003761282536875E-2</c:v>
                </c:pt>
                <c:pt idx="32">
                  <c:v>0</c:v>
                </c:pt>
                <c:pt idx="33">
                  <c:v>5.1367338156869825E-3</c:v>
                </c:pt>
                <c:pt idx="34">
                  <c:v>5.1170358578758604E-4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1.1002410855368307E-3</c:v>
                </c:pt>
                <c:pt idx="43">
                  <c:v>0</c:v>
                </c:pt>
                <c:pt idx="44">
                  <c:v>3.0058763691411363E-3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4.2022197405845341E-2</c:v>
                </c:pt>
                <c:pt idx="1">
                  <c:v>0.11373369618249435</c:v>
                </c:pt>
                <c:pt idx="2">
                  <c:v>0.18779973906663927</c:v>
                </c:pt>
                <c:pt idx="3">
                  <c:v>0.16651487717700461</c:v>
                </c:pt>
                <c:pt idx="4">
                  <c:v>0.1112291696030705</c:v>
                </c:pt>
                <c:pt idx="5">
                  <c:v>7.4586463991557619E-2</c:v>
                </c:pt>
                <c:pt idx="6">
                  <c:v>5.00977596594133E-2</c:v>
                </c:pt>
                <c:pt idx="7">
                  <c:v>3.7085424956360524E-2</c:v>
                </c:pt>
                <c:pt idx="8">
                  <c:v>2.6395108041590322E-2</c:v>
                </c:pt>
                <c:pt idx="9">
                  <c:v>2.0939721502426827E-2</c:v>
                </c:pt>
                <c:pt idx="10">
                  <c:v>1.736001937123011E-2</c:v>
                </c:pt>
                <c:pt idx="11">
                  <c:v>1.473080856815529E-2</c:v>
                </c:pt>
                <c:pt idx="12">
                  <c:v>1.3108106642958596E-2</c:v>
                </c:pt>
                <c:pt idx="13">
                  <c:v>1.1483597700027829E-2</c:v>
                </c:pt>
                <c:pt idx="14">
                  <c:v>1.0377702846775739E-2</c:v>
                </c:pt>
                <c:pt idx="15">
                  <c:v>8.652000910736939E-3</c:v>
                </c:pt>
                <c:pt idx="16">
                  <c:v>7.3003516456510518E-3</c:v>
                </c:pt>
                <c:pt idx="17">
                  <c:v>6.9172638860277779E-3</c:v>
                </c:pt>
                <c:pt idx="18">
                  <c:v>5.9432813273629483E-3</c:v>
                </c:pt>
                <c:pt idx="19">
                  <c:v>5.1608426485097534E-3</c:v>
                </c:pt>
                <c:pt idx="20">
                  <c:v>5.8818427244044982E-3</c:v>
                </c:pt>
                <c:pt idx="21">
                  <c:v>4.9006320948033798E-3</c:v>
                </c:pt>
                <c:pt idx="22">
                  <c:v>4.6566847007036534E-3</c:v>
                </c:pt>
                <c:pt idx="23">
                  <c:v>4.1832460543767781E-3</c:v>
                </c:pt>
                <c:pt idx="24">
                  <c:v>4.1073513095457523E-3</c:v>
                </c:pt>
                <c:pt idx="25">
                  <c:v>3.960982873085917E-3</c:v>
                </c:pt>
                <c:pt idx="26">
                  <c:v>3.5905442376011486E-3</c:v>
                </c:pt>
                <c:pt idx="27">
                  <c:v>2.9400178533352133E-3</c:v>
                </c:pt>
                <c:pt idx="28">
                  <c:v>2.5460879873075081E-3</c:v>
                </c:pt>
                <c:pt idx="29">
                  <c:v>2.728596778448784E-3</c:v>
                </c:pt>
                <c:pt idx="30">
                  <c:v>2.3111756818781424E-3</c:v>
                </c:pt>
                <c:pt idx="31">
                  <c:v>2.3581581429640156E-3</c:v>
                </c:pt>
                <c:pt idx="32">
                  <c:v>2.1864914582271715E-3</c:v>
                </c:pt>
                <c:pt idx="33">
                  <c:v>1.9262809045207975E-3</c:v>
                </c:pt>
                <c:pt idx="34">
                  <c:v>1.8287019468809069E-3</c:v>
                </c:pt>
                <c:pt idx="35">
                  <c:v>1.6317370138670543E-3</c:v>
                </c:pt>
                <c:pt idx="36">
                  <c:v>1.535965073961236E-3</c:v>
                </c:pt>
                <c:pt idx="37">
                  <c:v>1.35345628281996E-3</c:v>
                </c:pt>
                <c:pt idx="38">
                  <c:v>1.1601053852742513E-3</c:v>
                </c:pt>
                <c:pt idx="39">
                  <c:v>1.102280817783946E-3</c:v>
                </c:pt>
                <c:pt idx="40">
                  <c:v>1.0209650197507041E-3</c:v>
                </c:pt>
                <c:pt idx="41">
                  <c:v>9.5771939905818255E-4</c:v>
                </c:pt>
                <c:pt idx="42">
                  <c:v>8.4387728181164394E-4</c:v>
                </c:pt>
                <c:pt idx="43">
                  <c:v>7.8785973205541056E-4</c:v>
                </c:pt>
                <c:pt idx="44">
                  <c:v>5.6921058623269336E-4</c:v>
                </c:pt>
                <c:pt idx="45">
                  <c:v>5.565614620941891E-4</c:v>
                </c:pt>
                <c:pt idx="46">
                  <c:v>4.6982461085873109E-4</c:v>
                </c:pt>
                <c:pt idx="47">
                  <c:v>5.1319303647646009E-4</c:v>
                </c:pt>
                <c:pt idx="48">
                  <c:v>4.6440355765651494E-4</c:v>
                </c:pt>
                <c:pt idx="49">
                  <c:v>4.5356145125208269E-4</c:v>
                </c:pt>
                <c:pt idx="50">
                  <c:v>3.9212284829363327E-4</c:v>
                </c:pt>
                <c:pt idx="51">
                  <c:v>4.2464916750693002E-4</c:v>
                </c:pt>
                <c:pt idx="52">
                  <c:v>3.2164915666482355E-4</c:v>
                </c:pt>
                <c:pt idx="53">
                  <c:v>3.053859970581752E-4</c:v>
                </c:pt>
                <c:pt idx="54">
                  <c:v>3.0900003252631929E-4</c:v>
                </c:pt>
                <c:pt idx="55">
                  <c:v>2.8731581971745473E-4</c:v>
                </c:pt>
                <c:pt idx="56">
                  <c:v>2.0780703941828489E-4</c:v>
                </c:pt>
                <c:pt idx="57">
                  <c:v>2.4033335863158167E-4</c:v>
                </c:pt>
                <c:pt idx="58">
                  <c:v>2.0238598621606877E-4</c:v>
                </c:pt>
                <c:pt idx="59">
                  <c:v>1.7708773793906015E-4</c:v>
                </c:pt>
                <c:pt idx="60">
                  <c:v>1.4094738325761932E-4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0.17837248446089948</c:v>
                </c:pt>
                <c:pt idx="1">
                  <c:v>0.20187777985589014</c:v>
                </c:pt>
                <c:pt idx="2">
                  <c:v>0.2830288691250441</c:v>
                </c:pt>
                <c:pt idx="3">
                  <c:v>8.1646656573735987E-2</c:v>
                </c:pt>
                <c:pt idx="4">
                  <c:v>5.1758601748413541E-2</c:v>
                </c:pt>
                <c:pt idx="5">
                  <c:v>8.8084371920747959E-2</c:v>
                </c:pt>
                <c:pt idx="6">
                  <c:v>1.2414615238919697E-2</c:v>
                </c:pt>
                <c:pt idx="7">
                  <c:v>1.8005873163893894E-2</c:v>
                </c:pt>
                <c:pt idx="8">
                  <c:v>9.2756483874020679E-3</c:v>
                </c:pt>
                <c:pt idx="9">
                  <c:v>2.2349381984744293E-3</c:v>
                </c:pt>
                <c:pt idx="10">
                  <c:v>2.3825367961205088E-2</c:v>
                </c:pt>
                <c:pt idx="11">
                  <c:v>1.0575762138590381E-2</c:v>
                </c:pt>
                <c:pt idx="12">
                  <c:v>5.3624850303899177E-4</c:v>
                </c:pt>
                <c:pt idx="13">
                  <c:v>8.8175875986656004E-4</c:v>
                </c:pt>
                <c:pt idx="14">
                  <c:v>0</c:v>
                </c:pt>
                <c:pt idx="15">
                  <c:v>0</c:v>
                </c:pt>
                <c:pt idx="16">
                  <c:v>5.2871565745148813E-4</c:v>
                </c:pt>
                <c:pt idx="17">
                  <c:v>0</c:v>
                </c:pt>
                <c:pt idx="18">
                  <c:v>3.9453287021158547E-3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2.8316672894234576E-2</c:v>
                </c:pt>
                <c:pt idx="23">
                  <c:v>4.5575529847395333E-3</c:v>
                </c:pt>
                <c:pt idx="24">
                  <c:v>0</c:v>
                </c:pt>
                <c:pt idx="25">
                  <c:v>1.3275372533634662E-4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0.2837593360111661</c:v>
                </c:pt>
                <c:pt idx="1">
                  <c:v>0.24034435364437387</c:v>
                </c:pt>
                <c:pt idx="2">
                  <c:v>0.14411498343224255</c:v>
                </c:pt>
                <c:pt idx="3">
                  <c:v>7.5127054987907088E-2</c:v>
                </c:pt>
                <c:pt idx="4">
                  <c:v>4.203842014980233E-2</c:v>
                </c:pt>
                <c:pt idx="5">
                  <c:v>2.7880712147202644E-2</c:v>
                </c:pt>
                <c:pt idx="6">
                  <c:v>2.5157420330928951E-2</c:v>
                </c:pt>
                <c:pt idx="7">
                  <c:v>2.0948890333166402E-2</c:v>
                </c:pt>
                <c:pt idx="8">
                  <c:v>1.7185718699724038E-2</c:v>
                </c:pt>
                <c:pt idx="9">
                  <c:v>1.6056341029438391E-2</c:v>
                </c:pt>
                <c:pt idx="10">
                  <c:v>1.5137922584357045E-2</c:v>
                </c:pt>
                <c:pt idx="11">
                  <c:v>1.2175969826438085E-2</c:v>
                </c:pt>
                <c:pt idx="12">
                  <c:v>9.4207144911940457E-3</c:v>
                </c:pt>
                <c:pt idx="13">
                  <c:v>8.1272574235272763E-3</c:v>
                </c:pt>
                <c:pt idx="14">
                  <c:v>7.7969677275003422E-3</c:v>
                </c:pt>
                <c:pt idx="15">
                  <c:v>7.3899655859445707E-3</c:v>
                </c:pt>
                <c:pt idx="16">
                  <c:v>5.5637832021053282E-3</c:v>
                </c:pt>
                <c:pt idx="17">
                  <c:v>4.4812853596428587E-3</c:v>
                </c:pt>
                <c:pt idx="18">
                  <c:v>4.6666737696708796E-3</c:v>
                </c:pt>
                <c:pt idx="19">
                  <c:v>4.2490171217916591E-3</c:v>
                </c:pt>
                <c:pt idx="20">
                  <c:v>3.9613454510585228E-3</c:v>
                </c:pt>
                <c:pt idx="21">
                  <c:v>3.8292295726477499E-3</c:v>
                </c:pt>
                <c:pt idx="22">
                  <c:v>2.9470364490661312E-3</c:v>
                </c:pt>
                <c:pt idx="23">
                  <c:v>2.3546458974823391E-3</c:v>
                </c:pt>
                <c:pt idx="24">
                  <c:v>1.9625600647793975E-3</c:v>
                </c:pt>
                <c:pt idx="25">
                  <c:v>1.6365321712818429E-3</c:v>
                </c:pt>
                <c:pt idx="26">
                  <c:v>1.3467295992840166E-3</c:v>
                </c:pt>
                <c:pt idx="27">
                  <c:v>1.3019806727255286E-3</c:v>
                </c:pt>
                <c:pt idx="28">
                  <c:v>1.2188755234026224E-3</c:v>
                </c:pt>
                <c:pt idx="29">
                  <c:v>1.016439903257082E-3</c:v>
                </c:pt>
                <c:pt idx="30">
                  <c:v>7.9908797425871231E-4</c:v>
                </c:pt>
                <c:pt idx="31">
                  <c:v>8.566223084053397E-4</c:v>
                </c:pt>
                <c:pt idx="32">
                  <c:v>9.6103647037514472E-4</c:v>
                </c:pt>
                <c:pt idx="33">
                  <c:v>7.3516093631801531E-4</c:v>
                </c:pt>
                <c:pt idx="34">
                  <c:v>5.8812874905441229E-4</c:v>
                </c:pt>
                <c:pt idx="35">
                  <c:v>4.2191845040860009E-4</c:v>
                </c:pt>
                <c:pt idx="36">
                  <c:v>4.2831115420266985E-4</c:v>
                </c:pt>
                <c:pt idx="37">
                  <c:v>2.3866094164526875E-4</c:v>
                </c:pt>
                <c:pt idx="38">
                  <c:v>2.6210085555685765E-4</c:v>
                </c:pt>
                <c:pt idx="39">
                  <c:v>2.1309012646898997E-4</c:v>
                </c:pt>
                <c:pt idx="40">
                  <c:v>1.6834119991050207E-4</c:v>
                </c:pt>
                <c:pt idx="41">
                  <c:v>1.5768669358705257E-4</c:v>
                </c:pt>
                <c:pt idx="42">
                  <c:v>8.7366951852285878E-5</c:v>
                </c:pt>
                <c:pt idx="43">
                  <c:v>1.3211587841077376E-4</c:v>
                </c:pt>
                <c:pt idx="44">
                  <c:v>1.4490128599891315E-4</c:v>
                </c:pt>
                <c:pt idx="45">
                  <c:v>1.0867596449918486E-4</c:v>
                </c:pt>
                <c:pt idx="46">
                  <c:v>9.3759655646355575E-5</c:v>
                </c:pt>
                <c:pt idx="47">
                  <c:v>8.9497853116975772E-5</c:v>
                </c:pt>
                <c:pt idx="48">
                  <c:v>7.0319741734766681E-5</c:v>
                </c:pt>
                <c:pt idx="49">
                  <c:v>3.4094420235038393E-5</c:v>
                </c:pt>
                <c:pt idx="50">
                  <c:v>3.6225321499728288E-5</c:v>
                </c:pt>
                <c:pt idx="51">
                  <c:v>1.9178111382209095E-5</c:v>
                </c:pt>
                <c:pt idx="52">
                  <c:v>1.7047210117519197E-5</c:v>
                </c:pt>
                <c:pt idx="53">
                  <c:v>3.4094420235038393E-5</c:v>
                </c:pt>
                <c:pt idx="54">
                  <c:v>1.0654506323449498E-5</c:v>
                </c:pt>
                <c:pt idx="55">
                  <c:v>1.0654506323449498E-5</c:v>
                </c:pt>
                <c:pt idx="56">
                  <c:v>1.7047210117519197E-5</c:v>
                </c:pt>
                <c:pt idx="57">
                  <c:v>1.2785407588139397E-5</c:v>
                </c:pt>
                <c:pt idx="58">
                  <c:v>4.2618025293797992E-6</c:v>
                </c:pt>
                <c:pt idx="59">
                  <c:v>1.7047210117519197E-5</c:v>
                </c:pt>
                <c:pt idx="60">
                  <c:v>2.1309012646898996E-6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3.6107390107563579E-2</c:v>
                </c:pt>
                <c:pt idx="1">
                  <c:v>6.5237556273998951E-2</c:v>
                </c:pt>
                <c:pt idx="2">
                  <c:v>0.15351980297073864</c:v>
                </c:pt>
                <c:pt idx="3">
                  <c:v>0.12563201849356098</c:v>
                </c:pt>
                <c:pt idx="4">
                  <c:v>0.1303553273964291</c:v>
                </c:pt>
                <c:pt idx="5">
                  <c:v>0.17006180575357052</c:v>
                </c:pt>
                <c:pt idx="6">
                  <c:v>6.4011889019707779E-2</c:v>
                </c:pt>
                <c:pt idx="7">
                  <c:v>9.5592143333112486E-2</c:v>
                </c:pt>
                <c:pt idx="8">
                  <c:v>3.6173027012977595E-2</c:v>
                </c:pt>
                <c:pt idx="9">
                  <c:v>2.0083901256552017E-2</c:v>
                </c:pt>
                <c:pt idx="10">
                  <c:v>7.3016016970064877E-3</c:v>
                </c:pt>
                <c:pt idx="11">
                  <c:v>8.2374326955256139E-3</c:v>
                </c:pt>
                <c:pt idx="12">
                  <c:v>1.6642175312992268E-3</c:v>
                </c:pt>
                <c:pt idx="13">
                  <c:v>2.9109456958524921E-2</c:v>
                </c:pt>
                <c:pt idx="14">
                  <c:v>4.1806987927205629E-3</c:v>
                </c:pt>
                <c:pt idx="15">
                  <c:v>1.5358838308363707E-3</c:v>
                </c:pt>
                <c:pt idx="16">
                  <c:v>1.7210535105013601E-3</c:v>
                </c:pt>
                <c:pt idx="17">
                  <c:v>0</c:v>
                </c:pt>
                <c:pt idx="18">
                  <c:v>9.1000308615126347E-4</c:v>
                </c:pt>
                <c:pt idx="19">
                  <c:v>9.665759052439115E-3</c:v>
                </c:pt>
                <c:pt idx="20">
                  <c:v>1.0515980115307453E-3</c:v>
                </c:pt>
                <c:pt idx="21">
                  <c:v>3.6640925137480627E-4</c:v>
                </c:pt>
                <c:pt idx="22">
                  <c:v>3.9453287021158539E-3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5.2871565745148802E-4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4.5575529847395324E-3</c:v>
                </c:pt>
                <c:pt idx="31">
                  <c:v>0</c:v>
                </c:pt>
                <c:pt idx="32">
                  <c:v>0</c:v>
                </c:pt>
                <c:pt idx="33">
                  <c:v>2.8316672894234569E-2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1.3275372533634659E-4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3.6730345099459827E-2</c:v>
                </c:pt>
                <c:pt idx="1">
                  <c:v>0.10460381218236256</c:v>
                </c:pt>
                <c:pt idx="2">
                  <c:v>0.14951468723696693</c:v>
                </c:pt>
                <c:pt idx="3">
                  <c:v>0.14423644480433001</c:v>
                </c:pt>
                <c:pt idx="4">
                  <c:v>0.11135450738890018</c:v>
                </c:pt>
                <c:pt idx="5">
                  <c:v>7.6887179432541017E-2</c:v>
                </c:pt>
                <c:pt idx="6">
                  <c:v>5.4029001566212445E-2</c:v>
                </c:pt>
                <c:pt idx="7">
                  <c:v>3.6515124071726149E-2</c:v>
                </c:pt>
                <c:pt idx="8">
                  <c:v>2.8345248622905068E-2</c:v>
                </c:pt>
                <c:pt idx="9">
                  <c:v>2.3160765845914536E-2</c:v>
                </c:pt>
                <c:pt idx="10">
                  <c:v>1.9702313093322824E-2</c:v>
                </c:pt>
                <c:pt idx="11">
                  <c:v>1.8402463321861989E-2</c:v>
                </c:pt>
                <c:pt idx="12">
                  <c:v>1.8464259458537996E-2</c:v>
                </c:pt>
                <c:pt idx="13">
                  <c:v>1.659758995066964E-2</c:v>
                </c:pt>
                <c:pt idx="14">
                  <c:v>1.4530615723920438E-2</c:v>
                </c:pt>
                <c:pt idx="15">
                  <c:v>1.3222242347400836E-2</c:v>
                </c:pt>
                <c:pt idx="16">
                  <c:v>1.0343394738804782E-2</c:v>
                </c:pt>
                <c:pt idx="17">
                  <c:v>9.5890556911045564E-3</c:v>
                </c:pt>
                <c:pt idx="18">
                  <c:v>8.7920986181105332E-3</c:v>
                </c:pt>
                <c:pt idx="19">
                  <c:v>7.4773325377968649E-3</c:v>
                </c:pt>
                <c:pt idx="20">
                  <c:v>7.4815943403262431E-3</c:v>
                </c:pt>
                <c:pt idx="21">
                  <c:v>7.3899655859445777E-3</c:v>
                </c:pt>
                <c:pt idx="22">
                  <c:v>7.4155364011208574E-3</c:v>
                </c:pt>
                <c:pt idx="23">
                  <c:v>6.7847896267726462E-3</c:v>
                </c:pt>
                <c:pt idx="24">
                  <c:v>6.5589140927155166E-3</c:v>
                </c:pt>
                <c:pt idx="25">
                  <c:v>5.3847874958713807E-3</c:v>
                </c:pt>
                <c:pt idx="26">
                  <c:v>4.5793068178185984E-3</c:v>
                </c:pt>
                <c:pt idx="27">
                  <c:v>3.9464291422056973E-3</c:v>
                </c:pt>
                <c:pt idx="28">
                  <c:v>3.6885900891782193E-3</c:v>
                </c:pt>
                <c:pt idx="29">
                  <c:v>3.3902639121216331E-3</c:v>
                </c:pt>
                <c:pt idx="30">
                  <c:v>3.1239012540353957E-3</c:v>
                </c:pt>
                <c:pt idx="31">
                  <c:v>3.7759570410305053E-3</c:v>
                </c:pt>
                <c:pt idx="32">
                  <c:v>3.3305986767103164E-3</c:v>
                </c:pt>
                <c:pt idx="33">
                  <c:v>2.7382081251265235E-3</c:v>
                </c:pt>
                <c:pt idx="34">
                  <c:v>2.744600828920593E-3</c:v>
                </c:pt>
                <c:pt idx="35">
                  <c:v>2.3908712189820696E-3</c:v>
                </c:pt>
                <c:pt idx="36">
                  <c:v>1.905025730632772E-3</c:v>
                </c:pt>
                <c:pt idx="37">
                  <c:v>1.6706265915168827E-3</c:v>
                </c:pt>
                <c:pt idx="38">
                  <c:v>1.5235944042532796E-3</c:v>
                </c:pt>
                <c:pt idx="39">
                  <c:v>1.340336895489948E-3</c:v>
                </c:pt>
                <c:pt idx="40">
                  <c:v>1.3829549207837462E-3</c:v>
                </c:pt>
                <c:pt idx="41">
                  <c:v>1.167733893050066E-3</c:v>
                </c:pt>
                <c:pt idx="42">
                  <c:v>9.3120385266948701E-4</c:v>
                </c:pt>
                <c:pt idx="43">
                  <c:v>8.9497853116975873E-4</c:v>
                </c:pt>
                <c:pt idx="44">
                  <c:v>8.8432402484630917E-4</c:v>
                </c:pt>
                <c:pt idx="45">
                  <c:v>7.5646994896491507E-4</c:v>
                </c:pt>
                <c:pt idx="46">
                  <c:v>7.3303003505332609E-4</c:v>
                </c:pt>
                <c:pt idx="47">
                  <c:v>7.0106651608297754E-4</c:v>
                </c:pt>
                <c:pt idx="48">
                  <c:v>7.607317514942948E-4</c:v>
                </c:pt>
                <c:pt idx="49">
                  <c:v>7.3089913378863612E-4</c:v>
                </c:pt>
                <c:pt idx="50">
                  <c:v>6.2648497181883099E-4</c:v>
                </c:pt>
                <c:pt idx="51">
                  <c:v>5.3911801996654502E-4</c:v>
                </c:pt>
                <c:pt idx="52">
                  <c:v>4.3257295673204997E-4</c:v>
                </c:pt>
                <c:pt idx="53">
                  <c:v>3.6651501752666305E-4</c:v>
                </c:pt>
                <c:pt idx="54">
                  <c:v>4.1765664787922068E-4</c:v>
                </c:pt>
                <c:pt idx="55">
                  <c:v>3.3881330108569434E-4</c:v>
                </c:pt>
                <c:pt idx="56">
                  <c:v>3.302896960269347E-4</c:v>
                </c:pt>
                <c:pt idx="57">
                  <c:v>2.3866094164526897E-4</c:v>
                </c:pt>
                <c:pt idx="58">
                  <c:v>2.7701716440968721E-4</c:v>
                </c:pt>
                <c:pt idx="59">
                  <c:v>2.5144634923340836E-4</c:v>
                </c:pt>
                <c:pt idx="60">
                  <c:v>2.4292274417464876E-4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0.30506482257134149</c:v>
                </c:pt>
                <c:pt idx="1">
                  <c:v>0.23358115185859488</c:v>
                </c:pt>
                <c:pt idx="2">
                  <c:v>0.26268902006251099</c:v>
                </c:pt>
                <c:pt idx="3">
                  <c:v>5.3720089661332196E-2</c:v>
                </c:pt>
                <c:pt idx="4">
                  <c:v>2.7806630255805927E-2</c:v>
                </c:pt>
                <c:pt idx="5">
                  <c:v>2.4179472879530376E-2</c:v>
                </c:pt>
                <c:pt idx="6">
                  <c:v>1.0276753032834146E-2</c:v>
                </c:pt>
                <c:pt idx="7">
                  <c:v>1.1161441329280724E-2</c:v>
                </c:pt>
                <c:pt idx="8">
                  <c:v>7.1300695213160868E-3</c:v>
                </c:pt>
                <c:pt idx="9">
                  <c:v>2.4978879094771835E-2</c:v>
                </c:pt>
                <c:pt idx="10">
                  <c:v>4.1088172248631904E-3</c:v>
                </c:pt>
                <c:pt idx="11">
                  <c:v>1.4683007178675133E-2</c:v>
                </c:pt>
                <c:pt idx="12">
                  <c:v>4.1733024969949307E-3</c:v>
                </c:pt>
                <c:pt idx="13">
                  <c:v>1.8329258596908877E-3</c:v>
                </c:pt>
                <c:pt idx="14">
                  <c:v>0</c:v>
                </c:pt>
                <c:pt idx="15">
                  <c:v>0</c:v>
                </c:pt>
                <c:pt idx="16">
                  <c:v>8.7852468046566538E-3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5.8283701678004604E-3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0.32491050581613734</c:v>
                </c:pt>
                <c:pt idx="1">
                  <c:v>0.2693965347431786</c:v>
                </c:pt>
                <c:pt idx="2">
                  <c:v>0.14818083209236479</c:v>
                </c:pt>
                <c:pt idx="3">
                  <c:v>7.407728410430961E-2</c:v>
                </c:pt>
                <c:pt idx="4">
                  <c:v>4.0903372545311754E-2</c:v>
                </c:pt>
                <c:pt idx="5">
                  <c:v>2.743000018384718E-2</c:v>
                </c:pt>
                <c:pt idx="6">
                  <c:v>2.2760281653889283E-2</c:v>
                </c:pt>
                <c:pt idx="7">
                  <c:v>1.5170019251426784E-2</c:v>
                </c:pt>
                <c:pt idx="8">
                  <c:v>1.2154925397438218E-2</c:v>
                </c:pt>
                <c:pt idx="9">
                  <c:v>1.0931028414895823E-2</c:v>
                </c:pt>
                <c:pt idx="10">
                  <c:v>8.1733206216135987E-3</c:v>
                </c:pt>
                <c:pt idx="11">
                  <c:v>6.3217168175526781E-3</c:v>
                </c:pt>
                <c:pt idx="12">
                  <c:v>5.2238864769888977E-3</c:v>
                </c:pt>
                <c:pt idx="13">
                  <c:v>4.4884977321136381E-3</c:v>
                </c:pt>
                <c:pt idx="14">
                  <c:v>3.6769437243762983E-3</c:v>
                </c:pt>
                <c:pt idx="15">
                  <c:v>3.1647979913381709E-3</c:v>
                </c:pt>
                <c:pt idx="16">
                  <c:v>2.7655869584058872E-3</c:v>
                </c:pt>
                <c:pt idx="17">
                  <c:v>2.2061662346257792E-3</c:v>
                </c:pt>
                <c:pt idx="18">
                  <c:v>2.3217273231061768E-3</c:v>
                </c:pt>
                <c:pt idx="19">
                  <c:v>1.8621093575591394E-3</c:v>
                </c:pt>
                <c:pt idx="20">
                  <c:v>1.7911968714461682E-3</c:v>
                </c:pt>
                <c:pt idx="21">
                  <c:v>1.6309871805983435E-3</c:v>
                </c:pt>
                <c:pt idx="22">
                  <c:v>1.3263261291500217E-3</c:v>
                </c:pt>
                <c:pt idx="23">
                  <c:v>1.2186442057932874E-3</c:v>
                </c:pt>
                <c:pt idx="24">
                  <c:v>1.1004567289383349E-3</c:v>
                </c:pt>
                <c:pt idx="25">
                  <c:v>7.931692891154585E-4</c:v>
                </c:pt>
                <c:pt idx="26">
                  <c:v>7.7215818211902256E-4</c:v>
                </c:pt>
                <c:pt idx="27">
                  <c:v>6.5922348201317917E-4</c:v>
                </c:pt>
                <c:pt idx="28">
                  <c:v>7.1437763787882364E-4</c:v>
                </c:pt>
                <c:pt idx="29">
                  <c:v>6.0669571452208915E-4</c:v>
                </c:pt>
                <c:pt idx="30">
                  <c:v>4.6749713067070075E-4</c:v>
                </c:pt>
                <c:pt idx="31">
                  <c:v>4.3335408180149228E-4</c:v>
                </c:pt>
                <c:pt idx="32">
                  <c:v>3.8870547943406578E-4</c:v>
                </c:pt>
                <c:pt idx="33">
                  <c:v>3.5981520731396632E-4</c:v>
                </c:pt>
                <c:pt idx="34">
                  <c:v>3.3617771194297582E-4</c:v>
                </c:pt>
                <c:pt idx="35">
                  <c:v>1.4182497222594293E-4</c:v>
                </c:pt>
                <c:pt idx="36">
                  <c:v>1.4707774897505192E-4</c:v>
                </c:pt>
                <c:pt idx="37">
                  <c:v>9.7176369858516446E-5</c:v>
                </c:pt>
                <c:pt idx="38">
                  <c:v>1.2344025360406141E-4</c:v>
                </c:pt>
                <c:pt idx="39">
                  <c:v>1.3394580710227941E-4</c:v>
                </c:pt>
                <c:pt idx="40">
                  <c:v>8.4044427985743956E-5</c:v>
                </c:pt>
                <c:pt idx="41">
                  <c:v>7.3538874487525958E-5</c:v>
                </c:pt>
                <c:pt idx="42">
                  <c:v>5.2527767491089969E-5</c:v>
                </c:pt>
                <c:pt idx="43">
                  <c:v>5.7780544240198968E-5</c:v>
                </c:pt>
                <c:pt idx="44">
                  <c:v>4.9901379116535469E-5</c:v>
                </c:pt>
                <c:pt idx="45">
                  <c:v>7.0912486112971465E-5</c:v>
                </c:pt>
                <c:pt idx="46">
                  <c:v>2.8890272120099484E-5</c:v>
                </c:pt>
                <c:pt idx="47">
                  <c:v>2.1011106996435989E-5</c:v>
                </c:pt>
                <c:pt idx="48">
                  <c:v>2.8890272120099484E-5</c:v>
                </c:pt>
                <c:pt idx="49">
                  <c:v>1.8384718621881489E-5</c:v>
                </c:pt>
                <c:pt idx="50">
                  <c:v>2.8890272120099484E-5</c:v>
                </c:pt>
                <c:pt idx="51">
                  <c:v>7.8791651236634967E-6</c:v>
                </c:pt>
                <c:pt idx="52">
                  <c:v>7.8791651236634967E-6</c:v>
                </c:pt>
                <c:pt idx="53">
                  <c:v>2.3637495370990488E-5</c:v>
                </c:pt>
                <c:pt idx="54">
                  <c:v>0</c:v>
                </c:pt>
                <c:pt idx="55">
                  <c:v>7.8791651236634967E-6</c:v>
                </c:pt>
                <c:pt idx="56">
                  <c:v>7.8791651236634967E-6</c:v>
                </c:pt>
                <c:pt idx="57">
                  <c:v>5.2527767491089972E-6</c:v>
                </c:pt>
                <c:pt idx="58">
                  <c:v>2.6263883745544986E-6</c:v>
                </c:pt>
                <c:pt idx="59">
                  <c:v>5.2527767491089972E-6</c:v>
                </c:pt>
                <c:pt idx="60">
                  <c:v>2.6263883745544986E-6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7.023294217603207E-2</c:v>
                </c:pt>
                <c:pt idx="1">
                  <c:v>0.10447892595112904</c:v>
                </c:pt>
                <c:pt idx="2">
                  <c:v>0.17407511221020333</c:v>
                </c:pt>
                <c:pt idx="3">
                  <c:v>0.17413331862360157</c:v>
                </c:pt>
                <c:pt idx="4">
                  <c:v>0.15600704558551526</c:v>
                </c:pt>
                <c:pt idx="5">
                  <c:v>0.13137139092789929</c:v>
                </c:pt>
                <c:pt idx="6">
                  <c:v>4.1129683964349267E-2</c:v>
                </c:pt>
                <c:pt idx="7">
                  <c:v>2.8408318367799605E-2</c:v>
                </c:pt>
                <c:pt idx="8">
                  <c:v>1.7994487057175497E-2</c:v>
                </c:pt>
                <c:pt idx="9">
                  <c:v>9.4091085417030047E-3</c:v>
                </c:pt>
                <c:pt idx="10">
                  <c:v>6.547643394069034E-3</c:v>
                </c:pt>
                <c:pt idx="11">
                  <c:v>1.3697875257393119E-2</c:v>
                </c:pt>
                <c:pt idx="12">
                  <c:v>6.6216953939841703E-3</c:v>
                </c:pt>
                <c:pt idx="13">
                  <c:v>4.6609959390327754E-3</c:v>
                </c:pt>
                <c:pt idx="14">
                  <c:v>7.1300695213160903E-3</c:v>
                </c:pt>
                <c:pt idx="15">
                  <c:v>1.4689717356115947E-2</c:v>
                </c:pt>
                <c:pt idx="16">
                  <c:v>0</c:v>
                </c:pt>
                <c:pt idx="17">
                  <c:v>4.108817224863193E-3</c:v>
                </c:pt>
                <c:pt idx="18">
                  <c:v>1.468300717867514E-2</c:v>
                </c:pt>
                <c:pt idx="19">
                  <c:v>7.9915787015350415E-4</c:v>
                </c:pt>
                <c:pt idx="20">
                  <c:v>3.3741446268414281E-3</c:v>
                </c:pt>
                <c:pt idx="21">
                  <c:v>1.8329258596908886E-3</c:v>
                </c:pt>
                <c:pt idx="22">
                  <c:v>0</c:v>
                </c:pt>
                <c:pt idx="23">
                  <c:v>0</c:v>
                </c:pt>
                <c:pt idx="24">
                  <c:v>1.8382259282243973E-3</c:v>
                </c:pt>
                <c:pt idx="25">
                  <c:v>6.94702087643226E-3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2.6094514713564756E-3</c:v>
                </c:pt>
                <c:pt idx="34">
                  <c:v>3.218918696443987E-3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4.5678146610251838E-2</c:v>
                </c:pt>
                <c:pt idx="1">
                  <c:v>0.11980007931692888</c:v>
                </c:pt>
                <c:pt idx="2">
                  <c:v>0.17061544158780931</c:v>
                </c:pt>
                <c:pt idx="3">
                  <c:v>0.16350318186951573</c:v>
                </c:pt>
                <c:pt idx="4">
                  <c:v>0.1169478215421627</c:v>
                </c:pt>
                <c:pt idx="5">
                  <c:v>7.6188900357451433E-2</c:v>
                </c:pt>
                <c:pt idx="6">
                  <c:v>5.2393821683987686E-2</c:v>
                </c:pt>
                <c:pt idx="7">
                  <c:v>3.6845602506625053E-2</c:v>
                </c:pt>
                <c:pt idx="8">
                  <c:v>2.7548187660702134E-2</c:v>
                </c:pt>
                <c:pt idx="9">
                  <c:v>2.1688715197071048E-2</c:v>
                </c:pt>
                <c:pt idx="10">
                  <c:v>1.9238294843611701E-2</c:v>
                </c:pt>
                <c:pt idx="11">
                  <c:v>1.598682603591323E-2</c:v>
                </c:pt>
                <c:pt idx="12">
                  <c:v>1.3570548731323094E-2</c:v>
                </c:pt>
                <c:pt idx="13">
                  <c:v>1.2614543362985255E-2</c:v>
                </c:pt>
                <c:pt idx="14">
                  <c:v>1.0710411791433245E-2</c:v>
                </c:pt>
                <c:pt idx="15">
                  <c:v>9.068919057336684E-3</c:v>
                </c:pt>
                <c:pt idx="16">
                  <c:v>7.2777221858905151E-3</c:v>
                </c:pt>
                <c:pt idx="17">
                  <c:v>6.9310389204493214E-3</c:v>
                </c:pt>
                <c:pt idx="18">
                  <c:v>5.9724071637369293E-3</c:v>
                </c:pt>
                <c:pt idx="19">
                  <c:v>5.4628878190733574E-3</c:v>
                </c:pt>
                <c:pt idx="20">
                  <c:v>5.0925670582611729E-3</c:v>
                </c:pt>
                <c:pt idx="21">
                  <c:v>4.7931587835619597E-3</c:v>
                </c:pt>
                <c:pt idx="22">
                  <c:v>4.1838366806653165E-3</c:v>
                </c:pt>
                <c:pt idx="23">
                  <c:v>4.0236269898174916E-3</c:v>
                </c:pt>
                <c:pt idx="24">
                  <c:v>4.0183742130683832E-3</c:v>
                </c:pt>
                <c:pt idx="25">
                  <c:v>3.3801618380516398E-3</c:v>
                </c:pt>
                <c:pt idx="26">
                  <c:v>2.944181367875593E-3</c:v>
                </c:pt>
                <c:pt idx="27">
                  <c:v>2.5187064511977639E-3</c:v>
                </c:pt>
                <c:pt idx="28">
                  <c:v>2.2061662346257792E-3</c:v>
                </c:pt>
                <c:pt idx="29">
                  <c:v>2.0590884856507268E-3</c:v>
                </c:pt>
                <c:pt idx="30">
                  <c:v>2.0301982135306272E-3</c:v>
                </c:pt>
                <c:pt idx="31">
                  <c:v>2.2245509532476605E-3</c:v>
                </c:pt>
                <c:pt idx="32">
                  <c:v>2.1326273601382528E-3</c:v>
                </c:pt>
                <c:pt idx="33">
                  <c:v>1.8437246389372578E-3</c:v>
                </c:pt>
                <c:pt idx="34">
                  <c:v>1.6677566178421067E-3</c:v>
                </c:pt>
                <c:pt idx="35">
                  <c:v>1.3867330617647752E-3</c:v>
                </c:pt>
                <c:pt idx="36">
                  <c:v>1.2186442057932874E-3</c:v>
                </c:pt>
                <c:pt idx="37">
                  <c:v>1.1372261661820979E-3</c:v>
                </c:pt>
                <c:pt idx="38">
                  <c:v>1.1345997778075434E-3</c:v>
                </c:pt>
                <c:pt idx="39">
                  <c:v>1.0295442428253634E-3</c:v>
                </c:pt>
                <c:pt idx="40">
                  <c:v>9.4287342646506508E-4</c:v>
                </c:pt>
                <c:pt idx="41">
                  <c:v>8.5620261010476654E-4</c:v>
                </c:pt>
                <c:pt idx="42">
                  <c:v>6.3821237501674323E-4</c:v>
                </c:pt>
                <c:pt idx="43">
                  <c:v>6.6184987038773362E-4</c:v>
                </c:pt>
                <c:pt idx="44">
                  <c:v>5.8568460752565321E-4</c:v>
                </c:pt>
                <c:pt idx="45">
                  <c:v>4.8588184929258224E-4</c:v>
                </c:pt>
                <c:pt idx="46">
                  <c:v>5.095193446635728E-4</c:v>
                </c:pt>
                <c:pt idx="47">
                  <c:v>4.7537629579436422E-4</c:v>
                </c:pt>
                <c:pt idx="48">
                  <c:v>4.4123324692515575E-4</c:v>
                </c:pt>
                <c:pt idx="49">
                  <c:v>4.0446380968139282E-4</c:v>
                </c:pt>
                <c:pt idx="50">
                  <c:v>5.095193446635728E-4</c:v>
                </c:pt>
                <c:pt idx="51">
                  <c:v>3.5981520731396632E-4</c:v>
                </c:pt>
                <c:pt idx="52">
                  <c:v>3.0991382819743081E-4</c:v>
                </c:pt>
                <c:pt idx="53">
                  <c:v>2.6789161420455882E-4</c:v>
                </c:pt>
                <c:pt idx="54">
                  <c:v>2.2061662346257787E-4</c:v>
                </c:pt>
                <c:pt idx="55">
                  <c:v>2.2324301183713238E-4</c:v>
                </c:pt>
                <c:pt idx="56">
                  <c:v>1.5758330247326991E-4</c:v>
                </c:pt>
                <c:pt idx="57">
                  <c:v>1.5495691409871541E-4</c:v>
                </c:pt>
                <c:pt idx="58">
                  <c:v>1.864735745933694E-4</c:v>
                </c:pt>
                <c:pt idx="59">
                  <c:v>2.0223190484069641E-4</c:v>
                </c:pt>
                <c:pt idx="60">
                  <c:v>1.733416327205969E-4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0.33132319126963744</c:v>
                </c:pt>
                <c:pt idx="1">
                  <c:v>0.27513605005411645</c:v>
                </c:pt>
                <c:pt idx="2">
                  <c:v>0.12352049372132885</c:v>
                </c:pt>
                <c:pt idx="3">
                  <c:v>4.8771536290582104E-2</c:v>
                </c:pt>
                <c:pt idx="4">
                  <c:v>5.0963551963415905E-2</c:v>
                </c:pt>
                <c:pt idx="5">
                  <c:v>7.2473051825670473E-2</c:v>
                </c:pt>
                <c:pt idx="6">
                  <c:v>0</c:v>
                </c:pt>
                <c:pt idx="7">
                  <c:v>2.8000196801396496E-2</c:v>
                </c:pt>
                <c:pt idx="8">
                  <c:v>2.3365958609129593E-2</c:v>
                </c:pt>
                <c:pt idx="9">
                  <c:v>1.5572070268272606E-2</c:v>
                </c:pt>
                <c:pt idx="10">
                  <c:v>5.5881581066943731E-3</c:v>
                </c:pt>
                <c:pt idx="11">
                  <c:v>5.4645820248503708E-3</c:v>
                </c:pt>
                <c:pt idx="12">
                  <c:v>1.3800710458744756E-2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6.0204486061605222E-3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0.31268409275280251</c:v>
                </c:pt>
                <c:pt idx="1">
                  <c:v>0.2315662243903501</c:v>
                </c:pt>
                <c:pt idx="2">
                  <c:v>0.13122376423060797</c:v>
                </c:pt>
                <c:pt idx="3">
                  <c:v>7.120884625226627E-2</c:v>
                </c:pt>
                <c:pt idx="4">
                  <c:v>4.1329333427704971E-2</c:v>
                </c:pt>
                <c:pt idx="5">
                  <c:v>2.9966625106848659E-2</c:v>
                </c:pt>
                <c:pt idx="6">
                  <c:v>2.7908597437809997E-2</c:v>
                </c:pt>
                <c:pt idx="7">
                  <c:v>2.4042989911308807E-2</c:v>
                </c:pt>
                <c:pt idx="8">
                  <c:v>2.0923281301893058E-2</c:v>
                </c:pt>
                <c:pt idx="9">
                  <c:v>2.1827071230624322E-2</c:v>
                </c:pt>
                <c:pt idx="10">
                  <c:v>1.7749127516047718E-2</c:v>
                </c:pt>
                <c:pt idx="11">
                  <c:v>1.2304609873088295E-2</c:v>
                </c:pt>
                <c:pt idx="12">
                  <c:v>1.0535141639126482E-2</c:v>
                </c:pt>
                <c:pt idx="13">
                  <c:v>7.4753227237832872E-3</c:v>
                </c:pt>
                <c:pt idx="14">
                  <c:v>6.2230836659026194E-3</c:v>
                </c:pt>
                <c:pt idx="15">
                  <c:v>5.0634014079522626E-3</c:v>
                </c:pt>
                <c:pt idx="16">
                  <c:v>3.7567171736420011E-3</c:v>
                </c:pt>
                <c:pt idx="17">
                  <c:v>3.2503770328467753E-3</c:v>
                </c:pt>
                <c:pt idx="18">
                  <c:v>3.0217072918424792E-3</c:v>
                </c:pt>
                <c:pt idx="19">
                  <c:v>2.3901432452591862E-3</c:v>
                </c:pt>
                <c:pt idx="20">
                  <c:v>1.932803763250595E-3</c:v>
                </c:pt>
                <c:pt idx="21">
                  <c:v>2.1179173631112151E-3</c:v>
                </c:pt>
                <c:pt idx="22">
                  <c:v>1.6170217399589485E-3</c:v>
                </c:pt>
                <c:pt idx="23">
                  <c:v>1.2685726108095454E-3</c:v>
                </c:pt>
                <c:pt idx="24">
                  <c:v>1.2195719520229106E-3</c:v>
                </c:pt>
                <c:pt idx="25">
                  <c:v>9.0923444637422358E-4</c:v>
                </c:pt>
                <c:pt idx="26">
                  <c:v>6.2611952894033355E-4</c:v>
                </c:pt>
                <c:pt idx="27">
                  <c:v>8.2212216408687267E-4</c:v>
                </c:pt>
                <c:pt idx="28">
                  <c:v>6.5334211715513066E-4</c:v>
                </c:pt>
                <c:pt idx="29">
                  <c:v>6.7512018772696838E-4</c:v>
                </c:pt>
                <c:pt idx="30">
                  <c:v>4.4100592907971324E-4</c:v>
                </c:pt>
                <c:pt idx="31">
                  <c:v>5.1722917608114513E-4</c:v>
                </c:pt>
                <c:pt idx="32">
                  <c:v>4.9000658786634802E-4</c:v>
                </c:pt>
                <c:pt idx="33">
                  <c:v>4.3011689379379437E-4</c:v>
                </c:pt>
                <c:pt idx="34">
                  <c:v>3.212265409346059E-4</c:v>
                </c:pt>
                <c:pt idx="35">
                  <c:v>2.3955877629021458E-4</c:v>
                </c:pt>
                <c:pt idx="36">
                  <c:v>1.9055811750357977E-4</c:v>
                </c:pt>
                <c:pt idx="37">
                  <c:v>1.5244649400286383E-4</c:v>
                </c:pt>
                <c:pt idx="38">
                  <c:v>1.3611294107398556E-4</c:v>
                </c:pt>
                <c:pt idx="39">
                  <c:v>1.0889035285918844E-4</c:v>
                </c:pt>
                <c:pt idx="40">
                  <c:v>1.3066842343102615E-4</c:v>
                </c:pt>
                <c:pt idx="41">
                  <c:v>9.2556799930310183E-5</c:v>
                </c:pt>
                <c:pt idx="42">
                  <c:v>3.2667105857756538E-5</c:v>
                </c:pt>
                <c:pt idx="43">
                  <c:v>5.4445176429594219E-5</c:v>
                </c:pt>
                <c:pt idx="44">
                  <c:v>5.4445176429594219E-5</c:v>
                </c:pt>
                <c:pt idx="45">
                  <c:v>6.5334211715513076E-5</c:v>
                </c:pt>
                <c:pt idx="46">
                  <c:v>3.2667105857756538E-5</c:v>
                </c:pt>
                <c:pt idx="47">
                  <c:v>3.2667105857756538E-5</c:v>
                </c:pt>
                <c:pt idx="48">
                  <c:v>2.1778070571837688E-5</c:v>
                </c:pt>
                <c:pt idx="49">
                  <c:v>1.0889035285918844E-5</c:v>
                </c:pt>
                <c:pt idx="50">
                  <c:v>2.722258821479711E-5</c:v>
                </c:pt>
                <c:pt idx="51">
                  <c:v>5.4445176429594219E-6</c:v>
                </c:pt>
                <c:pt idx="52">
                  <c:v>1.0889035285918844E-5</c:v>
                </c:pt>
                <c:pt idx="53">
                  <c:v>2.722258821479711E-5</c:v>
                </c:pt>
                <c:pt idx="54">
                  <c:v>5.4445176429594219E-6</c:v>
                </c:pt>
                <c:pt idx="55">
                  <c:v>1.0889035285918844E-5</c:v>
                </c:pt>
                <c:pt idx="56">
                  <c:v>1.0889035285918844E-5</c:v>
                </c:pt>
                <c:pt idx="57">
                  <c:v>2.1778070571837688E-5</c:v>
                </c:pt>
                <c:pt idx="58">
                  <c:v>0</c:v>
                </c:pt>
                <c:pt idx="59">
                  <c:v>0</c:v>
                </c:pt>
                <c:pt idx="60">
                  <c:v>5.4445176429594219E-6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1.3518916072288773E-2</c:v>
                </c:pt>
                <c:pt idx="1">
                  <c:v>0.16873962465439854</c:v>
                </c:pt>
                <c:pt idx="2">
                  <c:v>0.23977986572526974</c:v>
                </c:pt>
                <c:pt idx="3">
                  <c:v>0.18442083487179672</c:v>
                </c:pt>
                <c:pt idx="4">
                  <c:v>3.3759260425278881E-2</c:v>
                </c:pt>
                <c:pt idx="5">
                  <c:v>0.11345338512958839</c:v>
                </c:pt>
                <c:pt idx="6">
                  <c:v>2.9489871497958751E-2</c:v>
                </c:pt>
                <c:pt idx="7">
                  <c:v>3.7414388954626419E-2</c:v>
                </c:pt>
                <c:pt idx="8">
                  <c:v>2.9306191160749843E-2</c:v>
                </c:pt>
                <c:pt idx="9">
                  <c:v>4.5822654457157108E-2</c:v>
                </c:pt>
                <c:pt idx="10">
                  <c:v>6.4828821756378954E-3</c:v>
                </c:pt>
                <c:pt idx="11">
                  <c:v>1.9746715412256186E-2</c:v>
                </c:pt>
                <c:pt idx="12">
                  <c:v>4.1655593319054338E-3</c:v>
                </c:pt>
                <c:pt idx="13">
                  <c:v>2.8548682477955889E-2</c:v>
                </c:pt>
                <c:pt idx="14">
                  <c:v>8.9654999574116153E-3</c:v>
                </c:pt>
                <c:pt idx="15">
                  <c:v>7.7013721224524177E-3</c:v>
                </c:pt>
                <c:pt idx="16">
                  <c:v>2.7843178552188353E-4</c:v>
                </c:pt>
                <c:pt idx="17">
                  <c:v>1.8015634968325814E-2</c:v>
                </c:pt>
                <c:pt idx="18">
                  <c:v>4.3697802132589428E-3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6.0204486061605214E-3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4.8047868199116897E-2</c:v>
                </c:pt>
                <c:pt idx="1">
                  <c:v>0.12272487218994833</c:v>
                </c:pt>
                <c:pt idx="2">
                  <c:v>0.15881657964512635</c:v>
                </c:pt>
                <c:pt idx="3">
                  <c:v>0.14254836092796358</c:v>
                </c:pt>
                <c:pt idx="4">
                  <c:v>0.10482874269754072</c:v>
                </c:pt>
                <c:pt idx="5">
                  <c:v>7.1285069499267703E-2</c:v>
                </c:pt>
                <c:pt idx="6">
                  <c:v>5.0966129655743153E-2</c:v>
                </c:pt>
                <c:pt idx="7">
                  <c:v>3.6712382466475388E-2</c:v>
                </c:pt>
                <c:pt idx="8">
                  <c:v>2.7494814096945083E-2</c:v>
                </c:pt>
                <c:pt idx="9">
                  <c:v>2.338420327651072E-2</c:v>
                </c:pt>
                <c:pt idx="10">
                  <c:v>2.2251743606775162E-2</c:v>
                </c:pt>
                <c:pt idx="11">
                  <c:v>1.9453261538294016E-2</c:v>
                </c:pt>
                <c:pt idx="12">
                  <c:v>1.962204158522576E-2</c:v>
                </c:pt>
                <c:pt idx="13">
                  <c:v>1.942059443243626E-2</c:v>
                </c:pt>
                <c:pt idx="14">
                  <c:v>1.8386136080273969E-2</c:v>
                </c:pt>
                <c:pt idx="15">
                  <c:v>1.4743753777134118E-2</c:v>
                </c:pt>
                <c:pt idx="16">
                  <c:v>1.2059606579155122E-2</c:v>
                </c:pt>
                <c:pt idx="17">
                  <c:v>9.2937916165317346E-3</c:v>
                </c:pt>
                <c:pt idx="18">
                  <c:v>7.8183273352897317E-3</c:v>
                </c:pt>
                <c:pt idx="19">
                  <c:v>7.023427759417656E-3</c:v>
                </c:pt>
                <c:pt idx="20">
                  <c:v>6.2285281835455794E-3</c:v>
                </c:pt>
                <c:pt idx="21">
                  <c:v>5.9563023013976093E-3</c:v>
                </c:pt>
                <c:pt idx="22">
                  <c:v>5.357405360672072E-3</c:v>
                </c:pt>
                <c:pt idx="23">
                  <c:v>4.6115064435866314E-3</c:v>
                </c:pt>
                <c:pt idx="24">
                  <c:v>4.6332845141584689E-3</c:v>
                </c:pt>
                <c:pt idx="25">
                  <c:v>3.5280474326377063E-3</c:v>
                </c:pt>
                <c:pt idx="26">
                  <c:v>2.9618175977699263E-3</c:v>
                </c:pt>
                <c:pt idx="27">
                  <c:v>2.2485857865422415E-3</c:v>
                </c:pt>
                <c:pt idx="28">
                  <c:v>2.3302535511866328E-3</c:v>
                </c:pt>
                <c:pt idx="29">
                  <c:v>1.9055811750357981E-3</c:v>
                </c:pt>
                <c:pt idx="30">
                  <c:v>1.7585791986758936E-3</c:v>
                </c:pt>
                <c:pt idx="31">
                  <c:v>1.802135339819569E-3</c:v>
                </c:pt>
                <c:pt idx="32">
                  <c:v>2.0308050808238646E-3</c:v>
                </c:pt>
                <c:pt idx="33">
                  <c:v>1.6932449869603804E-3</c:v>
                </c:pt>
                <c:pt idx="34">
                  <c:v>1.6115772223159891E-3</c:v>
                </c:pt>
                <c:pt idx="35">
                  <c:v>1.2903506813813832E-3</c:v>
                </c:pt>
                <c:pt idx="36">
                  <c:v>1.1433487050214789E-3</c:v>
                </c:pt>
                <c:pt idx="37">
                  <c:v>1.1433487050214789E-3</c:v>
                </c:pt>
                <c:pt idx="38">
                  <c:v>7.7312150530023805E-4</c:v>
                </c:pt>
                <c:pt idx="39">
                  <c:v>7.9489957587207578E-4</c:v>
                </c:pt>
                <c:pt idx="40">
                  <c:v>7.2412084651360333E-4</c:v>
                </c:pt>
                <c:pt idx="41">
                  <c:v>7.8945505822911629E-4</c:v>
                </c:pt>
                <c:pt idx="42">
                  <c:v>4.4645044672267267E-4</c:v>
                </c:pt>
                <c:pt idx="43">
                  <c:v>5.3356272901002337E-4</c:v>
                </c:pt>
                <c:pt idx="44">
                  <c:v>5.4989628193890183E-4</c:v>
                </c:pt>
                <c:pt idx="45">
                  <c:v>5.3900724665298285E-4</c:v>
                </c:pt>
                <c:pt idx="46">
                  <c:v>4.8456207022338864E-4</c:v>
                </c:pt>
                <c:pt idx="47">
                  <c:v>4.518949643656321E-4</c:v>
                </c:pt>
                <c:pt idx="48">
                  <c:v>3.3756009386348425E-4</c:v>
                </c:pt>
                <c:pt idx="49">
                  <c:v>3.5389364679236254E-4</c:v>
                </c:pt>
                <c:pt idx="50">
                  <c:v>4.24672376150835E-4</c:v>
                </c:pt>
                <c:pt idx="51">
                  <c:v>2.3411425864725517E-4</c:v>
                </c:pt>
                <c:pt idx="52">
                  <c:v>2.0144715278949863E-4</c:v>
                </c:pt>
                <c:pt idx="53">
                  <c:v>2.123361880754175E-4</c:v>
                </c:pt>
                <c:pt idx="54">
                  <c:v>1.3611294107398558E-4</c:v>
                </c:pt>
                <c:pt idx="55">
                  <c:v>2.177807057183769E-4</c:v>
                </c:pt>
                <c:pt idx="56">
                  <c:v>1.6333552928878269E-4</c:v>
                </c:pt>
                <c:pt idx="57">
                  <c:v>1.2522390578806672E-4</c:v>
                </c:pt>
                <c:pt idx="58">
                  <c:v>1.4155745871694499E-4</c:v>
                </c:pt>
                <c:pt idx="59">
                  <c:v>1.2522390578806672E-4</c:v>
                </c:pt>
                <c:pt idx="60">
                  <c:v>1.0889035285918845E-4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CHTS_Fresno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0.28782969789552348</c:v>
                </c:pt>
                <c:pt idx="1">
                  <c:v>0.29806462030726355</c:v>
                </c:pt>
                <c:pt idx="2">
                  <c:v>9.7204454549691469E-2</c:v>
                </c:pt>
                <c:pt idx="3">
                  <c:v>9.0564996128081859E-2</c:v>
                </c:pt>
                <c:pt idx="4">
                  <c:v>3.3826768953904379E-2</c:v>
                </c:pt>
                <c:pt idx="5">
                  <c:v>7.0238692174051376E-2</c:v>
                </c:pt>
                <c:pt idx="6">
                  <c:v>4.1290775593937831E-3</c:v>
                </c:pt>
                <c:pt idx="7">
                  <c:v>2.2892251022468137E-2</c:v>
                </c:pt>
                <c:pt idx="8">
                  <c:v>0</c:v>
                </c:pt>
                <c:pt idx="9">
                  <c:v>6.8589273555502853E-3</c:v>
                </c:pt>
                <c:pt idx="10">
                  <c:v>1.3838335043651059E-2</c:v>
                </c:pt>
                <c:pt idx="11">
                  <c:v>1.1913569317207695E-2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3.203022794004988E-2</c:v>
                </c:pt>
                <c:pt idx="19">
                  <c:v>4.6505909574830022E-3</c:v>
                </c:pt>
                <c:pt idx="20">
                  <c:v>1.1480429567451078E-3</c:v>
                </c:pt>
                <c:pt idx="21">
                  <c:v>0</c:v>
                </c:pt>
                <c:pt idx="22">
                  <c:v>0</c:v>
                </c:pt>
                <c:pt idx="23">
                  <c:v>1.4731880432089516E-2</c:v>
                </c:pt>
                <c:pt idx="24">
                  <c:v>0</c:v>
                </c:pt>
                <c:pt idx="25">
                  <c:v>1.007786740684522E-2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0.29346674348993107</c:v>
                </c:pt>
                <c:pt idx="1">
                  <c:v>0.21781081802723476</c:v>
                </c:pt>
                <c:pt idx="2">
                  <c:v>0.13320310853159822</c:v>
                </c:pt>
                <c:pt idx="3">
                  <c:v>7.5939796793097133E-2</c:v>
                </c:pt>
                <c:pt idx="4">
                  <c:v>4.6363776893997941E-2</c:v>
                </c:pt>
                <c:pt idx="5">
                  <c:v>3.2400680166950066E-2</c:v>
                </c:pt>
                <c:pt idx="6">
                  <c:v>2.8319678466532688E-2</c:v>
                </c:pt>
                <c:pt idx="7">
                  <c:v>2.3493865849716827E-2</c:v>
                </c:pt>
                <c:pt idx="8">
                  <c:v>2.0877190517011198E-2</c:v>
                </c:pt>
                <c:pt idx="9">
                  <c:v>1.9381947469750836E-2</c:v>
                </c:pt>
                <c:pt idx="10">
                  <c:v>1.7462302730504926E-2</c:v>
                </c:pt>
                <c:pt idx="11">
                  <c:v>1.4081142230778958E-2</c:v>
                </c:pt>
                <c:pt idx="12">
                  <c:v>1.105692884947793E-2</c:v>
                </c:pt>
                <c:pt idx="13">
                  <c:v>9.3677539032307935E-3</c:v>
                </c:pt>
                <c:pt idx="14">
                  <c:v>7.98774575246982E-3</c:v>
                </c:pt>
                <c:pt idx="15">
                  <c:v>7.0012226141457868E-3</c:v>
                </c:pt>
                <c:pt idx="16">
                  <c:v>6.1692828735648332E-3</c:v>
                </c:pt>
                <c:pt idx="17">
                  <c:v>5.1658960918506448E-3</c:v>
                </c:pt>
                <c:pt idx="18">
                  <c:v>4.5250776430247755E-3</c:v>
                </c:pt>
                <c:pt idx="19">
                  <c:v>3.7577818687727482E-3</c:v>
                </c:pt>
                <c:pt idx="20">
                  <c:v>3.5863348276395112E-3</c:v>
                </c:pt>
                <c:pt idx="21">
                  <c:v>3.0551300608496466E-3</c:v>
                </c:pt>
                <c:pt idx="22">
                  <c:v>2.3580994673899295E-3</c:v>
                </c:pt>
                <c:pt idx="23">
                  <c:v>2.001152348964994E-3</c:v>
                </c:pt>
                <c:pt idx="24">
                  <c:v>1.7032279824055986E-3</c:v>
                </c:pt>
                <c:pt idx="25">
                  <c:v>1.4587051532483593E-3</c:v>
                </c:pt>
                <c:pt idx="26">
                  <c:v>1.2479096108714287E-3</c:v>
                </c:pt>
                <c:pt idx="27">
                  <c:v>1.1214322854452704E-3</c:v>
                </c:pt>
                <c:pt idx="28">
                  <c:v>8.8534127798310831E-4</c:v>
                </c:pt>
                <c:pt idx="29">
                  <c:v>7.7291698871541196E-4</c:v>
                </c:pt>
                <c:pt idx="30">
                  <c:v>6.6892452114279287E-4</c:v>
                </c:pt>
                <c:pt idx="31">
                  <c:v>5.2839415955817251E-4</c:v>
                </c:pt>
                <c:pt idx="32">
                  <c:v>5.2558355232648016E-4</c:v>
                </c:pt>
                <c:pt idx="33">
                  <c:v>4.3283351368063073E-4</c:v>
                </c:pt>
                <c:pt idx="34">
                  <c:v>3.7943197627847495E-4</c:v>
                </c:pt>
                <c:pt idx="35">
                  <c:v>2.3328040023046979E-4</c:v>
                </c:pt>
                <c:pt idx="36">
                  <c:v>1.6301521943815962E-4</c:v>
                </c:pt>
                <c:pt idx="37">
                  <c:v>2.2203797130370016E-4</c:v>
                </c:pt>
                <c:pt idx="38">
                  <c:v>1.5177279051138999E-4</c:v>
                </c:pt>
                <c:pt idx="39">
                  <c:v>9.2750038645849438E-5</c:v>
                </c:pt>
                <c:pt idx="40">
                  <c:v>7.5886395255694993E-5</c:v>
                </c:pt>
                <c:pt idx="41">
                  <c:v>5.3401537402155734E-5</c:v>
                </c:pt>
                <c:pt idx="42">
                  <c:v>6.4643966328925364E-5</c:v>
                </c:pt>
                <c:pt idx="43">
                  <c:v>6.7454573560617778E-5</c:v>
                </c:pt>
                <c:pt idx="44">
                  <c:v>6.1833359097232949E-5</c:v>
                </c:pt>
                <c:pt idx="45">
                  <c:v>5.0590930170463327E-5</c:v>
                </c:pt>
                <c:pt idx="46">
                  <c:v>3.9348501243693704E-5</c:v>
                </c:pt>
                <c:pt idx="47">
                  <c:v>3.0916679548616475E-5</c:v>
                </c:pt>
                <c:pt idx="48">
                  <c:v>1.4053036158462035E-5</c:v>
                </c:pt>
                <c:pt idx="49">
                  <c:v>2.2484857853539256E-5</c:v>
                </c:pt>
                <c:pt idx="50">
                  <c:v>8.4318216950772222E-6</c:v>
                </c:pt>
                <c:pt idx="51">
                  <c:v>2.5295465085231663E-5</c:v>
                </c:pt>
                <c:pt idx="52">
                  <c:v>0</c:v>
                </c:pt>
                <c:pt idx="53">
                  <c:v>8.4318216950772222E-6</c:v>
                </c:pt>
                <c:pt idx="54">
                  <c:v>5.621214463384814E-6</c:v>
                </c:pt>
                <c:pt idx="55">
                  <c:v>5.621214463384814E-6</c:v>
                </c:pt>
                <c:pt idx="56">
                  <c:v>5.621214463384814E-6</c:v>
                </c:pt>
                <c:pt idx="57">
                  <c:v>1.1242428926769628E-5</c:v>
                </c:pt>
                <c:pt idx="58">
                  <c:v>2.810607231692407E-6</c:v>
                </c:pt>
                <c:pt idx="59">
                  <c:v>2.810607231692407E-6</c:v>
                </c:pt>
                <c:pt idx="60">
                  <c:v>5.621214463384814E-6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2.3316458001184731E-2</c:v>
                </c:pt>
                <c:pt idx="1">
                  <c:v>0.21640646337271907</c:v>
                </c:pt>
                <c:pt idx="2">
                  <c:v>0.19938195393714594</c:v>
                </c:pt>
                <c:pt idx="3">
                  <c:v>0.15613236625491633</c:v>
                </c:pt>
                <c:pt idx="4">
                  <c:v>5.793431845699152E-2</c:v>
                </c:pt>
                <c:pt idx="5">
                  <c:v>3.9542268332611215E-2</c:v>
                </c:pt>
                <c:pt idx="6">
                  <c:v>7.1717891700609576E-2</c:v>
                </c:pt>
                <c:pt idx="7">
                  <c:v>7.6045645686600549E-2</c:v>
                </c:pt>
                <c:pt idx="8">
                  <c:v>1.4063096277367329E-2</c:v>
                </c:pt>
                <c:pt idx="9">
                  <c:v>1.8383997889073925E-2</c:v>
                </c:pt>
                <c:pt idx="10">
                  <c:v>2.0882946616964194E-2</c:v>
                </c:pt>
                <c:pt idx="11">
                  <c:v>1.8892360853767862E-3</c:v>
                </c:pt>
                <c:pt idx="12">
                  <c:v>2.4341205935983247E-2</c:v>
                </c:pt>
                <c:pt idx="13">
                  <c:v>0</c:v>
                </c:pt>
                <c:pt idx="14">
                  <c:v>0</c:v>
                </c:pt>
                <c:pt idx="15">
                  <c:v>3.2419210067929929E-3</c:v>
                </c:pt>
                <c:pt idx="16">
                  <c:v>5.4099724420351783E-3</c:v>
                </c:pt>
                <c:pt idx="17">
                  <c:v>7.9618743100423415E-3</c:v>
                </c:pt>
                <c:pt idx="18">
                  <c:v>7.0977400037236309E-4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3.8840593167779641E-3</c:v>
                </c:pt>
                <c:pt idx="26">
                  <c:v>2.3363073668397318E-2</c:v>
                </c:pt>
                <c:pt idx="27">
                  <c:v>8.6671542716525701E-3</c:v>
                </c:pt>
                <c:pt idx="28">
                  <c:v>0</c:v>
                </c:pt>
                <c:pt idx="29">
                  <c:v>1.9145745974501469E-3</c:v>
                </c:pt>
                <c:pt idx="30">
                  <c:v>1.473188043208952E-2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1.0077867406845221E-2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3.0051012521255218E-2</c:v>
                </c:pt>
                <c:pt idx="1">
                  <c:v>9.7379108756446828E-2</c:v>
                </c:pt>
                <c:pt idx="2">
                  <c:v>0.1323824112199441</c:v>
                </c:pt>
                <c:pt idx="3">
                  <c:v>0.12499332480782474</c:v>
                </c:pt>
                <c:pt idx="4">
                  <c:v>9.9262215601680748E-2</c:v>
                </c:pt>
                <c:pt idx="5">
                  <c:v>7.6279880268131942E-2</c:v>
                </c:pt>
                <c:pt idx="6">
                  <c:v>5.6771455472954944E-2</c:v>
                </c:pt>
                <c:pt idx="7">
                  <c:v>4.2853328461614139E-2</c:v>
                </c:pt>
                <c:pt idx="8">
                  <c:v>3.4682893239084307E-2</c:v>
                </c:pt>
                <c:pt idx="9">
                  <c:v>2.8300004215910852E-2</c:v>
                </c:pt>
                <c:pt idx="10">
                  <c:v>2.5503450020376905E-2</c:v>
                </c:pt>
                <c:pt idx="11">
                  <c:v>2.2678789752526039E-2</c:v>
                </c:pt>
                <c:pt idx="12">
                  <c:v>2.0860326873621049E-2</c:v>
                </c:pt>
                <c:pt idx="13">
                  <c:v>2.0660773760170888E-2</c:v>
                </c:pt>
                <c:pt idx="14">
                  <c:v>1.9901909807613936E-2</c:v>
                </c:pt>
                <c:pt idx="15">
                  <c:v>1.657696145252182E-2</c:v>
                </c:pt>
                <c:pt idx="16">
                  <c:v>1.4401551455191897E-2</c:v>
                </c:pt>
                <c:pt idx="17">
                  <c:v>1.2147444455374587E-2</c:v>
                </c:pt>
                <c:pt idx="18">
                  <c:v>9.9158223134108141E-3</c:v>
                </c:pt>
                <c:pt idx="19">
                  <c:v>9.0557765005129381E-3</c:v>
                </c:pt>
                <c:pt idx="20">
                  <c:v>8.2266473671636781E-3</c:v>
                </c:pt>
                <c:pt idx="21">
                  <c:v>8.3418822636630672E-3</c:v>
                </c:pt>
                <c:pt idx="22">
                  <c:v>7.6111243834230402E-3</c:v>
                </c:pt>
                <c:pt idx="23">
                  <c:v>7.2204499782177961E-3</c:v>
                </c:pt>
                <c:pt idx="24">
                  <c:v>6.6386542812574677E-3</c:v>
                </c:pt>
                <c:pt idx="25">
                  <c:v>6.2788965556008396E-3</c:v>
                </c:pt>
                <c:pt idx="26">
                  <c:v>5.4413356005565015E-3</c:v>
                </c:pt>
                <c:pt idx="27">
                  <c:v>4.7920853300355551E-3</c:v>
                </c:pt>
                <c:pt idx="28">
                  <c:v>4.235585098160459E-3</c:v>
                </c:pt>
                <c:pt idx="29">
                  <c:v>3.679084866285362E-3</c:v>
                </c:pt>
                <c:pt idx="30">
                  <c:v>3.2855998538484248E-3</c:v>
                </c:pt>
                <c:pt idx="31">
                  <c:v>3.3108953189336563E-3</c:v>
                </c:pt>
                <c:pt idx="32">
                  <c:v>3.0691830970081095E-3</c:v>
                </c:pt>
                <c:pt idx="33">
                  <c:v>2.8359026967776394E-3</c:v>
                </c:pt>
                <c:pt idx="34">
                  <c:v>2.5885692603887078E-3</c:v>
                </c:pt>
                <c:pt idx="35">
                  <c:v>2.2850236793659274E-3</c:v>
                </c:pt>
                <c:pt idx="36">
                  <c:v>2.0461220646720729E-3</c:v>
                </c:pt>
                <c:pt idx="37">
                  <c:v>1.7847355921246791E-3</c:v>
                </c:pt>
                <c:pt idx="38">
                  <c:v>1.4868112255652837E-3</c:v>
                </c:pt>
                <c:pt idx="39">
                  <c:v>1.4671369749434367E-3</c:v>
                </c:pt>
                <c:pt idx="40">
                  <c:v>1.3547126856757407E-3</c:v>
                </c:pt>
                <c:pt idx="41">
                  <c:v>1.1945080734692734E-3</c:v>
                </c:pt>
                <c:pt idx="42">
                  <c:v>1.0118186034092668E-3</c:v>
                </c:pt>
                <c:pt idx="43">
                  <c:v>9.1625795753172499E-4</c:v>
                </c:pt>
                <c:pt idx="44">
                  <c:v>8.347503478126451E-4</c:v>
                </c:pt>
                <c:pt idx="45">
                  <c:v>9.0501552860495528E-4</c:v>
                </c:pt>
                <c:pt idx="46">
                  <c:v>7.7853820317879687E-4</c:v>
                </c:pt>
                <c:pt idx="47">
                  <c:v>7.3637909470341081E-4</c:v>
                </c:pt>
                <c:pt idx="48">
                  <c:v>6.8016695006956269E-4</c:v>
                </c:pt>
                <c:pt idx="49">
                  <c:v>6.9703059345971709E-4</c:v>
                </c:pt>
                <c:pt idx="50">
                  <c:v>6.2395480543571457E-4</c:v>
                </c:pt>
                <c:pt idx="51">
                  <c:v>6.5487148498433103E-4</c:v>
                </c:pt>
                <c:pt idx="52">
                  <c:v>4.9747748000955616E-4</c:v>
                </c:pt>
                <c:pt idx="53">
                  <c:v>5.2839415955817262E-4</c:v>
                </c:pt>
                <c:pt idx="54">
                  <c:v>4.7780322938770935E-4</c:v>
                </c:pt>
                <c:pt idx="55">
                  <c:v>3.5413651119324335E-4</c:v>
                </c:pt>
                <c:pt idx="56">
                  <c:v>3.710001545833978E-4</c:v>
                </c:pt>
                <c:pt idx="57">
                  <c:v>3.0635618825447248E-4</c:v>
                </c:pt>
                <c:pt idx="58">
                  <c:v>3.710001545833978E-4</c:v>
                </c:pt>
                <c:pt idx="59">
                  <c:v>3.3727286780308894E-4</c:v>
                </c:pt>
                <c:pt idx="60">
                  <c:v>2.6981829424247117E-4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    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6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9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11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    <Relationship Id="rId1" Target="../drawings/drawing12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    <Relationship Id="rId2" Target="../drawings/drawing13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drawings/drawing14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15.xml" Type="http://schemas.openxmlformats.org/officeDocument/2006/relationships/drawing"/>
</Relationships>

</file>

<file path=xl/worksheets/_rels/sheet18.xml.rels><?xml version="1.0" encoding="UTF-8" standalone="no"?>
<Relationships xmlns="http://schemas.openxmlformats.org/package/2006/relationships">
    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24"/>
  <sheetViews>
    <sheetView workbookViewId="0">
      <selection activeCell="A8" sqref="A8:K524"/>
    </sheetView>
  </sheetViews>
  <sheetFormatPr defaultRowHeight="14.25" x14ac:dyDescent="0.45"/>
  <cols>
    <col min="6" max="6" bestFit="true" customWidth="true" width="12.0" collapsed="true"/>
  </cols>
  <sheetData>
    <row r="1" spans="1:11" x14ac:dyDescent="0.45">
      <c r="A1" s="395" t="s">
        <v>55</v>
      </c>
      <c r="B1" s="396"/>
      <c r="C1" s="396"/>
      <c r="D1" s="396"/>
      <c r="E1" s="396"/>
      <c r="F1" s="396"/>
      <c r="G1" s="396"/>
      <c r="H1" s="396" t="s">
        <v>56</v>
      </c>
      <c r="I1" s="396"/>
      <c r="J1" s="396"/>
      <c r="K1" s="396"/>
    </row>
    <row r="2" spans="1:11" x14ac:dyDescent="0.45">
      <c r="A2" s="396">
        <v>1</v>
      </c>
      <c r="B2" s="396" t="s">
        <v>68</v>
      </c>
      <c r="C2" s="396"/>
      <c r="D2" s="396"/>
      <c r="E2" s="396"/>
      <c r="F2" s="396"/>
      <c r="G2" s="396"/>
      <c r="H2" s="396"/>
      <c r="I2" s="396"/>
      <c r="J2" s="396"/>
      <c r="K2" s="396"/>
    </row>
    <row r="3" spans="1:11" x14ac:dyDescent="0.45">
      <c r="A3" s="396">
        <v>2</v>
      </c>
      <c r="B3" s="396" t="s">
        <v>57</v>
      </c>
      <c r="C3" s="396"/>
      <c r="D3" s="396"/>
      <c r="E3" s="396"/>
      <c r="F3" s="396"/>
      <c r="G3" s="396"/>
      <c r="H3" s="396"/>
      <c r="I3" s="396"/>
      <c r="J3" s="396"/>
      <c r="K3" s="396"/>
    </row>
    <row r="4" spans="1:11" x14ac:dyDescent="0.45">
      <c r="A4" s="396">
        <v>3</v>
      </c>
      <c r="B4" s="396" t="s">
        <v>58</v>
      </c>
      <c r="C4" s="396"/>
      <c r="D4" s="396"/>
      <c r="E4" s="396"/>
      <c r="F4" s="396"/>
      <c r="G4" s="396"/>
      <c r="H4" s="396"/>
      <c r="I4" s="396"/>
      <c r="J4" s="396"/>
      <c r="K4" s="396"/>
    </row>
    <row r="5" spans="1:11" x14ac:dyDescent="0.45">
      <c r="A5" s="396">
        <v>4</v>
      </c>
      <c r="B5" s="396" t="s">
        <v>59</v>
      </c>
      <c r="C5" s="396"/>
      <c r="D5" s="396"/>
      <c r="E5" s="396"/>
      <c r="F5" s="396"/>
      <c r="G5" s="396"/>
      <c r="H5" s="396"/>
      <c r="I5" s="396"/>
      <c r="J5" s="396"/>
      <c r="K5" s="396"/>
    </row>
    <row r="6" spans="1:11" x14ac:dyDescent="0.45">
      <c r="A6" s="396"/>
      <c r="B6" s="396"/>
      <c r="C6" s="396"/>
      <c r="D6" s="396"/>
      <c r="E6" s="396"/>
      <c r="F6" s="396"/>
      <c r="G6" s="396"/>
      <c r="H6" s="396"/>
      <c r="I6" s="396"/>
      <c r="J6" s="396"/>
      <c r="K6" s="396"/>
    </row>
    <row r="8" spans="1:11" x14ac:dyDescent="0.45">
      <c r="B8" t="s">
        <v>69</v>
      </c>
      <c r="C8" t="s">
        <v>70</v>
      </c>
      <c r="D8" t="s">
        <v>71</v>
      </c>
      <c r="E8" t="s">
        <v>72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 t="s">
        <v>78</v>
      </c>
    </row>
    <row r="9" spans="1:11" x14ac:dyDescent="0.45">
      <c r="A9" t="s">
        <v>60</v>
      </c>
      <c r="B9" t="s">
        <v>61</v>
      </c>
      <c r="C9" t="s">
        <v>62</v>
      </c>
      <c r="D9" t="s">
        <v>63</v>
      </c>
      <c r="E9">
        <v>4</v>
      </c>
      <c r="F9" s="397">
        <v>0.77210648148148142</v>
      </c>
      <c r="G9" t="s">
        <v>64</v>
      </c>
      <c r="H9">
        <v>22</v>
      </c>
      <c r="I9" t="s">
        <v>79</v>
      </c>
      <c r="J9">
        <v>12</v>
      </c>
    </row>
    <row r="10" spans="1:11" x14ac:dyDescent="0.45">
      <c r="A10" t="s">
        <v>65</v>
      </c>
    </row>
    <row r="11" spans="1:11" x14ac:dyDescent="0.45">
      <c r="B11">
        <v>1</v>
      </c>
      <c r="C11" t="s">
        <v>80</v>
      </c>
      <c r="D11" t="s">
        <v>67</v>
      </c>
      <c r="E11">
        <v>1</v>
      </c>
    </row>
    <row r="12" spans="1:11" x14ac:dyDescent="0.45">
      <c r="B12">
        <v>2</v>
      </c>
      <c r="C12" t="s">
        <v>81</v>
      </c>
      <c r="D12" t="s">
        <v>66</v>
      </c>
      <c r="E12">
        <v>2.9350804192700002</v>
      </c>
      <c r="F12" s="398"/>
    </row>
    <row r="13" spans="1:11" x14ac:dyDescent="0.45">
      <c r="B13">
        <v>3</v>
      </c>
      <c r="C13" t="s">
        <v>82</v>
      </c>
      <c r="D13" t="s">
        <v>66</v>
      </c>
      <c r="E13">
        <v>-14.319444362900001</v>
      </c>
    </row>
    <row r="14" spans="1:11" x14ac:dyDescent="0.45">
      <c r="B14">
        <v>4</v>
      </c>
      <c r="C14" t="s">
        <v>83</v>
      </c>
      <c r="D14" t="s">
        <v>66</v>
      </c>
      <c r="E14">
        <v>14.585498447999999</v>
      </c>
    </row>
    <row r="15" spans="1:11" x14ac:dyDescent="0.45">
      <c r="B15">
        <v>5</v>
      </c>
      <c r="C15" t="s">
        <v>84</v>
      </c>
      <c r="D15" t="s">
        <v>66</v>
      </c>
      <c r="E15">
        <v>-5.5636156095500002</v>
      </c>
    </row>
    <row r="16" spans="1:11" x14ac:dyDescent="0.45">
      <c r="B16">
        <v>6</v>
      </c>
      <c r="C16" t="s">
        <v>85</v>
      </c>
      <c r="D16" t="s">
        <v>66</v>
      </c>
      <c r="E16">
        <v>-7.52660127576</v>
      </c>
    </row>
    <row r="17" spans="2:6" x14ac:dyDescent="0.45">
      <c r="B17">
        <v>7</v>
      </c>
      <c r="C17" t="s">
        <v>86</v>
      </c>
      <c r="D17" t="s">
        <v>66</v>
      </c>
      <c r="E17" s="398">
        <v>9.4837113087999997E-2</v>
      </c>
    </row>
    <row r="18" spans="2:6" x14ac:dyDescent="0.45">
      <c r="B18">
        <v>8</v>
      </c>
      <c r="C18" t="s">
        <v>87</v>
      </c>
      <c r="D18" t="s">
        <v>66</v>
      </c>
      <c r="E18">
        <v>0.17818083074400001</v>
      </c>
    </row>
    <row r="19" spans="2:6" x14ac:dyDescent="0.45">
      <c r="B19">
        <v>9</v>
      </c>
      <c r="C19" t="s">
        <v>88</v>
      </c>
      <c r="D19" t="s">
        <v>66</v>
      </c>
      <c r="E19">
        <v>0.50974897639700001</v>
      </c>
      <c r="F19" s="398"/>
    </row>
    <row r="20" spans="2:6" x14ac:dyDescent="0.45">
      <c r="B20">
        <v>10</v>
      </c>
      <c r="C20" t="s">
        <v>89</v>
      </c>
      <c r="D20" t="s">
        <v>66</v>
      </c>
      <c r="E20">
        <v>-1.0397429335399999</v>
      </c>
      <c r="F20" s="398"/>
    </row>
    <row r="21" spans="2:6" x14ac:dyDescent="0.45">
      <c r="B21">
        <v>11</v>
      </c>
      <c r="C21" t="s">
        <v>90</v>
      </c>
      <c r="D21" t="s">
        <v>66</v>
      </c>
      <c r="E21">
        <v>0.56811945167400002</v>
      </c>
      <c r="F21" s="398"/>
    </row>
    <row r="22" spans="2:6" x14ac:dyDescent="0.45">
      <c r="B22">
        <v>12</v>
      </c>
      <c r="C22" t="s">
        <v>91</v>
      </c>
      <c r="D22" t="s">
        <v>66</v>
      </c>
      <c r="E22">
        <v>-0.92852692218099997</v>
      </c>
      <c r="F22" s="398"/>
    </row>
    <row r="23" spans="2:6" x14ac:dyDescent="0.45">
      <c r="B23">
        <v>13</v>
      </c>
      <c r="C23" t="s">
        <v>92</v>
      </c>
      <c r="D23" t="s">
        <v>66</v>
      </c>
      <c r="E23">
        <v>-0.70424501077900004</v>
      </c>
    </row>
    <row r="24" spans="2:6" x14ac:dyDescent="0.45">
      <c r="B24">
        <v>14</v>
      </c>
      <c r="C24" t="s">
        <v>93</v>
      </c>
      <c r="D24" t="s">
        <v>66</v>
      </c>
      <c r="E24" s="398">
        <v>6.9775504949999997E-2</v>
      </c>
    </row>
    <row r="25" spans="2:6" x14ac:dyDescent="0.45">
      <c r="B25">
        <v>15</v>
      </c>
      <c r="C25" t="s">
        <v>94</v>
      </c>
      <c r="D25" t="s">
        <v>66</v>
      </c>
      <c r="E25">
        <v>-0.19226153700900001</v>
      </c>
    </row>
    <row r="26" spans="2:6" x14ac:dyDescent="0.45">
      <c r="B26">
        <v>16</v>
      </c>
      <c r="C26" t="s">
        <v>95</v>
      </c>
      <c r="D26" t="s">
        <v>66</v>
      </c>
      <c r="E26" s="398">
        <v>3.9238502520000003E-2</v>
      </c>
    </row>
    <row r="27" spans="2:6" x14ac:dyDescent="0.45">
      <c r="B27">
        <v>17</v>
      </c>
      <c r="C27" t="s">
        <v>96</v>
      </c>
      <c r="D27" t="s">
        <v>66</v>
      </c>
      <c r="E27" s="398">
        <v>7.6045893387000005E-2</v>
      </c>
    </row>
    <row r="28" spans="2:6" x14ac:dyDescent="0.45">
      <c r="B28">
        <v>18</v>
      </c>
      <c r="C28" t="s">
        <v>97</v>
      </c>
      <c r="D28" t="s">
        <v>66</v>
      </c>
      <c r="E28" s="398">
        <v>4.4787027001999997E-2</v>
      </c>
    </row>
    <row r="29" spans="2:6" x14ac:dyDescent="0.45">
      <c r="B29">
        <v>19</v>
      </c>
      <c r="C29" t="s">
        <v>98</v>
      </c>
      <c r="D29" t="s">
        <v>66</v>
      </c>
      <c r="E29" s="398">
        <v>-7.7217226816000004E-2</v>
      </c>
    </row>
    <row r="30" spans="2:6" x14ac:dyDescent="0.45">
      <c r="B30">
        <v>20</v>
      </c>
      <c r="C30" t="s">
        <v>99</v>
      </c>
      <c r="D30" t="s">
        <v>66</v>
      </c>
      <c r="E30" s="398">
        <v>-8.7375606849999995E-3</v>
      </c>
    </row>
    <row r="31" spans="2:6" x14ac:dyDescent="0.45">
      <c r="B31">
        <v>21</v>
      </c>
      <c r="C31" t="s">
        <v>100</v>
      </c>
      <c r="D31" t="s">
        <v>66</v>
      </c>
      <c r="E31">
        <v>-0.54271296189899998</v>
      </c>
    </row>
    <row r="32" spans="2:6" x14ac:dyDescent="0.45">
      <c r="B32">
        <v>22</v>
      </c>
      <c r="C32" t="s">
        <v>101</v>
      </c>
      <c r="D32" t="s">
        <v>66</v>
      </c>
      <c r="E32">
        <v>0.94721172717000002</v>
      </c>
    </row>
    <row r="33" spans="2:6" x14ac:dyDescent="0.45">
      <c r="B33">
        <v>23</v>
      </c>
      <c r="C33" t="s">
        <v>102</v>
      </c>
      <c r="D33" t="s">
        <v>66</v>
      </c>
      <c r="E33">
        <v>3.7300906574199999</v>
      </c>
    </row>
    <row r="34" spans="2:6" x14ac:dyDescent="0.45">
      <c r="B34">
        <v>24</v>
      </c>
      <c r="C34" t="s">
        <v>103</v>
      </c>
      <c r="D34" t="s">
        <v>66</v>
      </c>
      <c r="E34">
        <v>-4.1537538241799998</v>
      </c>
    </row>
    <row r="35" spans="2:6" x14ac:dyDescent="0.45">
      <c r="B35">
        <v>25</v>
      </c>
      <c r="C35" t="s">
        <v>104</v>
      </c>
      <c r="D35" t="s">
        <v>66</v>
      </c>
      <c r="E35" s="398">
        <v>1.70783067936</v>
      </c>
      <c r="F35" s="398"/>
    </row>
    <row r="36" spans="2:6" x14ac:dyDescent="0.45">
      <c r="B36">
        <v>26</v>
      </c>
      <c r="C36" t="s">
        <v>105</v>
      </c>
      <c r="D36" t="s">
        <v>66</v>
      </c>
      <c r="E36" s="398">
        <v>-0.16345061284599999</v>
      </c>
      <c r="F36" s="398"/>
    </row>
    <row r="37" spans="2:6" x14ac:dyDescent="0.45">
      <c r="B37">
        <v>27</v>
      </c>
      <c r="C37" t="s">
        <v>106</v>
      </c>
      <c r="D37" t="s">
        <v>66</v>
      </c>
      <c r="E37" s="398">
        <v>7.7917327145000007E-2</v>
      </c>
    </row>
    <row r="38" spans="2:6" x14ac:dyDescent="0.45">
      <c r="B38">
        <v>28</v>
      </c>
      <c r="C38" t="s">
        <v>107</v>
      </c>
      <c r="D38" t="s">
        <v>66</v>
      </c>
      <c r="E38" s="398">
        <v>-0.22471314927200001</v>
      </c>
      <c r="F38" s="398"/>
    </row>
    <row r="39" spans="2:6" x14ac:dyDescent="0.45">
      <c r="B39">
        <v>29</v>
      </c>
      <c r="C39" t="s">
        <v>108</v>
      </c>
      <c r="D39" t="s">
        <v>66</v>
      </c>
      <c r="E39">
        <v>-0.320438653598</v>
      </c>
    </row>
    <row r="40" spans="2:6" x14ac:dyDescent="0.45">
      <c r="B40">
        <v>30</v>
      </c>
      <c r="C40" t="s">
        <v>109</v>
      </c>
      <c r="D40" t="s">
        <v>66</v>
      </c>
      <c r="E40" s="398">
        <v>-1.3486719354400001</v>
      </c>
      <c r="F40" s="398"/>
    </row>
    <row r="41" spans="2:6" x14ac:dyDescent="0.45">
      <c r="B41">
        <v>31</v>
      </c>
      <c r="C41" t="s">
        <v>110</v>
      </c>
      <c r="D41" t="s">
        <v>66</v>
      </c>
      <c r="E41" s="398">
        <v>-2.8652973205399999</v>
      </c>
      <c r="F41" s="398"/>
    </row>
    <row r="42" spans="2:6" x14ac:dyDescent="0.45">
      <c r="B42">
        <v>32</v>
      </c>
      <c r="C42" t="s">
        <v>111</v>
      </c>
      <c r="D42" t="s">
        <v>66</v>
      </c>
      <c r="E42">
        <v>0.73144567554600004</v>
      </c>
    </row>
    <row r="43" spans="2:6" x14ac:dyDescent="0.45">
      <c r="B43">
        <v>33</v>
      </c>
      <c r="C43" t="s">
        <v>112</v>
      </c>
      <c r="D43" t="s">
        <v>66</v>
      </c>
      <c r="E43" s="398">
        <v>3.2882946296999997E-2</v>
      </c>
      <c r="F43" s="398"/>
    </row>
    <row r="44" spans="2:6" x14ac:dyDescent="0.45">
      <c r="B44">
        <v>34</v>
      </c>
      <c r="C44" t="s">
        <v>113</v>
      </c>
      <c r="D44" t="s">
        <v>66</v>
      </c>
      <c r="E44" s="398">
        <v>0.17222898421300001</v>
      </c>
      <c r="F44" s="398"/>
    </row>
    <row r="45" spans="2:6" x14ac:dyDescent="0.45">
      <c r="B45">
        <v>35</v>
      </c>
      <c r="C45" t="s">
        <v>114</v>
      </c>
      <c r="D45" t="s">
        <v>66</v>
      </c>
      <c r="E45" s="398">
        <v>-4.3679028443999998E-2</v>
      </c>
      <c r="F45" s="398"/>
    </row>
    <row r="46" spans="2:6" x14ac:dyDescent="0.45">
      <c r="B46">
        <v>36</v>
      </c>
      <c r="C46" t="s">
        <v>115</v>
      </c>
      <c r="D46" t="s">
        <v>66</v>
      </c>
      <c r="E46">
        <v>-3.4073728969569999</v>
      </c>
    </row>
    <row r="47" spans="2:6" x14ac:dyDescent="0.45">
      <c r="B47">
        <v>37</v>
      </c>
      <c r="C47" t="s">
        <v>116</v>
      </c>
      <c r="D47" t="s">
        <v>66</v>
      </c>
      <c r="E47" s="398">
        <v>-0.20680800883100001</v>
      </c>
      <c r="F47" s="398"/>
    </row>
    <row r="48" spans="2:6" x14ac:dyDescent="0.45">
      <c r="B48">
        <v>38</v>
      </c>
      <c r="C48" s="398" t="s">
        <v>117</v>
      </c>
      <c r="D48" s="398" t="s">
        <v>66</v>
      </c>
      <c r="E48" s="398">
        <v>9.2439693264999998E-2</v>
      </c>
    </row>
    <row r="49" spans="2:6" x14ac:dyDescent="0.45">
      <c r="B49">
        <v>39</v>
      </c>
      <c r="C49" t="s">
        <v>118</v>
      </c>
      <c r="D49" t="s">
        <v>66</v>
      </c>
      <c r="E49" s="398">
        <v>0.106344988665</v>
      </c>
      <c r="F49" s="398"/>
    </row>
    <row r="50" spans="2:6" x14ac:dyDescent="0.45">
      <c r="B50">
        <v>40</v>
      </c>
      <c r="C50" t="s">
        <v>119</v>
      </c>
      <c r="D50" t="s">
        <v>66</v>
      </c>
      <c r="E50" s="398">
        <v>-0.28428116513000001</v>
      </c>
      <c r="F50" s="398"/>
    </row>
    <row r="51" spans="2:6" x14ac:dyDescent="0.45">
      <c r="B51">
        <v>41</v>
      </c>
      <c r="C51" t="s">
        <v>120</v>
      </c>
      <c r="D51" t="s">
        <v>66</v>
      </c>
      <c r="E51">
        <v>0.20427640591999999</v>
      </c>
      <c r="F51" s="398"/>
    </row>
    <row r="52" spans="2:6" x14ac:dyDescent="0.45">
      <c r="B52">
        <v>42</v>
      </c>
      <c r="C52" t="s">
        <v>121</v>
      </c>
      <c r="D52" t="s">
        <v>66</v>
      </c>
      <c r="E52" s="398">
        <v>-9.2217629617999994E-2</v>
      </c>
      <c r="F52" s="398"/>
    </row>
    <row r="53" spans="2:6" x14ac:dyDescent="0.45">
      <c r="B53">
        <v>43</v>
      </c>
      <c r="C53" t="s">
        <v>122</v>
      </c>
      <c r="D53" t="s">
        <v>66</v>
      </c>
      <c r="E53" s="398">
        <v>9.2552474014000005E-2</v>
      </c>
    </row>
    <row r="54" spans="2:6" x14ac:dyDescent="0.45">
      <c r="B54">
        <v>44</v>
      </c>
      <c r="C54" t="s">
        <v>123</v>
      </c>
      <c r="D54" t="s">
        <v>66</v>
      </c>
      <c r="E54">
        <v>0.13432791103399999</v>
      </c>
    </row>
    <row r="55" spans="2:6" x14ac:dyDescent="0.45">
      <c r="B55">
        <v>45</v>
      </c>
      <c r="C55" t="s">
        <v>124</v>
      </c>
      <c r="D55" t="s">
        <v>66</v>
      </c>
      <c r="E55">
        <v>0.17819872261700001</v>
      </c>
    </row>
    <row r="56" spans="2:6" x14ac:dyDescent="0.45">
      <c r="B56">
        <v>46</v>
      </c>
      <c r="C56" t="s">
        <v>125</v>
      </c>
      <c r="D56" t="s">
        <v>66</v>
      </c>
      <c r="E56" s="398">
        <v>-0.16252205685099999</v>
      </c>
      <c r="F56" s="398"/>
    </row>
    <row r="57" spans="2:6" x14ac:dyDescent="0.45">
      <c r="B57">
        <v>47</v>
      </c>
      <c r="C57" s="398" t="s">
        <v>126</v>
      </c>
      <c r="D57" s="398" t="s">
        <v>66</v>
      </c>
      <c r="E57" s="398">
        <v>-3.2310910237949999</v>
      </c>
      <c r="F57" s="398"/>
    </row>
    <row r="58" spans="2:6" x14ac:dyDescent="0.45">
      <c r="B58">
        <v>48</v>
      </c>
      <c r="C58" t="s">
        <v>127</v>
      </c>
      <c r="D58" t="s">
        <v>66</v>
      </c>
      <c r="E58" s="398">
        <v>-6.9722067920999997E-2</v>
      </c>
      <c r="F58" s="398"/>
    </row>
    <row r="59" spans="2:6" x14ac:dyDescent="0.45">
      <c r="B59">
        <v>49</v>
      </c>
      <c r="C59" s="398" t="s">
        <v>128</v>
      </c>
      <c r="D59" s="398" t="s">
        <v>66</v>
      </c>
      <c r="E59" s="398">
        <v>0.360092886946</v>
      </c>
      <c r="F59" s="398"/>
    </row>
    <row r="60" spans="2:6" x14ac:dyDescent="0.45">
      <c r="B60">
        <v>50</v>
      </c>
      <c r="C60" t="s">
        <v>129</v>
      </c>
      <c r="D60" t="s">
        <v>66</v>
      </c>
      <c r="E60">
        <v>-3.6870204875549999</v>
      </c>
      <c r="F60" s="398"/>
    </row>
    <row r="61" spans="2:6" x14ac:dyDescent="0.45">
      <c r="B61">
        <v>51</v>
      </c>
      <c r="C61" t="s">
        <v>130</v>
      </c>
      <c r="D61" t="s">
        <v>66</v>
      </c>
      <c r="E61" s="398">
        <v>0.15977089868200001</v>
      </c>
      <c r="F61" s="398"/>
    </row>
    <row r="62" spans="2:6" x14ac:dyDescent="0.45">
      <c r="B62">
        <v>52</v>
      </c>
      <c r="C62" t="s">
        <v>131</v>
      </c>
      <c r="D62" t="s">
        <v>66</v>
      </c>
      <c r="E62">
        <v>-1.9846514120350001</v>
      </c>
    </row>
    <row r="63" spans="2:6" x14ac:dyDescent="0.45">
      <c r="B63">
        <v>53</v>
      </c>
      <c r="C63" t="s">
        <v>132</v>
      </c>
      <c r="D63" t="s">
        <v>66</v>
      </c>
      <c r="E63" s="398">
        <v>6.8361054704999993E-2</v>
      </c>
    </row>
    <row r="64" spans="2:6" x14ac:dyDescent="0.45">
      <c r="B64">
        <v>54</v>
      </c>
      <c r="C64" t="s">
        <v>133</v>
      </c>
      <c r="D64" t="s">
        <v>66</v>
      </c>
      <c r="E64" s="398">
        <v>-0.23833241202200001</v>
      </c>
      <c r="F64" s="398"/>
    </row>
    <row r="65" spans="2:6" x14ac:dyDescent="0.45">
      <c r="B65">
        <v>55</v>
      </c>
      <c r="C65" t="s">
        <v>134</v>
      </c>
      <c r="D65" t="s">
        <v>66</v>
      </c>
      <c r="E65" s="398">
        <v>0.21826898786500001</v>
      </c>
      <c r="F65" s="398"/>
    </row>
    <row r="66" spans="2:6" x14ac:dyDescent="0.45">
      <c r="B66">
        <v>56</v>
      </c>
      <c r="C66" t="s">
        <v>135</v>
      </c>
      <c r="D66" t="s">
        <v>66</v>
      </c>
      <c r="E66">
        <v>0.52843873415800002</v>
      </c>
      <c r="F66" s="398"/>
    </row>
    <row r="67" spans="2:6" x14ac:dyDescent="0.45">
      <c r="B67">
        <v>57</v>
      </c>
      <c r="C67" s="398" t="s">
        <v>136</v>
      </c>
      <c r="D67" s="398" t="s">
        <v>66</v>
      </c>
      <c r="E67" s="398">
        <v>-0.62206095057199995</v>
      </c>
    </row>
    <row r="68" spans="2:6" x14ac:dyDescent="0.45">
      <c r="B68">
        <v>60</v>
      </c>
      <c r="C68" s="398" t="s">
        <v>137</v>
      </c>
      <c r="D68" s="398" t="s">
        <v>66</v>
      </c>
      <c r="E68" s="398">
        <v>0.18914184867700001</v>
      </c>
      <c r="F68" s="398"/>
    </row>
    <row r="69" spans="2:6" x14ac:dyDescent="0.45">
      <c r="B69">
        <v>61</v>
      </c>
      <c r="C69" t="s">
        <v>138</v>
      </c>
      <c r="D69" t="s">
        <v>67</v>
      </c>
      <c r="E69">
        <v>0</v>
      </c>
    </row>
    <row r="70" spans="2:6" x14ac:dyDescent="0.45">
      <c r="B70">
        <v>62</v>
      </c>
      <c r="C70" t="s">
        <v>139</v>
      </c>
      <c r="D70" t="s">
        <v>66</v>
      </c>
      <c r="E70" s="398">
        <v>-2.3818730558799999</v>
      </c>
      <c r="F70" s="398"/>
    </row>
    <row r="71" spans="2:6" x14ac:dyDescent="0.45">
      <c r="B71">
        <v>63</v>
      </c>
      <c r="C71" t="s">
        <v>140</v>
      </c>
      <c r="D71" t="s">
        <v>66</v>
      </c>
      <c r="E71">
        <v>-12.7221900232</v>
      </c>
    </row>
    <row r="72" spans="2:6" x14ac:dyDescent="0.45">
      <c r="B72">
        <v>64</v>
      </c>
      <c r="C72" t="s">
        <v>141</v>
      </c>
      <c r="D72" t="s">
        <v>67</v>
      </c>
      <c r="E72">
        <v>0</v>
      </c>
    </row>
    <row r="73" spans="2:6" x14ac:dyDescent="0.45">
      <c r="B73">
        <v>65</v>
      </c>
      <c r="C73" t="s">
        <v>142</v>
      </c>
      <c r="D73" t="s">
        <v>66</v>
      </c>
      <c r="E73" s="398">
        <v>-7.2051774658100003</v>
      </c>
      <c r="F73" s="398"/>
    </row>
    <row r="74" spans="2:6" x14ac:dyDescent="0.45">
      <c r="B74">
        <v>66</v>
      </c>
      <c r="C74" t="s">
        <v>143</v>
      </c>
      <c r="D74" t="s">
        <v>67</v>
      </c>
      <c r="E74">
        <v>0</v>
      </c>
    </row>
    <row r="75" spans="2:6" x14ac:dyDescent="0.45">
      <c r="B75">
        <v>67</v>
      </c>
      <c r="C75" t="s">
        <v>144</v>
      </c>
      <c r="D75" t="s">
        <v>66</v>
      </c>
      <c r="E75">
        <v>-16.884265301199999</v>
      </c>
      <c r="F75" s="398"/>
    </row>
    <row r="76" spans="2:6" x14ac:dyDescent="0.45">
      <c r="B76">
        <v>68</v>
      </c>
      <c r="C76" t="s">
        <v>145</v>
      </c>
      <c r="D76" t="s">
        <v>67</v>
      </c>
      <c r="E76">
        <v>0</v>
      </c>
    </row>
    <row r="77" spans="2:6" x14ac:dyDescent="0.45">
      <c r="B77">
        <v>69</v>
      </c>
      <c r="C77" s="398" t="s">
        <v>146</v>
      </c>
      <c r="D77" s="398" t="s">
        <v>67</v>
      </c>
      <c r="E77" s="398">
        <v>0</v>
      </c>
    </row>
    <row r="78" spans="2:6" x14ac:dyDescent="0.45">
      <c r="B78">
        <v>70</v>
      </c>
      <c r="C78" t="s">
        <v>147</v>
      </c>
      <c r="D78" t="s">
        <v>66</v>
      </c>
      <c r="E78">
        <v>-3.1062233178100001</v>
      </c>
    </row>
    <row r="79" spans="2:6" x14ac:dyDescent="0.45">
      <c r="B79">
        <v>71</v>
      </c>
      <c r="C79" t="s">
        <v>148</v>
      </c>
      <c r="D79" t="s">
        <v>66</v>
      </c>
      <c r="E79">
        <v>-30.427810062700001</v>
      </c>
    </row>
    <row r="80" spans="2:6" x14ac:dyDescent="0.45">
      <c r="B80">
        <v>72</v>
      </c>
      <c r="C80" t="s">
        <v>149</v>
      </c>
      <c r="D80" t="s">
        <v>67</v>
      </c>
      <c r="E80">
        <v>0</v>
      </c>
    </row>
    <row r="81" spans="2:5" x14ac:dyDescent="0.45">
      <c r="B81">
        <v>73</v>
      </c>
      <c r="C81" t="s">
        <v>150</v>
      </c>
      <c r="D81" t="s">
        <v>66</v>
      </c>
      <c r="E81">
        <v>-7.3954728104100003</v>
      </c>
    </row>
    <row r="82" spans="2:5" x14ac:dyDescent="0.45">
      <c r="B82">
        <v>74</v>
      </c>
      <c r="C82" t="s">
        <v>151</v>
      </c>
      <c r="D82" t="s">
        <v>66</v>
      </c>
      <c r="E82">
        <v>-29.792078592399999</v>
      </c>
    </row>
    <row r="83" spans="2:5" x14ac:dyDescent="0.45">
      <c r="B83">
        <v>75</v>
      </c>
      <c r="C83" t="s">
        <v>152</v>
      </c>
      <c r="D83" t="s">
        <v>66</v>
      </c>
      <c r="E83">
        <v>-18.0912924197</v>
      </c>
    </row>
    <row r="84" spans="2:5" x14ac:dyDescent="0.45">
      <c r="B84">
        <v>76</v>
      </c>
      <c r="C84" t="s">
        <v>153</v>
      </c>
      <c r="D84" t="s">
        <v>66</v>
      </c>
      <c r="E84">
        <v>-18.527273648400001</v>
      </c>
    </row>
    <row r="85" spans="2:5" x14ac:dyDescent="0.45">
      <c r="B85">
        <v>77</v>
      </c>
      <c r="C85" t="s">
        <v>154</v>
      </c>
      <c r="D85" t="s">
        <v>66</v>
      </c>
      <c r="E85">
        <v>-4.3045385028499998</v>
      </c>
    </row>
    <row r="86" spans="2:5" x14ac:dyDescent="0.45">
      <c r="B86">
        <v>78</v>
      </c>
      <c r="C86" t="s">
        <v>155</v>
      </c>
      <c r="D86" t="s">
        <v>66</v>
      </c>
      <c r="E86">
        <v>-13.6610172678</v>
      </c>
    </row>
    <row r="87" spans="2:5" x14ac:dyDescent="0.45">
      <c r="B87">
        <v>79</v>
      </c>
      <c r="C87" t="s">
        <v>156</v>
      </c>
      <c r="D87" t="s">
        <v>66</v>
      </c>
      <c r="E87">
        <v>-0.274925122292</v>
      </c>
    </row>
    <row r="88" spans="2:5" x14ac:dyDescent="0.45">
      <c r="B88">
        <v>80</v>
      </c>
      <c r="C88" t="s">
        <v>157</v>
      </c>
      <c r="D88" t="s">
        <v>67</v>
      </c>
      <c r="E88">
        <v>0</v>
      </c>
    </row>
    <row r="89" spans="2:5" x14ac:dyDescent="0.45">
      <c r="B89">
        <v>81</v>
      </c>
      <c r="C89" t="s">
        <v>158</v>
      </c>
      <c r="D89" t="s">
        <v>66</v>
      </c>
      <c r="E89">
        <v>-27.509208554699999</v>
      </c>
    </row>
    <row r="90" spans="2:5" x14ac:dyDescent="0.45">
      <c r="B90">
        <v>82</v>
      </c>
      <c r="C90" t="s">
        <v>159</v>
      </c>
      <c r="D90" t="s">
        <v>67</v>
      </c>
      <c r="E90">
        <v>0</v>
      </c>
    </row>
    <row r="91" spans="2:5" x14ac:dyDescent="0.45">
      <c r="B91">
        <v>83</v>
      </c>
      <c r="C91" t="s">
        <v>160</v>
      </c>
      <c r="D91" t="s">
        <v>66</v>
      </c>
      <c r="E91">
        <v>-19.440182544799999</v>
      </c>
    </row>
    <row r="92" spans="2:5" x14ac:dyDescent="0.45">
      <c r="B92">
        <v>84</v>
      </c>
      <c r="C92" t="s">
        <v>161</v>
      </c>
      <c r="D92" t="s">
        <v>66</v>
      </c>
      <c r="E92">
        <v>-19.0702084805</v>
      </c>
    </row>
    <row r="93" spans="2:5" x14ac:dyDescent="0.45">
      <c r="B93">
        <v>85</v>
      </c>
      <c r="C93" t="s">
        <v>162</v>
      </c>
      <c r="D93" t="s">
        <v>66</v>
      </c>
      <c r="E93">
        <v>-37.313042860899998</v>
      </c>
    </row>
    <row r="94" spans="2:5" x14ac:dyDescent="0.45">
      <c r="B94">
        <v>86</v>
      </c>
      <c r="C94" t="s">
        <v>163</v>
      </c>
      <c r="D94" t="s">
        <v>67</v>
      </c>
      <c r="E94">
        <v>0</v>
      </c>
    </row>
    <row r="95" spans="2:5" x14ac:dyDescent="0.45">
      <c r="B95">
        <v>87</v>
      </c>
      <c r="C95" t="s">
        <v>164</v>
      </c>
      <c r="D95" t="s">
        <v>66</v>
      </c>
      <c r="E95">
        <v>-22.0009051947</v>
      </c>
    </row>
    <row r="96" spans="2:5" x14ac:dyDescent="0.45">
      <c r="B96">
        <v>88</v>
      </c>
      <c r="C96" t="s">
        <v>165</v>
      </c>
      <c r="D96" t="s">
        <v>66</v>
      </c>
      <c r="E96">
        <v>-39.124170012100002</v>
      </c>
    </row>
    <row r="97" spans="2:11" x14ac:dyDescent="0.45">
      <c r="B97">
        <v>89</v>
      </c>
      <c r="C97" t="s">
        <v>166</v>
      </c>
      <c r="D97" t="s">
        <v>66</v>
      </c>
      <c r="E97">
        <v>-3.3660984088400001</v>
      </c>
    </row>
    <row r="98" spans="2:11" x14ac:dyDescent="0.45">
      <c r="B98">
        <v>90</v>
      </c>
      <c r="C98" t="s">
        <v>167</v>
      </c>
      <c r="D98" t="s">
        <v>67</v>
      </c>
      <c r="E98">
        <v>-30</v>
      </c>
    </row>
    <row r="99" spans="2:11" x14ac:dyDescent="0.45">
      <c r="B99">
        <v>91</v>
      </c>
      <c r="C99" t="s">
        <v>168</v>
      </c>
      <c r="D99" t="s">
        <v>67</v>
      </c>
      <c r="E99">
        <v>0</v>
      </c>
    </row>
    <row r="100" spans="2:11" x14ac:dyDescent="0.45">
      <c r="B100">
        <v>92</v>
      </c>
      <c r="C100" t="s">
        <v>169</v>
      </c>
      <c r="D100" t="s">
        <v>66</v>
      </c>
      <c r="E100">
        <v>-11.6311755932</v>
      </c>
    </row>
    <row r="101" spans="2:11" x14ac:dyDescent="0.45">
      <c r="B101">
        <v>93</v>
      </c>
      <c r="C101" t="s">
        <v>170</v>
      </c>
      <c r="D101" t="s">
        <v>67</v>
      </c>
      <c r="E101">
        <v>-80</v>
      </c>
    </row>
    <row r="102" spans="2:11" x14ac:dyDescent="0.45">
      <c r="B102">
        <v>94</v>
      </c>
      <c r="C102" t="s">
        <v>171</v>
      </c>
      <c r="D102" t="s">
        <v>66</v>
      </c>
      <c r="E102">
        <v>-1.0041864141200001</v>
      </c>
    </row>
    <row r="103" spans="2:11" x14ac:dyDescent="0.45">
      <c r="B103">
        <v>-1</v>
      </c>
    </row>
    <row r="104" spans="2:11" x14ac:dyDescent="0.45">
      <c r="B104">
        <v>8017</v>
      </c>
      <c r="C104" s="398">
        <v>-12462.4908885</v>
      </c>
      <c r="D104" s="398">
        <v>-30931.326016899999</v>
      </c>
      <c r="E104" s="398">
        <v>-20225.148887300002</v>
      </c>
    </row>
    <row r="105" spans="2:11" x14ac:dyDescent="0.45">
      <c r="B105">
        <v>4</v>
      </c>
      <c r="C105" t="s">
        <v>172</v>
      </c>
      <c r="D105" t="s">
        <v>64</v>
      </c>
      <c r="E105">
        <v>22</v>
      </c>
      <c r="F105" t="s">
        <v>79</v>
      </c>
      <c r="G105">
        <v>12</v>
      </c>
    </row>
    <row r="106" spans="2:11" x14ac:dyDescent="0.45">
      <c r="B106">
        <v>0</v>
      </c>
      <c r="C106">
        <v>0</v>
      </c>
      <c r="D106">
        <v>24220</v>
      </c>
      <c r="E106">
        <v>0</v>
      </c>
      <c r="F106">
        <v>-6189</v>
      </c>
      <c r="G106">
        <v>-76508</v>
      </c>
      <c r="H106">
        <v>0</v>
      </c>
      <c r="I106">
        <v>3617</v>
      </c>
      <c r="J106">
        <v>69303</v>
      </c>
      <c r="K106">
        <v>-94243</v>
      </c>
    </row>
    <row r="107" spans="2:11" x14ac:dyDescent="0.45">
      <c r="B107">
        <v>0</v>
      </c>
      <c r="C107">
        <v>4045</v>
      </c>
      <c r="D107">
        <v>21942</v>
      </c>
      <c r="E107">
        <v>-53629</v>
      </c>
      <c r="F107">
        <v>34134</v>
      </c>
      <c r="G107">
        <v>0</v>
      </c>
      <c r="H107">
        <v>-4422</v>
      </c>
      <c r="I107">
        <v>23605</v>
      </c>
      <c r="J107">
        <v>-15581</v>
      </c>
      <c r="K107">
        <v>13286</v>
      </c>
    </row>
    <row r="108" spans="2:11" x14ac:dyDescent="0.45">
      <c r="B108">
        <v>130</v>
      </c>
      <c r="C108">
        <v>0</v>
      </c>
      <c r="D108">
        <v>-1914</v>
      </c>
      <c r="E108">
        <v>22900</v>
      </c>
      <c r="F108">
        <v>-14378</v>
      </c>
      <c r="G108">
        <v>12374</v>
      </c>
      <c r="H108">
        <v>-1625</v>
      </c>
      <c r="I108">
        <v>12368</v>
      </c>
      <c r="J108">
        <v>0</v>
      </c>
      <c r="K108">
        <v>-5771</v>
      </c>
    </row>
    <row r="109" spans="2:11" x14ac:dyDescent="0.45">
      <c r="B109">
        <v>-13645</v>
      </c>
      <c r="C109">
        <v>-10676</v>
      </c>
      <c r="D109">
        <v>7560</v>
      </c>
      <c r="E109">
        <v>13937</v>
      </c>
      <c r="F109">
        <v>1379</v>
      </c>
      <c r="G109">
        <v>1749</v>
      </c>
      <c r="H109">
        <v>0</v>
      </c>
      <c r="I109">
        <v>689</v>
      </c>
      <c r="J109">
        <v>-14201</v>
      </c>
      <c r="K109">
        <v>3957</v>
      </c>
    </row>
    <row r="110" spans="2:11" x14ac:dyDescent="0.45">
      <c r="B110">
        <v>-1911</v>
      </c>
      <c r="C110">
        <v>-4635</v>
      </c>
      <c r="D110">
        <v>518</v>
      </c>
      <c r="E110">
        <v>-162</v>
      </c>
      <c r="F110">
        <v>26365</v>
      </c>
      <c r="G110">
        <v>0</v>
      </c>
      <c r="H110">
        <v>-1893</v>
      </c>
      <c r="I110">
        <v>-5875</v>
      </c>
      <c r="J110">
        <v>-3936</v>
      </c>
      <c r="K110">
        <v>2524</v>
      </c>
    </row>
    <row r="111" spans="2:11" x14ac:dyDescent="0.45">
      <c r="B111">
        <v>4988</v>
      </c>
      <c r="C111">
        <v>-781</v>
      </c>
      <c r="D111">
        <v>60</v>
      </c>
      <c r="E111">
        <v>21050</v>
      </c>
      <c r="F111">
        <v>9933</v>
      </c>
      <c r="G111">
        <v>0</v>
      </c>
      <c r="H111">
        <v>2292</v>
      </c>
      <c r="I111">
        <v>-9933</v>
      </c>
      <c r="J111">
        <v>38</v>
      </c>
      <c r="K111">
        <v>838</v>
      </c>
    </row>
    <row r="112" spans="2:11" x14ac:dyDescent="0.45">
      <c r="B112">
        <v>2413</v>
      </c>
      <c r="C112">
        <v>-2165</v>
      </c>
      <c r="D112">
        <v>-2233</v>
      </c>
      <c r="E112">
        <v>826</v>
      </c>
      <c r="F112">
        <v>-4384</v>
      </c>
      <c r="G112">
        <v>3662</v>
      </c>
      <c r="H112">
        <v>0</v>
      </c>
      <c r="I112">
        <v>-911</v>
      </c>
      <c r="J112">
        <v>-20416</v>
      </c>
      <c r="K112">
        <v>-15246</v>
      </c>
    </row>
    <row r="113" spans="2:11" x14ac:dyDescent="0.45">
      <c r="B113">
        <v>11838</v>
      </c>
      <c r="C113">
        <v>19280</v>
      </c>
      <c r="D113">
        <v>-1601</v>
      </c>
      <c r="E113">
        <v>-1284</v>
      </c>
      <c r="F113">
        <v>-7796</v>
      </c>
      <c r="G113">
        <v>-1239</v>
      </c>
      <c r="H113">
        <v>-2852</v>
      </c>
      <c r="I113">
        <v>6460</v>
      </c>
      <c r="J113">
        <v>0</v>
      </c>
      <c r="K113">
        <v>4065</v>
      </c>
    </row>
    <row r="114" spans="2:11" x14ac:dyDescent="0.45">
      <c r="B114">
        <v>561</v>
      </c>
      <c r="C114">
        <v>-344</v>
      </c>
      <c r="D114">
        <v>279</v>
      </c>
      <c r="E114">
        <v>901</v>
      </c>
      <c r="F114">
        <v>-42667</v>
      </c>
      <c r="G114">
        <v>-214</v>
      </c>
      <c r="H114">
        <v>392</v>
      </c>
      <c r="I114">
        <v>-212</v>
      </c>
      <c r="J114">
        <v>1200</v>
      </c>
      <c r="K114">
        <v>275</v>
      </c>
    </row>
    <row r="115" spans="2:11" x14ac:dyDescent="0.45">
      <c r="B115">
        <v>-2195</v>
      </c>
      <c r="C115">
        <v>0</v>
      </c>
      <c r="D115">
        <v>-6094</v>
      </c>
      <c r="E115">
        <v>-1314</v>
      </c>
      <c r="F115">
        <v>867</v>
      </c>
      <c r="G115">
        <v>-787</v>
      </c>
      <c r="H115">
        <v>-431</v>
      </c>
      <c r="I115">
        <v>-1023</v>
      </c>
      <c r="J115">
        <v>-12033</v>
      </c>
      <c r="K115">
        <v>-2500</v>
      </c>
    </row>
    <row r="116" spans="2:11" x14ac:dyDescent="0.45">
      <c r="B116">
        <v>-985</v>
      </c>
      <c r="C116">
        <v>-266</v>
      </c>
      <c r="D116">
        <v>-7</v>
      </c>
      <c r="E116">
        <v>734</v>
      </c>
      <c r="F116">
        <v>267</v>
      </c>
      <c r="G116">
        <v>0</v>
      </c>
      <c r="H116">
        <v>4511</v>
      </c>
      <c r="I116">
        <v>-3366</v>
      </c>
      <c r="J116">
        <v>630</v>
      </c>
      <c r="K116">
        <v>-843</v>
      </c>
    </row>
    <row r="117" spans="2:11" x14ac:dyDescent="0.45">
      <c r="B117">
        <v>267</v>
      </c>
      <c r="C117">
        <v>-1682</v>
      </c>
      <c r="D117">
        <v>-7547</v>
      </c>
      <c r="E117">
        <v>-2721</v>
      </c>
      <c r="F117">
        <v>1586</v>
      </c>
      <c r="G117">
        <v>-1629</v>
      </c>
      <c r="H117">
        <v>-9469</v>
      </c>
      <c r="I117">
        <v>11883</v>
      </c>
      <c r="J117">
        <v>898</v>
      </c>
      <c r="K117">
        <v>4432</v>
      </c>
    </row>
    <row r="118" spans="2:11" x14ac:dyDescent="0.45">
      <c r="B118">
        <v>0</v>
      </c>
      <c r="C118">
        <v>-7157</v>
      </c>
      <c r="D118">
        <v>872</v>
      </c>
      <c r="E118">
        <v>1285</v>
      </c>
      <c r="F118">
        <v>-1365</v>
      </c>
      <c r="G118">
        <v>-691</v>
      </c>
      <c r="H118">
        <v>1062</v>
      </c>
      <c r="I118">
        <v>-21181</v>
      </c>
      <c r="J118">
        <v>1277</v>
      </c>
      <c r="K118">
        <v>-211</v>
      </c>
    </row>
    <row r="119" spans="2:11" x14ac:dyDescent="0.45">
      <c r="B119">
        <v>785</v>
      </c>
      <c r="C119">
        <v>542</v>
      </c>
      <c r="D119">
        <v>-11527</v>
      </c>
      <c r="E119">
        <v>-1155</v>
      </c>
      <c r="F119">
        <v>1147</v>
      </c>
      <c r="G119">
        <v>-12171</v>
      </c>
      <c r="H119">
        <v>0</v>
      </c>
      <c r="I119">
        <v>307</v>
      </c>
      <c r="J119">
        <v>-898</v>
      </c>
      <c r="K119">
        <v>-3897</v>
      </c>
    </row>
    <row r="120" spans="2:11" x14ac:dyDescent="0.45">
      <c r="B120">
        <v>2964</v>
      </c>
      <c r="C120">
        <v>5200</v>
      </c>
      <c r="D120">
        <v>-59570</v>
      </c>
      <c r="E120">
        <v>-1033</v>
      </c>
      <c r="F120">
        <v>-67</v>
      </c>
      <c r="G120">
        <v>-169</v>
      </c>
      <c r="H120">
        <v>374</v>
      </c>
      <c r="I120">
        <v>4955</v>
      </c>
      <c r="J120">
        <v>9060</v>
      </c>
      <c r="K120">
        <v>-7921</v>
      </c>
    </row>
    <row r="121" spans="2:11" x14ac:dyDescent="0.45">
      <c r="B121">
        <v>908</v>
      </c>
      <c r="C121">
        <v>-1984</v>
      </c>
      <c r="D121">
        <v>-763</v>
      </c>
      <c r="E121">
        <v>0</v>
      </c>
      <c r="F121">
        <v>-443</v>
      </c>
      <c r="G121">
        <v>159</v>
      </c>
      <c r="H121">
        <v>-4324</v>
      </c>
      <c r="I121">
        <v>3084</v>
      </c>
      <c r="J121">
        <v>5267</v>
      </c>
      <c r="K121">
        <v>-507</v>
      </c>
    </row>
    <row r="122" spans="2:11" x14ac:dyDescent="0.45">
      <c r="B122">
        <v>-63429</v>
      </c>
      <c r="C122">
        <v>257</v>
      </c>
      <c r="D122">
        <v>69</v>
      </c>
      <c r="E122">
        <v>-65</v>
      </c>
      <c r="F122">
        <v>7322</v>
      </c>
      <c r="G122">
        <v>7555</v>
      </c>
      <c r="H122">
        <v>493</v>
      </c>
      <c r="I122">
        <v>4319</v>
      </c>
      <c r="J122">
        <v>-15615</v>
      </c>
      <c r="K122">
        <v>6677</v>
      </c>
    </row>
    <row r="123" spans="2:11" x14ac:dyDescent="0.45">
      <c r="B123">
        <v>1336</v>
      </c>
      <c r="C123">
        <v>0</v>
      </c>
      <c r="D123">
        <v>364</v>
      </c>
      <c r="E123">
        <v>2460</v>
      </c>
      <c r="F123">
        <v>-2090</v>
      </c>
      <c r="G123">
        <v>1676</v>
      </c>
      <c r="H123">
        <v>-356</v>
      </c>
      <c r="I123">
        <v>-602</v>
      </c>
      <c r="J123">
        <v>-4843</v>
      </c>
      <c r="K123">
        <v>220</v>
      </c>
    </row>
    <row r="124" spans="2:11" x14ac:dyDescent="0.45">
      <c r="B124">
        <v>1253</v>
      </c>
      <c r="C124">
        <v>89</v>
      </c>
      <c r="D124">
        <v>-1463</v>
      </c>
      <c r="E124">
        <v>-321</v>
      </c>
      <c r="F124">
        <v>1128</v>
      </c>
      <c r="G124">
        <v>1481</v>
      </c>
      <c r="H124">
        <v>520</v>
      </c>
      <c r="I124">
        <v>-693</v>
      </c>
      <c r="J124">
        <v>-1616</v>
      </c>
      <c r="K124">
        <v>512</v>
      </c>
    </row>
    <row r="125" spans="2:11" x14ac:dyDescent="0.45">
      <c r="B125">
        <v>0</v>
      </c>
      <c r="C125">
        <v>386</v>
      </c>
      <c r="D125">
        <v>390</v>
      </c>
      <c r="E125">
        <v>-235</v>
      </c>
      <c r="F125">
        <v>178</v>
      </c>
      <c r="G125">
        <v>383</v>
      </c>
      <c r="H125">
        <v>-4348</v>
      </c>
      <c r="I125">
        <v>2264</v>
      </c>
      <c r="J125">
        <v>99</v>
      </c>
      <c r="K125">
        <v>1324</v>
      </c>
    </row>
    <row r="126" spans="2:11" x14ac:dyDescent="0.45">
      <c r="B126">
        <v>-78</v>
      </c>
      <c r="C126">
        <v>902</v>
      </c>
      <c r="D126">
        <v>-637</v>
      </c>
      <c r="E126">
        <v>1206</v>
      </c>
      <c r="F126">
        <v>-1613</v>
      </c>
      <c r="G126">
        <v>-754</v>
      </c>
      <c r="H126">
        <v>901</v>
      </c>
      <c r="I126">
        <v>5303</v>
      </c>
      <c r="J126">
        <v>-878</v>
      </c>
      <c r="K126">
        <v>-24826</v>
      </c>
    </row>
    <row r="127" spans="2:11" x14ac:dyDescent="0.45">
      <c r="B127">
        <v>0</v>
      </c>
      <c r="C127">
        <v>344</v>
      </c>
      <c r="D127">
        <v>-402</v>
      </c>
      <c r="E127">
        <v>695</v>
      </c>
      <c r="F127">
        <v>-543</v>
      </c>
      <c r="G127">
        <v>-501</v>
      </c>
      <c r="H127">
        <v>-628</v>
      </c>
      <c r="I127">
        <v>-643</v>
      </c>
      <c r="J127">
        <v>-302</v>
      </c>
      <c r="K127">
        <v>77</v>
      </c>
    </row>
    <row r="128" spans="2:11" x14ac:dyDescent="0.45">
      <c r="B128">
        <v>-368</v>
      </c>
      <c r="C128">
        <v>-341</v>
      </c>
      <c r="D128">
        <v>-619</v>
      </c>
      <c r="E128">
        <v>1419</v>
      </c>
      <c r="F128">
        <v>198</v>
      </c>
      <c r="G128">
        <v>308</v>
      </c>
      <c r="H128">
        <v>646</v>
      </c>
      <c r="I128">
        <v>-1248</v>
      </c>
      <c r="J128">
        <v>654</v>
      </c>
      <c r="K128">
        <v>-4455</v>
      </c>
    </row>
    <row r="129" spans="2:11" x14ac:dyDescent="0.45">
      <c r="B129">
        <v>-12918</v>
      </c>
      <c r="C129">
        <v>0</v>
      </c>
      <c r="D129">
        <v>34</v>
      </c>
      <c r="E129">
        <v>-25502</v>
      </c>
      <c r="F129">
        <v>26901</v>
      </c>
      <c r="G129">
        <v>-24777</v>
      </c>
      <c r="H129">
        <v>-7269</v>
      </c>
      <c r="I129">
        <v>1312</v>
      </c>
      <c r="J129">
        <v>-7039</v>
      </c>
      <c r="K129">
        <v>-1544</v>
      </c>
    </row>
    <row r="130" spans="2:11" x14ac:dyDescent="0.45">
      <c r="B130">
        <v>2880</v>
      </c>
      <c r="C130">
        <v>-1531</v>
      </c>
      <c r="D130">
        <v>2942</v>
      </c>
      <c r="E130">
        <v>-3471</v>
      </c>
      <c r="F130">
        <v>133</v>
      </c>
      <c r="G130">
        <v>-763</v>
      </c>
      <c r="H130">
        <v>2048</v>
      </c>
      <c r="I130">
        <v>-585</v>
      </c>
      <c r="J130">
        <v>-9011</v>
      </c>
      <c r="K130">
        <v>-1402</v>
      </c>
    </row>
    <row r="131" spans="2:11" x14ac:dyDescent="0.45">
      <c r="B131">
        <v>-1578</v>
      </c>
      <c r="C131">
        <v>-742</v>
      </c>
      <c r="D131">
        <v>216</v>
      </c>
      <c r="E131">
        <v>0</v>
      </c>
      <c r="F131">
        <v>-1046</v>
      </c>
      <c r="G131">
        <v>35605</v>
      </c>
      <c r="H131">
        <v>-47198</v>
      </c>
      <c r="I131">
        <v>45955</v>
      </c>
      <c r="J131">
        <v>19696</v>
      </c>
      <c r="K131">
        <v>1376</v>
      </c>
    </row>
    <row r="132" spans="2:11" x14ac:dyDescent="0.45">
      <c r="B132">
        <v>6781</v>
      </c>
      <c r="C132">
        <v>2599</v>
      </c>
      <c r="D132">
        <v>-3339</v>
      </c>
      <c r="E132">
        <v>2455</v>
      </c>
      <c r="F132">
        <v>-1293</v>
      </c>
      <c r="G132">
        <v>7202</v>
      </c>
      <c r="H132">
        <v>427</v>
      </c>
      <c r="I132">
        <v>321</v>
      </c>
      <c r="J132">
        <v>-1680</v>
      </c>
      <c r="K132">
        <v>32</v>
      </c>
    </row>
    <row r="133" spans="2:11" x14ac:dyDescent="0.45">
      <c r="B133">
        <v>7137</v>
      </c>
      <c r="C133">
        <v>1978</v>
      </c>
      <c r="D133">
        <v>1678</v>
      </c>
      <c r="E133">
        <v>527</v>
      </c>
      <c r="F133">
        <v>-286</v>
      </c>
      <c r="G133">
        <v>-91194</v>
      </c>
      <c r="H133">
        <v>0</v>
      </c>
      <c r="I133">
        <v>1682</v>
      </c>
      <c r="J133">
        <v>-39928</v>
      </c>
      <c r="K133">
        <v>55791</v>
      </c>
    </row>
    <row r="134" spans="2:11" x14ac:dyDescent="0.45">
      <c r="B134">
        <v>-60872</v>
      </c>
      <c r="C134">
        <v>-14515</v>
      </c>
      <c r="D134">
        <v>-3423</v>
      </c>
      <c r="E134">
        <v>-7348</v>
      </c>
      <c r="F134">
        <v>-2581</v>
      </c>
      <c r="G134">
        <v>2607</v>
      </c>
      <c r="H134">
        <v>-1940</v>
      </c>
      <c r="I134">
        <v>301</v>
      </c>
      <c r="J134">
        <v>-8515</v>
      </c>
      <c r="K134">
        <v>-446</v>
      </c>
    </row>
    <row r="135" spans="2:11" x14ac:dyDescent="0.45">
      <c r="B135">
        <v>-101</v>
      </c>
      <c r="C135">
        <v>1356</v>
      </c>
      <c r="D135">
        <v>432</v>
      </c>
      <c r="E135">
        <v>-5618</v>
      </c>
      <c r="F135">
        <v>-1734</v>
      </c>
      <c r="G135">
        <v>-1530</v>
      </c>
      <c r="H135">
        <v>-389</v>
      </c>
      <c r="I135">
        <v>281</v>
      </c>
      <c r="J135">
        <v>78750</v>
      </c>
      <c r="K135">
        <v>-95406</v>
      </c>
    </row>
    <row r="136" spans="2:11" x14ac:dyDescent="0.45">
      <c r="B136">
        <v>0</v>
      </c>
      <c r="C136">
        <v>-1769</v>
      </c>
      <c r="D136">
        <v>-3670</v>
      </c>
      <c r="E136">
        <v>2551</v>
      </c>
      <c r="F136">
        <v>-1829</v>
      </c>
      <c r="G136">
        <v>-1425</v>
      </c>
      <c r="H136">
        <v>-8596</v>
      </c>
      <c r="I136">
        <v>-1231</v>
      </c>
      <c r="J136">
        <v>-50</v>
      </c>
      <c r="K136">
        <v>219</v>
      </c>
    </row>
    <row r="137" spans="2:11" x14ac:dyDescent="0.45">
      <c r="B137">
        <v>1086</v>
      </c>
      <c r="C137">
        <v>1373</v>
      </c>
      <c r="D137">
        <v>-90</v>
      </c>
      <c r="E137">
        <v>1578</v>
      </c>
      <c r="F137">
        <v>-1163</v>
      </c>
      <c r="G137">
        <v>318</v>
      </c>
      <c r="H137">
        <v>1039</v>
      </c>
      <c r="I137">
        <v>6019</v>
      </c>
      <c r="J137">
        <v>236</v>
      </c>
      <c r="K137">
        <v>-402</v>
      </c>
    </row>
    <row r="138" spans="2:11" x14ac:dyDescent="0.45">
      <c r="B138">
        <v>379</v>
      </c>
      <c r="C138">
        <v>21</v>
      </c>
      <c r="D138">
        <v>14682</v>
      </c>
      <c r="E138">
        <v>-10242</v>
      </c>
      <c r="F138">
        <v>7605</v>
      </c>
      <c r="G138">
        <v>0</v>
      </c>
      <c r="H138">
        <v>1020</v>
      </c>
      <c r="I138">
        <v>-2888</v>
      </c>
      <c r="J138">
        <v>-187</v>
      </c>
      <c r="K138">
        <v>-231</v>
      </c>
    </row>
    <row r="139" spans="2:11" x14ac:dyDescent="0.45">
      <c r="B139">
        <v>5348</v>
      </c>
      <c r="C139">
        <v>2877</v>
      </c>
      <c r="D139">
        <v>-24013</v>
      </c>
      <c r="E139">
        <v>176</v>
      </c>
      <c r="F139">
        <v>-708</v>
      </c>
      <c r="G139">
        <v>1241</v>
      </c>
      <c r="H139">
        <v>3292</v>
      </c>
      <c r="I139">
        <v>1262</v>
      </c>
      <c r="J139">
        <v>-861</v>
      </c>
      <c r="K139">
        <v>1623</v>
      </c>
    </row>
    <row r="140" spans="2:11" x14ac:dyDescent="0.45">
      <c r="B140">
        <v>-17983</v>
      </c>
      <c r="C140">
        <v>-451</v>
      </c>
      <c r="D140">
        <v>-3145</v>
      </c>
      <c r="E140">
        <v>24721</v>
      </c>
      <c r="F140">
        <v>459</v>
      </c>
      <c r="G140">
        <v>-994</v>
      </c>
      <c r="H140">
        <v>-50</v>
      </c>
      <c r="I140">
        <v>30403</v>
      </c>
      <c r="J140">
        <v>-19457</v>
      </c>
      <c r="K140">
        <v>13975</v>
      </c>
    </row>
    <row r="141" spans="2:11" x14ac:dyDescent="0.45">
      <c r="B141">
        <v>6263</v>
      </c>
      <c r="C141">
        <v>0</v>
      </c>
      <c r="D141">
        <v>-322</v>
      </c>
      <c r="E141">
        <v>-1970</v>
      </c>
      <c r="F141">
        <v>2398</v>
      </c>
      <c r="G141">
        <v>-1684</v>
      </c>
      <c r="H141">
        <v>-4048</v>
      </c>
      <c r="I141">
        <v>-1775</v>
      </c>
      <c r="J141">
        <v>72</v>
      </c>
      <c r="K141">
        <v>-2234</v>
      </c>
    </row>
    <row r="142" spans="2:11" x14ac:dyDescent="0.45">
      <c r="B142">
        <v>-898</v>
      </c>
      <c r="C142">
        <v>-1542</v>
      </c>
      <c r="D142">
        <v>-766</v>
      </c>
      <c r="E142">
        <v>677</v>
      </c>
      <c r="F142">
        <v>925</v>
      </c>
      <c r="G142">
        <v>-2345</v>
      </c>
      <c r="H142">
        <v>3799</v>
      </c>
      <c r="I142">
        <v>-1885</v>
      </c>
      <c r="J142">
        <v>421</v>
      </c>
      <c r="K142">
        <v>-1547</v>
      </c>
    </row>
    <row r="143" spans="2:11" x14ac:dyDescent="0.45">
      <c r="B143">
        <v>472</v>
      </c>
      <c r="C143">
        <v>15</v>
      </c>
      <c r="D143">
        <v>-25</v>
      </c>
      <c r="E143">
        <v>-879</v>
      </c>
      <c r="F143">
        <v>-753</v>
      </c>
      <c r="G143">
        <v>1313</v>
      </c>
      <c r="H143">
        <v>-185</v>
      </c>
      <c r="I143">
        <v>-43483</v>
      </c>
      <c r="J143">
        <v>0</v>
      </c>
      <c r="K143">
        <v>76</v>
      </c>
    </row>
    <row r="144" spans="2:11" x14ac:dyDescent="0.45">
      <c r="B144">
        <v>-2124</v>
      </c>
      <c r="C144">
        <v>1968</v>
      </c>
      <c r="D144">
        <v>-1111</v>
      </c>
      <c r="E144">
        <v>-3376</v>
      </c>
      <c r="F144">
        <v>68</v>
      </c>
      <c r="G144">
        <v>1801</v>
      </c>
      <c r="H144">
        <v>408</v>
      </c>
      <c r="I144">
        <v>2879</v>
      </c>
      <c r="J144">
        <v>-199</v>
      </c>
      <c r="K144">
        <v>1030</v>
      </c>
    </row>
    <row r="145" spans="2:11" x14ac:dyDescent="0.45">
      <c r="B145">
        <v>838</v>
      </c>
      <c r="C145">
        <v>795</v>
      </c>
      <c r="D145">
        <v>-17053</v>
      </c>
      <c r="E145">
        <v>5565</v>
      </c>
      <c r="F145">
        <v>-1958</v>
      </c>
      <c r="G145">
        <v>-794</v>
      </c>
      <c r="H145">
        <v>-2726</v>
      </c>
      <c r="I145">
        <v>105</v>
      </c>
      <c r="J145">
        <v>230</v>
      </c>
      <c r="K145">
        <v>-2</v>
      </c>
    </row>
    <row r="146" spans="2:11" x14ac:dyDescent="0.45">
      <c r="B146">
        <v>5002</v>
      </c>
      <c r="C146">
        <v>-3425</v>
      </c>
      <c r="D146">
        <v>2342</v>
      </c>
      <c r="E146">
        <v>-9232</v>
      </c>
      <c r="F146">
        <v>-27660</v>
      </c>
      <c r="G146">
        <v>16391</v>
      </c>
      <c r="H146">
        <v>0</v>
      </c>
      <c r="I146">
        <v>-2610</v>
      </c>
      <c r="J146">
        <v>-3249</v>
      </c>
      <c r="K146">
        <v>3278</v>
      </c>
    </row>
    <row r="147" spans="2:11" x14ac:dyDescent="0.45">
      <c r="B147">
        <v>-2319</v>
      </c>
      <c r="C147">
        <v>-4124</v>
      </c>
      <c r="D147">
        <v>-5128</v>
      </c>
      <c r="E147">
        <v>-886</v>
      </c>
      <c r="F147">
        <v>-1207</v>
      </c>
      <c r="G147">
        <v>-394</v>
      </c>
      <c r="H147">
        <v>-498</v>
      </c>
      <c r="I147">
        <v>1455</v>
      </c>
      <c r="J147">
        <v>664</v>
      </c>
      <c r="K147">
        <v>1133</v>
      </c>
    </row>
    <row r="148" spans="2:11" x14ac:dyDescent="0.45">
      <c r="B148">
        <v>598</v>
      </c>
      <c r="C148">
        <v>4950</v>
      </c>
      <c r="D148">
        <v>-847</v>
      </c>
      <c r="E148">
        <v>3352</v>
      </c>
      <c r="F148">
        <v>-857</v>
      </c>
      <c r="G148">
        <v>-23</v>
      </c>
      <c r="H148">
        <v>250</v>
      </c>
      <c r="I148">
        <v>102</v>
      </c>
      <c r="J148">
        <v>-9516</v>
      </c>
      <c r="K148">
        <v>8053</v>
      </c>
    </row>
    <row r="149" spans="2:11" x14ac:dyDescent="0.45">
      <c r="B149">
        <v>-6289</v>
      </c>
      <c r="C149">
        <v>-636</v>
      </c>
      <c r="D149">
        <v>-24428</v>
      </c>
      <c r="E149">
        <v>12088</v>
      </c>
      <c r="F149">
        <v>7831</v>
      </c>
      <c r="G149">
        <v>0</v>
      </c>
      <c r="H149">
        <v>-6276</v>
      </c>
      <c r="I149">
        <v>-3290</v>
      </c>
      <c r="J149">
        <v>4119</v>
      </c>
      <c r="K149">
        <v>-2664</v>
      </c>
    </row>
    <row r="150" spans="2:11" x14ac:dyDescent="0.45">
      <c r="B150">
        <v>-6363</v>
      </c>
      <c r="C150">
        <v>-2420</v>
      </c>
      <c r="D150">
        <v>-504</v>
      </c>
      <c r="E150">
        <v>-1688</v>
      </c>
      <c r="F150">
        <v>-432</v>
      </c>
      <c r="G150">
        <v>-1056</v>
      </c>
      <c r="H150">
        <v>232</v>
      </c>
      <c r="I150">
        <v>-737</v>
      </c>
      <c r="J150">
        <v>26</v>
      </c>
      <c r="K150">
        <v>721</v>
      </c>
    </row>
    <row r="151" spans="2:11" x14ac:dyDescent="0.45">
      <c r="B151">
        <v>2946</v>
      </c>
      <c r="C151">
        <v>582</v>
      </c>
      <c r="D151">
        <v>1542</v>
      </c>
      <c r="E151">
        <v>-968</v>
      </c>
      <c r="F151">
        <v>-575</v>
      </c>
      <c r="G151">
        <v>-98</v>
      </c>
      <c r="H151">
        <v>24</v>
      </c>
      <c r="I151">
        <v>-12087</v>
      </c>
      <c r="J151">
        <v>8659</v>
      </c>
      <c r="K151">
        <v>-6233</v>
      </c>
    </row>
    <row r="152" spans="2:11" x14ac:dyDescent="0.45">
      <c r="B152">
        <v>-1637</v>
      </c>
      <c r="C152">
        <v>-21423</v>
      </c>
      <c r="D152">
        <v>9719</v>
      </c>
      <c r="E152">
        <v>5795</v>
      </c>
      <c r="F152">
        <v>50044</v>
      </c>
      <c r="G152">
        <v>0</v>
      </c>
      <c r="H152">
        <v>-1976</v>
      </c>
      <c r="I152">
        <v>-27369</v>
      </c>
      <c r="J152">
        <v>4003</v>
      </c>
      <c r="K152">
        <v>-8093</v>
      </c>
    </row>
    <row r="153" spans="2:11" x14ac:dyDescent="0.45">
      <c r="B153">
        <v>-3553</v>
      </c>
      <c r="C153">
        <v>-1796</v>
      </c>
      <c r="D153">
        <v>-1939</v>
      </c>
      <c r="E153">
        <v>4952</v>
      </c>
      <c r="F153">
        <v>1561</v>
      </c>
      <c r="G153">
        <v>6486</v>
      </c>
      <c r="H153">
        <v>4686</v>
      </c>
      <c r="I153">
        <v>33457</v>
      </c>
      <c r="J153">
        <v>764</v>
      </c>
      <c r="K153">
        <v>842</v>
      </c>
    </row>
    <row r="154" spans="2:11" x14ac:dyDescent="0.45">
      <c r="B154">
        <v>6257</v>
      </c>
      <c r="C154">
        <v>851</v>
      </c>
      <c r="D154">
        <v>202</v>
      </c>
      <c r="E154">
        <v>730</v>
      </c>
      <c r="F154">
        <v>170</v>
      </c>
      <c r="G154">
        <v>-1075</v>
      </c>
      <c r="H154">
        <v>-95</v>
      </c>
      <c r="I154">
        <v>-2412</v>
      </c>
      <c r="J154">
        <v>2981</v>
      </c>
      <c r="K154">
        <v>-1630</v>
      </c>
    </row>
    <row r="155" spans="2:11" x14ac:dyDescent="0.45">
      <c r="B155">
        <v>-552</v>
      </c>
      <c r="C155">
        <v>-2495</v>
      </c>
      <c r="D155">
        <v>3070</v>
      </c>
      <c r="E155">
        <v>405</v>
      </c>
      <c r="F155">
        <v>1136</v>
      </c>
      <c r="G155">
        <v>-169</v>
      </c>
      <c r="H155">
        <v>0</v>
      </c>
      <c r="I155">
        <v>-179</v>
      </c>
      <c r="J155">
        <v>119</v>
      </c>
      <c r="K155">
        <v>-726</v>
      </c>
    </row>
    <row r="156" spans="2:11" x14ac:dyDescent="0.45">
      <c r="B156">
        <v>671</v>
      </c>
      <c r="C156">
        <v>333</v>
      </c>
      <c r="D156">
        <v>-1328</v>
      </c>
      <c r="E156">
        <v>863</v>
      </c>
      <c r="F156">
        <v>421</v>
      </c>
      <c r="G156">
        <v>734</v>
      </c>
      <c r="H156">
        <v>241</v>
      </c>
      <c r="I156">
        <v>57</v>
      </c>
      <c r="J156">
        <v>617</v>
      </c>
      <c r="K156">
        <v>612</v>
      </c>
    </row>
    <row r="157" spans="2:11" x14ac:dyDescent="0.45">
      <c r="B157">
        <v>367</v>
      </c>
      <c r="C157">
        <v>1681</v>
      </c>
      <c r="D157">
        <v>-277</v>
      </c>
      <c r="E157">
        <v>282</v>
      </c>
      <c r="F157">
        <v>-257</v>
      </c>
      <c r="G157">
        <v>-2809</v>
      </c>
      <c r="H157">
        <v>-1758</v>
      </c>
      <c r="I157">
        <v>-1035</v>
      </c>
      <c r="J157">
        <v>-736</v>
      </c>
      <c r="K157">
        <v>650</v>
      </c>
    </row>
    <row r="158" spans="2:11" x14ac:dyDescent="0.45">
      <c r="B158">
        <v>-598</v>
      </c>
      <c r="C158">
        <v>116</v>
      </c>
      <c r="D158">
        <v>-226</v>
      </c>
      <c r="E158">
        <v>-772</v>
      </c>
      <c r="F158">
        <v>-227</v>
      </c>
      <c r="G158">
        <v>-501</v>
      </c>
      <c r="H158">
        <v>-380</v>
      </c>
      <c r="I158">
        <v>466</v>
      </c>
      <c r="J158">
        <v>0</v>
      </c>
      <c r="K158">
        <v>-573</v>
      </c>
    </row>
    <row r="159" spans="2:11" x14ac:dyDescent="0.45">
      <c r="B159">
        <v>1410</v>
      </c>
      <c r="C159">
        <v>-1073</v>
      </c>
      <c r="D159">
        <v>811</v>
      </c>
      <c r="E159">
        <v>314</v>
      </c>
      <c r="F159">
        <v>-2779</v>
      </c>
      <c r="G159">
        <v>1267</v>
      </c>
      <c r="H159">
        <v>-461</v>
      </c>
      <c r="I159">
        <v>-1393</v>
      </c>
      <c r="J159">
        <v>-85</v>
      </c>
      <c r="K159">
        <v>-1489</v>
      </c>
    </row>
    <row r="160" spans="2:11" x14ac:dyDescent="0.45">
      <c r="B160">
        <v>-1447</v>
      </c>
      <c r="C160">
        <v>-561</v>
      </c>
      <c r="D160">
        <v>-293</v>
      </c>
      <c r="E160">
        <v>149</v>
      </c>
      <c r="F160">
        <v>1702</v>
      </c>
      <c r="G160">
        <v>1704</v>
      </c>
      <c r="H160">
        <v>-855</v>
      </c>
      <c r="I160">
        <v>-9492</v>
      </c>
      <c r="J160">
        <v>-10336</v>
      </c>
      <c r="K160">
        <v>-468</v>
      </c>
    </row>
    <row r="161" spans="2:11" x14ac:dyDescent="0.45">
      <c r="B161">
        <v>550</v>
      </c>
      <c r="C161">
        <v>-266</v>
      </c>
      <c r="D161">
        <v>164</v>
      </c>
      <c r="E161">
        <v>685</v>
      </c>
      <c r="F161">
        <v>-62</v>
      </c>
      <c r="G161">
        <v>393</v>
      </c>
      <c r="H161">
        <v>-154</v>
      </c>
      <c r="I161">
        <v>-355</v>
      </c>
      <c r="J161">
        <v>1158</v>
      </c>
      <c r="K161">
        <v>6631</v>
      </c>
    </row>
    <row r="162" spans="2:11" x14ac:dyDescent="0.45">
      <c r="B162">
        <v>699</v>
      </c>
      <c r="C162">
        <v>0</v>
      </c>
      <c r="D162">
        <v>186</v>
      </c>
      <c r="E162">
        <v>1065</v>
      </c>
      <c r="F162">
        <v>-460</v>
      </c>
      <c r="G162">
        <v>-432</v>
      </c>
      <c r="H162">
        <v>361</v>
      </c>
      <c r="I162">
        <v>524</v>
      </c>
      <c r="J162">
        <v>-599</v>
      </c>
      <c r="K162">
        <v>415</v>
      </c>
    </row>
    <row r="163" spans="2:11" x14ac:dyDescent="0.45">
      <c r="B163">
        <v>550</v>
      </c>
      <c r="C163">
        <v>327</v>
      </c>
      <c r="D163">
        <v>169</v>
      </c>
      <c r="E163">
        <v>-170</v>
      </c>
      <c r="F163">
        <v>386</v>
      </c>
      <c r="G163">
        <v>455</v>
      </c>
      <c r="H163">
        <v>-67</v>
      </c>
      <c r="I163">
        <v>-2565</v>
      </c>
      <c r="J163">
        <v>373</v>
      </c>
      <c r="K163">
        <v>921</v>
      </c>
    </row>
    <row r="164" spans="2:11" x14ac:dyDescent="0.45">
      <c r="B164">
        <v>-13848</v>
      </c>
      <c r="C164">
        <v>5049</v>
      </c>
      <c r="D164">
        <v>1475</v>
      </c>
      <c r="E164">
        <v>-426</v>
      </c>
      <c r="F164">
        <v>287</v>
      </c>
      <c r="G164">
        <v>169</v>
      </c>
      <c r="H164">
        <v>-193</v>
      </c>
      <c r="I164">
        <v>246</v>
      </c>
      <c r="J164">
        <v>-67</v>
      </c>
      <c r="K164">
        <v>-22</v>
      </c>
    </row>
    <row r="165" spans="2:11" x14ac:dyDescent="0.45">
      <c r="B165">
        <v>327</v>
      </c>
      <c r="C165">
        <v>306</v>
      </c>
      <c r="D165">
        <v>4507</v>
      </c>
      <c r="E165">
        <v>330</v>
      </c>
      <c r="F165">
        <v>-8774</v>
      </c>
      <c r="G165">
        <v>0</v>
      </c>
      <c r="H165">
        <v>3986</v>
      </c>
      <c r="I165">
        <v>-19000</v>
      </c>
      <c r="J165">
        <v>5011</v>
      </c>
      <c r="K165">
        <v>-2403</v>
      </c>
    </row>
    <row r="166" spans="2:11" x14ac:dyDescent="0.45">
      <c r="B166">
        <v>-1251</v>
      </c>
      <c r="C166">
        <v>-8614</v>
      </c>
      <c r="D166">
        <v>-8021</v>
      </c>
      <c r="E166">
        <v>1752</v>
      </c>
      <c r="F166">
        <v>575</v>
      </c>
      <c r="G166">
        <v>793</v>
      </c>
      <c r="H166">
        <v>-16951</v>
      </c>
      <c r="I166">
        <v>7051</v>
      </c>
      <c r="J166">
        <v>-13</v>
      </c>
      <c r="K166">
        <v>-851</v>
      </c>
    </row>
    <row r="167" spans="2:11" x14ac:dyDescent="0.45">
      <c r="B167">
        <v>3513</v>
      </c>
      <c r="C167">
        <v>-1566</v>
      </c>
      <c r="D167">
        <v>312</v>
      </c>
      <c r="E167">
        <v>-965</v>
      </c>
      <c r="F167">
        <v>462</v>
      </c>
      <c r="G167">
        <v>-347</v>
      </c>
      <c r="H167">
        <v>134</v>
      </c>
      <c r="I167">
        <v>62</v>
      </c>
      <c r="J167">
        <v>-391</v>
      </c>
      <c r="K167">
        <v>107</v>
      </c>
    </row>
    <row r="168" spans="2:11" x14ac:dyDescent="0.45">
      <c r="B168">
        <v>125</v>
      </c>
      <c r="C168">
        <v>-274</v>
      </c>
      <c r="D168">
        <v>936</v>
      </c>
      <c r="E168">
        <v>1013</v>
      </c>
      <c r="F168">
        <v>-1184</v>
      </c>
      <c r="G168">
        <v>-596</v>
      </c>
      <c r="H168">
        <v>16658</v>
      </c>
      <c r="I168">
        <v>169</v>
      </c>
      <c r="J168">
        <v>94</v>
      </c>
      <c r="K168">
        <v>-360</v>
      </c>
    </row>
    <row r="169" spans="2:11" x14ac:dyDescent="0.45">
      <c r="B169">
        <v>0</v>
      </c>
      <c r="C169">
        <v>122</v>
      </c>
      <c r="D169">
        <v>-2775</v>
      </c>
      <c r="E169">
        <v>938</v>
      </c>
      <c r="F169">
        <v>-36</v>
      </c>
      <c r="G169">
        <v>-1842</v>
      </c>
      <c r="H169">
        <v>-6720</v>
      </c>
      <c r="I169">
        <v>-2604</v>
      </c>
      <c r="J169">
        <v>-1420</v>
      </c>
      <c r="K169">
        <v>260</v>
      </c>
    </row>
    <row r="170" spans="2:11" x14ac:dyDescent="0.45">
      <c r="B170">
        <v>-585</v>
      </c>
      <c r="C170">
        <v>-211</v>
      </c>
      <c r="D170">
        <v>-310</v>
      </c>
      <c r="E170">
        <v>4937</v>
      </c>
      <c r="F170">
        <v>-150</v>
      </c>
      <c r="G170">
        <v>-597</v>
      </c>
      <c r="H170">
        <v>811</v>
      </c>
      <c r="I170">
        <v>-16890</v>
      </c>
      <c r="J170">
        <v>434</v>
      </c>
      <c r="K170">
        <v>-800</v>
      </c>
    </row>
    <row r="171" spans="2:11" x14ac:dyDescent="0.45">
      <c r="B171">
        <v>-44</v>
      </c>
      <c r="C171">
        <v>-313</v>
      </c>
      <c r="D171">
        <v>1104</v>
      </c>
      <c r="E171">
        <v>-809</v>
      </c>
      <c r="F171">
        <v>393</v>
      </c>
      <c r="G171">
        <v>483</v>
      </c>
      <c r="H171">
        <v>-108</v>
      </c>
      <c r="I171">
        <v>952</v>
      </c>
      <c r="J171">
        <v>590</v>
      </c>
      <c r="K171">
        <v>-168</v>
      </c>
    </row>
    <row r="172" spans="2:11" x14ac:dyDescent="0.45">
      <c r="B172">
        <v>-28</v>
      </c>
      <c r="C172">
        <v>1332</v>
      </c>
      <c r="D172">
        <v>437</v>
      </c>
      <c r="E172">
        <v>740</v>
      </c>
      <c r="F172">
        <v>-75</v>
      </c>
      <c r="G172">
        <v>38571</v>
      </c>
      <c r="H172">
        <v>0</v>
      </c>
      <c r="I172">
        <v>1301</v>
      </c>
      <c r="J172">
        <v>3650</v>
      </c>
      <c r="K172">
        <v>-416</v>
      </c>
    </row>
    <row r="173" spans="2:11" x14ac:dyDescent="0.45">
      <c r="B173">
        <v>114</v>
      </c>
      <c r="C173">
        <v>642</v>
      </c>
      <c r="D173">
        <v>599</v>
      </c>
      <c r="E173">
        <v>-325</v>
      </c>
      <c r="F173">
        <v>-48</v>
      </c>
      <c r="G173">
        <v>1421</v>
      </c>
      <c r="H173">
        <v>-202</v>
      </c>
      <c r="I173">
        <v>-5221</v>
      </c>
      <c r="J173">
        <v>-1626</v>
      </c>
      <c r="K173">
        <v>-450</v>
      </c>
    </row>
    <row r="174" spans="2:11" x14ac:dyDescent="0.45">
      <c r="B174">
        <v>-255</v>
      </c>
      <c r="C174">
        <v>9090</v>
      </c>
      <c r="D174">
        <v>-6855</v>
      </c>
      <c r="E174">
        <v>-136</v>
      </c>
      <c r="F174">
        <v>-22435</v>
      </c>
      <c r="G174">
        <v>189</v>
      </c>
      <c r="H174">
        <v>62</v>
      </c>
      <c r="I174">
        <v>-570</v>
      </c>
      <c r="J174">
        <v>95</v>
      </c>
      <c r="K174">
        <v>-197</v>
      </c>
    </row>
    <row r="175" spans="2:11" x14ac:dyDescent="0.45">
      <c r="B175">
        <v>321</v>
      </c>
      <c r="C175">
        <v>-383</v>
      </c>
      <c r="D175">
        <v>-3364</v>
      </c>
      <c r="E175">
        <v>729</v>
      </c>
      <c r="F175">
        <v>1116</v>
      </c>
      <c r="G175">
        <v>138</v>
      </c>
      <c r="H175">
        <v>252</v>
      </c>
      <c r="I175">
        <v>-5412</v>
      </c>
      <c r="J175">
        <v>-147</v>
      </c>
      <c r="K175">
        <v>-112</v>
      </c>
    </row>
    <row r="176" spans="2:11" x14ac:dyDescent="0.45">
      <c r="B176">
        <v>529</v>
      </c>
      <c r="C176">
        <v>-1400</v>
      </c>
      <c r="D176">
        <v>-402</v>
      </c>
      <c r="E176">
        <v>0</v>
      </c>
      <c r="F176">
        <v>2564</v>
      </c>
      <c r="G176">
        <v>-4692</v>
      </c>
      <c r="H176">
        <v>2214</v>
      </c>
      <c r="I176">
        <v>-660</v>
      </c>
      <c r="J176">
        <v>-1633</v>
      </c>
      <c r="K176">
        <v>-4729</v>
      </c>
    </row>
    <row r="177" spans="2:11" x14ac:dyDescent="0.45">
      <c r="B177">
        <v>-72</v>
      </c>
      <c r="C177">
        <v>-936</v>
      </c>
      <c r="D177">
        <v>-463</v>
      </c>
      <c r="E177">
        <v>228</v>
      </c>
      <c r="F177">
        <v>-992</v>
      </c>
      <c r="G177">
        <v>-1815</v>
      </c>
      <c r="H177">
        <v>53</v>
      </c>
      <c r="I177">
        <v>-335</v>
      </c>
      <c r="J177">
        <v>-4511</v>
      </c>
      <c r="K177">
        <v>-23272</v>
      </c>
    </row>
    <row r="178" spans="2:11" x14ac:dyDescent="0.45">
      <c r="B178">
        <v>881</v>
      </c>
      <c r="C178">
        <v>-34164</v>
      </c>
      <c r="D178">
        <v>1790</v>
      </c>
      <c r="E178">
        <v>-428</v>
      </c>
      <c r="F178">
        <v>-342</v>
      </c>
      <c r="G178">
        <v>434</v>
      </c>
      <c r="H178">
        <v>-279</v>
      </c>
      <c r="I178">
        <v>-23</v>
      </c>
      <c r="J178">
        <v>-459</v>
      </c>
      <c r="K178">
        <v>-5215</v>
      </c>
    </row>
    <row r="179" spans="2:11" x14ac:dyDescent="0.45">
      <c r="B179">
        <v>2006</v>
      </c>
      <c r="C179">
        <v>2160</v>
      </c>
      <c r="D179">
        <v>-260</v>
      </c>
      <c r="E179">
        <v>336</v>
      </c>
      <c r="F179">
        <v>-538</v>
      </c>
      <c r="G179">
        <v>-515</v>
      </c>
      <c r="H179">
        <v>-588</v>
      </c>
      <c r="I179">
        <v>858</v>
      </c>
      <c r="J179">
        <v>36257</v>
      </c>
      <c r="K179">
        <v>11180</v>
      </c>
    </row>
    <row r="180" spans="2:11" x14ac:dyDescent="0.45">
      <c r="B180">
        <v>16568</v>
      </c>
      <c r="C180">
        <v>0</v>
      </c>
      <c r="D180">
        <v>-300</v>
      </c>
      <c r="E180">
        <v>1233</v>
      </c>
      <c r="F180">
        <v>-1026</v>
      </c>
      <c r="G180">
        <v>985</v>
      </c>
      <c r="H180">
        <v>0</v>
      </c>
      <c r="I180">
        <v>515</v>
      </c>
      <c r="J180">
        <v>1566</v>
      </c>
      <c r="K180">
        <v>873</v>
      </c>
    </row>
    <row r="181" spans="2:11" x14ac:dyDescent="0.45">
      <c r="B181">
        <v>492</v>
      </c>
      <c r="C181">
        <v>-217</v>
      </c>
      <c r="D181">
        <v>270</v>
      </c>
      <c r="E181">
        <v>-1234</v>
      </c>
      <c r="F181">
        <v>277</v>
      </c>
      <c r="G181">
        <v>-1963</v>
      </c>
      <c r="H181">
        <v>-925</v>
      </c>
      <c r="I181">
        <v>288</v>
      </c>
      <c r="J181">
        <v>34</v>
      </c>
      <c r="K181">
        <v>-428</v>
      </c>
    </row>
    <row r="182" spans="2:11" x14ac:dyDescent="0.45">
      <c r="B182">
        <v>-11698</v>
      </c>
      <c r="C182">
        <v>2287</v>
      </c>
      <c r="D182">
        <v>28</v>
      </c>
      <c r="E182">
        <v>-213</v>
      </c>
      <c r="F182">
        <v>196</v>
      </c>
      <c r="G182">
        <v>-287</v>
      </c>
      <c r="H182">
        <v>155</v>
      </c>
      <c r="I182">
        <v>-165</v>
      </c>
      <c r="J182">
        <v>175</v>
      </c>
      <c r="K182">
        <v>296</v>
      </c>
    </row>
    <row r="183" spans="2:11" x14ac:dyDescent="0.45">
      <c r="B183">
        <v>-530</v>
      </c>
      <c r="C183">
        <v>-111</v>
      </c>
      <c r="D183">
        <v>-312</v>
      </c>
      <c r="E183">
        <v>329</v>
      </c>
      <c r="F183">
        <v>2747</v>
      </c>
      <c r="G183">
        <v>912</v>
      </c>
      <c r="H183">
        <v>837</v>
      </c>
      <c r="I183">
        <v>-14754</v>
      </c>
      <c r="J183">
        <v>-7</v>
      </c>
      <c r="K183">
        <v>1762</v>
      </c>
    </row>
    <row r="184" spans="2:11" x14ac:dyDescent="0.45">
      <c r="B184">
        <v>0</v>
      </c>
      <c r="C184">
        <v>420</v>
      </c>
      <c r="D184">
        <v>579</v>
      </c>
      <c r="E184">
        <v>-126</v>
      </c>
      <c r="F184">
        <v>142</v>
      </c>
      <c r="G184">
        <v>-353</v>
      </c>
      <c r="H184">
        <v>383</v>
      </c>
      <c r="I184">
        <v>605</v>
      </c>
      <c r="J184">
        <v>-515</v>
      </c>
      <c r="K184">
        <v>-616</v>
      </c>
    </row>
    <row r="185" spans="2:11" x14ac:dyDescent="0.45">
      <c r="B185">
        <v>-510</v>
      </c>
      <c r="C185">
        <v>452</v>
      </c>
      <c r="D185">
        <v>-189</v>
      </c>
      <c r="E185">
        <v>-532</v>
      </c>
      <c r="F185">
        <v>-544</v>
      </c>
      <c r="G185">
        <v>2248</v>
      </c>
      <c r="H185">
        <v>-124</v>
      </c>
      <c r="I185">
        <v>167</v>
      </c>
      <c r="J185">
        <v>-644</v>
      </c>
      <c r="K185">
        <v>-10973</v>
      </c>
    </row>
    <row r="186" spans="2:11" x14ac:dyDescent="0.45">
      <c r="B186">
        <v>2870</v>
      </c>
      <c r="C186">
        <v>797</v>
      </c>
      <c r="D186">
        <v>-146</v>
      </c>
      <c r="E186">
        <v>80</v>
      </c>
      <c r="F186">
        <v>-96</v>
      </c>
      <c r="G186">
        <v>-92</v>
      </c>
      <c r="H186">
        <v>394</v>
      </c>
      <c r="I186">
        <v>-635</v>
      </c>
      <c r="J186">
        <v>-344</v>
      </c>
      <c r="K186">
        <v>-93</v>
      </c>
    </row>
    <row r="187" spans="2:11" x14ac:dyDescent="0.45">
      <c r="B187">
        <v>66</v>
      </c>
      <c r="C187">
        <v>-72</v>
      </c>
      <c r="D187">
        <v>347</v>
      </c>
      <c r="E187">
        <v>668</v>
      </c>
      <c r="F187">
        <v>1719</v>
      </c>
      <c r="G187">
        <v>-399</v>
      </c>
      <c r="H187">
        <v>-5772</v>
      </c>
      <c r="I187">
        <v>268</v>
      </c>
      <c r="J187">
        <v>-1983</v>
      </c>
      <c r="K187">
        <v>-6680</v>
      </c>
    </row>
    <row r="188" spans="2:11" x14ac:dyDescent="0.45">
      <c r="B188">
        <v>0</v>
      </c>
      <c r="C188">
        <v>-1151</v>
      </c>
      <c r="D188">
        <v>3192</v>
      </c>
      <c r="E188">
        <v>-649</v>
      </c>
      <c r="F188">
        <v>654</v>
      </c>
      <c r="G188">
        <v>-1367</v>
      </c>
      <c r="H188">
        <v>893</v>
      </c>
      <c r="I188">
        <v>1437</v>
      </c>
      <c r="J188">
        <v>-516</v>
      </c>
      <c r="K188">
        <v>-2303</v>
      </c>
    </row>
    <row r="189" spans="2:11" x14ac:dyDescent="0.45">
      <c r="B189">
        <v>728</v>
      </c>
      <c r="C189">
        <v>-1320</v>
      </c>
      <c r="D189">
        <v>-3081</v>
      </c>
      <c r="E189">
        <v>-773</v>
      </c>
      <c r="F189">
        <v>-594</v>
      </c>
      <c r="G189">
        <v>-420</v>
      </c>
      <c r="H189">
        <v>1994</v>
      </c>
      <c r="I189">
        <v>-4394</v>
      </c>
      <c r="J189">
        <v>-466</v>
      </c>
      <c r="K189">
        <v>-12703</v>
      </c>
    </row>
    <row r="190" spans="2:11" x14ac:dyDescent="0.45">
      <c r="B190">
        <v>2446</v>
      </c>
      <c r="C190">
        <v>-1759</v>
      </c>
      <c r="D190">
        <v>-545</v>
      </c>
      <c r="E190">
        <v>379</v>
      </c>
      <c r="F190">
        <v>-413</v>
      </c>
      <c r="G190">
        <v>112</v>
      </c>
      <c r="H190">
        <v>-613</v>
      </c>
      <c r="I190">
        <v>-23</v>
      </c>
      <c r="J190">
        <v>-58</v>
      </c>
      <c r="K190">
        <v>-268</v>
      </c>
    </row>
    <row r="191" spans="2:11" x14ac:dyDescent="0.45">
      <c r="B191">
        <v>761</v>
      </c>
      <c r="C191">
        <v>-2313</v>
      </c>
      <c r="D191">
        <v>439</v>
      </c>
      <c r="E191">
        <v>3229</v>
      </c>
      <c r="F191">
        <v>924</v>
      </c>
      <c r="G191">
        <v>-1348</v>
      </c>
      <c r="H191">
        <v>2004</v>
      </c>
      <c r="I191">
        <v>4445</v>
      </c>
      <c r="J191">
        <v>-789</v>
      </c>
      <c r="K191">
        <v>2895</v>
      </c>
    </row>
    <row r="192" spans="2:11" x14ac:dyDescent="0.45">
      <c r="B192">
        <v>1093</v>
      </c>
      <c r="C192">
        <v>0</v>
      </c>
      <c r="D192">
        <v>130</v>
      </c>
      <c r="E192">
        <v>1424</v>
      </c>
      <c r="F192">
        <v>-801</v>
      </c>
      <c r="G192">
        <v>740</v>
      </c>
      <c r="H192">
        <v>-295</v>
      </c>
      <c r="I192">
        <v>408</v>
      </c>
      <c r="J192">
        <v>822</v>
      </c>
      <c r="K192">
        <v>-295</v>
      </c>
    </row>
    <row r="193" spans="2:11" x14ac:dyDescent="0.45">
      <c r="B193">
        <v>-2179</v>
      </c>
      <c r="C193">
        <v>428</v>
      </c>
      <c r="D193">
        <v>244</v>
      </c>
      <c r="E193">
        <v>-163</v>
      </c>
      <c r="F193">
        <v>220</v>
      </c>
      <c r="G193">
        <v>-15</v>
      </c>
      <c r="H193">
        <v>-312</v>
      </c>
      <c r="I193">
        <v>198</v>
      </c>
      <c r="J193">
        <v>996</v>
      </c>
      <c r="K193">
        <v>14</v>
      </c>
    </row>
    <row r="194" spans="2:11" x14ac:dyDescent="0.45">
      <c r="B194">
        <v>-8477</v>
      </c>
      <c r="C194">
        <v>2265</v>
      </c>
      <c r="D194">
        <v>1568</v>
      </c>
      <c r="E194">
        <v>-47</v>
      </c>
      <c r="F194">
        <v>166</v>
      </c>
      <c r="G194">
        <v>-290</v>
      </c>
      <c r="H194">
        <v>-15</v>
      </c>
      <c r="I194">
        <v>75</v>
      </c>
      <c r="J194">
        <v>-66</v>
      </c>
      <c r="K194">
        <v>-66</v>
      </c>
    </row>
    <row r="195" spans="2:11" x14ac:dyDescent="0.45">
      <c r="B195">
        <v>102</v>
      </c>
      <c r="C195">
        <v>-304</v>
      </c>
      <c r="D195">
        <v>-209</v>
      </c>
      <c r="E195">
        <v>199</v>
      </c>
      <c r="F195">
        <v>-4</v>
      </c>
      <c r="G195">
        <v>1588</v>
      </c>
      <c r="H195">
        <v>-370</v>
      </c>
      <c r="I195">
        <v>-383</v>
      </c>
      <c r="J195">
        <v>-4344</v>
      </c>
      <c r="K195">
        <v>-252</v>
      </c>
    </row>
    <row r="196" spans="2:11" x14ac:dyDescent="0.45">
      <c r="B196">
        <v>351</v>
      </c>
      <c r="C196">
        <v>1112</v>
      </c>
      <c r="D196">
        <v>-12753</v>
      </c>
      <c r="E196">
        <v>0</v>
      </c>
      <c r="F196">
        <v>925</v>
      </c>
      <c r="G196">
        <v>2308</v>
      </c>
      <c r="H196">
        <v>-1132</v>
      </c>
      <c r="I196">
        <v>1148</v>
      </c>
      <c r="J196">
        <v>-126</v>
      </c>
      <c r="K196">
        <v>198</v>
      </c>
    </row>
    <row r="197" spans="2:11" x14ac:dyDescent="0.45">
      <c r="B197">
        <v>188</v>
      </c>
      <c r="C197">
        <v>150</v>
      </c>
      <c r="D197">
        <v>-161</v>
      </c>
      <c r="E197">
        <v>-114</v>
      </c>
      <c r="F197">
        <v>-1255</v>
      </c>
      <c r="G197">
        <v>-330</v>
      </c>
      <c r="H197">
        <v>-131</v>
      </c>
      <c r="I197">
        <v>43</v>
      </c>
      <c r="J197">
        <v>238</v>
      </c>
      <c r="K197">
        <v>635</v>
      </c>
    </row>
    <row r="198" spans="2:11" x14ac:dyDescent="0.45">
      <c r="B198">
        <v>105</v>
      </c>
      <c r="C198">
        <v>1037</v>
      </c>
      <c r="D198">
        <v>-15461</v>
      </c>
      <c r="E198">
        <v>-1234</v>
      </c>
      <c r="F198">
        <v>927</v>
      </c>
      <c r="G198">
        <v>-768</v>
      </c>
      <c r="H198">
        <v>687</v>
      </c>
      <c r="I198">
        <v>-768</v>
      </c>
      <c r="J198">
        <v>-18</v>
      </c>
      <c r="K198">
        <v>-303</v>
      </c>
    </row>
    <row r="199" spans="2:11" x14ac:dyDescent="0.45">
      <c r="B199">
        <v>-140</v>
      </c>
      <c r="C199">
        <v>-41</v>
      </c>
      <c r="D199">
        <v>1139</v>
      </c>
      <c r="E199">
        <v>1016</v>
      </c>
      <c r="F199">
        <v>-1365</v>
      </c>
      <c r="G199">
        <v>-1122</v>
      </c>
      <c r="H199">
        <v>3276</v>
      </c>
      <c r="I199">
        <v>1591</v>
      </c>
      <c r="J199">
        <v>-826</v>
      </c>
      <c r="K199">
        <v>252</v>
      </c>
    </row>
    <row r="200" spans="2:11" x14ac:dyDescent="0.45">
      <c r="B200">
        <v>82</v>
      </c>
      <c r="C200">
        <v>-880</v>
      </c>
      <c r="D200">
        <v>2734</v>
      </c>
      <c r="E200">
        <v>1490</v>
      </c>
      <c r="F200">
        <v>3136</v>
      </c>
      <c r="G200">
        <v>878</v>
      </c>
      <c r="H200">
        <v>0</v>
      </c>
      <c r="I200">
        <v>-606</v>
      </c>
      <c r="J200">
        <v>661</v>
      </c>
      <c r="K200">
        <v>304</v>
      </c>
    </row>
    <row r="201" spans="2:11" x14ac:dyDescent="0.45">
      <c r="B201">
        <v>-381</v>
      </c>
      <c r="C201">
        <v>-686</v>
      </c>
      <c r="D201">
        <v>-1240</v>
      </c>
      <c r="E201">
        <v>1550</v>
      </c>
      <c r="F201">
        <v>-541</v>
      </c>
      <c r="G201">
        <v>-440</v>
      </c>
      <c r="H201">
        <v>73</v>
      </c>
      <c r="I201">
        <v>48</v>
      </c>
      <c r="J201">
        <v>-219</v>
      </c>
      <c r="K201">
        <v>-74</v>
      </c>
    </row>
    <row r="202" spans="2:11" x14ac:dyDescent="0.45">
      <c r="B202">
        <v>-697</v>
      </c>
      <c r="C202">
        <v>90</v>
      </c>
      <c r="D202">
        <v>-593</v>
      </c>
      <c r="E202">
        <v>457</v>
      </c>
      <c r="F202">
        <v>-621</v>
      </c>
      <c r="G202">
        <v>-7821</v>
      </c>
      <c r="H202">
        <v>-4101</v>
      </c>
      <c r="I202">
        <v>-1100</v>
      </c>
      <c r="J202">
        <v>1499</v>
      </c>
      <c r="K202">
        <v>-1301</v>
      </c>
    </row>
    <row r="203" spans="2:11" x14ac:dyDescent="0.45">
      <c r="B203">
        <v>1113</v>
      </c>
      <c r="C203">
        <v>532</v>
      </c>
      <c r="D203">
        <v>-67</v>
      </c>
      <c r="E203">
        <v>183</v>
      </c>
      <c r="F203">
        <v>950</v>
      </c>
      <c r="G203">
        <v>-869</v>
      </c>
      <c r="H203">
        <v>540</v>
      </c>
      <c r="I203">
        <v>-848</v>
      </c>
      <c r="J203">
        <v>-76</v>
      </c>
      <c r="K203">
        <v>1450</v>
      </c>
    </row>
    <row r="204" spans="2:11" x14ac:dyDescent="0.45">
      <c r="B204">
        <v>1131</v>
      </c>
      <c r="C204">
        <v>-711</v>
      </c>
      <c r="D204">
        <v>527</v>
      </c>
      <c r="E204">
        <v>152</v>
      </c>
      <c r="F204">
        <v>-127</v>
      </c>
      <c r="G204">
        <v>693</v>
      </c>
      <c r="H204">
        <v>926</v>
      </c>
      <c r="I204">
        <v>1000</v>
      </c>
      <c r="J204">
        <v>782</v>
      </c>
      <c r="K204">
        <v>-20714</v>
      </c>
    </row>
    <row r="205" spans="2:11" x14ac:dyDescent="0.45">
      <c r="B205">
        <v>0</v>
      </c>
      <c r="C205">
        <v>-233</v>
      </c>
      <c r="D205">
        <v>243</v>
      </c>
      <c r="E205">
        <v>-301</v>
      </c>
      <c r="F205">
        <v>323</v>
      </c>
      <c r="G205">
        <v>-172</v>
      </c>
      <c r="H205">
        <v>-2027</v>
      </c>
      <c r="I205">
        <v>-43</v>
      </c>
      <c r="J205">
        <v>768</v>
      </c>
      <c r="K205">
        <v>295</v>
      </c>
    </row>
    <row r="206" spans="2:11" x14ac:dyDescent="0.45">
      <c r="B206">
        <v>498</v>
      </c>
      <c r="C206">
        <v>-298</v>
      </c>
      <c r="D206">
        <v>-194</v>
      </c>
      <c r="E206">
        <v>-202</v>
      </c>
      <c r="F206">
        <v>-415</v>
      </c>
      <c r="G206">
        <v>612</v>
      </c>
      <c r="H206">
        <v>560</v>
      </c>
      <c r="I206">
        <v>29</v>
      </c>
      <c r="J206">
        <v>-150</v>
      </c>
      <c r="K206">
        <v>3138</v>
      </c>
    </row>
    <row r="207" spans="2:11" x14ac:dyDescent="0.45">
      <c r="B207">
        <v>1284</v>
      </c>
      <c r="C207">
        <v>-287</v>
      </c>
      <c r="D207">
        <v>-1120</v>
      </c>
      <c r="E207">
        <v>893</v>
      </c>
      <c r="F207">
        <v>-738</v>
      </c>
      <c r="G207">
        <v>-91</v>
      </c>
      <c r="H207">
        <v>483</v>
      </c>
      <c r="I207">
        <v>-692</v>
      </c>
      <c r="J207">
        <v>-1130</v>
      </c>
      <c r="K207">
        <v>633</v>
      </c>
    </row>
    <row r="208" spans="2:11" x14ac:dyDescent="0.45">
      <c r="B208">
        <v>-137</v>
      </c>
      <c r="C208">
        <v>-283</v>
      </c>
      <c r="D208">
        <v>838</v>
      </c>
      <c r="E208">
        <v>401</v>
      </c>
      <c r="F208">
        <v>-840</v>
      </c>
      <c r="G208">
        <v>-52</v>
      </c>
      <c r="H208">
        <v>799</v>
      </c>
      <c r="I208">
        <v>5</v>
      </c>
      <c r="J208">
        <v>-254</v>
      </c>
      <c r="K208">
        <v>323</v>
      </c>
    </row>
    <row r="209" spans="2:11" x14ac:dyDescent="0.45">
      <c r="B209">
        <v>-480</v>
      </c>
      <c r="C209">
        <v>565</v>
      </c>
      <c r="D209">
        <v>-656</v>
      </c>
      <c r="E209">
        <v>-22049</v>
      </c>
      <c r="F209">
        <v>-70320</v>
      </c>
      <c r="G209">
        <v>0</v>
      </c>
      <c r="H209">
        <v>-1393</v>
      </c>
      <c r="I209">
        <v>-25996</v>
      </c>
      <c r="J209">
        <v>5650</v>
      </c>
      <c r="K209">
        <v>-3423</v>
      </c>
    </row>
    <row r="210" spans="2:11" x14ac:dyDescent="0.45">
      <c r="B210">
        <v>5371</v>
      </c>
      <c r="C210">
        <v>-403</v>
      </c>
      <c r="D210">
        <v>2262</v>
      </c>
      <c r="E210">
        <v>-615</v>
      </c>
      <c r="F210">
        <v>1273</v>
      </c>
      <c r="G210">
        <v>-368</v>
      </c>
      <c r="H210">
        <v>-1748</v>
      </c>
      <c r="I210">
        <v>1242</v>
      </c>
      <c r="J210">
        <v>630</v>
      </c>
      <c r="K210">
        <v>-1170</v>
      </c>
    </row>
    <row r="211" spans="2:11" x14ac:dyDescent="0.45">
      <c r="B211">
        <v>-583</v>
      </c>
      <c r="C211">
        <v>-2395</v>
      </c>
      <c r="D211">
        <v>-672</v>
      </c>
      <c r="E211">
        <v>669</v>
      </c>
      <c r="F211">
        <v>1995</v>
      </c>
      <c r="G211">
        <v>387</v>
      </c>
      <c r="H211">
        <v>-277</v>
      </c>
      <c r="I211">
        <v>3388</v>
      </c>
      <c r="J211">
        <v>-2006</v>
      </c>
      <c r="K211">
        <v>1815</v>
      </c>
    </row>
    <row r="212" spans="2:11" x14ac:dyDescent="0.45">
      <c r="B212">
        <v>392</v>
      </c>
      <c r="C212">
        <v>-20</v>
      </c>
      <c r="D212">
        <v>962</v>
      </c>
      <c r="E212">
        <v>2364</v>
      </c>
      <c r="F212">
        <v>-527</v>
      </c>
      <c r="G212">
        <v>-708</v>
      </c>
      <c r="H212">
        <v>22742</v>
      </c>
      <c r="I212">
        <v>740</v>
      </c>
      <c r="J212">
        <v>-759</v>
      </c>
      <c r="K212">
        <v>-985</v>
      </c>
    </row>
    <row r="213" spans="2:11" x14ac:dyDescent="0.45">
      <c r="B213">
        <v>18056</v>
      </c>
      <c r="C213">
        <v>-1000</v>
      </c>
      <c r="D213">
        <v>-7985</v>
      </c>
      <c r="E213">
        <v>-2343</v>
      </c>
      <c r="F213">
        <v>-468</v>
      </c>
      <c r="G213">
        <v>-481</v>
      </c>
      <c r="H213">
        <v>-3093</v>
      </c>
      <c r="I213">
        <v>-559</v>
      </c>
      <c r="J213">
        <v>-2143</v>
      </c>
      <c r="K213">
        <v>-1529</v>
      </c>
    </row>
    <row r="214" spans="2:11" x14ac:dyDescent="0.45">
      <c r="B214">
        <v>-712</v>
      </c>
      <c r="C214">
        <v>0</v>
      </c>
      <c r="D214">
        <v>-975</v>
      </c>
      <c r="E214">
        <v>-3751</v>
      </c>
      <c r="F214">
        <v>-1166</v>
      </c>
      <c r="G214">
        <v>1260</v>
      </c>
      <c r="H214">
        <v>1777</v>
      </c>
      <c r="I214">
        <v>-22852</v>
      </c>
      <c r="J214">
        <v>294</v>
      </c>
      <c r="K214">
        <v>763</v>
      </c>
    </row>
    <row r="215" spans="2:11" x14ac:dyDescent="0.45">
      <c r="B215">
        <v>-829</v>
      </c>
      <c r="C215">
        <v>488</v>
      </c>
      <c r="D215">
        <v>-649</v>
      </c>
      <c r="E215">
        <v>5442</v>
      </c>
      <c r="F215">
        <v>7882</v>
      </c>
      <c r="G215">
        <v>871</v>
      </c>
      <c r="H215">
        <v>669</v>
      </c>
      <c r="I215">
        <v>-1616</v>
      </c>
      <c r="J215">
        <v>4903</v>
      </c>
      <c r="K215">
        <v>1426</v>
      </c>
    </row>
    <row r="216" spans="2:11" x14ac:dyDescent="0.45">
      <c r="B216">
        <v>1608</v>
      </c>
      <c r="C216">
        <v>1979</v>
      </c>
      <c r="D216">
        <v>388</v>
      </c>
      <c r="E216">
        <v>-1878</v>
      </c>
      <c r="F216">
        <v>1972</v>
      </c>
      <c r="G216">
        <v>-1806</v>
      </c>
      <c r="H216">
        <v>2051</v>
      </c>
      <c r="I216">
        <v>-1127</v>
      </c>
      <c r="J216">
        <v>1455</v>
      </c>
      <c r="K216">
        <v>283</v>
      </c>
    </row>
    <row r="217" spans="2:11" x14ac:dyDescent="0.45">
      <c r="B217">
        <v>1119</v>
      </c>
      <c r="C217">
        <v>457</v>
      </c>
      <c r="D217">
        <v>2683</v>
      </c>
      <c r="E217">
        <v>641</v>
      </c>
      <c r="F217">
        <v>705</v>
      </c>
      <c r="G217">
        <v>-415</v>
      </c>
      <c r="H217">
        <v>2851</v>
      </c>
      <c r="I217">
        <v>6094</v>
      </c>
      <c r="J217">
        <v>-1592</v>
      </c>
      <c r="K217">
        <v>-776</v>
      </c>
    </row>
    <row r="218" spans="2:11" x14ac:dyDescent="0.45">
      <c r="B218">
        <v>-291</v>
      </c>
      <c r="C218">
        <v>-256</v>
      </c>
      <c r="D218">
        <v>684</v>
      </c>
      <c r="E218">
        <v>-397</v>
      </c>
      <c r="F218">
        <v>-202</v>
      </c>
      <c r="G218">
        <v>337</v>
      </c>
      <c r="H218">
        <v>1050</v>
      </c>
      <c r="I218">
        <v>14906</v>
      </c>
      <c r="J218">
        <v>0</v>
      </c>
      <c r="K218">
        <v>-74</v>
      </c>
    </row>
    <row r="219" spans="2:11" x14ac:dyDescent="0.45">
      <c r="B219">
        <v>-162</v>
      </c>
      <c r="C219">
        <v>-153</v>
      </c>
      <c r="D219">
        <v>396</v>
      </c>
      <c r="E219">
        <v>-102</v>
      </c>
      <c r="F219">
        <v>-2749</v>
      </c>
      <c r="G219">
        <v>3519</v>
      </c>
      <c r="H219">
        <v>-386</v>
      </c>
      <c r="I219">
        <v>105</v>
      </c>
      <c r="J219">
        <v>-151</v>
      </c>
      <c r="K219">
        <v>-834</v>
      </c>
    </row>
    <row r="220" spans="2:11" x14ac:dyDescent="0.45">
      <c r="B220">
        <v>-561</v>
      </c>
      <c r="C220">
        <v>-703</v>
      </c>
      <c r="D220">
        <v>-1104</v>
      </c>
      <c r="E220">
        <v>437</v>
      </c>
      <c r="F220">
        <v>-700</v>
      </c>
      <c r="G220">
        <v>-724</v>
      </c>
      <c r="H220">
        <v>-1302</v>
      </c>
      <c r="I220">
        <v>-7078</v>
      </c>
      <c r="J220">
        <v>-6387</v>
      </c>
      <c r="K220">
        <v>-848</v>
      </c>
    </row>
    <row r="221" spans="2:11" x14ac:dyDescent="0.45">
      <c r="B221">
        <v>-206</v>
      </c>
      <c r="C221">
        <v>311</v>
      </c>
      <c r="D221">
        <v>-412</v>
      </c>
      <c r="E221">
        <v>458</v>
      </c>
      <c r="F221">
        <v>-493</v>
      </c>
      <c r="G221">
        <v>131</v>
      </c>
      <c r="H221">
        <v>3</v>
      </c>
      <c r="I221">
        <v>10</v>
      </c>
      <c r="J221">
        <v>347</v>
      </c>
      <c r="K221">
        <v>107</v>
      </c>
    </row>
    <row r="222" spans="2:11" x14ac:dyDescent="0.45">
      <c r="B222">
        <v>-1396</v>
      </c>
      <c r="C222">
        <v>5665</v>
      </c>
      <c r="D222">
        <v>-1025</v>
      </c>
      <c r="E222">
        <v>262</v>
      </c>
      <c r="F222">
        <v>1611</v>
      </c>
      <c r="G222">
        <v>-665</v>
      </c>
      <c r="H222">
        <v>-1017</v>
      </c>
      <c r="I222">
        <v>3870</v>
      </c>
      <c r="J222">
        <v>37</v>
      </c>
      <c r="K222">
        <v>4500</v>
      </c>
    </row>
    <row r="223" spans="2:11" x14ac:dyDescent="0.45">
      <c r="B223">
        <v>-1056</v>
      </c>
      <c r="C223">
        <v>3652</v>
      </c>
      <c r="D223">
        <v>623</v>
      </c>
      <c r="E223">
        <v>1467</v>
      </c>
      <c r="F223">
        <v>-142</v>
      </c>
      <c r="G223">
        <v>-8458</v>
      </c>
      <c r="H223">
        <v>0</v>
      </c>
      <c r="I223">
        <v>-1730</v>
      </c>
      <c r="J223">
        <v>-18066</v>
      </c>
      <c r="K223">
        <v>5314</v>
      </c>
    </row>
    <row r="224" spans="2:11" x14ac:dyDescent="0.45">
      <c r="B224">
        <v>-3142</v>
      </c>
      <c r="C224">
        <v>1001</v>
      </c>
      <c r="D224">
        <v>1031</v>
      </c>
      <c r="E224">
        <v>-2645</v>
      </c>
      <c r="F224">
        <v>363</v>
      </c>
      <c r="G224">
        <v>-1293</v>
      </c>
      <c r="H224">
        <v>-1731</v>
      </c>
      <c r="I224">
        <v>2807</v>
      </c>
      <c r="J224">
        <v>574</v>
      </c>
      <c r="K224">
        <v>-3903</v>
      </c>
    </row>
    <row r="225" spans="2:11" x14ac:dyDescent="0.45">
      <c r="B225">
        <v>2175</v>
      </c>
      <c r="C225">
        <v>-570</v>
      </c>
      <c r="D225">
        <v>603</v>
      </c>
      <c r="E225">
        <v>2627</v>
      </c>
      <c r="F225">
        <v>4477</v>
      </c>
      <c r="G225">
        <v>604</v>
      </c>
      <c r="H225">
        <v>134</v>
      </c>
      <c r="I225">
        <v>-265</v>
      </c>
      <c r="J225">
        <v>886</v>
      </c>
      <c r="K225">
        <v>-569</v>
      </c>
    </row>
    <row r="226" spans="2:11" x14ac:dyDescent="0.45">
      <c r="B226">
        <v>452</v>
      </c>
      <c r="C226">
        <v>4162</v>
      </c>
      <c r="D226">
        <v>551</v>
      </c>
      <c r="E226">
        <v>403</v>
      </c>
      <c r="F226">
        <v>-1076</v>
      </c>
      <c r="G226">
        <v>1402</v>
      </c>
      <c r="H226">
        <v>505</v>
      </c>
      <c r="I226">
        <v>14437</v>
      </c>
      <c r="J226">
        <v>632</v>
      </c>
      <c r="K226">
        <v>-449</v>
      </c>
    </row>
    <row r="227" spans="2:11" x14ac:dyDescent="0.45">
      <c r="B227">
        <v>-608</v>
      </c>
      <c r="C227">
        <v>10829</v>
      </c>
      <c r="D227">
        <v>-1860</v>
      </c>
      <c r="E227">
        <v>-5930</v>
      </c>
      <c r="F227">
        <v>-2893</v>
      </c>
      <c r="G227">
        <v>-243</v>
      </c>
      <c r="H227">
        <v>-218</v>
      </c>
      <c r="I227">
        <v>-2030</v>
      </c>
      <c r="J227">
        <v>-255</v>
      </c>
      <c r="K227">
        <v>-1199</v>
      </c>
    </row>
    <row r="228" spans="2:11" x14ac:dyDescent="0.45">
      <c r="B228">
        <v>-1072</v>
      </c>
      <c r="C228">
        <v>-494</v>
      </c>
      <c r="D228">
        <v>20783</v>
      </c>
      <c r="E228">
        <v>-1215</v>
      </c>
      <c r="F228">
        <v>-123</v>
      </c>
      <c r="G228">
        <v>0</v>
      </c>
      <c r="H228">
        <v>-210</v>
      </c>
      <c r="I228">
        <v>-450</v>
      </c>
      <c r="J228">
        <v>290</v>
      </c>
      <c r="K228">
        <v>-136</v>
      </c>
    </row>
    <row r="229" spans="2:11" x14ac:dyDescent="0.45">
      <c r="B229">
        <v>-72</v>
      </c>
      <c r="C229">
        <v>-2522</v>
      </c>
      <c r="D229">
        <v>751</v>
      </c>
      <c r="E229">
        <v>-316</v>
      </c>
      <c r="F229">
        <v>-172</v>
      </c>
      <c r="G229">
        <v>-217</v>
      </c>
      <c r="H229">
        <v>225</v>
      </c>
      <c r="I229">
        <v>-586</v>
      </c>
      <c r="J229">
        <v>1082</v>
      </c>
      <c r="K229">
        <v>-1021</v>
      </c>
    </row>
    <row r="230" spans="2:11" x14ac:dyDescent="0.45">
      <c r="B230">
        <v>415</v>
      </c>
      <c r="C230">
        <v>521</v>
      </c>
      <c r="D230">
        <v>-808</v>
      </c>
      <c r="E230">
        <v>1160</v>
      </c>
      <c r="F230">
        <v>-7318</v>
      </c>
      <c r="G230">
        <v>-4038</v>
      </c>
      <c r="H230">
        <v>-3090</v>
      </c>
      <c r="I230">
        <v>82</v>
      </c>
      <c r="J230">
        <v>-38</v>
      </c>
      <c r="K230">
        <v>10</v>
      </c>
    </row>
    <row r="231" spans="2:11" x14ac:dyDescent="0.45">
      <c r="B231">
        <v>1661</v>
      </c>
      <c r="C231">
        <v>321</v>
      </c>
      <c r="D231">
        <v>123</v>
      </c>
      <c r="E231">
        <v>-235</v>
      </c>
      <c r="F231">
        <v>-11</v>
      </c>
      <c r="G231">
        <v>70</v>
      </c>
      <c r="H231">
        <v>7</v>
      </c>
      <c r="I231">
        <v>-125</v>
      </c>
      <c r="J231">
        <v>3215</v>
      </c>
      <c r="K231">
        <v>91</v>
      </c>
    </row>
    <row r="232" spans="2:11" x14ac:dyDescent="0.45">
      <c r="B232">
        <v>82</v>
      </c>
      <c r="C232">
        <v>1311</v>
      </c>
      <c r="D232">
        <v>-887</v>
      </c>
      <c r="E232">
        <v>-1577</v>
      </c>
      <c r="F232">
        <v>2116</v>
      </c>
      <c r="G232">
        <v>498</v>
      </c>
      <c r="H232">
        <v>2591</v>
      </c>
      <c r="I232">
        <v>-110</v>
      </c>
      <c r="J232">
        <v>2333</v>
      </c>
      <c r="K232">
        <v>890</v>
      </c>
    </row>
    <row r="233" spans="2:11" x14ac:dyDescent="0.45">
      <c r="B233">
        <v>460</v>
      </c>
      <c r="C233">
        <v>-107</v>
      </c>
      <c r="D233">
        <v>1057</v>
      </c>
      <c r="E233">
        <v>4287</v>
      </c>
      <c r="F233">
        <v>1701</v>
      </c>
      <c r="G233">
        <v>0</v>
      </c>
      <c r="H233">
        <v>-2241</v>
      </c>
      <c r="I233">
        <v>-15841</v>
      </c>
      <c r="J233">
        <v>860</v>
      </c>
      <c r="K233">
        <v>-358</v>
      </c>
    </row>
    <row r="234" spans="2:11" x14ac:dyDescent="0.45">
      <c r="B234">
        <v>-2134</v>
      </c>
      <c r="C234">
        <v>-2113</v>
      </c>
      <c r="D234">
        <v>-1690</v>
      </c>
      <c r="E234">
        <v>6346</v>
      </c>
      <c r="F234">
        <v>-779</v>
      </c>
      <c r="G234">
        <v>907</v>
      </c>
      <c r="H234">
        <v>1560</v>
      </c>
      <c r="I234">
        <v>-5662</v>
      </c>
      <c r="J234">
        <v>-1573</v>
      </c>
      <c r="K234">
        <v>-1558</v>
      </c>
    </row>
    <row r="235" spans="2:11" x14ac:dyDescent="0.45">
      <c r="B235">
        <v>5386</v>
      </c>
      <c r="C235">
        <v>226</v>
      </c>
      <c r="D235">
        <v>3512</v>
      </c>
      <c r="E235">
        <v>5299</v>
      </c>
      <c r="F235">
        <v>-869</v>
      </c>
      <c r="G235">
        <v>514</v>
      </c>
      <c r="H235">
        <v>-115</v>
      </c>
      <c r="I235">
        <v>-1360</v>
      </c>
      <c r="J235">
        <v>108</v>
      </c>
      <c r="K235">
        <v>-30</v>
      </c>
    </row>
    <row r="236" spans="2:11" x14ac:dyDescent="0.45">
      <c r="B236">
        <v>-31</v>
      </c>
      <c r="C236">
        <v>190</v>
      </c>
      <c r="D236">
        <v>4223</v>
      </c>
      <c r="E236">
        <v>-69</v>
      </c>
      <c r="F236">
        <v>271</v>
      </c>
      <c r="G236">
        <v>583</v>
      </c>
      <c r="H236">
        <v>24105</v>
      </c>
      <c r="I236">
        <v>403</v>
      </c>
      <c r="J236">
        <v>396</v>
      </c>
      <c r="K236">
        <v>20</v>
      </c>
    </row>
    <row r="237" spans="2:11" x14ac:dyDescent="0.45">
      <c r="B237">
        <v>15414</v>
      </c>
      <c r="C237">
        <v>-570</v>
      </c>
      <c r="D237">
        <v>-7651</v>
      </c>
      <c r="E237">
        <v>-4321</v>
      </c>
      <c r="F237">
        <v>317</v>
      </c>
      <c r="G237">
        <v>245</v>
      </c>
      <c r="H237">
        <v>-1733</v>
      </c>
      <c r="I237">
        <v>-44</v>
      </c>
      <c r="J237">
        <v>-1115</v>
      </c>
      <c r="K237">
        <v>-995</v>
      </c>
    </row>
    <row r="238" spans="2:11" x14ac:dyDescent="0.45">
      <c r="B238">
        <v>-327</v>
      </c>
      <c r="C238">
        <v>27212</v>
      </c>
      <c r="D238">
        <v>433</v>
      </c>
      <c r="E238">
        <v>482</v>
      </c>
      <c r="F238">
        <v>17903</v>
      </c>
      <c r="G238">
        <v>446</v>
      </c>
      <c r="H238">
        <v>0</v>
      </c>
      <c r="I238">
        <v>-267</v>
      </c>
      <c r="J238">
        <v>574</v>
      </c>
      <c r="K238">
        <v>-310</v>
      </c>
    </row>
    <row r="239" spans="2:11" x14ac:dyDescent="0.45">
      <c r="B239">
        <v>151</v>
      </c>
      <c r="C239">
        <v>80</v>
      </c>
      <c r="D239">
        <v>-580</v>
      </c>
      <c r="E239">
        <v>912</v>
      </c>
      <c r="F239">
        <v>146</v>
      </c>
      <c r="G239">
        <v>366</v>
      </c>
      <c r="H239">
        <v>86</v>
      </c>
      <c r="I239">
        <v>-95</v>
      </c>
      <c r="J239">
        <v>-482</v>
      </c>
      <c r="K239">
        <v>125</v>
      </c>
    </row>
    <row r="240" spans="2:11" x14ac:dyDescent="0.45">
      <c r="B240">
        <v>-365</v>
      </c>
      <c r="C240">
        <v>110</v>
      </c>
      <c r="D240">
        <v>5</v>
      </c>
      <c r="E240">
        <v>-325</v>
      </c>
      <c r="F240">
        <v>10</v>
      </c>
      <c r="G240">
        <v>994</v>
      </c>
      <c r="H240">
        <v>-742</v>
      </c>
      <c r="I240">
        <v>96</v>
      </c>
      <c r="J240">
        <v>-439</v>
      </c>
      <c r="K240">
        <v>92</v>
      </c>
    </row>
    <row r="241" spans="2:11" x14ac:dyDescent="0.45">
      <c r="B241">
        <v>54</v>
      </c>
      <c r="C241">
        <v>-693</v>
      </c>
      <c r="D241">
        <v>929</v>
      </c>
      <c r="E241">
        <v>635</v>
      </c>
      <c r="F241">
        <v>-284</v>
      </c>
      <c r="G241">
        <v>-366</v>
      </c>
      <c r="H241">
        <v>-175</v>
      </c>
      <c r="I241">
        <v>-108</v>
      </c>
      <c r="J241">
        <v>-611</v>
      </c>
      <c r="K241">
        <v>127</v>
      </c>
    </row>
    <row r="242" spans="2:11" x14ac:dyDescent="0.45">
      <c r="B242">
        <v>-186</v>
      </c>
      <c r="C242">
        <v>-124</v>
      </c>
      <c r="D242">
        <v>404</v>
      </c>
      <c r="E242">
        <v>-254</v>
      </c>
      <c r="F242">
        <v>-579</v>
      </c>
      <c r="G242">
        <v>-31</v>
      </c>
      <c r="H242">
        <v>-93</v>
      </c>
      <c r="I242">
        <v>58</v>
      </c>
      <c r="J242">
        <v>-127</v>
      </c>
      <c r="K242">
        <v>-61</v>
      </c>
    </row>
    <row r="243" spans="2:11" x14ac:dyDescent="0.45">
      <c r="B243">
        <v>-5</v>
      </c>
      <c r="C243">
        <v>131</v>
      </c>
      <c r="D243">
        <v>-146</v>
      </c>
      <c r="E243">
        <v>462</v>
      </c>
      <c r="F243">
        <v>260</v>
      </c>
      <c r="G243">
        <v>-220</v>
      </c>
      <c r="H243">
        <v>120</v>
      </c>
      <c r="I243">
        <v>1580</v>
      </c>
      <c r="J243">
        <v>0</v>
      </c>
      <c r="K243">
        <v>366</v>
      </c>
    </row>
    <row r="244" spans="2:11" x14ac:dyDescent="0.45">
      <c r="B244">
        <v>-71</v>
      </c>
      <c r="C244">
        <v>258</v>
      </c>
      <c r="D244">
        <v>-318</v>
      </c>
      <c r="E244">
        <v>-110</v>
      </c>
      <c r="F244">
        <v>-362</v>
      </c>
      <c r="G244">
        <v>-565</v>
      </c>
      <c r="H244">
        <v>-556</v>
      </c>
      <c r="I244">
        <v>-858</v>
      </c>
      <c r="J244">
        <v>287</v>
      </c>
      <c r="K244">
        <v>35</v>
      </c>
    </row>
    <row r="245" spans="2:11" x14ac:dyDescent="0.45">
      <c r="B245">
        <v>278</v>
      </c>
      <c r="C245">
        <v>877</v>
      </c>
      <c r="D245">
        <v>-57</v>
      </c>
      <c r="E245">
        <v>-92</v>
      </c>
      <c r="F245">
        <v>-157</v>
      </c>
      <c r="G245">
        <v>-696</v>
      </c>
      <c r="H245">
        <v>643</v>
      </c>
      <c r="I245">
        <v>-1830</v>
      </c>
      <c r="J245">
        <v>-694</v>
      </c>
      <c r="K245">
        <v>279</v>
      </c>
    </row>
    <row r="246" spans="2:11" x14ac:dyDescent="0.45">
      <c r="B246">
        <v>-111</v>
      </c>
      <c r="C246">
        <v>-86</v>
      </c>
      <c r="D246">
        <v>167</v>
      </c>
      <c r="E246">
        <v>-272</v>
      </c>
      <c r="F246">
        <v>-16</v>
      </c>
      <c r="G246">
        <v>-907</v>
      </c>
      <c r="H246">
        <v>249</v>
      </c>
      <c r="I246">
        <v>531</v>
      </c>
      <c r="J246">
        <v>475</v>
      </c>
      <c r="K246">
        <v>174</v>
      </c>
    </row>
    <row r="247" spans="2:11" x14ac:dyDescent="0.45">
      <c r="B247">
        <v>68</v>
      </c>
      <c r="C247">
        <v>332</v>
      </c>
      <c r="D247">
        <v>257</v>
      </c>
      <c r="E247">
        <v>78</v>
      </c>
      <c r="F247">
        <v>328</v>
      </c>
      <c r="G247">
        <v>-78</v>
      </c>
      <c r="H247">
        <v>-32</v>
      </c>
      <c r="I247">
        <v>211</v>
      </c>
      <c r="J247">
        <v>197</v>
      </c>
      <c r="K247">
        <v>312</v>
      </c>
    </row>
    <row r="248" spans="2:11" x14ac:dyDescent="0.45">
      <c r="B248">
        <v>157</v>
      </c>
      <c r="C248">
        <v>372</v>
      </c>
      <c r="D248">
        <v>221</v>
      </c>
      <c r="E248">
        <v>-61</v>
      </c>
      <c r="F248">
        <v>-172</v>
      </c>
      <c r="G248">
        <v>149</v>
      </c>
      <c r="H248">
        <v>250</v>
      </c>
      <c r="I248">
        <v>-140</v>
      </c>
      <c r="J248">
        <v>240</v>
      </c>
      <c r="K248">
        <v>1218</v>
      </c>
    </row>
    <row r="249" spans="2:11" x14ac:dyDescent="0.45">
      <c r="B249">
        <v>19635</v>
      </c>
      <c r="C249">
        <v>0</v>
      </c>
      <c r="D249">
        <v>-521</v>
      </c>
      <c r="E249">
        <v>50</v>
      </c>
      <c r="F249">
        <v>4</v>
      </c>
      <c r="G249">
        <v>-17</v>
      </c>
      <c r="H249">
        <v>18</v>
      </c>
      <c r="I249">
        <v>581</v>
      </c>
      <c r="J249">
        <v>55</v>
      </c>
      <c r="K249">
        <v>216</v>
      </c>
    </row>
    <row r="250" spans="2:11" x14ac:dyDescent="0.45">
      <c r="B250">
        <v>136</v>
      </c>
      <c r="C250">
        <v>-565</v>
      </c>
      <c r="D250">
        <v>-1078</v>
      </c>
      <c r="E250">
        <v>221</v>
      </c>
      <c r="F250">
        <v>-769</v>
      </c>
      <c r="G250">
        <v>-63</v>
      </c>
      <c r="H250">
        <v>394</v>
      </c>
      <c r="I250">
        <v>141</v>
      </c>
      <c r="J250">
        <v>101</v>
      </c>
      <c r="K250">
        <v>1391</v>
      </c>
    </row>
    <row r="251" spans="2:11" x14ac:dyDescent="0.45">
      <c r="B251">
        <v>1167</v>
      </c>
      <c r="C251">
        <v>-155</v>
      </c>
      <c r="D251">
        <v>-79</v>
      </c>
      <c r="E251">
        <v>-260</v>
      </c>
      <c r="F251">
        <v>3</v>
      </c>
      <c r="G251">
        <v>65</v>
      </c>
      <c r="H251">
        <v>-209</v>
      </c>
      <c r="I251">
        <v>-1155</v>
      </c>
      <c r="J251">
        <v>777</v>
      </c>
      <c r="K251">
        <v>179</v>
      </c>
    </row>
    <row r="252" spans="2:11" x14ac:dyDescent="0.45">
      <c r="B252">
        <v>-469</v>
      </c>
      <c r="C252">
        <v>-629</v>
      </c>
      <c r="D252">
        <v>-48</v>
      </c>
      <c r="E252">
        <v>509</v>
      </c>
      <c r="F252">
        <v>-147</v>
      </c>
      <c r="G252">
        <v>-188</v>
      </c>
      <c r="H252">
        <v>68</v>
      </c>
      <c r="I252">
        <v>-167</v>
      </c>
      <c r="J252">
        <v>-574</v>
      </c>
      <c r="K252">
        <v>-1115</v>
      </c>
    </row>
    <row r="253" spans="2:11" x14ac:dyDescent="0.45">
      <c r="B253">
        <v>-146</v>
      </c>
      <c r="C253">
        <v>-140</v>
      </c>
      <c r="D253">
        <v>-160</v>
      </c>
      <c r="E253">
        <v>-98</v>
      </c>
      <c r="F253">
        <v>-183</v>
      </c>
      <c r="G253">
        <v>-108</v>
      </c>
      <c r="H253">
        <v>27</v>
      </c>
      <c r="I253">
        <v>223</v>
      </c>
      <c r="J253">
        <v>-36</v>
      </c>
      <c r="K253">
        <v>-102</v>
      </c>
    </row>
    <row r="254" spans="2:11" x14ac:dyDescent="0.45">
      <c r="B254">
        <v>185</v>
      </c>
      <c r="C254">
        <v>-82</v>
      </c>
      <c r="D254">
        <v>-1274</v>
      </c>
      <c r="E254">
        <v>-31778</v>
      </c>
      <c r="F254">
        <v>-25242</v>
      </c>
      <c r="G254">
        <v>0</v>
      </c>
      <c r="H254">
        <v>119</v>
      </c>
      <c r="I254">
        <v>203</v>
      </c>
      <c r="J254">
        <v>-147</v>
      </c>
      <c r="K254">
        <v>335</v>
      </c>
    </row>
    <row r="255" spans="2:11" x14ac:dyDescent="0.45">
      <c r="B255">
        <v>-430</v>
      </c>
      <c r="C255">
        <v>-244</v>
      </c>
      <c r="D255">
        <v>270</v>
      </c>
      <c r="E255">
        <v>258</v>
      </c>
      <c r="F255">
        <v>535</v>
      </c>
      <c r="G255">
        <v>566</v>
      </c>
      <c r="H255">
        <v>390</v>
      </c>
      <c r="I255">
        <v>-849</v>
      </c>
      <c r="J255">
        <v>260</v>
      </c>
      <c r="K255">
        <v>115</v>
      </c>
    </row>
    <row r="256" spans="2:11" x14ac:dyDescent="0.45">
      <c r="B256">
        <v>817</v>
      </c>
      <c r="C256">
        <v>90</v>
      </c>
      <c r="D256">
        <v>182</v>
      </c>
      <c r="E256">
        <v>-756</v>
      </c>
      <c r="F256">
        <v>-2032</v>
      </c>
      <c r="G256">
        <v>285</v>
      </c>
      <c r="H256">
        <v>92</v>
      </c>
      <c r="I256">
        <v>369</v>
      </c>
      <c r="J256">
        <v>82</v>
      </c>
      <c r="K256">
        <v>-316</v>
      </c>
    </row>
    <row r="257" spans="2:11" x14ac:dyDescent="0.45">
      <c r="B257">
        <v>-401</v>
      </c>
      <c r="C257">
        <v>458</v>
      </c>
      <c r="D257">
        <v>-310</v>
      </c>
      <c r="E257">
        <v>58</v>
      </c>
      <c r="F257">
        <v>461</v>
      </c>
      <c r="G257">
        <v>442</v>
      </c>
      <c r="H257">
        <v>-177</v>
      </c>
      <c r="I257">
        <v>-936</v>
      </c>
      <c r="J257">
        <v>160</v>
      </c>
      <c r="K257">
        <v>321</v>
      </c>
    </row>
    <row r="258" spans="2:11" x14ac:dyDescent="0.45">
      <c r="B258">
        <v>-109</v>
      </c>
      <c r="C258">
        <v>-12</v>
      </c>
      <c r="D258">
        <v>208</v>
      </c>
      <c r="E258">
        <v>138</v>
      </c>
      <c r="F258">
        <v>168</v>
      </c>
      <c r="G258">
        <v>271</v>
      </c>
      <c r="H258">
        <v>183</v>
      </c>
      <c r="I258">
        <v>214</v>
      </c>
      <c r="J258">
        <v>294</v>
      </c>
      <c r="K258">
        <v>212</v>
      </c>
    </row>
    <row r="259" spans="2:11" x14ac:dyDescent="0.45">
      <c r="B259">
        <v>-106</v>
      </c>
      <c r="C259">
        <v>-95</v>
      </c>
      <c r="D259">
        <v>-69</v>
      </c>
      <c r="E259">
        <v>18</v>
      </c>
      <c r="F259">
        <v>-87</v>
      </c>
      <c r="G259">
        <v>97</v>
      </c>
      <c r="H259">
        <v>552</v>
      </c>
      <c r="I259">
        <v>-33078</v>
      </c>
      <c r="J259">
        <v>-52046</v>
      </c>
      <c r="K259">
        <v>-42003</v>
      </c>
    </row>
    <row r="260" spans="2:11" x14ac:dyDescent="0.45">
      <c r="B260">
        <v>0</v>
      </c>
      <c r="C260">
        <v>-142</v>
      </c>
      <c r="D260">
        <v>495</v>
      </c>
      <c r="E260">
        <v>-62</v>
      </c>
      <c r="F260">
        <v>91</v>
      </c>
      <c r="G260">
        <v>-1599</v>
      </c>
      <c r="H260">
        <v>-50</v>
      </c>
      <c r="I260">
        <v>127</v>
      </c>
      <c r="J260">
        <v>-926</v>
      </c>
      <c r="K260">
        <v>-660</v>
      </c>
    </row>
    <row r="261" spans="2:11" x14ac:dyDescent="0.45">
      <c r="B261">
        <v>33</v>
      </c>
      <c r="C261">
        <v>5</v>
      </c>
      <c r="D261">
        <v>724</v>
      </c>
      <c r="E261">
        <v>-542</v>
      </c>
      <c r="F261">
        <v>35</v>
      </c>
      <c r="G261">
        <v>335</v>
      </c>
      <c r="H261">
        <v>-23</v>
      </c>
      <c r="I261">
        <v>-46</v>
      </c>
      <c r="J261">
        <v>-244</v>
      </c>
      <c r="K261">
        <v>-16452</v>
      </c>
    </row>
    <row r="262" spans="2:11" x14ac:dyDescent="0.45">
      <c r="B262">
        <v>2296</v>
      </c>
      <c r="C262">
        <v>935</v>
      </c>
      <c r="D262">
        <v>344</v>
      </c>
      <c r="E262">
        <v>-440</v>
      </c>
      <c r="F262">
        <v>245</v>
      </c>
      <c r="G262">
        <v>2456</v>
      </c>
      <c r="H262">
        <v>-18</v>
      </c>
      <c r="I262">
        <v>-814</v>
      </c>
      <c r="J262">
        <v>-452</v>
      </c>
      <c r="K262">
        <v>125</v>
      </c>
    </row>
    <row r="263" spans="2:11" x14ac:dyDescent="0.45">
      <c r="B263">
        <v>765</v>
      </c>
      <c r="C263">
        <v>735</v>
      </c>
      <c r="D263">
        <v>221</v>
      </c>
      <c r="E263">
        <v>2615</v>
      </c>
      <c r="F263">
        <v>1995</v>
      </c>
      <c r="G263">
        <v>-59</v>
      </c>
      <c r="H263">
        <v>561</v>
      </c>
      <c r="I263">
        <v>361</v>
      </c>
      <c r="J263">
        <v>341</v>
      </c>
      <c r="K263">
        <v>2550</v>
      </c>
    </row>
    <row r="264" spans="2:11" x14ac:dyDescent="0.45">
      <c r="B264">
        <v>1690</v>
      </c>
      <c r="C264">
        <v>2897</v>
      </c>
      <c r="D264">
        <v>1102</v>
      </c>
      <c r="E264">
        <v>3116</v>
      </c>
      <c r="F264">
        <v>1329</v>
      </c>
      <c r="G264">
        <v>-176</v>
      </c>
      <c r="H264">
        <v>-1128</v>
      </c>
      <c r="I264">
        <v>-6</v>
      </c>
      <c r="J264">
        <v>2772</v>
      </c>
      <c r="K264">
        <v>-488</v>
      </c>
    </row>
    <row r="265" spans="2:11" x14ac:dyDescent="0.45">
      <c r="B265">
        <v>1925</v>
      </c>
      <c r="C265">
        <v>4714</v>
      </c>
      <c r="D265">
        <v>-19681</v>
      </c>
      <c r="E265">
        <v>14358</v>
      </c>
      <c r="F265">
        <v>-7059</v>
      </c>
      <c r="G265">
        <v>-16570</v>
      </c>
      <c r="H265">
        <v>0</v>
      </c>
      <c r="I265">
        <v>44</v>
      </c>
      <c r="J265">
        <v>1003</v>
      </c>
      <c r="K265">
        <v>-764</v>
      </c>
    </row>
    <row r="266" spans="2:11" x14ac:dyDescent="0.45">
      <c r="B266">
        <v>278</v>
      </c>
      <c r="C266">
        <v>692</v>
      </c>
      <c r="D266">
        <v>-56</v>
      </c>
      <c r="E266">
        <v>-2551</v>
      </c>
      <c r="F266">
        <v>182</v>
      </c>
      <c r="G266">
        <v>738</v>
      </c>
      <c r="H266">
        <v>368</v>
      </c>
      <c r="I266">
        <v>170</v>
      </c>
      <c r="J266">
        <v>789</v>
      </c>
      <c r="K266">
        <v>-569</v>
      </c>
    </row>
    <row r="267" spans="2:11" x14ac:dyDescent="0.45">
      <c r="B267">
        <v>329</v>
      </c>
      <c r="C267">
        <v>-192</v>
      </c>
      <c r="D267">
        <v>-642</v>
      </c>
      <c r="E267">
        <v>-729</v>
      </c>
      <c r="F267">
        <v>1972</v>
      </c>
      <c r="G267">
        <v>22284</v>
      </c>
      <c r="H267">
        <v>1077</v>
      </c>
      <c r="I267">
        <v>-4529</v>
      </c>
      <c r="J267">
        <v>-134</v>
      </c>
      <c r="K267">
        <v>300</v>
      </c>
    </row>
    <row r="268" spans="2:11" x14ac:dyDescent="0.45">
      <c r="B268">
        <v>-102</v>
      </c>
      <c r="C268">
        <v>-1137</v>
      </c>
      <c r="D268">
        <v>379</v>
      </c>
      <c r="E268">
        <v>362</v>
      </c>
      <c r="F268">
        <v>532</v>
      </c>
      <c r="G268">
        <v>-123</v>
      </c>
      <c r="H268">
        <v>-375</v>
      </c>
      <c r="I268">
        <v>-590</v>
      </c>
      <c r="J268">
        <v>-525</v>
      </c>
      <c r="K268">
        <v>-15838</v>
      </c>
    </row>
    <row r="269" spans="2:11" x14ac:dyDescent="0.45">
      <c r="B269">
        <v>3299</v>
      </c>
      <c r="C269">
        <v>577</v>
      </c>
      <c r="D269">
        <v>361</v>
      </c>
      <c r="E269">
        <v>56</v>
      </c>
      <c r="F269">
        <v>600</v>
      </c>
      <c r="G269">
        <v>-13545</v>
      </c>
      <c r="H269">
        <v>264</v>
      </c>
      <c r="I269">
        <v>-14192</v>
      </c>
      <c r="J269">
        <v>3677</v>
      </c>
      <c r="K269">
        <v>-11278</v>
      </c>
    </row>
    <row r="270" spans="2:11" x14ac:dyDescent="0.45">
      <c r="B270">
        <v>550</v>
      </c>
      <c r="C270">
        <v>-5180</v>
      </c>
      <c r="D270">
        <v>47</v>
      </c>
      <c r="E270">
        <v>564</v>
      </c>
      <c r="F270">
        <v>-27644</v>
      </c>
      <c r="G270">
        <v>-699</v>
      </c>
      <c r="H270">
        <v>-12102</v>
      </c>
      <c r="I270">
        <v>-1059</v>
      </c>
      <c r="J270">
        <v>-192</v>
      </c>
      <c r="K270">
        <v>-517</v>
      </c>
    </row>
    <row r="271" spans="2:11" x14ac:dyDescent="0.45">
      <c r="B271">
        <v>357</v>
      </c>
      <c r="C271">
        <v>175</v>
      </c>
      <c r="D271">
        <v>-8999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-462</v>
      </c>
      <c r="E277">
        <v>479</v>
      </c>
      <c r="F277">
        <v>-228</v>
      </c>
      <c r="G277">
        <v>240</v>
      </c>
      <c r="H277">
        <v>-219</v>
      </c>
      <c r="I277">
        <v>584</v>
      </c>
      <c r="J277">
        <v>-112</v>
      </c>
      <c r="K277">
        <v>-604</v>
      </c>
    </row>
    <row r="278" spans="2:11" x14ac:dyDescent="0.45">
      <c r="B278">
        <v>-52</v>
      </c>
      <c r="C278">
        <v>8</v>
      </c>
      <c r="D278">
        <v>49</v>
      </c>
      <c r="E278">
        <v>130</v>
      </c>
      <c r="F278">
        <v>-1748</v>
      </c>
      <c r="G278">
        <v>-297</v>
      </c>
      <c r="H278">
        <v>-395</v>
      </c>
      <c r="I278">
        <v>-40</v>
      </c>
      <c r="J278">
        <v>-30</v>
      </c>
      <c r="K278">
        <v>-260</v>
      </c>
    </row>
    <row r="279" spans="2:11" x14ac:dyDescent="0.45">
      <c r="B279">
        <v>6189</v>
      </c>
      <c r="C279">
        <v>1822</v>
      </c>
      <c r="D279">
        <v>-1032</v>
      </c>
      <c r="E279">
        <v>-503</v>
      </c>
      <c r="F279">
        <v>598</v>
      </c>
      <c r="G279">
        <v>-707</v>
      </c>
      <c r="H279">
        <v>-381</v>
      </c>
      <c r="I279">
        <v>-143</v>
      </c>
      <c r="J279">
        <v>-393</v>
      </c>
      <c r="K279">
        <v>144</v>
      </c>
    </row>
    <row r="280" spans="2:11" x14ac:dyDescent="0.45">
      <c r="B280">
        <v>176</v>
      </c>
      <c r="C280">
        <v>-544</v>
      </c>
      <c r="D280">
        <v>-1230</v>
      </c>
      <c r="E280">
        <v>-209</v>
      </c>
      <c r="F280">
        <v>1173</v>
      </c>
      <c r="G280">
        <v>7047</v>
      </c>
      <c r="H280">
        <v>87</v>
      </c>
      <c r="I280">
        <v>61</v>
      </c>
      <c r="J280">
        <v>183</v>
      </c>
      <c r="K280">
        <v>485</v>
      </c>
    </row>
    <row r="281" spans="2:11" x14ac:dyDescent="0.45">
      <c r="B281">
        <v>-3597</v>
      </c>
      <c r="C281">
        <v>43</v>
      </c>
      <c r="D281">
        <v>-3737</v>
      </c>
      <c r="E281">
        <v>944</v>
      </c>
      <c r="F281">
        <v>-3104</v>
      </c>
      <c r="G281">
        <v>1</v>
      </c>
      <c r="H281">
        <v>-1291</v>
      </c>
      <c r="I281">
        <v>-86</v>
      </c>
      <c r="J281">
        <v>82</v>
      </c>
      <c r="K281">
        <v>-7387</v>
      </c>
    </row>
    <row r="282" spans="2:11" x14ac:dyDescent="0.45">
      <c r="B282">
        <v>-211</v>
      </c>
      <c r="C282">
        <v>-3337</v>
      </c>
      <c r="D282">
        <v>-352</v>
      </c>
      <c r="E282">
        <v>-60</v>
      </c>
      <c r="F282">
        <v>-168</v>
      </c>
      <c r="G282">
        <v>99</v>
      </c>
      <c r="H282">
        <v>30</v>
      </c>
      <c r="I282">
        <v>-2417</v>
      </c>
      <c r="J282">
        <v>26348</v>
      </c>
      <c r="K282">
        <v>0</v>
      </c>
    </row>
    <row r="283" spans="2:11" x14ac:dyDescent="0.45">
      <c r="B283">
        <v>0</v>
      </c>
      <c r="C283">
        <v>-147</v>
      </c>
      <c r="D283">
        <v>161</v>
      </c>
      <c r="E283">
        <v>-246</v>
      </c>
      <c r="F283">
        <v>-67</v>
      </c>
      <c r="G283">
        <v>841</v>
      </c>
      <c r="H283">
        <v>-249</v>
      </c>
      <c r="I283">
        <v>-726</v>
      </c>
      <c r="J283">
        <v>-541</v>
      </c>
      <c r="K283">
        <v>-117</v>
      </c>
    </row>
    <row r="284" spans="2:11" x14ac:dyDescent="0.45">
      <c r="B284">
        <v>-59</v>
      </c>
      <c r="C284">
        <v>-92</v>
      </c>
      <c r="D284">
        <v>959</v>
      </c>
      <c r="E284">
        <v>107</v>
      </c>
      <c r="F284">
        <v>129</v>
      </c>
      <c r="G284">
        <v>1399</v>
      </c>
      <c r="H284">
        <v>617</v>
      </c>
      <c r="I284">
        <v>318</v>
      </c>
      <c r="J284">
        <v>942</v>
      </c>
      <c r="K284">
        <v>4466</v>
      </c>
    </row>
    <row r="285" spans="2:11" x14ac:dyDescent="0.45">
      <c r="B285">
        <v>352</v>
      </c>
      <c r="C285">
        <v>-965</v>
      </c>
      <c r="D285">
        <v>-2510</v>
      </c>
      <c r="E285">
        <v>2319</v>
      </c>
      <c r="F285">
        <v>-1796</v>
      </c>
      <c r="G285">
        <v>-568</v>
      </c>
      <c r="H285">
        <v>-321</v>
      </c>
      <c r="I285">
        <v>348</v>
      </c>
      <c r="J285">
        <v>-144</v>
      </c>
      <c r="K285">
        <v>182</v>
      </c>
    </row>
    <row r="286" spans="2:11" x14ac:dyDescent="0.45">
      <c r="B286">
        <v>172</v>
      </c>
      <c r="C286">
        <v>600</v>
      </c>
      <c r="D286">
        <v>-63</v>
      </c>
      <c r="E286">
        <v>-3385</v>
      </c>
      <c r="F286">
        <v>776</v>
      </c>
      <c r="G286">
        <v>139</v>
      </c>
      <c r="H286">
        <v>-91</v>
      </c>
      <c r="I286">
        <v>-229</v>
      </c>
      <c r="J286">
        <v>-757</v>
      </c>
      <c r="K286">
        <v>-2938</v>
      </c>
    </row>
    <row r="287" spans="2:11" x14ac:dyDescent="0.45">
      <c r="B287">
        <v>139</v>
      </c>
      <c r="C287">
        <v>-3084</v>
      </c>
      <c r="D287">
        <v>833</v>
      </c>
      <c r="E287">
        <v>-2387</v>
      </c>
      <c r="F287">
        <v>102</v>
      </c>
      <c r="G287">
        <v>-1116</v>
      </c>
      <c r="H287">
        <v>137</v>
      </c>
      <c r="I287">
        <v>161</v>
      </c>
      <c r="J287">
        <v>-6002</v>
      </c>
      <c r="K287">
        <v>-5</v>
      </c>
    </row>
    <row r="288" spans="2:11" x14ac:dyDescent="0.45">
      <c r="B288">
        <v>-2582</v>
      </c>
      <c r="C288">
        <v>-70</v>
      </c>
      <c r="D288">
        <v>-19</v>
      </c>
      <c r="E288">
        <v>-109</v>
      </c>
      <c r="F288">
        <v>102</v>
      </c>
      <c r="G288">
        <v>40</v>
      </c>
      <c r="H288">
        <v>-1942</v>
      </c>
      <c r="I288">
        <v>21734</v>
      </c>
      <c r="J288">
        <v>0</v>
      </c>
      <c r="K288">
        <v>5712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359</v>
      </c>
      <c r="E295">
        <v>-336</v>
      </c>
      <c r="F295">
        <v>82</v>
      </c>
      <c r="G295">
        <v>-120</v>
      </c>
      <c r="H295">
        <v>2</v>
      </c>
      <c r="I295">
        <v>8</v>
      </c>
      <c r="J295">
        <v>-447</v>
      </c>
      <c r="K295">
        <v>-1162</v>
      </c>
    </row>
    <row r="296" spans="2:11" x14ac:dyDescent="0.45">
      <c r="B296">
        <v>-466</v>
      </c>
      <c r="C296">
        <v>-310</v>
      </c>
      <c r="D296">
        <v>-108</v>
      </c>
      <c r="E296">
        <v>2013</v>
      </c>
      <c r="F296">
        <v>-794</v>
      </c>
      <c r="G296">
        <v>252</v>
      </c>
      <c r="H296">
        <v>767</v>
      </c>
      <c r="I296">
        <v>366</v>
      </c>
      <c r="J296">
        <v>-33</v>
      </c>
      <c r="K296">
        <v>438</v>
      </c>
    </row>
    <row r="297" spans="2:11" x14ac:dyDescent="0.45">
      <c r="B297">
        <v>1829</v>
      </c>
      <c r="C297">
        <v>471</v>
      </c>
      <c r="D297">
        <v>-1971</v>
      </c>
      <c r="E297">
        <v>705</v>
      </c>
      <c r="F297">
        <v>-512</v>
      </c>
      <c r="G297">
        <v>364</v>
      </c>
      <c r="H297">
        <v>402</v>
      </c>
      <c r="I297">
        <v>221</v>
      </c>
      <c r="J297">
        <v>2242</v>
      </c>
      <c r="K297">
        <v>-1188</v>
      </c>
    </row>
    <row r="298" spans="2:11" x14ac:dyDescent="0.45">
      <c r="B298">
        <v>-19</v>
      </c>
      <c r="C298">
        <v>-133</v>
      </c>
      <c r="D298">
        <v>2532</v>
      </c>
      <c r="E298">
        <v>-23</v>
      </c>
      <c r="F298">
        <v>-1510</v>
      </c>
      <c r="G298">
        <v>567</v>
      </c>
      <c r="H298">
        <v>255</v>
      </c>
      <c r="I298">
        <v>182</v>
      </c>
      <c r="J298">
        <v>-134</v>
      </c>
      <c r="K298">
        <v>-382</v>
      </c>
    </row>
    <row r="299" spans="2:11" x14ac:dyDescent="0.45">
      <c r="B299">
        <v>-1533</v>
      </c>
      <c r="C299">
        <v>125</v>
      </c>
      <c r="D299">
        <v>-1536</v>
      </c>
      <c r="E299">
        <v>476</v>
      </c>
      <c r="F299">
        <v>-1207</v>
      </c>
      <c r="G299">
        <v>159</v>
      </c>
      <c r="H299">
        <v>-616</v>
      </c>
      <c r="I299">
        <v>3</v>
      </c>
      <c r="J299">
        <v>235</v>
      </c>
      <c r="K299">
        <v>-3121</v>
      </c>
    </row>
    <row r="300" spans="2:11" x14ac:dyDescent="0.45">
      <c r="B300">
        <v>-23</v>
      </c>
      <c r="C300">
        <v>-1272</v>
      </c>
      <c r="D300">
        <v>-89</v>
      </c>
      <c r="E300">
        <v>-3</v>
      </c>
      <c r="F300">
        <v>-73</v>
      </c>
      <c r="G300">
        <v>55</v>
      </c>
      <c r="H300">
        <v>19</v>
      </c>
      <c r="I300">
        <v>-907</v>
      </c>
      <c r="J300">
        <v>11611</v>
      </c>
      <c r="K300">
        <v>0</v>
      </c>
    </row>
    <row r="301" spans="2:11" x14ac:dyDescent="0.45">
      <c r="B301">
        <v>3017</v>
      </c>
      <c r="C301">
        <v>2572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-200</v>
      </c>
      <c r="J307">
        <v>-1280</v>
      </c>
      <c r="K307">
        <v>850</v>
      </c>
    </row>
    <row r="308" spans="2:11" x14ac:dyDescent="0.45">
      <c r="B308">
        <v>-1109</v>
      </c>
      <c r="C308">
        <v>62</v>
      </c>
      <c r="D308">
        <v>-486</v>
      </c>
      <c r="E308">
        <v>-1680</v>
      </c>
      <c r="F308">
        <v>1356</v>
      </c>
      <c r="G308">
        <v>2096</v>
      </c>
      <c r="H308">
        <v>384</v>
      </c>
      <c r="I308">
        <v>375</v>
      </c>
      <c r="J308">
        <v>902</v>
      </c>
      <c r="K308">
        <v>-999</v>
      </c>
    </row>
    <row r="309" spans="2:11" x14ac:dyDescent="0.45">
      <c r="B309">
        <v>82</v>
      </c>
      <c r="C309">
        <v>218</v>
      </c>
      <c r="D309">
        <v>239</v>
      </c>
      <c r="E309">
        <v>468</v>
      </c>
      <c r="F309">
        <v>1495</v>
      </c>
      <c r="G309">
        <v>6847</v>
      </c>
      <c r="H309">
        <v>-647</v>
      </c>
      <c r="I309">
        <v>-1473</v>
      </c>
      <c r="J309">
        <v>423</v>
      </c>
      <c r="K309">
        <v>-583</v>
      </c>
    </row>
    <row r="310" spans="2:11" x14ac:dyDescent="0.45">
      <c r="B310">
        <v>875</v>
      </c>
      <c r="C310">
        <v>-317</v>
      </c>
      <c r="D310">
        <v>287</v>
      </c>
      <c r="E310">
        <v>71</v>
      </c>
      <c r="F310">
        <v>293</v>
      </c>
      <c r="G310">
        <v>-2</v>
      </c>
      <c r="H310">
        <v>-79</v>
      </c>
      <c r="I310">
        <v>-1990</v>
      </c>
      <c r="J310">
        <v>-92</v>
      </c>
      <c r="K310">
        <v>-6174</v>
      </c>
    </row>
    <row r="311" spans="2:11" x14ac:dyDescent="0.45">
      <c r="B311">
        <v>1402</v>
      </c>
      <c r="C311">
        <v>349</v>
      </c>
      <c r="D311">
        <v>80</v>
      </c>
      <c r="E311">
        <v>-182</v>
      </c>
      <c r="F311">
        <v>-220</v>
      </c>
      <c r="G311">
        <v>-5163</v>
      </c>
      <c r="H311">
        <v>313</v>
      </c>
      <c r="I311">
        <v>-5473</v>
      </c>
      <c r="J311">
        <v>1584</v>
      </c>
      <c r="K311">
        <v>-4107</v>
      </c>
    </row>
    <row r="312" spans="2:11" x14ac:dyDescent="0.45">
      <c r="B312">
        <v>477</v>
      </c>
      <c r="C312">
        <v>-2139</v>
      </c>
      <c r="D312">
        <v>69</v>
      </c>
      <c r="E312">
        <v>243</v>
      </c>
      <c r="F312">
        <v>-10728</v>
      </c>
      <c r="G312">
        <v>-151</v>
      </c>
      <c r="H312">
        <v>-4563</v>
      </c>
      <c r="I312">
        <v>-294</v>
      </c>
      <c r="J312">
        <v>-88</v>
      </c>
      <c r="K312">
        <v>-171</v>
      </c>
    </row>
    <row r="313" spans="2:11" x14ac:dyDescent="0.45">
      <c r="B313">
        <v>138</v>
      </c>
      <c r="C313">
        <v>117</v>
      </c>
      <c r="D313">
        <v>-3240</v>
      </c>
      <c r="E313">
        <v>39296</v>
      </c>
      <c r="F313">
        <v>0</v>
      </c>
      <c r="G313">
        <v>10346</v>
      </c>
      <c r="H313">
        <v>8539</v>
      </c>
      <c r="I313">
        <v>0</v>
      </c>
      <c r="J313">
        <v>4510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145</v>
      </c>
      <c r="E327">
        <v>605</v>
      </c>
      <c r="F327">
        <v>-283</v>
      </c>
      <c r="G327">
        <v>51</v>
      </c>
      <c r="H327">
        <v>237</v>
      </c>
      <c r="I327">
        <v>41</v>
      </c>
      <c r="J327">
        <v>-1128</v>
      </c>
      <c r="K327">
        <v>-341</v>
      </c>
    </row>
    <row r="328" spans="2:11" x14ac:dyDescent="0.45">
      <c r="B328">
        <v>-309</v>
      </c>
      <c r="C328">
        <v>100</v>
      </c>
      <c r="D328">
        <v>88</v>
      </c>
      <c r="E328">
        <v>382</v>
      </c>
      <c r="F328">
        <v>-674</v>
      </c>
      <c r="G328">
        <v>-237</v>
      </c>
      <c r="H328">
        <v>-9</v>
      </c>
      <c r="I328">
        <v>-284</v>
      </c>
      <c r="J328">
        <v>-244</v>
      </c>
      <c r="K328">
        <v>760</v>
      </c>
    </row>
    <row r="329" spans="2:11" x14ac:dyDescent="0.45">
      <c r="B329">
        <v>8791</v>
      </c>
      <c r="C329">
        <v>1532</v>
      </c>
      <c r="D329">
        <v>-2308</v>
      </c>
      <c r="E329">
        <v>83</v>
      </c>
      <c r="F329">
        <v>50</v>
      </c>
      <c r="G329">
        <v>32</v>
      </c>
      <c r="H329">
        <v>-614</v>
      </c>
      <c r="I329">
        <v>293</v>
      </c>
      <c r="J329">
        <v>638</v>
      </c>
      <c r="K329">
        <v>36</v>
      </c>
    </row>
    <row r="330" spans="2:11" x14ac:dyDescent="0.45">
      <c r="B330">
        <v>782</v>
      </c>
      <c r="C330">
        <v>201</v>
      </c>
      <c r="D330">
        <v>-362</v>
      </c>
      <c r="E330">
        <v>-210</v>
      </c>
      <c r="F330">
        <v>-8477</v>
      </c>
      <c r="G330">
        <v>2336</v>
      </c>
      <c r="H330">
        <v>-226</v>
      </c>
      <c r="I330">
        <v>-1464</v>
      </c>
      <c r="J330">
        <v>105</v>
      </c>
      <c r="K330">
        <v>3270</v>
      </c>
    </row>
    <row r="331" spans="2:11" x14ac:dyDescent="0.45">
      <c r="B331">
        <v>-27816</v>
      </c>
      <c r="C331">
        <v>34412</v>
      </c>
      <c r="D331">
        <v>-7442</v>
      </c>
      <c r="E331">
        <v>2377</v>
      </c>
      <c r="F331">
        <v>-5725</v>
      </c>
      <c r="G331">
        <v>587</v>
      </c>
      <c r="H331">
        <v>-2994</v>
      </c>
      <c r="I331">
        <v>-77</v>
      </c>
      <c r="J331">
        <v>232</v>
      </c>
      <c r="K331">
        <v>-15161</v>
      </c>
    </row>
    <row r="332" spans="2:11" x14ac:dyDescent="0.45">
      <c r="B332">
        <v>-409</v>
      </c>
      <c r="C332">
        <v>-6491</v>
      </c>
      <c r="D332">
        <v>-537</v>
      </c>
      <c r="E332">
        <v>-137</v>
      </c>
      <c r="F332">
        <v>-224</v>
      </c>
      <c r="G332">
        <v>145</v>
      </c>
      <c r="H332">
        <v>179</v>
      </c>
      <c r="I332">
        <v>-4418</v>
      </c>
      <c r="J332">
        <v>54973</v>
      </c>
      <c r="K332">
        <v>0</v>
      </c>
    </row>
    <row r="333" spans="2:11" x14ac:dyDescent="0.45">
      <c r="B333">
        <v>14484</v>
      </c>
      <c r="C333">
        <v>11965</v>
      </c>
      <c r="D333">
        <v>0</v>
      </c>
      <c r="E333">
        <v>6437</v>
      </c>
      <c r="F333">
        <v>0</v>
      </c>
      <c r="G333">
        <v>21658</v>
      </c>
      <c r="H333">
        <v>0</v>
      </c>
      <c r="I333">
        <v>0</v>
      </c>
      <c r="J333">
        <v>0</v>
      </c>
      <c r="K333">
        <v>-10</v>
      </c>
    </row>
    <row r="334" spans="2:11" x14ac:dyDescent="0.45">
      <c r="B334">
        <v>912</v>
      </c>
      <c r="C334">
        <v>-697</v>
      </c>
      <c r="D334">
        <v>261</v>
      </c>
      <c r="E334">
        <v>622</v>
      </c>
      <c r="F334">
        <v>27</v>
      </c>
      <c r="G334">
        <v>-2020</v>
      </c>
      <c r="H334">
        <v>113</v>
      </c>
      <c r="I334">
        <v>465</v>
      </c>
      <c r="J334">
        <v>258</v>
      </c>
      <c r="K334">
        <v>-49</v>
      </c>
    </row>
    <row r="335" spans="2:11" x14ac:dyDescent="0.45">
      <c r="B335">
        <v>804</v>
      </c>
      <c r="C335">
        <v>-744</v>
      </c>
      <c r="D335">
        <v>219</v>
      </c>
      <c r="E335">
        <v>-448</v>
      </c>
      <c r="F335">
        <v>-1286</v>
      </c>
      <c r="G335">
        <v>-604</v>
      </c>
      <c r="H335">
        <v>1808</v>
      </c>
      <c r="I335">
        <v>18839</v>
      </c>
      <c r="J335">
        <v>1424</v>
      </c>
      <c r="K335">
        <v>-4063</v>
      </c>
    </row>
    <row r="336" spans="2:11" x14ac:dyDescent="0.45">
      <c r="B336">
        <v>124</v>
      </c>
      <c r="C336">
        <v>99</v>
      </c>
      <c r="D336">
        <v>29</v>
      </c>
      <c r="E336">
        <v>-1017</v>
      </c>
      <c r="F336">
        <v>-76</v>
      </c>
      <c r="G336">
        <v>582</v>
      </c>
      <c r="H336">
        <v>627</v>
      </c>
      <c r="I336">
        <v>229</v>
      </c>
      <c r="J336">
        <v>-167</v>
      </c>
      <c r="K336">
        <v>-564</v>
      </c>
    </row>
    <row r="337" spans="2:11" x14ac:dyDescent="0.45">
      <c r="B337">
        <v>-449</v>
      </c>
      <c r="C337">
        <v>-14476</v>
      </c>
      <c r="D337">
        <v>3309</v>
      </c>
      <c r="E337">
        <v>844</v>
      </c>
      <c r="F337">
        <v>-297</v>
      </c>
      <c r="G337">
        <v>52</v>
      </c>
      <c r="H337">
        <v>-1617</v>
      </c>
      <c r="I337">
        <v>-12200</v>
      </c>
      <c r="J337">
        <v>11880</v>
      </c>
      <c r="K337">
        <v>-12901</v>
      </c>
    </row>
    <row r="338" spans="2:11" x14ac:dyDescent="0.45">
      <c r="B338">
        <v>3552</v>
      </c>
      <c r="C338">
        <v>-10153</v>
      </c>
      <c r="D338">
        <v>655</v>
      </c>
      <c r="E338">
        <v>-4856</v>
      </c>
      <c r="F338">
        <v>45</v>
      </c>
      <c r="G338">
        <v>497</v>
      </c>
      <c r="H338">
        <v>-25419</v>
      </c>
      <c r="I338">
        <v>-646</v>
      </c>
      <c r="J338">
        <v>-11069</v>
      </c>
      <c r="K338">
        <v>-1000</v>
      </c>
    </row>
    <row r="339" spans="2:11" x14ac:dyDescent="0.45">
      <c r="B339">
        <v>-209</v>
      </c>
      <c r="C339">
        <v>-444</v>
      </c>
      <c r="D339">
        <v>318</v>
      </c>
      <c r="E339">
        <v>191</v>
      </c>
      <c r="F339">
        <v>-8026</v>
      </c>
      <c r="G339">
        <v>92036</v>
      </c>
      <c r="H339">
        <v>0</v>
      </c>
      <c r="I339">
        <v>24249</v>
      </c>
      <c r="J339">
        <v>19989</v>
      </c>
      <c r="K339">
        <v>0</v>
      </c>
    </row>
    <row r="340" spans="2:11" x14ac:dyDescent="0.45">
      <c r="B340">
        <v>10698</v>
      </c>
      <c r="C340">
        <v>0</v>
      </c>
      <c r="D340">
        <v>36193</v>
      </c>
      <c r="E340">
        <v>0</v>
      </c>
      <c r="F340">
        <v>0</v>
      </c>
      <c r="G340">
        <v>69657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95</v>
      </c>
      <c r="I347">
        <v>-283</v>
      </c>
      <c r="J347">
        <v>446</v>
      </c>
      <c r="K347">
        <v>-392</v>
      </c>
    </row>
    <row r="348" spans="2:11" x14ac:dyDescent="0.45">
      <c r="B348">
        <v>-317</v>
      </c>
      <c r="C348">
        <v>-209</v>
      </c>
      <c r="D348">
        <v>-380</v>
      </c>
      <c r="E348">
        <v>-498</v>
      </c>
      <c r="F348">
        <v>-273</v>
      </c>
      <c r="G348">
        <v>-203</v>
      </c>
      <c r="H348">
        <v>-11</v>
      </c>
      <c r="I348">
        <v>219</v>
      </c>
      <c r="J348">
        <v>183</v>
      </c>
      <c r="K348">
        <v>150</v>
      </c>
    </row>
    <row r="349" spans="2:11" x14ac:dyDescent="0.45">
      <c r="B349">
        <v>46</v>
      </c>
      <c r="C349">
        <v>601</v>
      </c>
      <c r="D349">
        <v>-270</v>
      </c>
      <c r="E349">
        <v>92</v>
      </c>
      <c r="F349">
        <v>1621</v>
      </c>
      <c r="G349">
        <v>-161</v>
      </c>
      <c r="H349">
        <v>-410</v>
      </c>
      <c r="I349">
        <v>54</v>
      </c>
      <c r="J349">
        <v>-151</v>
      </c>
      <c r="K349">
        <v>181</v>
      </c>
    </row>
    <row r="350" spans="2:11" x14ac:dyDescent="0.45">
      <c r="B350">
        <v>-33</v>
      </c>
      <c r="C350">
        <v>-29</v>
      </c>
      <c r="D350">
        <v>39</v>
      </c>
      <c r="E350">
        <v>0</v>
      </c>
      <c r="F350">
        <v>-3</v>
      </c>
      <c r="G350">
        <v>77</v>
      </c>
      <c r="H350">
        <v>62</v>
      </c>
      <c r="I350">
        <v>-40</v>
      </c>
      <c r="J350">
        <v>-602</v>
      </c>
      <c r="K350">
        <v>-42</v>
      </c>
    </row>
    <row r="351" spans="2:11" x14ac:dyDescent="0.45">
      <c r="B351">
        <v>80</v>
      </c>
      <c r="C351">
        <v>136</v>
      </c>
      <c r="D351">
        <v>-2438</v>
      </c>
      <c r="E351">
        <v>-95</v>
      </c>
      <c r="F351">
        <v>-571</v>
      </c>
      <c r="G351">
        <v>-87</v>
      </c>
      <c r="H351">
        <v>6281</v>
      </c>
      <c r="I351">
        <v>-10602</v>
      </c>
      <c r="J351">
        <v>-513</v>
      </c>
      <c r="K351">
        <v>-44</v>
      </c>
    </row>
    <row r="352" spans="2:11" x14ac:dyDescent="0.45">
      <c r="B352">
        <v>-138</v>
      </c>
      <c r="C352">
        <v>-6</v>
      </c>
      <c r="D352">
        <v>109</v>
      </c>
      <c r="E352">
        <v>-976</v>
      </c>
      <c r="F352">
        <v>-26</v>
      </c>
      <c r="G352">
        <v>-444</v>
      </c>
      <c r="H352">
        <v>-118</v>
      </c>
      <c r="I352">
        <v>2</v>
      </c>
      <c r="J352">
        <v>-24</v>
      </c>
      <c r="K352">
        <v>20</v>
      </c>
    </row>
    <row r="353" spans="2:11" x14ac:dyDescent="0.45">
      <c r="B353">
        <v>-16</v>
      </c>
      <c r="C353">
        <v>-438</v>
      </c>
      <c r="D353">
        <v>3554</v>
      </c>
      <c r="E353">
        <v>0</v>
      </c>
      <c r="F353">
        <v>938</v>
      </c>
      <c r="G353">
        <v>779</v>
      </c>
      <c r="H353">
        <v>0</v>
      </c>
      <c r="I353">
        <v>426</v>
      </c>
      <c r="J353">
        <v>0</v>
      </c>
      <c r="K353">
        <v>1378</v>
      </c>
    </row>
    <row r="354" spans="2:11" x14ac:dyDescent="0.45">
      <c r="B354">
        <v>0</v>
      </c>
      <c r="C354">
        <v>0</v>
      </c>
      <c r="D354">
        <v>1926</v>
      </c>
      <c r="E354">
        <v>3251</v>
      </c>
      <c r="F354">
        <v>0</v>
      </c>
      <c r="G354">
        <v>0</v>
      </c>
      <c r="H354">
        <v>79</v>
      </c>
      <c r="I354">
        <v>795</v>
      </c>
      <c r="J354">
        <v>-481</v>
      </c>
      <c r="K354">
        <v>59</v>
      </c>
    </row>
    <row r="355" spans="2:11" x14ac:dyDescent="0.45">
      <c r="B355">
        <v>610</v>
      </c>
      <c r="C355">
        <v>-1</v>
      </c>
      <c r="D355">
        <v>-1972</v>
      </c>
      <c r="E355">
        <v>-51</v>
      </c>
      <c r="F355">
        <v>1453</v>
      </c>
      <c r="G355">
        <v>292</v>
      </c>
      <c r="H355">
        <v>-88</v>
      </c>
      <c r="I355">
        <v>827</v>
      </c>
      <c r="J355">
        <v>-441</v>
      </c>
      <c r="K355">
        <v>439</v>
      </c>
    </row>
    <row r="356" spans="2:11" x14ac:dyDescent="0.45">
      <c r="B356">
        <v>64</v>
      </c>
      <c r="C356">
        <v>-177</v>
      </c>
      <c r="D356">
        <v>-1117</v>
      </c>
      <c r="E356">
        <v>1571</v>
      </c>
      <c r="F356">
        <v>16295</v>
      </c>
      <c r="G356">
        <v>1032</v>
      </c>
      <c r="H356">
        <v>-3610</v>
      </c>
      <c r="I356">
        <v>-211</v>
      </c>
      <c r="J356">
        <v>226</v>
      </c>
      <c r="K356">
        <v>-5</v>
      </c>
    </row>
    <row r="357" spans="2:11" x14ac:dyDescent="0.45">
      <c r="B357">
        <v>-917</v>
      </c>
      <c r="C357">
        <v>-127</v>
      </c>
      <c r="D357">
        <v>422</v>
      </c>
      <c r="E357">
        <v>494</v>
      </c>
      <c r="F357">
        <v>-212</v>
      </c>
      <c r="G357">
        <v>-253</v>
      </c>
      <c r="H357">
        <v>-626</v>
      </c>
      <c r="I357">
        <v>-358</v>
      </c>
      <c r="J357">
        <v>-12068</v>
      </c>
      <c r="K357">
        <v>2637</v>
      </c>
    </row>
    <row r="358" spans="2:11" x14ac:dyDescent="0.45">
      <c r="B358">
        <v>316</v>
      </c>
      <c r="C358">
        <v>526</v>
      </c>
      <c r="D358">
        <v>-4992</v>
      </c>
      <c r="E358">
        <v>294</v>
      </c>
      <c r="F358">
        <v>-10305</v>
      </c>
      <c r="G358">
        <v>286</v>
      </c>
      <c r="H358">
        <v>2257</v>
      </c>
      <c r="I358">
        <v>-283</v>
      </c>
      <c r="J358">
        <v>-8506</v>
      </c>
      <c r="K358">
        <v>507</v>
      </c>
    </row>
    <row r="359" spans="2:11" x14ac:dyDescent="0.45">
      <c r="B359">
        <v>-3977</v>
      </c>
      <c r="C359">
        <v>-314</v>
      </c>
      <c r="D359">
        <v>543</v>
      </c>
      <c r="E359">
        <v>-21115</v>
      </c>
      <c r="F359">
        <v>-809</v>
      </c>
      <c r="G359">
        <v>-9192</v>
      </c>
      <c r="H359">
        <v>-1178</v>
      </c>
      <c r="I359">
        <v>-143</v>
      </c>
      <c r="J359">
        <v>-380</v>
      </c>
      <c r="K359">
        <v>275</v>
      </c>
    </row>
    <row r="360" spans="2:11" x14ac:dyDescent="0.45">
      <c r="B360">
        <v>145</v>
      </c>
      <c r="C360">
        <v>-6766</v>
      </c>
      <c r="D360">
        <v>76592</v>
      </c>
      <c r="E360">
        <v>0</v>
      </c>
      <c r="F360">
        <v>20176</v>
      </c>
      <c r="G360">
        <v>16658</v>
      </c>
      <c r="H360">
        <v>0</v>
      </c>
      <c r="I360">
        <v>8912</v>
      </c>
      <c r="J360">
        <v>0</v>
      </c>
      <c r="K360">
        <v>30127</v>
      </c>
    </row>
    <row r="361" spans="2:11" x14ac:dyDescent="0.45">
      <c r="B361">
        <v>0</v>
      </c>
      <c r="C361">
        <v>0</v>
      </c>
      <c r="D361">
        <v>42124</v>
      </c>
      <c r="E361">
        <v>70502</v>
      </c>
      <c r="F361">
        <v>0</v>
      </c>
      <c r="G361">
        <v>5275</v>
      </c>
      <c r="H361">
        <v>0</v>
      </c>
      <c r="I361">
        <v>184</v>
      </c>
      <c r="J361">
        <v>642</v>
      </c>
      <c r="K361">
        <v>-446</v>
      </c>
    </row>
    <row r="362" spans="2:11" x14ac:dyDescent="0.45">
      <c r="B362">
        <v>192</v>
      </c>
      <c r="C362">
        <v>336</v>
      </c>
      <c r="D362">
        <v>321</v>
      </c>
      <c r="E362">
        <v>-1202</v>
      </c>
      <c r="F362">
        <v>407</v>
      </c>
      <c r="G362">
        <v>446</v>
      </c>
      <c r="H362">
        <v>61</v>
      </c>
      <c r="I362">
        <v>50</v>
      </c>
      <c r="J362">
        <v>578</v>
      </c>
      <c r="K362">
        <v>-382</v>
      </c>
    </row>
    <row r="363" spans="2:11" x14ac:dyDescent="0.45">
      <c r="B363">
        <v>189</v>
      </c>
      <c r="C363">
        <v>-76</v>
      </c>
      <c r="D363">
        <v>-473</v>
      </c>
      <c r="E363">
        <v>-670</v>
      </c>
      <c r="F363">
        <v>1024</v>
      </c>
      <c r="G363">
        <v>9815</v>
      </c>
      <c r="H363">
        <v>669</v>
      </c>
      <c r="I363">
        <v>-1583</v>
      </c>
      <c r="J363">
        <v>536</v>
      </c>
      <c r="K363">
        <v>-218</v>
      </c>
    </row>
    <row r="364" spans="2:11" x14ac:dyDescent="0.45">
      <c r="B364">
        <v>182</v>
      </c>
      <c r="C364">
        <v>-296</v>
      </c>
      <c r="D364">
        <v>51</v>
      </c>
      <c r="E364">
        <v>329</v>
      </c>
      <c r="F364">
        <v>618</v>
      </c>
      <c r="G364">
        <v>100</v>
      </c>
      <c r="H364">
        <v>-82</v>
      </c>
      <c r="I364">
        <v>-489</v>
      </c>
      <c r="J364">
        <v>-351</v>
      </c>
      <c r="K364">
        <v>-7030</v>
      </c>
    </row>
    <row r="365" spans="2:11" x14ac:dyDescent="0.45">
      <c r="B365">
        <v>1475</v>
      </c>
      <c r="C365">
        <v>36</v>
      </c>
      <c r="D365">
        <v>191</v>
      </c>
      <c r="E365">
        <v>88</v>
      </c>
      <c r="F365">
        <v>273</v>
      </c>
      <c r="G365">
        <v>-5975</v>
      </c>
      <c r="H365">
        <v>109</v>
      </c>
      <c r="I365">
        <v>-6238</v>
      </c>
      <c r="J365">
        <v>1626</v>
      </c>
      <c r="K365">
        <v>-4243</v>
      </c>
    </row>
    <row r="366" spans="2:11" x14ac:dyDescent="0.45">
      <c r="B366">
        <v>-2954</v>
      </c>
      <c r="C366">
        <v>-1017</v>
      </c>
      <c r="D366">
        <v>-365</v>
      </c>
      <c r="E366">
        <v>216</v>
      </c>
      <c r="F366">
        <v>-12216</v>
      </c>
      <c r="G366">
        <v>-558</v>
      </c>
      <c r="H366">
        <v>-5372</v>
      </c>
      <c r="I366">
        <v>-897</v>
      </c>
      <c r="J366">
        <v>-103</v>
      </c>
      <c r="K366">
        <v>-231</v>
      </c>
    </row>
    <row r="367" spans="2:11" x14ac:dyDescent="0.45">
      <c r="B367">
        <v>161</v>
      </c>
      <c r="C367">
        <v>79</v>
      </c>
      <c r="D367">
        <v>-3960</v>
      </c>
      <c r="E367">
        <v>44072</v>
      </c>
      <c r="F367">
        <v>0</v>
      </c>
      <c r="G367">
        <v>11613</v>
      </c>
      <c r="H367">
        <v>9556</v>
      </c>
      <c r="I367">
        <v>0</v>
      </c>
      <c r="J367">
        <v>5115</v>
      </c>
      <c r="K367">
        <v>0</v>
      </c>
    </row>
    <row r="368" spans="2:11" x14ac:dyDescent="0.45">
      <c r="B368">
        <v>17321</v>
      </c>
      <c r="C368">
        <v>0</v>
      </c>
      <c r="D368">
        <v>0</v>
      </c>
      <c r="E368">
        <v>24227</v>
      </c>
      <c r="F368">
        <v>40569</v>
      </c>
      <c r="G368">
        <v>0</v>
      </c>
      <c r="H368">
        <v>1563</v>
      </c>
      <c r="I368">
        <v>33760</v>
      </c>
      <c r="J368">
        <v>0</v>
      </c>
      <c r="K368">
        <v>181</v>
      </c>
    </row>
    <row r="369" spans="2:11" x14ac:dyDescent="0.45">
      <c r="B369">
        <v>836</v>
      </c>
      <c r="C369">
        <v>-340</v>
      </c>
      <c r="D369">
        <v>57</v>
      </c>
      <c r="E369">
        <v>215</v>
      </c>
      <c r="F369">
        <v>-59</v>
      </c>
      <c r="G369">
        <v>-2102</v>
      </c>
      <c r="H369">
        <v>199</v>
      </c>
      <c r="I369">
        <v>808</v>
      </c>
      <c r="J369">
        <v>213</v>
      </c>
      <c r="K369">
        <v>-10</v>
      </c>
    </row>
    <row r="370" spans="2:11" x14ac:dyDescent="0.45">
      <c r="B370">
        <v>442</v>
      </c>
      <c r="C370">
        <v>-515</v>
      </c>
      <c r="D370">
        <v>665</v>
      </c>
      <c r="E370">
        <v>-439</v>
      </c>
      <c r="F370">
        <v>-210</v>
      </c>
      <c r="G370">
        <v>-550</v>
      </c>
      <c r="H370">
        <v>1357</v>
      </c>
      <c r="I370">
        <v>13627</v>
      </c>
      <c r="J370">
        <v>202</v>
      </c>
      <c r="K370">
        <v>-2650</v>
      </c>
    </row>
    <row r="371" spans="2:11" x14ac:dyDescent="0.45">
      <c r="B371">
        <v>57</v>
      </c>
      <c r="C371">
        <v>3</v>
      </c>
      <c r="D371">
        <v>100</v>
      </c>
      <c r="E371">
        <v>-939</v>
      </c>
      <c r="F371">
        <v>-944</v>
      </c>
      <c r="G371">
        <v>812</v>
      </c>
      <c r="H371">
        <v>-1006</v>
      </c>
      <c r="I371">
        <v>381</v>
      </c>
      <c r="J371">
        <v>231</v>
      </c>
      <c r="K371">
        <v>-829</v>
      </c>
    </row>
    <row r="372" spans="2:11" x14ac:dyDescent="0.45">
      <c r="B372">
        <v>-463</v>
      </c>
      <c r="C372">
        <v>-9733</v>
      </c>
      <c r="D372">
        <v>2084</v>
      </c>
      <c r="E372">
        <v>55</v>
      </c>
      <c r="F372">
        <v>303</v>
      </c>
      <c r="G372">
        <v>249</v>
      </c>
      <c r="H372">
        <v>646</v>
      </c>
      <c r="I372">
        <v>-8382</v>
      </c>
      <c r="J372">
        <v>159</v>
      </c>
      <c r="K372">
        <v>-8716</v>
      </c>
    </row>
    <row r="373" spans="2:11" x14ac:dyDescent="0.45">
      <c r="B373">
        <v>2287</v>
      </c>
      <c r="C373">
        <v>-5457</v>
      </c>
      <c r="D373">
        <v>2632</v>
      </c>
      <c r="E373">
        <v>-1801</v>
      </c>
      <c r="F373">
        <v>-731</v>
      </c>
      <c r="G373">
        <v>331</v>
      </c>
      <c r="H373">
        <v>-17103</v>
      </c>
      <c r="I373">
        <v>-876</v>
      </c>
      <c r="J373">
        <v>-7483</v>
      </c>
      <c r="K373">
        <v>-1379</v>
      </c>
    </row>
    <row r="374" spans="2:11" x14ac:dyDescent="0.45">
      <c r="B374">
        <v>-153</v>
      </c>
      <c r="C374">
        <v>-309</v>
      </c>
      <c r="D374">
        <v>228</v>
      </c>
      <c r="E374">
        <v>108</v>
      </c>
      <c r="F374">
        <v>-5517</v>
      </c>
      <c r="G374">
        <v>61921</v>
      </c>
      <c r="H374">
        <v>0</v>
      </c>
      <c r="I374">
        <v>16308</v>
      </c>
      <c r="J374">
        <v>13432</v>
      </c>
      <c r="K374">
        <v>0</v>
      </c>
    </row>
    <row r="375" spans="2:11" x14ac:dyDescent="0.45">
      <c r="B375">
        <v>7210</v>
      </c>
      <c r="C375">
        <v>0</v>
      </c>
      <c r="D375">
        <v>24352</v>
      </c>
      <c r="E375">
        <v>0</v>
      </c>
      <c r="F375">
        <v>0</v>
      </c>
      <c r="G375">
        <v>34047</v>
      </c>
      <c r="H375">
        <v>57004</v>
      </c>
      <c r="I375">
        <v>0</v>
      </c>
      <c r="J375">
        <v>2201</v>
      </c>
      <c r="K375">
        <v>47444</v>
      </c>
    </row>
    <row r="376" spans="2:11" x14ac:dyDescent="0.45">
      <c r="B376">
        <v>28421</v>
      </c>
      <c r="C376">
        <v>0</v>
      </c>
      <c r="D376">
        <v>-394</v>
      </c>
      <c r="E376">
        <v>1027</v>
      </c>
      <c r="F376">
        <v>-856</v>
      </c>
      <c r="G376">
        <v>526</v>
      </c>
      <c r="H376">
        <v>1023</v>
      </c>
      <c r="I376">
        <v>-1422</v>
      </c>
      <c r="J376">
        <v>-1587</v>
      </c>
      <c r="K376">
        <v>-58</v>
      </c>
    </row>
    <row r="377" spans="2:11" x14ac:dyDescent="0.45">
      <c r="B377">
        <v>108</v>
      </c>
      <c r="C377">
        <v>-445</v>
      </c>
      <c r="D377">
        <v>237</v>
      </c>
      <c r="E377">
        <v>901</v>
      </c>
      <c r="F377">
        <v>-270</v>
      </c>
      <c r="G377">
        <v>99</v>
      </c>
      <c r="H377">
        <v>88</v>
      </c>
      <c r="I377">
        <v>-1088</v>
      </c>
      <c r="J377">
        <v>925</v>
      </c>
      <c r="K377">
        <v>701</v>
      </c>
    </row>
    <row r="378" spans="2:11" x14ac:dyDescent="0.45">
      <c r="B378">
        <v>12439</v>
      </c>
      <c r="C378">
        <v>21</v>
      </c>
      <c r="D378">
        <v>-3167</v>
      </c>
      <c r="E378">
        <v>168</v>
      </c>
      <c r="F378">
        <v>-31</v>
      </c>
      <c r="G378">
        <v>106</v>
      </c>
      <c r="H378">
        <v>-143</v>
      </c>
      <c r="I378">
        <v>88</v>
      </c>
      <c r="J378">
        <v>277</v>
      </c>
      <c r="K378">
        <v>497</v>
      </c>
    </row>
    <row r="379" spans="2:11" x14ac:dyDescent="0.45">
      <c r="B379">
        <v>-848</v>
      </c>
      <c r="C379">
        <v>-709</v>
      </c>
      <c r="D379">
        <v>-1165</v>
      </c>
      <c r="E379">
        <v>-17</v>
      </c>
      <c r="F379">
        <v>-6962</v>
      </c>
      <c r="G379">
        <v>1011</v>
      </c>
      <c r="H379">
        <v>-225</v>
      </c>
      <c r="I379">
        <v>200</v>
      </c>
      <c r="J379">
        <v>510</v>
      </c>
      <c r="K379">
        <v>914</v>
      </c>
    </row>
    <row r="380" spans="2:11" x14ac:dyDescent="0.45">
      <c r="B380">
        <v>-6097</v>
      </c>
      <c r="C380">
        <v>-216</v>
      </c>
      <c r="D380">
        <v>-6338</v>
      </c>
      <c r="E380">
        <v>1296</v>
      </c>
      <c r="F380">
        <v>-34347</v>
      </c>
      <c r="G380">
        <v>4390</v>
      </c>
      <c r="H380">
        <v>7975</v>
      </c>
      <c r="I380">
        <v>-1029</v>
      </c>
      <c r="J380">
        <v>634</v>
      </c>
      <c r="K380">
        <v>-11930</v>
      </c>
    </row>
    <row r="381" spans="2:11" x14ac:dyDescent="0.45">
      <c r="B381">
        <v>-1002</v>
      </c>
      <c r="C381">
        <v>-5317</v>
      </c>
      <c r="D381">
        <v>-1525</v>
      </c>
      <c r="E381">
        <v>-57</v>
      </c>
      <c r="F381">
        <v>-282</v>
      </c>
      <c r="G381">
        <v>184</v>
      </c>
      <c r="H381">
        <v>-2</v>
      </c>
      <c r="I381">
        <v>-4291</v>
      </c>
      <c r="J381">
        <v>43222</v>
      </c>
      <c r="K381">
        <v>0</v>
      </c>
    </row>
    <row r="382" spans="2:11" x14ac:dyDescent="0.45">
      <c r="B382">
        <v>11399</v>
      </c>
      <c r="C382">
        <v>9365</v>
      </c>
      <c r="D382">
        <v>0</v>
      </c>
      <c r="E382">
        <v>5014</v>
      </c>
      <c r="F382">
        <v>0</v>
      </c>
      <c r="G382">
        <v>16926</v>
      </c>
      <c r="H382">
        <v>0</v>
      </c>
      <c r="I382">
        <v>0</v>
      </c>
      <c r="J382">
        <v>23651</v>
      </c>
      <c r="K382">
        <v>39735</v>
      </c>
    </row>
    <row r="383" spans="2:11" x14ac:dyDescent="0.45">
      <c r="B383">
        <v>0</v>
      </c>
      <c r="C383">
        <v>1559</v>
      </c>
      <c r="D383">
        <v>33092</v>
      </c>
      <c r="E383">
        <v>21442</v>
      </c>
      <c r="F383">
        <v>30073</v>
      </c>
      <c r="G383">
        <v>0</v>
      </c>
      <c r="H383">
        <v>228</v>
      </c>
      <c r="I383">
        <v>1659</v>
      </c>
      <c r="J383">
        <v>-911</v>
      </c>
      <c r="K383">
        <v>467</v>
      </c>
    </row>
    <row r="384" spans="2:11" x14ac:dyDescent="0.45">
      <c r="B384">
        <v>465</v>
      </c>
      <c r="C384">
        <v>-12</v>
      </c>
      <c r="D384">
        <v>-2466</v>
      </c>
      <c r="E384">
        <v>101</v>
      </c>
      <c r="F384">
        <v>287</v>
      </c>
      <c r="G384">
        <v>550</v>
      </c>
      <c r="H384">
        <v>183</v>
      </c>
      <c r="I384">
        <v>735</v>
      </c>
      <c r="J384">
        <v>-572</v>
      </c>
      <c r="K384">
        <v>22</v>
      </c>
    </row>
    <row r="385" spans="2:11" x14ac:dyDescent="0.45">
      <c r="B385">
        <v>128</v>
      </c>
      <c r="C385">
        <v>-772</v>
      </c>
      <c r="D385">
        <v>-973</v>
      </c>
      <c r="E385">
        <v>1777</v>
      </c>
      <c r="F385">
        <v>16370</v>
      </c>
      <c r="G385">
        <v>391</v>
      </c>
      <c r="H385">
        <v>-2764</v>
      </c>
      <c r="I385">
        <v>-135</v>
      </c>
      <c r="J385">
        <v>397</v>
      </c>
      <c r="K385">
        <v>-279</v>
      </c>
    </row>
    <row r="386" spans="2:11" x14ac:dyDescent="0.45">
      <c r="B386">
        <v>-766</v>
      </c>
      <c r="C386">
        <v>-428</v>
      </c>
      <c r="D386">
        <v>743</v>
      </c>
      <c r="E386">
        <v>687</v>
      </c>
      <c r="F386">
        <v>201</v>
      </c>
      <c r="G386">
        <v>-108</v>
      </c>
      <c r="H386">
        <v>-1229</v>
      </c>
      <c r="I386">
        <v>-423</v>
      </c>
      <c r="J386">
        <v>-12116</v>
      </c>
      <c r="K386">
        <v>2723</v>
      </c>
    </row>
    <row r="387" spans="2:11" x14ac:dyDescent="0.45">
      <c r="B387">
        <v>-118</v>
      </c>
      <c r="C387">
        <v>507</v>
      </c>
      <c r="D387">
        <v>374</v>
      </c>
      <c r="E387">
        <v>700</v>
      </c>
      <c r="F387">
        <v>-10404</v>
      </c>
      <c r="G387">
        <v>310</v>
      </c>
      <c r="H387">
        <v>-10770</v>
      </c>
      <c r="I387">
        <v>2947</v>
      </c>
      <c r="J387">
        <v>-10288</v>
      </c>
      <c r="K387">
        <v>484</v>
      </c>
    </row>
    <row r="388" spans="2:11" x14ac:dyDescent="0.45">
      <c r="B388">
        <v>-442</v>
      </c>
      <c r="C388">
        <v>-1225</v>
      </c>
      <c r="D388">
        <v>524</v>
      </c>
      <c r="E388">
        <v>-21339</v>
      </c>
      <c r="F388">
        <v>-1347</v>
      </c>
      <c r="G388">
        <v>-9300</v>
      </c>
      <c r="H388">
        <v>-1895</v>
      </c>
      <c r="I388">
        <v>-169</v>
      </c>
      <c r="J388">
        <v>-361</v>
      </c>
      <c r="K388">
        <v>264</v>
      </c>
    </row>
    <row r="389" spans="2:11" x14ac:dyDescent="0.45">
      <c r="B389">
        <v>156</v>
      </c>
      <c r="C389">
        <v>-6778</v>
      </c>
      <c r="D389">
        <v>77382</v>
      </c>
      <c r="E389">
        <v>0</v>
      </c>
      <c r="F389">
        <v>20380</v>
      </c>
      <c r="G389">
        <v>16807</v>
      </c>
      <c r="H389">
        <v>0</v>
      </c>
      <c r="I389">
        <v>8988</v>
      </c>
      <c r="J389">
        <v>0</v>
      </c>
      <c r="K389">
        <v>30430</v>
      </c>
    </row>
    <row r="390" spans="2:11" x14ac:dyDescent="0.45">
      <c r="B390">
        <v>0</v>
      </c>
      <c r="C390">
        <v>0</v>
      </c>
      <c r="D390">
        <v>42574</v>
      </c>
      <c r="E390">
        <v>71243</v>
      </c>
      <c r="F390">
        <v>0</v>
      </c>
      <c r="G390">
        <v>2742</v>
      </c>
      <c r="H390">
        <v>59291</v>
      </c>
      <c r="I390">
        <v>36345</v>
      </c>
      <c r="J390">
        <v>50689</v>
      </c>
      <c r="K390">
        <v>40036</v>
      </c>
    </row>
    <row r="391" spans="2:11" x14ac:dyDescent="0.45">
      <c r="B391">
        <v>0</v>
      </c>
      <c r="C391">
        <v>432</v>
      </c>
      <c r="D391">
        <v>874</v>
      </c>
      <c r="E391">
        <v>-263</v>
      </c>
      <c r="F391">
        <v>201</v>
      </c>
      <c r="G391">
        <v>202</v>
      </c>
      <c r="H391">
        <v>1576</v>
      </c>
      <c r="I391">
        <v>-792</v>
      </c>
      <c r="J391">
        <v>-312</v>
      </c>
      <c r="K391">
        <v>-540</v>
      </c>
    </row>
    <row r="392" spans="2:11" x14ac:dyDescent="0.45">
      <c r="B392">
        <v>-1107</v>
      </c>
      <c r="C392">
        <v>-410</v>
      </c>
      <c r="D392">
        <v>-260</v>
      </c>
      <c r="E392">
        <v>-462</v>
      </c>
      <c r="F392">
        <v>507</v>
      </c>
      <c r="G392">
        <v>-599</v>
      </c>
      <c r="H392">
        <v>-126</v>
      </c>
      <c r="I392">
        <v>-1711</v>
      </c>
      <c r="J392">
        <v>626</v>
      </c>
      <c r="K392">
        <v>195</v>
      </c>
    </row>
    <row r="393" spans="2:11" x14ac:dyDescent="0.45">
      <c r="B393">
        <v>974</v>
      </c>
      <c r="C393">
        <v>1268</v>
      </c>
      <c r="D393">
        <v>485</v>
      </c>
      <c r="E393">
        <v>-225</v>
      </c>
      <c r="F393">
        <v>58</v>
      </c>
      <c r="G393">
        <v>39</v>
      </c>
      <c r="H393">
        <v>381</v>
      </c>
      <c r="I393">
        <v>141</v>
      </c>
      <c r="J393">
        <v>198</v>
      </c>
      <c r="K393">
        <v>-10</v>
      </c>
    </row>
    <row r="394" spans="2:11" x14ac:dyDescent="0.45">
      <c r="B394">
        <v>495</v>
      </c>
      <c r="C394">
        <v>-678</v>
      </c>
      <c r="D394">
        <v>-786</v>
      </c>
      <c r="E394">
        <v>-129</v>
      </c>
      <c r="F394">
        <v>-11</v>
      </c>
      <c r="G394">
        <v>-330</v>
      </c>
      <c r="H394">
        <v>165</v>
      </c>
      <c r="I394">
        <v>159</v>
      </c>
      <c r="J394">
        <v>177</v>
      </c>
      <c r="K394">
        <v>52</v>
      </c>
    </row>
    <row r="395" spans="2:11" x14ac:dyDescent="0.45">
      <c r="B395">
        <v>-49</v>
      </c>
      <c r="C395">
        <v>138</v>
      </c>
      <c r="D395">
        <v>-47</v>
      </c>
      <c r="E395">
        <v>9949</v>
      </c>
      <c r="F395">
        <v>5061</v>
      </c>
      <c r="G395">
        <v>-17829</v>
      </c>
      <c r="H395">
        <v>-605</v>
      </c>
      <c r="I395">
        <v>-247</v>
      </c>
      <c r="J395">
        <v>40</v>
      </c>
      <c r="K395">
        <v>-369</v>
      </c>
    </row>
    <row r="396" spans="2:11" x14ac:dyDescent="0.45">
      <c r="B396">
        <v>-85</v>
      </c>
      <c r="C396">
        <v>-670</v>
      </c>
      <c r="D396">
        <v>-17</v>
      </c>
      <c r="E396">
        <v>-2</v>
      </c>
      <c r="F396">
        <v>-2</v>
      </c>
      <c r="G396">
        <v>-22</v>
      </c>
      <c r="H396">
        <v>17</v>
      </c>
      <c r="I396">
        <v>-715</v>
      </c>
      <c r="J396">
        <v>0</v>
      </c>
      <c r="K396">
        <v>-159</v>
      </c>
    </row>
    <row r="397" spans="2:11" x14ac:dyDescent="0.45">
      <c r="B397">
        <v>-189</v>
      </c>
      <c r="C397">
        <v>0</v>
      </c>
      <c r="D397">
        <v>-101</v>
      </c>
      <c r="E397">
        <v>0</v>
      </c>
      <c r="F397">
        <v>-336</v>
      </c>
      <c r="G397">
        <v>0</v>
      </c>
      <c r="H397">
        <v>0</v>
      </c>
      <c r="I397">
        <v>-403</v>
      </c>
      <c r="J397">
        <v>-655</v>
      </c>
      <c r="K397">
        <v>0</v>
      </c>
    </row>
    <row r="398" spans="2:11" x14ac:dyDescent="0.45">
      <c r="B398">
        <v>-22</v>
      </c>
      <c r="C398">
        <v>-544</v>
      </c>
      <c r="D398">
        <v>5056</v>
      </c>
      <c r="E398">
        <v>5852</v>
      </c>
      <c r="F398">
        <v>7385</v>
      </c>
      <c r="G398">
        <v>10359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4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4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4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4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45">
      <c r="B406">
        <v>0</v>
      </c>
      <c r="C406">
        <v>0</v>
      </c>
      <c r="D406">
        <v>0</v>
      </c>
      <c r="E406">
        <v>0</v>
      </c>
      <c r="F406">
        <v>-88</v>
      </c>
      <c r="G406">
        <v>1429</v>
      </c>
      <c r="H406">
        <v>-838</v>
      </c>
      <c r="I406">
        <v>302</v>
      </c>
      <c r="J406">
        <v>619</v>
      </c>
      <c r="K406">
        <v>-167</v>
      </c>
    </row>
    <row r="407" spans="2:11" x14ac:dyDescent="0.45">
      <c r="B407">
        <v>-3459</v>
      </c>
      <c r="C407">
        <v>108</v>
      </c>
      <c r="D407">
        <v>698</v>
      </c>
      <c r="E407">
        <v>205</v>
      </c>
      <c r="F407">
        <v>226</v>
      </c>
      <c r="G407">
        <v>999</v>
      </c>
      <c r="H407">
        <v>-619</v>
      </c>
      <c r="I407">
        <v>438</v>
      </c>
      <c r="J407">
        <v>78</v>
      </c>
      <c r="K407">
        <v>-734</v>
      </c>
    </row>
    <row r="408" spans="2:11" x14ac:dyDescent="0.45">
      <c r="B408">
        <v>-794</v>
      </c>
      <c r="C408">
        <v>2270</v>
      </c>
      <c r="D408">
        <v>20290</v>
      </c>
      <c r="E408">
        <v>1117</v>
      </c>
      <c r="F408">
        <v>-4296</v>
      </c>
      <c r="G408">
        <v>6</v>
      </c>
      <c r="H408">
        <v>185</v>
      </c>
      <c r="I408">
        <v>-9</v>
      </c>
      <c r="J408">
        <v>-1038</v>
      </c>
      <c r="K408">
        <v>182</v>
      </c>
    </row>
    <row r="409" spans="2:11" x14ac:dyDescent="0.45">
      <c r="B409">
        <v>483</v>
      </c>
      <c r="C409">
        <v>673</v>
      </c>
      <c r="D409">
        <v>-216</v>
      </c>
      <c r="E409">
        <v>-336</v>
      </c>
      <c r="F409">
        <v>-1143</v>
      </c>
      <c r="G409">
        <v>-425</v>
      </c>
      <c r="H409">
        <v>-15137</v>
      </c>
      <c r="I409">
        <v>3400</v>
      </c>
      <c r="J409">
        <v>135</v>
      </c>
      <c r="K409">
        <v>496</v>
      </c>
    </row>
    <row r="410" spans="2:11" x14ac:dyDescent="0.45">
      <c r="B410">
        <v>439</v>
      </c>
      <c r="C410">
        <v>930</v>
      </c>
      <c r="D410">
        <v>-12935</v>
      </c>
      <c r="E410">
        <v>393</v>
      </c>
      <c r="F410">
        <v>-13461</v>
      </c>
      <c r="G410">
        <v>3653</v>
      </c>
      <c r="H410">
        <v>-10498</v>
      </c>
      <c r="I410">
        <v>1842</v>
      </c>
      <c r="J410">
        <v>-904</v>
      </c>
      <c r="K410">
        <v>-1023</v>
      </c>
    </row>
    <row r="411" spans="2:11" x14ac:dyDescent="0.45">
      <c r="B411">
        <v>582</v>
      </c>
      <c r="C411">
        <v>-26612</v>
      </c>
      <c r="D411">
        <v>-1330</v>
      </c>
      <c r="E411">
        <v>-11591</v>
      </c>
      <c r="F411">
        <v>-1880</v>
      </c>
      <c r="G411">
        <v>-213</v>
      </c>
      <c r="H411">
        <v>-463</v>
      </c>
      <c r="I411">
        <v>324</v>
      </c>
      <c r="J411">
        <v>190</v>
      </c>
      <c r="K411">
        <v>-8438</v>
      </c>
    </row>
    <row r="412" spans="2:11" x14ac:dyDescent="0.45">
      <c r="B412">
        <v>96279</v>
      </c>
      <c r="C412">
        <v>0</v>
      </c>
      <c r="D412">
        <v>25360</v>
      </c>
      <c r="E412">
        <v>20915</v>
      </c>
      <c r="F412">
        <v>0</v>
      </c>
      <c r="G412">
        <v>11190</v>
      </c>
      <c r="H412">
        <v>0</v>
      </c>
      <c r="I412">
        <v>37863</v>
      </c>
      <c r="J412">
        <v>0</v>
      </c>
      <c r="K412">
        <v>0</v>
      </c>
    </row>
    <row r="413" spans="2:11" x14ac:dyDescent="0.45">
      <c r="B413">
        <v>52966</v>
      </c>
      <c r="C413">
        <v>88634</v>
      </c>
      <c r="D413">
        <v>0</v>
      </c>
      <c r="E413">
        <v>3413</v>
      </c>
      <c r="F413">
        <v>73765</v>
      </c>
      <c r="G413">
        <v>43236</v>
      </c>
      <c r="H413">
        <v>61649</v>
      </c>
      <c r="I413">
        <v>45258</v>
      </c>
      <c r="J413">
        <v>77275</v>
      </c>
      <c r="K413">
        <v>5074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</row>
    <row r="416" spans="2:11" x14ac:dyDescent="0.45"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</row>
    <row r="417" spans="2:11" x14ac:dyDescent="0.45"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</row>
    <row r="418" spans="2:11" x14ac:dyDescent="0.45"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</row>
    <row r="419" spans="2:11" x14ac:dyDescent="0.45"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</row>
    <row r="420" spans="2:11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45">
      <c r="B422">
        <v>0</v>
      </c>
      <c r="C422">
        <v>272</v>
      </c>
      <c r="D422">
        <v>405</v>
      </c>
      <c r="E422">
        <v>-324</v>
      </c>
      <c r="F422">
        <v>146</v>
      </c>
      <c r="G422">
        <v>257</v>
      </c>
      <c r="H422">
        <v>135</v>
      </c>
      <c r="I422">
        <v>-1325</v>
      </c>
      <c r="J422">
        <v>-92</v>
      </c>
      <c r="K422">
        <v>999</v>
      </c>
    </row>
    <row r="423" spans="2:11" x14ac:dyDescent="0.45">
      <c r="B423">
        <v>149</v>
      </c>
      <c r="C423">
        <v>41</v>
      </c>
      <c r="D423">
        <v>290</v>
      </c>
      <c r="E423">
        <v>-990</v>
      </c>
      <c r="F423">
        <v>132</v>
      </c>
      <c r="G423">
        <v>-82</v>
      </c>
      <c r="H423">
        <v>-730</v>
      </c>
      <c r="I423">
        <v>-652</v>
      </c>
      <c r="J423">
        <v>827</v>
      </c>
      <c r="K423">
        <v>9359</v>
      </c>
    </row>
    <row r="424" spans="2:11" x14ac:dyDescent="0.45">
      <c r="B424">
        <v>690</v>
      </c>
      <c r="C424">
        <v>-1983</v>
      </c>
      <c r="D424">
        <v>224</v>
      </c>
      <c r="E424">
        <v>-97</v>
      </c>
      <c r="F424">
        <v>136</v>
      </c>
      <c r="G424">
        <v>-323</v>
      </c>
      <c r="H424">
        <v>481</v>
      </c>
      <c r="I424">
        <v>341</v>
      </c>
      <c r="J424">
        <v>366</v>
      </c>
      <c r="K424">
        <v>-230</v>
      </c>
    </row>
    <row r="425" spans="2:11" x14ac:dyDescent="0.45">
      <c r="B425">
        <v>-135</v>
      </c>
      <c r="C425">
        <v>-309</v>
      </c>
      <c r="D425">
        <v>349</v>
      </c>
      <c r="E425">
        <v>-6972</v>
      </c>
      <c r="F425">
        <v>1553</v>
      </c>
      <c r="G425">
        <v>341</v>
      </c>
      <c r="H425">
        <v>366</v>
      </c>
      <c r="I425">
        <v>152</v>
      </c>
      <c r="J425">
        <v>546</v>
      </c>
      <c r="K425">
        <v>-5945</v>
      </c>
    </row>
    <row r="426" spans="2:11" x14ac:dyDescent="0.45">
      <c r="B426">
        <v>178</v>
      </c>
      <c r="C426">
        <v>-6197</v>
      </c>
      <c r="D426">
        <v>1646</v>
      </c>
      <c r="E426">
        <v>-4933</v>
      </c>
      <c r="F426">
        <v>292</v>
      </c>
      <c r="G426">
        <v>-2291</v>
      </c>
      <c r="H426">
        <v>747</v>
      </c>
      <c r="I426">
        <v>412</v>
      </c>
      <c r="J426">
        <v>-9881</v>
      </c>
      <c r="K426">
        <v>-359</v>
      </c>
    </row>
    <row r="427" spans="2:11" x14ac:dyDescent="0.45">
      <c r="B427">
        <v>-5323</v>
      </c>
      <c r="C427">
        <v>-492</v>
      </c>
      <c r="D427">
        <v>-81</v>
      </c>
      <c r="E427">
        <v>-227</v>
      </c>
      <c r="F427">
        <v>146</v>
      </c>
      <c r="G427">
        <v>85</v>
      </c>
      <c r="H427">
        <v>-3886</v>
      </c>
      <c r="I427">
        <v>44247</v>
      </c>
      <c r="J427">
        <v>0</v>
      </c>
      <c r="K427">
        <v>11667</v>
      </c>
    </row>
    <row r="428" spans="2:11" x14ac:dyDescent="0.45">
      <c r="B428">
        <v>9600</v>
      </c>
      <c r="C428">
        <v>0</v>
      </c>
      <c r="D428">
        <v>5152</v>
      </c>
      <c r="E428">
        <v>0</v>
      </c>
      <c r="F428">
        <v>17405</v>
      </c>
      <c r="G428">
        <v>0</v>
      </c>
      <c r="H428">
        <v>0</v>
      </c>
      <c r="I428">
        <v>24342</v>
      </c>
      <c r="J428">
        <v>40734</v>
      </c>
      <c r="K428">
        <v>0</v>
      </c>
    </row>
    <row r="429" spans="2:11" x14ac:dyDescent="0.45">
      <c r="B429">
        <v>1565</v>
      </c>
      <c r="C429">
        <v>33904</v>
      </c>
      <c r="D429">
        <v>19504</v>
      </c>
      <c r="E429">
        <v>27399</v>
      </c>
      <c r="F429">
        <v>19120</v>
      </c>
      <c r="G429">
        <v>34250</v>
      </c>
      <c r="H429">
        <v>-308</v>
      </c>
      <c r="I429">
        <v>0</v>
      </c>
      <c r="J429">
        <v>42615</v>
      </c>
      <c r="K429">
        <v>0</v>
      </c>
    </row>
    <row r="430" spans="2:11" x14ac:dyDescent="0.45">
      <c r="B430">
        <v>0</v>
      </c>
      <c r="C430">
        <v>-21</v>
      </c>
      <c r="D430">
        <v>940</v>
      </c>
      <c r="E430">
        <v>-737</v>
      </c>
      <c r="F430">
        <v>326</v>
      </c>
      <c r="G430">
        <v>556</v>
      </c>
      <c r="H430">
        <v>157</v>
      </c>
      <c r="I430">
        <v>-2077</v>
      </c>
      <c r="J430">
        <v>29</v>
      </c>
      <c r="K430">
        <v>612</v>
      </c>
    </row>
    <row r="431" spans="2:11" x14ac:dyDescent="0.45">
      <c r="B431">
        <v>327</v>
      </c>
      <c r="C431">
        <v>271</v>
      </c>
      <c r="D431">
        <v>750</v>
      </c>
      <c r="E431">
        <v>-503</v>
      </c>
      <c r="F431">
        <v>-213</v>
      </c>
      <c r="G431">
        <v>-339</v>
      </c>
      <c r="H431">
        <v>-591</v>
      </c>
      <c r="I431">
        <v>-881</v>
      </c>
      <c r="J431">
        <v>1668</v>
      </c>
      <c r="K431">
        <v>19651</v>
      </c>
    </row>
    <row r="432" spans="2:11" x14ac:dyDescent="0.45">
      <c r="B432">
        <v>196</v>
      </c>
      <c r="C432">
        <v>-3851</v>
      </c>
      <c r="D432">
        <v>-41</v>
      </c>
      <c r="E432">
        <v>302</v>
      </c>
      <c r="F432">
        <v>-177</v>
      </c>
      <c r="G432">
        <v>-1073</v>
      </c>
      <c r="H432">
        <v>418</v>
      </c>
      <c r="I432">
        <v>399</v>
      </c>
      <c r="J432">
        <v>1023</v>
      </c>
      <c r="K432">
        <v>84</v>
      </c>
    </row>
    <row r="433" spans="2:11" x14ac:dyDescent="0.45">
      <c r="B433">
        <v>-200</v>
      </c>
      <c r="C433">
        <v>-494</v>
      </c>
      <c r="D433">
        <v>-810</v>
      </c>
      <c r="E433">
        <v>-13871</v>
      </c>
      <c r="F433">
        <v>2895</v>
      </c>
      <c r="G433">
        <v>473</v>
      </c>
      <c r="H433">
        <v>349</v>
      </c>
      <c r="I433">
        <v>37</v>
      </c>
      <c r="J433">
        <v>543</v>
      </c>
      <c r="K433">
        <v>-11933</v>
      </c>
    </row>
    <row r="434" spans="2:11" x14ac:dyDescent="0.45">
      <c r="B434">
        <v>231</v>
      </c>
      <c r="C434">
        <v>-12504</v>
      </c>
      <c r="D434">
        <v>3244</v>
      </c>
      <c r="E434">
        <v>-9904</v>
      </c>
      <c r="F434">
        <v>544</v>
      </c>
      <c r="G434">
        <v>-4593</v>
      </c>
      <c r="H434">
        <v>564</v>
      </c>
      <c r="I434">
        <v>509</v>
      </c>
      <c r="J434">
        <v>-19338</v>
      </c>
      <c r="K434">
        <v>-642</v>
      </c>
    </row>
    <row r="435" spans="2:11" x14ac:dyDescent="0.45">
      <c r="B435">
        <v>-10623</v>
      </c>
      <c r="C435">
        <v>-959</v>
      </c>
      <c r="D435">
        <v>-160</v>
      </c>
      <c r="E435">
        <v>-445</v>
      </c>
      <c r="F435">
        <v>305</v>
      </c>
      <c r="G435">
        <v>164</v>
      </c>
      <c r="H435">
        <v>-7924</v>
      </c>
      <c r="I435">
        <v>88153</v>
      </c>
      <c r="J435">
        <v>0</v>
      </c>
      <c r="K435">
        <v>23218</v>
      </c>
    </row>
    <row r="436" spans="2:11" x14ac:dyDescent="0.45">
      <c r="B436">
        <v>19155</v>
      </c>
      <c r="C436">
        <v>0</v>
      </c>
      <c r="D436">
        <v>10230</v>
      </c>
      <c r="E436">
        <v>0</v>
      </c>
      <c r="F436">
        <v>34648</v>
      </c>
      <c r="G436">
        <v>0</v>
      </c>
      <c r="H436">
        <v>0</v>
      </c>
      <c r="I436">
        <v>48464</v>
      </c>
      <c r="J436">
        <v>81133</v>
      </c>
      <c r="K436">
        <v>0</v>
      </c>
    </row>
    <row r="437" spans="2:11" x14ac:dyDescent="0.45">
      <c r="B437">
        <v>3132</v>
      </c>
      <c r="C437">
        <v>67516</v>
      </c>
      <c r="D437">
        <v>38852</v>
      </c>
      <c r="E437">
        <v>54578</v>
      </c>
      <c r="F437">
        <v>38094</v>
      </c>
      <c r="G437">
        <v>68222</v>
      </c>
      <c r="H437">
        <v>-633</v>
      </c>
      <c r="I437">
        <v>0</v>
      </c>
      <c r="J437">
        <v>84872</v>
      </c>
      <c r="K437">
        <v>0</v>
      </c>
    </row>
    <row r="438" spans="2:11" x14ac:dyDescent="0.45">
      <c r="B438">
        <v>24589</v>
      </c>
      <c r="C438">
        <v>0</v>
      </c>
      <c r="D438">
        <v>60</v>
      </c>
      <c r="E438">
        <v>388</v>
      </c>
      <c r="F438">
        <v>-301</v>
      </c>
      <c r="G438">
        <v>126</v>
      </c>
      <c r="H438">
        <v>268</v>
      </c>
      <c r="I438">
        <v>-172</v>
      </c>
      <c r="J438">
        <v>-800</v>
      </c>
      <c r="K438">
        <v>18</v>
      </c>
    </row>
    <row r="439" spans="2:11" x14ac:dyDescent="0.45">
      <c r="B439">
        <v>206</v>
      </c>
      <c r="C439">
        <v>136</v>
      </c>
      <c r="D439">
        <v>26</v>
      </c>
      <c r="E439">
        <v>317</v>
      </c>
      <c r="F439">
        <v>-241</v>
      </c>
      <c r="G439">
        <v>73</v>
      </c>
      <c r="H439">
        <v>-11</v>
      </c>
      <c r="I439">
        <v>-390</v>
      </c>
      <c r="J439">
        <v>-59</v>
      </c>
      <c r="K439">
        <v>700</v>
      </c>
    </row>
    <row r="440" spans="2:11" x14ac:dyDescent="0.45">
      <c r="B440">
        <v>7367</v>
      </c>
      <c r="C440">
        <v>-7</v>
      </c>
      <c r="D440">
        <v>-1466</v>
      </c>
      <c r="E440">
        <v>-75</v>
      </c>
      <c r="F440">
        <v>131</v>
      </c>
      <c r="G440">
        <v>-59</v>
      </c>
      <c r="H440">
        <v>-391</v>
      </c>
      <c r="I440">
        <v>148</v>
      </c>
      <c r="J440">
        <v>118</v>
      </c>
      <c r="K440">
        <v>191</v>
      </c>
    </row>
    <row r="441" spans="2:11" x14ac:dyDescent="0.45">
      <c r="B441">
        <v>11</v>
      </c>
      <c r="C441">
        <v>-94</v>
      </c>
      <c r="D441">
        <v>-214</v>
      </c>
      <c r="E441">
        <v>-157</v>
      </c>
      <c r="F441">
        <v>-5501</v>
      </c>
      <c r="G441">
        <v>1244</v>
      </c>
      <c r="H441">
        <v>214</v>
      </c>
      <c r="I441">
        <v>119</v>
      </c>
      <c r="J441">
        <v>10</v>
      </c>
      <c r="K441">
        <v>199</v>
      </c>
    </row>
    <row r="442" spans="2:11" x14ac:dyDescent="0.45">
      <c r="B442">
        <v>-4750</v>
      </c>
      <c r="C442">
        <v>157</v>
      </c>
      <c r="D442">
        <v>-4979</v>
      </c>
      <c r="E442">
        <v>1357</v>
      </c>
      <c r="F442">
        <v>-3894</v>
      </c>
      <c r="G442">
        <v>278</v>
      </c>
      <c r="H442">
        <v>-1867</v>
      </c>
      <c r="I442">
        <v>85</v>
      </c>
      <c r="J442">
        <v>213</v>
      </c>
      <c r="K442">
        <v>-8532</v>
      </c>
    </row>
    <row r="443" spans="2:11" x14ac:dyDescent="0.45">
      <c r="B443">
        <v>-256</v>
      </c>
      <c r="C443">
        <v>-4227</v>
      </c>
      <c r="D443">
        <v>-358</v>
      </c>
      <c r="E443">
        <v>-67</v>
      </c>
      <c r="F443">
        <v>-167</v>
      </c>
      <c r="G443">
        <v>120</v>
      </c>
      <c r="H443">
        <v>76</v>
      </c>
      <c r="I443">
        <v>-3098</v>
      </c>
      <c r="J443">
        <v>35409</v>
      </c>
      <c r="K443">
        <v>0</v>
      </c>
    </row>
    <row r="444" spans="2:11" x14ac:dyDescent="0.45">
      <c r="B444">
        <v>9319</v>
      </c>
      <c r="C444">
        <v>7699</v>
      </c>
      <c r="D444">
        <v>0</v>
      </c>
      <c r="E444">
        <v>4115</v>
      </c>
      <c r="F444">
        <v>0</v>
      </c>
      <c r="G444">
        <v>13933</v>
      </c>
      <c r="H444">
        <v>0</v>
      </c>
      <c r="I444">
        <v>0</v>
      </c>
      <c r="J444">
        <v>19485</v>
      </c>
      <c r="K444">
        <v>32599</v>
      </c>
    </row>
    <row r="445" spans="2:11" x14ac:dyDescent="0.45">
      <c r="B445">
        <v>0</v>
      </c>
      <c r="C445">
        <v>1252</v>
      </c>
      <c r="D445">
        <v>27123</v>
      </c>
      <c r="E445">
        <v>15603</v>
      </c>
      <c r="F445">
        <v>21927</v>
      </c>
      <c r="G445">
        <v>15290</v>
      </c>
      <c r="H445">
        <v>27408</v>
      </c>
      <c r="I445">
        <v>-265</v>
      </c>
      <c r="J445">
        <v>0</v>
      </c>
      <c r="K445">
        <v>34098</v>
      </c>
    </row>
    <row r="446" spans="2:11" x14ac:dyDescent="0.45">
      <c r="B446">
        <v>0</v>
      </c>
      <c r="C446">
        <v>15868</v>
      </c>
      <c r="D446">
        <v>31547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4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4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4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4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4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4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-5</v>
      </c>
      <c r="J454">
        <v>728</v>
      </c>
      <c r="K454">
        <v>-591</v>
      </c>
    </row>
    <row r="455" spans="2:11" x14ac:dyDescent="0.45">
      <c r="B455">
        <v>215</v>
      </c>
      <c r="C455">
        <v>539</v>
      </c>
      <c r="D455">
        <v>-396</v>
      </c>
      <c r="E455">
        <v>-2247</v>
      </c>
      <c r="F455">
        <v>138</v>
      </c>
      <c r="G455">
        <v>621</v>
      </c>
      <c r="H455">
        <v>272</v>
      </c>
      <c r="I455">
        <v>270</v>
      </c>
      <c r="J455">
        <v>572</v>
      </c>
      <c r="K455">
        <v>-491</v>
      </c>
    </row>
    <row r="456" spans="2:11" x14ac:dyDescent="0.45">
      <c r="B456">
        <v>127</v>
      </c>
      <c r="C456">
        <v>-230</v>
      </c>
      <c r="D456">
        <v>-498</v>
      </c>
      <c r="E456">
        <v>-982</v>
      </c>
      <c r="F456">
        <v>1848</v>
      </c>
      <c r="G456">
        <v>18570</v>
      </c>
      <c r="H456">
        <v>204</v>
      </c>
      <c r="I456">
        <v>-3935</v>
      </c>
      <c r="J456">
        <v>-128</v>
      </c>
      <c r="K456">
        <v>302</v>
      </c>
    </row>
    <row r="457" spans="2:11" x14ac:dyDescent="0.45">
      <c r="B457">
        <v>-140</v>
      </c>
      <c r="C457">
        <v>217</v>
      </c>
      <c r="D457">
        <v>476</v>
      </c>
      <c r="E457">
        <v>297</v>
      </c>
      <c r="F457">
        <v>69</v>
      </c>
      <c r="G457">
        <v>24</v>
      </c>
      <c r="H457">
        <v>-475</v>
      </c>
      <c r="I457">
        <v>-493</v>
      </c>
      <c r="J457">
        <v>-220</v>
      </c>
      <c r="K457">
        <v>-13267</v>
      </c>
    </row>
    <row r="458" spans="2:11" x14ac:dyDescent="0.45">
      <c r="B458">
        <v>2820</v>
      </c>
      <c r="C458">
        <v>538</v>
      </c>
      <c r="D458">
        <v>608</v>
      </c>
      <c r="E458">
        <v>-41</v>
      </c>
      <c r="F458">
        <v>420</v>
      </c>
      <c r="G458">
        <v>-11449</v>
      </c>
      <c r="H458">
        <v>260</v>
      </c>
      <c r="I458">
        <v>-11929</v>
      </c>
      <c r="J458">
        <v>3131</v>
      </c>
      <c r="K458">
        <v>-9474</v>
      </c>
    </row>
    <row r="459" spans="2:11" x14ac:dyDescent="0.45">
      <c r="B459">
        <v>564</v>
      </c>
      <c r="C459">
        <v>-4384</v>
      </c>
      <c r="D459">
        <v>2</v>
      </c>
      <c r="E459">
        <v>696</v>
      </c>
      <c r="F459">
        <v>-23302</v>
      </c>
      <c r="G459">
        <v>71</v>
      </c>
      <c r="H459">
        <v>8240</v>
      </c>
      <c r="I459">
        <v>-874</v>
      </c>
      <c r="J459">
        <v>-151</v>
      </c>
      <c r="K459">
        <v>-419</v>
      </c>
    </row>
    <row r="460" spans="2:11" x14ac:dyDescent="0.45">
      <c r="B460">
        <v>296</v>
      </c>
      <c r="C460">
        <v>149</v>
      </c>
      <c r="D460">
        <v>-7531</v>
      </c>
      <c r="E460">
        <v>84761</v>
      </c>
      <c r="F460">
        <v>0</v>
      </c>
      <c r="G460">
        <v>22320</v>
      </c>
      <c r="H460">
        <v>18422</v>
      </c>
      <c r="I460">
        <v>0</v>
      </c>
      <c r="J460">
        <v>9859</v>
      </c>
      <c r="K460">
        <v>0</v>
      </c>
    </row>
    <row r="461" spans="2:11" x14ac:dyDescent="0.45">
      <c r="B461">
        <v>33329</v>
      </c>
      <c r="C461">
        <v>0</v>
      </c>
      <c r="D461">
        <v>0</v>
      </c>
      <c r="E461">
        <v>46609</v>
      </c>
      <c r="F461">
        <v>78015</v>
      </c>
      <c r="G461">
        <v>0</v>
      </c>
      <c r="H461">
        <v>3013</v>
      </c>
      <c r="I461">
        <v>64929</v>
      </c>
      <c r="J461">
        <v>37353</v>
      </c>
      <c r="K461">
        <v>52490</v>
      </c>
    </row>
    <row r="462" spans="2:11" x14ac:dyDescent="0.45">
      <c r="B462">
        <v>36631</v>
      </c>
      <c r="C462">
        <v>65604</v>
      </c>
      <c r="D462">
        <v>-621</v>
      </c>
      <c r="E462">
        <v>0</v>
      </c>
      <c r="F462">
        <v>81615</v>
      </c>
      <c r="G462">
        <v>0</v>
      </c>
      <c r="H462">
        <v>37515</v>
      </c>
      <c r="I462">
        <v>74724</v>
      </c>
      <c r="J462">
        <v>30019</v>
      </c>
      <c r="K462">
        <v>0</v>
      </c>
    </row>
    <row r="463" spans="2:11" x14ac:dyDescent="0.45">
      <c r="B463">
        <v>0</v>
      </c>
      <c r="C463">
        <v>61</v>
      </c>
      <c r="D463">
        <v>278</v>
      </c>
      <c r="E463">
        <v>-217</v>
      </c>
      <c r="F463">
        <v>63</v>
      </c>
      <c r="G463">
        <v>239</v>
      </c>
      <c r="H463">
        <v>-371</v>
      </c>
      <c r="I463">
        <v>-1249</v>
      </c>
      <c r="J463">
        <v>4</v>
      </c>
      <c r="K463">
        <v>210</v>
      </c>
    </row>
    <row r="464" spans="2:11" x14ac:dyDescent="0.45">
      <c r="B464">
        <v>63</v>
      </c>
      <c r="C464">
        <v>101</v>
      </c>
      <c r="D464">
        <v>243</v>
      </c>
      <c r="E464">
        <v>67</v>
      </c>
      <c r="F464">
        <v>227</v>
      </c>
      <c r="G464">
        <v>163</v>
      </c>
      <c r="H464">
        <v>-432</v>
      </c>
      <c r="I464">
        <v>-225</v>
      </c>
      <c r="J464">
        <v>872</v>
      </c>
      <c r="K464">
        <v>7917</v>
      </c>
    </row>
    <row r="465" spans="2:11" x14ac:dyDescent="0.45">
      <c r="B465">
        <v>198</v>
      </c>
      <c r="C465">
        <v>-1526</v>
      </c>
      <c r="D465">
        <v>206</v>
      </c>
      <c r="E465">
        <v>-80</v>
      </c>
      <c r="F465">
        <v>110</v>
      </c>
      <c r="G465">
        <v>-220</v>
      </c>
      <c r="H465">
        <v>27</v>
      </c>
      <c r="I465">
        <v>338</v>
      </c>
      <c r="J465">
        <v>286</v>
      </c>
      <c r="K465">
        <v>437</v>
      </c>
    </row>
    <row r="466" spans="2:11" x14ac:dyDescent="0.45">
      <c r="B466">
        <v>121</v>
      </c>
      <c r="C466">
        <v>-237</v>
      </c>
      <c r="D466">
        <v>-270</v>
      </c>
      <c r="E466">
        <v>-5887</v>
      </c>
      <c r="F466">
        <v>1322</v>
      </c>
      <c r="G466">
        <v>252</v>
      </c>
      <c r="H466">
        <v>203</v>
      </c>
      <c r="I466">
        <v>55</v>
      </c>
      <c r="J466">
        <v>296</v>
      </c>
      <c r="K466">
        <v>-5065</v>
      </c>
    </row>
    <row r="467" spans="2:11" x14ac:dyDescent="0.45">
      <c r="B467">
        <v>156</v>
      </c>
      <c r="C467">
        <v>-5301</v>
      </c>
      <c r="D467">
        <v>1432</v>
      </c>
      <c r="E467">
        <v>-4159</v>
      </c>
      <c r="F467">
        <v>272</v>
      </c>
      <c r="G467">
        <v>-1978</v>
      </c>
      <c r="H467">
        <v>-4</v>
      </c>
      <c r="I467">
        <v>282</v>
      </c>
      <c r="J467">
        <v>-10379</v>
      </c>
      <c r="K467">
        <v>344</v>
      </c>
    </row>
    <row r="468" spans="2:11" x14ac:dyDescent="0.45">
      <c r="B468">
        <v>-460</v>
      </c>
      <c r="C468">
        <v>-384</v>
      </c>
      <c r="D468">
        <v>-81</v>
      </c>
      <c r="E468">
        <v>-176</v>
      </c>
      <c r="F468">
        <v>122</v>
      </c>
      <c r="G468">
        <v>83</v>
      </c>
      <c r="H468">
        <v>-3302</v>
      </c>
      <c r="I468">
        <v>37651</v>
      </c>
      <c r="J468">
        <v>0</v>
      </c>
      <c r="K468">
        <v>9906</v>
      </c>
    </row>
    <row r="469" spans="2:11" x14ac:dyDescent="0.45">
      <c r="B469">
        <v>8179</v>
      </c>
      <c r="C469">
        <v>0</v>
      </c>
      <c r="D469">
        <v>4376</v>
      </c>
      <c r="E469">
        <v>0</v>
      </c>
      <c r="F469">
        <v>14809</v>
      </c>
      <c r="G469">
        <v>0</v>
      </c>
      <c r="H469">
        <v>0</v>
      </c>
      <c r="I469">
        <v>20719</v>
      </c>
      <c r="J469">
        <v>34664</v>
      </c>
      <c r="K469">
        <v>0</v>
      </c>
    </row>
    <row r="470" spans="2:11" x14ac:dyDescent="0.45">
      <c r="B470">
        <v>1334</v>
      </c>
      <c r="C470">
        <v>28840</v>
      </c>
      <c r="D470">
        <v>16597</v>
      </c>
      <c r="E470">
        <v>23322</v>
      </c>
      <c r="F470">
        <v>16262</v>
      </c>
      <c r="G470">
        <v>29149</v>
      </c>
      <c r="H470">
        <v>-271</v>
      </c>
      <c r="I470">
        <v>0</v>
      </c>
      <c r="J470">
        <v>36262</v>
      </c>
      <c r="K470">
        <v>0</v>
      </c>
    </row>
    <row r="471" spans="2:11" x14ac:dyDescent="0.45">
      <c r="B471">
        <v>16662</v>
      </c>
      <c r="C471">
        <v>33193</v>
      </c>
      <c r="D471">
        <v>13337</v>
      </c>
      <c r="E471">
        <v>0</v>
      </c>
      <c r="F471">
        <v>33304</v>
      </c>
      <c r="G471">
        <v>0</v>
      </c>
      <c r="H471">
        <v>205</v>
      </c>
      <c r="I471">
        <v>650</v>
      </c>
      <c r="J471">
        <v>-294</v>
      </c>
      <c r="K471">
        <v>172</v>
      </c>
    </row>
    <row r="472" spans="2:11" x14ac:dyDescent="0.45">
      <c r="B472">
        <v>144</v>
      </c>
      <c r="C472">
        <v>772</v>
      </c>
      <c r="D472">
        <v>-995</v>
      </c>
      <c r="E472">
        <v>-122</v>
      </c>
      <c r="F472">
        <v>144</v>
      </c>
      <c r="G472">
        <v>-134</v>
      </c>
      <c r="H472">
        <v>-290</v>
      </c>
      <c r="I472">
        <v>-628</v>
      </c>
      <c r="J472">
        <v>-564</v>
      </c>
      <c r="K472">
        <v>107</v>
      </c>
    </row>
    <row r="473" spans="2:11" x14ac:dyDescent="0.45">
      <c r="B473">
        <v>-39</v>
      </c>
      <c r="C473">
        <v>-576</v>
      </c>
      <c r="D473">
        <v>-815</v>
      </c>
      <c r="E473">
        <v>414</v>
      </c>
      <c r="F473">
        <v>3067</v>
      </c>
      <c r="G473">
        <v>384</v>
      </c>
      <c r="H473">
        <v>-1056</v>
      </c>
      <c r="I473">
        <v>-732</v>
      </c>
      <c r="J473">
        <v>526</v>
      </c>
      <c r="K473">
        <v>-362</v>
      </c>
    </row>
    <row r="474" spans="2:11" x14ac:dyDescent="0.45">
      <c r="B474">
        <v>-1340</v>
      </c>
      <c r="C474">
        <v>-262</v>
      </c>
      <c r="D474">
        <v>462</v>
      </c>
      <c r="E474">
        <v>389</v>
      </c>
      <c r="F474">
        <v>92</v>
      </c>
      <c r="G474">
        <v>14</v>
      </c>
      <c r="H474">
        <v>-312</v>
      </c>
      <c r="I474">
        <v>-412</v>
      </c>
      <c r="J474">
        <v>-1658</v>
      </c>
      <c r="K474">
        <v>235</v>
      </c>
    </row>
    <row r="475" spans="2:11" x14ac:dyDescent="0.45">
      <c r="B475">
        <v>74</v>
      </c>
      <c r="C475">
        <v>121</v>
      </c>
      <c r="D475">
        <v>266</v>
      </c>
      <c r="E475">
        <v>539</v>
      </c>
      <c r="F475">
        <v>-1369</v>
      </c>
      <c r="G475">
        <v>-77</v>
      </c>
      <c r="H475">
        <v>-1394</v>
      </c>
      <c r="I475">
        <v>246</v>
      </c>
      <c r="J475">
        <v>-1207</v>
      </c>
      <c r="K475">
        <v>-71</v>
      </c>
    </row>
    <row r="476" spans="2:11" x14ac:dyDescent="0.45">
      <c r="B476">
        <v>-449</v>
      </c>
      <c r="C476">
        <v>-123</v>
      </c>
      <c r="D476">
        <v>-92</v>
      </c>
      <c r="E476">
        <v>-2711</v>
      </c>
      <c r="F476">
        <v>-189</v>
      </c>
      <c r="G476">
        <v>-1252</v>
      </c>
      <c r="H476">
        <v>1466</v>
      </c>
      <c r="I476">
        <v>-6873</v>
      </c>
      <c r="J476">
        <v>3673</v>
      </c>
      <c r="K476">
        <v>5496</v>
      </c>
    </row>
    <row r="477" spans="2:11" x14ac:dyDescent="0.45">
      <c r="B477">
        <v>29</v>
      </c>
      <c r="C477">
        <v>-11229</v>
      </c>
      <c r="D477">
        <v>9630</v>
      </c>
      <c r="E477">
        <v>0</v>
      </c>
      <c r="F477">
        <v>2558</v>
      </c>
      <c r="G477">
        <v>2087</v>
      </c>
      <c r="H477">
        <v>0</v>
      </c>
      <c r="I477">
        <v>1099</v>
      </c>
      <c r="J477">
        <v>0</v>
      </c>
      <c r="K477">
        <v>3740</v>
      </c>
    </row>
    <row r="478" spans="2:11" x14ac:dyDescent="0.45">
      <c r="B478">
        <v>0</v>
      </c>
      <c r="C478">
        <v>0</v>
      </c>
      <c r="D478">
        <v>5261</v>
      </c>
      <c r="E478">
        <v>8850</v>
      </c>
      <c r="F478">
        <v>0</v>
      </c>
      <c r="G478">
        <v>346</v>
      </c>
      <c r="H478">
        <v>7374</v>
      </c>
      <c r="I478">
        <v>4241</v>
      </c>
      <c r="J478">
        <v>5968</v>
      </c>
      <c r="K478">
        <v>4194</v>
      </c>
    </row>
    <row r="479" spans="2:11" x14ac:dyDescent="0.45">
      <c r="B479">
        <v>7450</v>
      </c>
      <c r="C479">
        <v>-33</v>
      </c>
      <c r="D479">
        <v>0</v>
      </c>
      <c r="E479">
        <v>9275</v>
      </c>
      <c r="F479">
        <v>0</v>
      </c>
      <c r="G479">
        <v>4268</v>
      </c>
      <c r="H479">
        <v>8487</v>
      </c>
      <c r="I479">
        <v>3400</v>
      </c>
      <c r="J479">
        <v>0</v>
      </c>
      <c r="K479">
        <v>8144</v>
      </c>
    </row>
    <row r="480" spans="2:11" x14ac:dyDescent="0.45">
      <c r="B480">
        <v>3618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</row>
    <row r="481" spans="2:11" x14ac:dyDescent="0.45"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</row>
    <row r="482" spans="2:11" x14ac:dyDescent="0.45"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</row>
    <row r="483" spans="2:11" x14ac:dyDescent="0.45"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</row>
    <row r="484" spans="2:11" x14ac:dyDescent="0.45"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</row>
    <row r="485" spans="2:11" x14ac:dyDescent="0.45"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</row>
    <row r="486" spans="2:11" x14ac:dyDescent="0.45"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</row>
    <row r="487" spans="2:11" x14ac:dyDescent="0.45"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</row>
    <row r="488" spans="2:11" x14ac:dyDescent="0.45"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</row>
    <row r="489" spans="2:11" x14ac:dyDescent="0.45"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-318</v>
      </c>
      <c r="J497">
        <v>346</v>
      </c>
      <c r="K497">
        <v>-109</v>
      </c>
    </row>
    <row r="498" spans="2:11" x14ac:dyDescent="0.45">
      <c r="B498">
        <v>-172</v>
      </c>
      <c r="C498">
        <v>367</v>
      </c>
      <c r="D498">
        <v>278</v>
      </c>
      <c r="E498">
        <v>-1128</v>
      </c>
      <c r="F498">
        <v>-398</v>
      </c>
      <c r="G498">
        <v>767</v>
      </c>
      <c r="H498">
        <v>151</v>
      </c>
      <c r="I498">
        <v>-367</v>
      </c>
      <c r="J498">
        <v>110</v>
      </c>
      <c r="K498">
        <v>-277</v>
      </c>
    </row>
    <row r="499" spans="2:11" x14ac:dyDescent="0.45">
      <c r="B499">
        <v>106</v>
      </c>
      <c r="C499">
        <v>-601</v>
      </c>
      <c r="D499">
        <v>-266</v>
      </c>
      <c r="E499">
        <v>-424</v>
      </c>
      <c r="F499">
        <v>510</v>
      </c>
      <c r="G499">
        <v>6929</v>
      </c>
      <c r="H499">
        <v>462</v>
      </c>
      <c r="I499">
        <v>-1304</v>
      </c>
      <c r="J499">
        <v>325</v>
      </c>
      <c r="K499">
        <v>-514</v>
      </c>
    </row>
    <row r="500" spans="2:11" x14ac:dyDescent="0.45">
      <c r="B500">
        <v>615</v>
      </c>
      <c r="C500">
        <v>-1661</v>
      </c>
      <c r="D500">
        <v>-1467</v>
      </c>
      <c r="E500">
        <v>1402</v>
      </c>
      <c r="F500">
        <v>995</v>
      </c>
      <c r="G500">
        <v>331</v>
      </c>
      <c r="H500">
        <v>213</v>
      </c>
      <c r="I500">
        <v>-210</v>
      </c>
      <c r="J500">
        <v>-1726</v>
      </c>
      <c r="K500">
        <v>-5145</v>
      </c>
    </row>
    <row r="501" spans="2:11" x14ac:dyDescent="0.45">
      <c r="B501">
        <v>1167</v>
      </c>
      <c r="C501">
        <v>193</v>
      </c>
      <c r="D501">
        <v>132</v>
      </c>
      <c r="E501">
        <v>256</v>
      </c>
      <c r="F501">
        <v>715</v>
      </c>
      <c r="G501">
        <v>-4365</v>
      </c>
      <c r="H501">
        <v>86</v>
      </c>
      <c r="I501">
        <v>-4583</v>
      </c>
      <c r="J501">
        <v>1215</v>
      </c>
      <c r="K501">
        <v>-3598</v>
      </c>
    </row>
    <row r="502" spans="2:11" x14ac:dyDescent="0.45">
      <c r="B502">
        <v>211</v>
      </c>
      <c r="C502">
        <v>-1752</v>
      </c>
      <c r="D502">
        <v>-107</v>
      </c>
      <c r="E502">
        <v>63</v>
      </c>
      <c r="F502">
        <v>-9005</v>
      </c>
      <c r="G502">
        <v>-415</v>
      </c>
      <c r="H502">
        <v>-3978</v>
      </c>
      <c r="I502">
        <v>1067</v>
      </c>
      <c r="J502">
        <v>2719</v>
      </c>
      <c r="K502">
        <v>-1625</v>
      </c>
    </row>
    <row r="503" spans="2:11" x14ac:dyDescent="0.45">
      <c r="B503">
        <v>6912</v>
      </c>
      <c r="C503">
        <v>-4275</v>
      </c>
      <c r="D503">
        <v>-510</v>
      </c>
      <c r="E503">
        <v>32521</v>
      </c>
      <c r="F503">
        <v>0</v>
      </c>
      <c r="G503">
        <v>8578</v>
      </c>
      <c r="H503">
        <v>7034</v>
      </c>
      <c r="I503">
        <v>0</v>
      </c>
      <c r="J503">
        <v>3772</v>
      </c>
      <c r="K503">
        <v>0</v>
      </c>
    </row>
    <row r="504" spans="2:11" x14ac:dyDescent="0.45">
      <c r="B504">
        <v>12780</v>
      </c>
      <c r="C504">
        <v>0</v>
      </c>
      <c r="D504">
        <v>0</v>
      </c>
      <c r="E504">
        <v>17886</v>
      </c>
      <c r="F504">
        <v>29951</v>
      </c>
      <c r="G504">
        <v>0</v>
      </c>
      <c r="H504">
        <v>1151</v>
      </c>
      <c r="I504">
        <v>24925</v>
      </c>
      <c r="J504">
        <v>14341</v>
      </c>
      <c r="K504">
        <v>20181</v>
      </c>
    </row>
    <row r="505" spans="2:11" x14ac:dyDescent="0.45">
      <c r="B505">
        <v>14052</v>
      </c>
      <c r="C505">
        <v>25188</v>
      </c>
      <c r="D505">
        <v>-202</v>
      </c>
      <c r="E505">
        <v>0</v>
      </c>
      <c r="F505">
        <v>31333</v>
      </c>
      <c r="G505">
        <v>0</v>
      </c>
      <c r="H505">
        <v>14389</v>
      </c>
      <c r="I505">
        <v>28675</v>
      </c>
      <c r="J505">
        <v>11515</v>
      </c>
      <c r="K505">
        <v>0</v>
      </c>
    </row>
    <row r="506" spans="2:11" x14ac:dyDescent="0.45">
      <c r="B506">
        <v>27542</v>
      </c>
      <c r="C506">
        <v>12250</v>
      </c>
      <c r="D506">
        <v>22197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173</v>
      </c>
      <c r="I515">
        <v>1052</v>
      </c>
      <c r="J515">
        <v>-361</v>
      </c>
      <c r="K515">
        <v>53</v>
      </c>
    </row>
    <row r="516" spans="2:11" x14ac:dyDescent="0.45">
      <c r="B516">
        <v>425</v>
      </c>
      <c r="C516">
        <v>758</v>
      </c>
      <c r="D516">
        <v>-1225</v>
      </c>
      <c r="E516">
        <v>-566</v>
      </c>
      <c r="F516">
        <v>-437</v>
      </c>
      <c r="G516">
        <v>5</v>
      </c>
      <c r="H516">
        <v>-341</v>
      </c>
      <c r="I516">
        <v>-854</v>
      </c>
      <c r="J516">
        <v>-114</v>
      </c>
      <c r="K516">
        <v>158</v>
      </c>
    </row>
    <row r="517" spans="2:11" x14ac:dyDescent="0.45">
      <c r="B517">
        <v>-225</v>
      </c>
      <c r="C517">
        <v>-438</v>
      </c>
      <c r="D517">
        <v>-1011</v>
      </c>
      <c r="E517">
        <v>-26</v>
      </c>
      <c r="F517">
        <v>6540</v>
      </c>
      <c r="G517">
        <v>56</v>
      </c>
      <c r="H517">
        <v>-744</v>
      </c>
      <c r="I517">
        <v>-377</v>
      </c>
      <c r="J517">
        <v>37</v>
      </c>
      <c r="K517">
        <v>166</v>
      </c>
    </row>
    <row r="518" spans="2:11" x14ac:dyDescent="0.45">
      <c r="B518">
        <v>-4448</v>
      </c>
      <c r="C518">
        <v>-77</v>
      </c>
      <c r="D518">
        <v>471</v>
      </c>
      <c r="E518">
        <v>696</v>
      </c>
      <c r="F518">
        <v>49</v>
      </c>
      <c r="G518">
        <v>-214</v>
      </c>
      <c r="H518">
        <v>-472</v>
      </c>
      <c r="I518">
        <v>-1414</v>
      </c>
      <c r="J518">
        <v>-3650</v>
      </c>
      <c r="K518">
        <v>554</v>
      </c>
    </row>
    <row r="519" spans="2:11" x14ac:dyDescent="0.45">
      <c r="B519">
        <v>75</v>
      </c>
      <c r="C519">
        <v>115</v>
      </c>
      <c r="D519">
        <v>529</v>
      </c>
      <c r="E519">
        <v>1013</v>
      </c>
      <c r="F519">
        <v>-3117</v>
      </c>
      <c r="G519">
        <v>-117</v>
      </c>
      <c r="H519">
        <v>-3237</v>
      </c>
      <c r="I519">
        <v>667</v>
      </c>
      <c r="J519">
        <v>-2688</v>
      </c>
      <c r="K519">
        <v>-62</v>
      </c>
    </row>
    <row r="520" spans="2:11" x14ac:dyDescent="0.45">
      <c r="B520">
        <v>-1083</v>
      </c>
      <c r="C520">
        <v>-230</v>
      </c>
      <c r="D520">
        <v>-103</v>
      </c>
      <c r="E520">
        <v>-6170</v>
      </c>
      <c r="F520">
        <v>-525</v>
      </c>
      <c r="G520">
        <v>-2872</v>
      </c>
      <c r="H520">
        <v>2925</v>
      </c>
      <c r="I520">
        <v>6574</v>
      </c>
      <c r="J520">
        <v>3200</v>
      </c>
      <c r="K520">
        <v>10754</v>
      </c>
    </row>
    <row r="521" spans="2:11" x14ac:dyDescent="0.45">
      <c r="B521">
        <v>7306</v>
      </c>
      <c r="C521">
        <v>-47740</v>
      </c>
      <c r="D521">
        <v>22023</v>
      </c>
      <c r="E521">
        <v>0</v>
      </c>
      <c r="F521">
        <v>5830</v>
      </c>
      <c r="G521">
        <v>4763</v>
      </c>
      <c r="H521">
        <v>0</v>
      </c>
      <c r="I521">
        <v>2503</v>
      </c>
      <c r="J521">
        <v>0</v>
      </c>
      <c r="K521">
        <v>8572</v>
      </c>
    </row>
    <row r="522" spans="2:11" x14ac:dyDescent="0.45">
      <c r="B522">
        <v>0</v>
      </c>
      <c r="C522">
        <v>0</v>
      </c>
      <c r="D522">
        <v>12056</v>
      </c>
      <c r="E522">
        <v>20241</v>
      </c>
      <c r="F522">
        <v>0</v>
      </c>
      <c r="G522">
        <v>794</v>
      </c>
      <c r="H522">
        <v>16852</v>
      </c>
      <c r="I522">
        <v>9697</v>
      </c>
      <c r="J522">
        <v>13647</v>
      </c>
      <c r="K522">
        <v>9557</v>
      </c>
    </row>
    <row r="523" spans="2:11" x14ac:dyDescent="0.45">
      <c r="B523">
        <v>17035</v>
      </c>
      <c r="C523">
        <v>-104</v>
      </c>
      <c r="D523">
        <v>0</v>
      </c>
      <c r="E523">
        <v>21198</v>
      </c>
      <c r="F523">
        <v>0</v>
      </c>
      <c r="G523">
        <v>9732</v>
      </c>
      <c r="H523">
        <v>19420</v>
      </c>
      <c r="I523">
        <v>7785</v>
      </c>
      <c r="J523">
        <v>0</v>
      </c>
      <c r="K523">
        <v>18605</v>
      </c>
    </row>
    <row r="524" spans="2:11" x14ac:dyDescent="0.45">
      <c r="B524">
        <v>8280</v>
      </c>
      <c r="C524">
        <v>39570</v>
      </c>
      <c r="D524">
        <v>0</v>
      </c>
      <c r="E524">
        <v>0</v>
      </c>
      <c r="F524">
        <v>47738</v>
      </c>
      <c r="G524">
        <v>0</v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C1:AA94"/>
  <sheetViews>
    <sheetView tabSelected="1" topLeftCell="D1" workbookViewId="0">
      <selection activeCell="V94" sqref="V94"/>
    </sheetView>
  </sheetViews>
  <sheetFormatPr defaultRowHeight="14.25" x14ac:dyDescent="0.45"/>
  <cols>
    <col min="7" max="13" customWidth="true" hidden="true" width="0.0" collapsed="true"/>
    <col min="15" max="15" bestFit="true" customWidth="true" width="11.265625" collapsed="true"/>
    <col min="16" max="16" bestFit="true" customWidth="true" width="9.3984375" collapsed="true"/>
    <col min="17" max="17" bestFit="true" customWidth="true" width="10.3984375" collapsed="true"/>
    <col min="23" max="23" customWidth="true" width="11.59765625" collapsed="true"/>
    <col min="25" max="25" customWidth="true" width="17.265625" collapsed="true"/>
  </cols>
  <sheetData>
    <row r="1" spans="3:26" x14ac:dyDescent="0.45">
      <c r="V1" s="399" t="s">
        <v>176</v>
      </c>
    </row>
    <row r="2" spans="3:26" x14ac:dyDescent="0.45">
      <c r="X2" s="400" t="s">
        <v>173</v>
      </c>
      <c r="Y2" s="400" t="s">
        <v>174</v>
      </c>
      <c r="Z2" s="400" t="s">
        <v>175</v>
      </c>
    </row>
    <row r="3" spans="3:26" x14ac:dyDescent="0.45">
      <c r="C3" s="392"/>
      <c r="D3" s="442" t="s">
        <v>23</v>
      </c>
      <c r="E3" s="443"/>
      <c r="F3" s="444"/>
      <c r="G3" s="442" t="s">
        <v>51</v>
      </c>
      <c r="H3" s="443"/>
      <c r="I3" s="444"/>
      <c r="J3" s="440" t="s">
        <v>52</v>
      </c>
      <c r="K3" s="441"/>
      <c r="L3" s="440" t="s">
        <v>54</v>
      </c>
      <c r="M3" s="441"/>
      <c r="V3">
        <f>IntermediateStopLocation!B11</f>
        <v>1</v>
      </c>
      <c r="W3" t="str">
        <f>IntermediateStopLocation!C11</f>
        <v>Beta00001</v>
      </c>
      <c r="X3">
        <f>IntermediateStopLocation!E11</f>
        <v>1</v>
      </c>
      <c r="Y3" s="401">
        <f>_xlfn.IFNA(VLOOKUP(V3,$O$5:$Q$12,3,FALSE),X3)</f>
        <v>1</v>
      </c>
      <c r="Z3">
        <f>IF(X3=Y3,0,1)</f>
        <v>0</v>
      </c>
    </row>
    <row r="4" spans="3:26" x14ac:dyDescent="0.45">
      <c r="C4" s="393" t="s">
        <v>40</v>
      </c>
      <c r="D4" s="422" t="s">
        <v>17</v>
      </c>
      <c r="E4" s="403" t="s">
        <v>13</v>
      </c>
      <c r="F4" s="428" t="s">
        <v>177</v>
      </c>
      <c r="G4" s="415" t="s">
        <v>17</v>
      </c>
      <c r="H4" s="393" t="s">
        <v>13</v>
      </c>
      <c r="I4" s="403" t="s">
        <v>177</v>
      </c>
      <c r="J4" s="422" t="s">
        <v>24</v>
      </c>
      <c r="K4" s="403" t="s">
        <v>53</v>
      </c>
      <c r="L4" s="422" t="s">
        <v>24</v>
      </c>
      <c r="M4" s="403" t="s">
        <v>53</v>
      </c>
      <c r="O4" s="405" t="s">
        <v>178</v>
      </c>
      <c r="P4" s="405" t="s">
        <v>179</v>
      </c>
      <c r="Q4" s="405" t="s">
        <v>180</v>
      </c>
      <c r="R4" s="413" t="s">
        <v>181</v>
      </c>
      <c r="V4">
        <f>IntermediateStopLocation!B12</f>
        <v>2</v>
      </c>
      <c r="W4" t="str">
        <f>IntermediateStopLocation!C12</f>
        <v>Beta00002</v>
      </c>
      <c r="X4">
        <f>IntermediateStopLocation!E12</f>
        <v>2.9350804192700002</v>
      </c>
      <c r="Y4" s="401">
        <f ref="Y4:Y67" si="0" t="shared">_xlfn.IFNA(VLOOKUP(V4,$O$5:$Q$12,3,FALSE),X4)</f>
        <v>2.9350804192700002</v>
      </c>
      <c r="Z4">
        <f ref="Z4:Z67" si="1" t="shared">IF(X4=Y4,0,1)</f>
        <v>0</v>
      </c>
    </row>
    <row r="5" spans="3:26" x14ac:dyDescent="0.45">
      <c r="C5" s="390" t="str">
        <f>TLFD_Home!S10</f>
        <v>Home</v>
      </c>
      <c r="D5" s="416">
        <f>TLFD_Home!V10</f>
        <v>3.9850024009645324</v>
      </c>
      <c r="E5" s="402">
        <f>TLFD_Home!Z10</f>
        <v>4.0159262387764336</v>
      </c>
      <c r="F5" s="429">
        <f>(E5-D5)/D5</f>
        <v>7.7600550013260713E-3</v>
      </c>
      <c r="G5" s="416">
        <f>TDFD_Home!V10</f>
        <v>6.6814277560845632</v>
      </c>
      <c r="H5" s="402">
        <f>TDFD_Home!Z10</f>
        <v>9.0104810190133655</v>
      </c>
      <c r="I5" s="417">
        <f>(H5-G5)/G5</f>
        <v>0.34858616271167608</v>
      </c>
      <c r="J5" s="423">
        <f>D5/E5</f>
        <v>0.99229969975212418</v>
      </c>
      <c r="K5" s="424">
        <f>G5/H5</f>
        <v>0.74151732210365051</v>
      </c>
      <c r="L5" s="434">
        <f>LN(J5)</f>
        <v>-7.7301006397113058E-3</v>
      </c>
      <c r="M5" s="435">
        <f>LN(K5)</f>
        <v>-0.29905675678200094</v>
      </c>
      <c r="O5" s="407"/>
      <c r="P5" s="407"/>
      <c r="Q5" s="407"/>
      <c r="V5">
        <f>IntermediateStopLocation!B13</f>
        <v>3</v>
      </c>
      <c r="W5" t="str">
        <f>IntermediateStopLocation!C13</f>
        <v>Beta00003</v>
      </c>
      <c r="X5">
        <f>IntermediateStopLocation!E13</f>
        <v>-14.319444362900001</v>
      </c>
      <c r="Y5" s="401">
        <f si="0" t="shared"/>
        <v>-14.319444362900001</v>
      </c>
      <c r="Z5">
        <f si="1" t="shared"/>
        <v>0</v>
      </c>
    </row>
    <row r="6" spans="3:26" x14ac:dyDescent="0.45">
      <c r="C6" s="390" t="str">
        <f>TLFD_Home!S11</f>
        <v>Work</v>
      </c>
      <c r="D6" s="416">
        <f>TLFD_Home!V11</f>
        <v>5.6809940070425</v>
      </c>
      <c r="E6" s="402">
        <f>TLFD_Home!Z11</f>
        <v>6.3148807098781781</v>
      </c>
      <c r="F6" s="429">
        <f ref="F6:F13" si="2" t="shared">(E6-D6)/D6</f>
        <v>0.11158024494478856</v>
      </c>
      <c r="G6" s="416">
        <f>TDFD_Home!V11</f>
        <v>8.8036269361383024</v>
      </c>
      <c r="H6" s="402">
        <f>TDFD_Home!Z11</f>
        <v>10.722159643990452</v>
      </c>
      <c r="I6" s="417">
        <f ref="I6:I13" si="3" t="shared">(H6-G6)/G6</f>
        <v>0.21792526214129998</v>
      </c>
      <c r="J6" s="423">
        <f ref="J6:J13" si="4" t="shared">D6/E6</f>
        <v>0.8996201619701053</v>
      </c>
      <c r="K6" s="424">
        <f ref="K6:K13" si="5" t="shared">G6/H6</f>
        <v>0.82106844408650015</v>
      </c>
      <c r="L6" s="434">
        <f ref="L6:L12" si="6" t="shared">LN(J6)</f>
        <v>-0.10578264699816349</v>
      </c>
      <c r="M6" s="435">
        <f ref="M6:M12" si="7" t="shared">LN(K6)</f>
        <v>-0.19714880627309639</v>
      </c>
      <c r="O6" s="390">
        <v>32</v>
      </c>
      <c r="P6" s="404">
        <f>IFERROR(VLOOKUP(O6,$V:$X,3,FALSE),0)</f>
        <v>0.73144567554600004</v>
      </c>
      <c r="Q6" s="410">
        <f>P6+(R6*M6)</f>
        <v>0.53429686927290365</v>
      </c>
      <c r="R6" s="412">
        <v>1</v>
      </c>
      <c r="V6">
        <f>IntermediateStopLocation!B14</f>
        <v>4</v>
      </c>
      <c r="W6" t="str">
        <f>IntermediateStopLocation!C14</f>
        <v>Beta00004</v>
      </c>
      <c r="X6">
        <f>IntermediateStopLocation!E14</f>
        <v>14.585498447999999</v>
      </c>
      <c r="Y6" s="401">
        <f si="0" t="shared"/>
        <v>14.585498447999999</v>
      </c>
      <c r="Z6">
        <f si="1" t="shared"/>
        <v>0</v>
      </c>
    </row>
    <row r="7" spans="3:26" x14ac:dyDescent="0.45">
      <c r="C7" s="390" t="str">
        <f>TLFD_Home!S12</f>
        <v>School</v>
      </c>
      <c r="D7" s="416">
        <f>TLFD_Home!V12</f>
        <v>2.9549239586254297</v>
      </c>
      <c r="E7" s="402">
        <f>TLFD_Home!Z12</f>
        <v>3.1529125858067162</v>
      </c>
      <c r="F7" s="429">
        <f si="2" t="shared"/>
        <v>6.7002951667624905E-2</v>
      </c>
      <c r="G7" s="416">
        <f>TDFD_Home!V12</f>
        <v>5.2516432031298201</v>
      </c>
      <c r="H7" s="402">
        <f>TDFD_Home!Z12</f>
        <v>8.8254955680420153</v>
      </c>
      <c r="I7" s="417">
        <f si="3" t="shared"/>
        <v>0.68052078686196493</v>
      </c>
      <c r="J7" s="423">
        <f si="4" t="shared"/>
        <v>0.93720453016282135</v>
      </c>
      <c r="K7" s="424">
        <f si="5" t="shared"/>
        <v>0.59505363326525651</v>
      </c>
      <c r="L7" s="434">
        <f si="6" t="shared"/>
        <v>-6.4853738639712194E-2</v>
      </c>
      <c r="M7" s="435">
        <f si="7" t="shared"/>
        <v>-0.51910373755726014</v>
      </c>
      <c r="O7" s="407"/>
      <c r="P7" s="408"/>
      <c r="Q7" s="411"/>
      <c r="R7" s="438"/>
      <c r="S7" t="s">
        <v>182</v>
      </c>
      <c r="V7">
        <f>IntermediateStopLocation!B15</f>
        <v>5</v>
      </c>
      <c r="W7" t="str">
        <f>IntermediateStopLocation!C15</f>
        <v>Beta00005</v>
      </c>
      <c r="X7">
        <f>IntermediateStopLocation!E15</f>
        <v>-5.5636156095500002</v>
      </c>
      <c r="Y7" s="401">
        <f si="0" t="shared"/>
        <v>-5.5636156095500002</v>
      </c>
      <c r="Z7">
        <f si="1" t="shared"/>
        <v>0</v>
      </c>
    </row>
    <row r="8" spans="3:26" x14ac:dyDescent="0.45">
      <c r="C8" s="390" t="str">
        <f>TLFD_Home!S13</f>
        <v>Escort</v>
      </c>
      <c r="D8" s="416">
        <f>TLFD_Home!V13</f>
        <v>2.9098967787913121</v>
      </c>
      <c r="E8" s="402">
        <f>TLFD_Home!Z13</f>
        <v>3.2014603619670212</v>
      </c>
      <c r="F8" s="429">
        <f si="2" t="shared"/>
        <v>0.10019722531079478</v>
      </c>
      <c r="G8" s="416">
        <f>TDFD_Home!V13</f>
        <v>5.2697112455168869</v>
      </c>
      <c r="H8" s="402">
        <f>TDFD_Home!Z13</f>
        <v>6.7648630721052712</v>
      </c>
      <c r="I8" s="417">
        <f si="3" t="shared"/>
        <v>0.28372556994661863</v>
      </c>
      <c r="J8" s="423">
        <f si="4" t="shared"/>
        <v>0.90892794218555673</v>
      </c>
      <c r="K8" s="424">
        <f si="5" t="shared"/>
        <v>0.77898269179259483</v>
      </c>
      <c r="L8" s="434">
        <f si="6" t="shared"/>
        <v>-9.5489459469851365E-2</v>
      </c>
      <c r="M8" s="435">
        <f si="7" t="shared"/>
        <v>-0.24976645185296667</v>
      </c>
      <c r="O8" s="390">
        <v>36</v>
      </c>
      <c r="P8" s="404">
        <f ref="P8:P12" si="8" t="shared">IFERROR(VLOOKUP(O8,$V:$X,3,FALSE),0)</f>
        <v>-3.4073728969569999</v>
      </c>
      <c r="Q8" s="410">
        <f ref="Q8:Q12" si="9" t="shared">P8+(R8*M8)</f>
        <v>-3.6571393488099666</v>
      </c>
      <c r="R8" s="412">
        <v>1</v>
      </c>
      <c r="V8">
        <f>IntermediateStopLocation!B16</f>
        <v>6</v>
      </c>
      <c r="W8" t="str">
        <f>IntermediateStopLocation!C16</f>
        <v>Beta00006</v>
      </c>
      <c r="X8">
        <f>IntermediateStopLocation!E16</f>
        <v>-7.52660127576</v>
      </c>
      <c r="Y8" s="401">
        <f si="0" t="shared"/>
        <v>-7.52660127576</v>
      </c>
      <c r="Z8">
        <f si="1" t="shared"/>
        <v>0</v>
      </c>
    </row>
    <row r="9" spans="3:26" x14ac:dyDescent="0.45">
      <c r="C9" s="390" t="str">
        <f>TLFD_Home!S14</f>
        <v>PerBus</v>
      </c>
      <c r="D9" s="416">
        <f>TLFD_Home!V14</f>
        <v>3.6249963121397721</v>
      </c>
      <c r="E9" s="402">
        <f>TLFD_Home!Z14</f>
        <v>3.9221122258515959</v>
      </c>
      <c r="F9" s="429">
        <f si="2" t="shared"/>
        <v>8.1963094063519593E-2</v>
      </c>
      <c r="G9" s="416">
        <f>TDFD_Home!V14</f>
        <v>6.228009548814188</v>
      </c>
      <c r="H9" s="402">
        <f>TDFD_Home!Z14</f>
        <v>8.1087402470004157</v>
      </c>
      <c r="I9" s="417">
        <f si="3" t="shared"/>
        <v>0.30197941789352561</v>
      </c>
      <c r="J9" s="423">
        <f si="4" t="shared"/>
        <v>0.92424594284848338</v>
      </c>
      <c r="K9" s="424">
        <f si="5" t="shared"/>
        <v>0.76806129671227941</v>
      </c>
      <c r="L9" s="434">
        <f si="6" t="shared"/>
        <v>-7.8777070843969108E-2</v>
      </c>
      <c r="M9" s="435">
        <f si="7" t="shared"/>
        <v>-0.2638857355919399</v>
      </c>
      <c r="O9" s="407"/>
      <c r="P9" s="408"/>
      <c r="Q9" s="411"/>
      <c r="V9">
        <f>IntermediateStopLocation!B17</f>
        <v>7</v>
      </c>
      <c r="W9" t="str">
        <f>IntermediateStopLocation!C17</f>
        <v>Beta00007</v>
      </c>
      <c r="X9">
        <f>IntermediateStopLocation!E17</f>
        <v>9.4837113087999997E-2</v>
      </c>
      <c r="Y9" s="401">
        <f si="0" t="shared"/>
        <v>9.4837113087999997E-2</v>
      </c>
      <c r="Z9">
        <f si="1" t="shared"/>
        <v>0</v>
      </c>
    </row>
    <row r="10" spans="3:26" x14ac:dyDescent="0.45">
      <c r="C10" s="390" t="str">
        <f>TLFD_Home!S15</f>
        <v>Shop</v>
      </c>
      <c r="D10" s="416">
        <f>TLFD_Home!V15</f>
        <v>2.6498382114374377</v>
      </c>
      <c r="E10" s="402">
        <f>TLFD_Home!Z15</f>
        <v>2.9039361666271555</v>
      </c>
      <c r="F10" s="429">
        <f si="2" t="shared"/>
        <v>9.5891875244669814E-2</v>
      </c>
      <c r="G10" s="416">
        <f>TDFD_Home!V15</f>
        <v>4.9644246183109031</v>
      </c>
      <c r="H10" s="402">
        <f>TDFD_Home!Z15</f>
        <v>6.6650527449185404</v>
      </c>
      <c r="I10" s="417">
        <f si="3" t="shared"/>
        <v>0.34256298712543637</v>
      </c>
      <c r="J10" s="423">
        <f si="4" t="shared"/>
        <v>0.91249878075493451</v>
      </c>
      <c r="K10" s="424">
        <f si="5" t="shared"/>
        <v>0.74484401073881945</v>
      </c>
      <c r="L10" s="434">
        <f si="6" t="shared"/>
        <v>-9.1568529685359015E-2</v>
      </c>
      <c r="M10" s="435">
        <f si="7" t="shared"/>
        <v>-0.29458046408458799</v>
      </c>
      <c r="O10" s="390">
        <v>47</v>
      </c>
      <c r="P10" s="404">
        <f si="8" t="shared"/>
        <v>-3.2310910237949999</v>
      </c>
      <c r="Q10" s="410">
        <f si="9" t="shared"/>
        <v>-3.5256714878795878</v>
      </c>
      <c r="R10" s="412">
        <v>1</v>
      </c>
      <c r="V10">
        <f>IntermediateStopLocation!B18</f>
        <v>8</v>
      </c>
      <c r="W10" t="str">
        <f>IntermediateStopLocation!C18</f>
        <v>Beta00008</v>
      </c>
      <c r="X10">
        <f>IntermediateStopLocation!E18</f>
        <v>0.17818083074400001</v>
      </c>
      <c r="Y10" s="401">
        <f si="0" t="shared"/>
        <v>0.17818083074400001</v>
      </c>
      <c r="Z10">
        <f si="1" t="shared"/>
        <v>0</v>
      </c>
    </row>
    <row r="11" spans="3:26" x14ac:dyDescent="0.45">
      <c r="C11" s="390" t="str">
        <f>TLFD_Home!S16</f>
        <v>Meal</v>
      </c>
      <c r="D11" s="416">
        <f>TLFD_Home!V16</f>
        <v>2.6672553963716883</v>
      </c>
      <c r="E11" s="402">
        <f>TLFD_Home!Z16</f>
        <v>3.5248702354064068</v>
      </c>
      <c r="F11" s="429">
        <f si="2" t="shared"/>
        <v>0.32153457827898524</v>
      </c>
      <c r="G11" s="416">
        <f>TDFD_Home!V16</f>
        <v>5.0050946359352162</v>
      </c>
      <c r="H11" s="402">
        <f>TDFD_Home!Z16</f>
        <v>7.0781558983198352</v>
      </c>
      <c r="I11" s="417">
        <f si="3" t="shared"/>
        <v>0.41419022279830708</v>
      </c>
      <c r="J11" s="423">
        <f si="4" t="shared"/>
        <v>0.75669605353973035</v>
      </c>
      <c r="K11" s="424">
        <f si="5" t="shared"/>
        <v>0.70711845116653782</v>
      </c>
      <c r="L11" s="434">
        <f si="6" t="shared"/>
        <v>-0.27879362065176921</v>
      </c>
      <c r="M11" s="435">
        <f si="7" t="shared"/>
        <v>-0.3465570865721847</v>
      </c>
      <c r="O11" s="390">
        <v>50</v>
      </c>
      <c r="P11" s="404">
        <f si="8" t="shared"/>
        <v>-3.6870204875549999</v>
      </c>
      <c r="Q11" s="410">
        <f si="9" t="shared"/>
        <v>-4.0335775741271842</v>
      </c>
      <c r="R11" s="412">
        <v>1</v>
      </c>
      <c r="V11">
        <f>IntermediateStopLocation!B19</f>
        <v>9</v>
      </c>
      <c r="W11" t="str">
        <f>IntermediateStopLocation!C19</f>
        <v>Beta00009</v>
      </c>
      <c r="X11">
        <f>IntermediateStopLocation!E19</f>
        <v>0.50974897639700001</v>
      </c>
      <c r="Y11" s="401">
        <f si="0" t="shared"/>
        <v>0.50974897639700001</v>
      </c>
      <c r="Z11">
        <f si="1" t="shared"/>
        <v>0</v>
      </c>
    </row>
    <row r="12" spans="3:26" x14ac:dyDescent="0.45">
      <c r="C12" s="393" t="str">
        <f>TLFD_Home!S17</f>
        <v>SocRec</v>
      </c>
      <c r="D12" s="418">
        <f>TLFD_Home!V17</f>
        <v>3.5146820793906657</v>
      </c>
      <c r="E12" s="394">
        <f>TLFD_Home!Z17</f>
        <v>3.9152288167871685</v>
      </c>
      <c r="F12" s="430">
        <f si="2" t="shared"/>
        <v>0.11396386027209178</v>
      </c>
      <c r="G12" s="418">
        <f>TDFD_Home!V17</f>
        <v>5.9157357625142541</v>
      </c>
      <c r="H12" s="394">
        <f>TDFD_Home!Z17</f>
        <v>8.9027622592957023</v>
      </c>
      <c r="I12" s="409">
        <f si="3" t="shared"/>
        <v>0.50492899221582677</v>
      </c>
      <c r="J12" s="425">
        <f si="4" t="shared"/>
        <v>0.89769519071807635</v>
      </c>
      <c r="K12" s="414">
        <f si="5" t="shared"/>
        <v>0.66448317839077597</v>
      </c>
      <c r="L12" s="436">
        <f si="6" t="shared"/>
        <v>-0.10792469957140044</v>
      </c>
      <c r="M12" s="437">
        <f si="7" t="shared"/>
        <v>-0.40874571583582647</v>
      </c>
      <c r="O12" s="393">
        <v>52</v>
      </c>
      <c r="P12" s="406">
        <f si="8" t="shared"/>
        <v>-1.9846514120350001</v>
      </c>
      <c r="Q12" s="406">
        <f si="9" t="shared"/>
        <v>-2.3933971278708266</v>
      </c>
      <c r="R12" s="412">
        <v>1</v>
      </c>
      <c r="V12">
        <f>IntermediateStopLocation!B20</f>
        <v>10</v>
      </c>
      <c r="W12" t="str">
        <f>IntermediateStopLocation!C20</f>
        <v>Beta00010</v>
      </c>
      <c r="X12">
        <f>IntermediateStopLocation!E20</f>
        <v>-1.0397429335399999</v>
      </c>
      <c r="Y12" s="401">
        <f si="0" t="shared"/>
        <v>-1.0397429335399999</v>
      </c>
      <c r="Z12">
        <f si="1" t="shared"/>
        <v>0</v>
      </c>
    </row>
    <row r="13" spans="3:26" x14ac:dyDescent="0.45">
      <c r="C13" s="391" t="s">
        <v>50</v>
      </c>
      <c r="D13" s="419">
        <f>TLFD_Home!V19</f>
        <v>3.7323861361833095</v>
      </c>
      <c r="E13" s="420">
        <f>TLFD_Home!Z19</f>
        <v>3.9370178075409465</v>
      </c>
      <c r="F13" s="431">
        <f si="2" t="shared"/>
        <v>5.4825964916612506E-2</v>
      </c>
      <c r="G13" s="419">
        <f>TDFD_Home!V19</f>
        <v>6.33079458359372</v>
      </c>
      <c r="H13" s="420">
        <f>TDFD_Home!Z19</f>
        <v>8.4822986548522508</v>
      </c>
      <c r="I13" s="421">
        <f si="3" t="shared"/>
        <v>0.33984739875057113</v>
      </c>
      <c r="J13" s="426">
        <f si="4" t="shared"/>
        <v>0.94802368661739689</v>
      </c>
      <c r="K13" s="427">
        <f si="5" t="shared"/>
        <v>0.74635365261186892</v>
      </c>
      <c r="L13" s="432"/>
      <c r="M13" s="433"/>
      <c r="O13" s="390"/>
      <c r="P13" s="390"/>
      <c r="Q13" s="390"/>
      <c r="V13">
        <f>IntermediateStopLocation!B21</f>
        <v>11</v>
      </c>
      <c r="W13" t="str">
        <f>IntermediateStopLocation!C21</f>
        <v>Beta00011</v>
      </c>
      <c r="X13">
        <f>IntermediateStopLocation!E21</f>
        <v>0.56811945167400002</v>
      </c>
      <c r="Y13" s="401">
        <f si="0" t="shared"/>
        <v>0.56811945167400002</v>
      </c>
      <c r="Z13">
        <f si="1" t="shared"/>
        <v>0</v>
      </c>
    </row>
    <row r="14" spans="3:26" x14ac:dyDescent="0.45">
      <c r="V14">
        <f>IntermediateStopLocation!B22</f>
        <v>12</v>
      </c>
      <c r="W14" t="str">
        <f>IntermediateStopLocation!C22</f>
        <v>Beta00012</v>
      </c>
      <c r="X14">
        <f>IntermediateStopLocation!E22</f>
        <v>-0.92852692218099997</v>
      </c>
      <c r="Y14" s="401">
        <f si="0" t="shared"/>
        <v>-0.92852692218099997</v>
      </c>
      <c r="Z14">
        <f si="1" t="shared"/>
        <v>0</v>
      </c>
    </row>
    <row r="15" spans="3:26" x14ac:dyDescent="0.45">
      <c r="V15">
        <f>IntermediateStopLocation!B23</f>
        <v>13</v>
      </c>
      <c r="W15" t="str">
        <f>IntermediateStopLocation!C23</f>
        <v>Beta00013</v>
      </c>
      <c r="X15">
        <f>IntermediateStopLocation!E23</f>
        <v>-0.70424501077900004</v>
      </c>
      <c r="Y15" s="401">
        <f si="0" t="shared"/>
        <v>-0.70424501077900004</v>
      </c>
      <c r="Z15">
        <f si="1" t="shared"/>
        <v>0</v>
      </c>
    </row>
    <row r="16" spans="3:26" x14ac:dyDescent="0.45">
      <c r="V16">
        <f>IntermediateStopLocation!B24</f>
        <v>14</v>
      </c>
      <c r="W16" t="str">
        <f>IntermediateStopLocation!C24</f>
        <v>Beta00014</v>
      </c>
      <c r="X16">
        <f>IntermediateStopLocation!E24</f>
        <v>6.9775504949999997E-2</v>
      </c>
      <c r="Y16" s="401">
        <f si="0" t="shared"/>
        <v>6.9775504949999997E-2</v>
      </c>
      <c r="Z16">
        <f si="1" t="shared"/>
        <v>0</v>
      </c>
    </row>
    <row r="17" spans="22:26" x14ac:dyDescent="0.45">
      <c r="V17">
        <f>IntermediateStopLocation!B25</f>
        <v>15</v>
      </c>
      <c r="W17" t="str">
        <f>IntermediateStopLocation!C25</f>
        <v>Beta00015</v>
      </c>
      <c r="X17">
        <f>IntermediateStopLocation!E25</f>
        <v>-0.19226153700900001</v>
      </c>
      <c r="Y17" s="401">
        <f si="0" t="shared"/>
        <v>-0.19226153700900001</v>
      </c>
      <c r="Z17">
        <f si="1" t="shared"/>
        <v>0</v>
      </c>
    </row>
    <row r="18" spans="22:26" x14ac:dyDescent="0.45">
      <c r="V18">
        <f>IntermediateStopLocation!B26</f>
        <v>16</v>
      </c>
      <c r="W18" t="str">
        <f>IntermediateStopLocation!C26</f>
        <v>Beta00016</v>
      </c>
      <c r="X18">
        <f>IntermediateStopLocation!E26</f>
        <v>3.9238502520000003E-2</v>
      </c>
      <c r="Y18" s="401">
        <f si="0" t="shared"/>
        <v>3.9238502520000003E-2</v>
      </c>
      <c r="Z18">
        <f si="1" t="shared"/>
        <v>0</v>
      </c>
    </row>
    <row r="19" spans="22:26" x14ac:dyDescent="0.45">
      <c r="V19">
        <f>IntermediateStopLocation!B27</f>
        <v>17</v>
      </c>
      <c r="W19" t="str">
        <f>IntermediateStopLocation!C27</f>
        <v>Beta00017</v>
      </c>
      <c r="X19">
        <f>IntermediateStopLocation!E27</f>
        <v>7.6045893387000005E-2</v>
      </c>
      <c r="Y19" s="401">
        <f si="0" t="shared"/>
        <v>7.6045893387000005E-2</v>
      </c>
      <c r="Z19">
        <f si="1" t="shared"/>
        <v>0</v>
      </c>
    </row>
    <row r="20" spans="22:26" x14ac:dyDescent="0.45">
      <c r="V20">
        <f>IntermediateStopLocation!B28</f>
        <v>18</v>
      </c>
      <c r="W20" t="str">
        <f>IntermediateStopLocation!C28</f>
        <v>Beta00018</v>
      </c>
      <c r="X20">
        <f>IntermediateStopLocation!E28</f>
        <v>4.4787027001999997E-2</v>
      </c>
      <c r="Y20" s="401">
        <f si="0" t="shared"/>
        <v>4.4787027001999997E-2</v>
      </c>
      <c r="Z20">
        <f si="1" t="shared"/>
        <v>0</v>
      </c>
    </row>
    <row r="21" spans="22:26" x14ac:dyDescent="0.45">
      <c r="V21">
        <f>IntermediateStopLocation!B29</f>
        <v>19</v>
      </c>
      <c r="W21" t="str">
        <f>IntermediateStopLocation!C29</f>
        <v>Beta00019</v>
      </c>
      <c r="X21">
        <f>IntermediateStopLocation!E29</f>
        <v>-7.7217226816000004E-2</v>
      </c>
      <c r="Y21" s="401">
        <f si="0" t="shared"/>
        <v>-7.7217226816000004E-2</v>
      </c>
      <c r="Z21">
        <f si="1" t="shared"/>
        <v>0</v>
      </c>
    </row>
    <row r="22" spans="22:26" x14ac:dyDescent="0.45">
      <c r="V22">
        <f>IntermediateStopLocation!B30</f>
        <v>20</v>
      </c>
      <c r="W22" t="str">
        <f>IntermediateStopLocation!C30</f>
        <v>Beta00020</v>
      </c>
      <c r="X22">
        <f>IntermediateStopLocation!E30</f>
        <v>-8.7375606849999995E-3</v>
      </c>
      <c r="Y22" s="401">
        <f si="0" t="shared"/>
        <v>-8.7375606849999995E-3</v>
      </c>
      <c r="Z22">
        <f si="1" t="shared"/>
        <v>0</v>
      </c>
    </row>
    <row r="23" spans="22:26" x14ac:dyDescent="0.45">
      <c r="V23">
        <f>IntermediateStopLocation!B31</f>
        <v>21</v>
      </c>
      <c r="W23" t="str">
        <f>IntermediateStopLocation!C31</f>
        <v>Beta00021</v>
      </c>
      <c r="X23">
        <f>IntermediateStopLocation!E31</f>
        <v>-0.54271296189899998</v>
      </c>
      <c r="Y23" s="401">
        <f si="0" t="shared"/>
        <v>-0.54271296189899998</v>
      </c>
      <c r="Z23">
        <f si="1" t="shared"/>
        <v>0</v>
      </c>
    </row>
    <row r="24" spans="22:26" x14ac:dyDescent="0.45">
      <c r="V24">
        <f>IntermediateStopLocation!B32</f>
        <v>22</v>
      </c>
      <c r="W24" t="str">
        <f>IntermediateStopLocation!C32</f>
        <v>Beta00022</v>
      </c>
      <c r="X24">
        <f>IntermediateStopLocation!E32</f>
        <v>0.94721172717000002</v>
      </c>
      <c r="Y24" s="401">
        <f si="0" t="shared"/>
        <v>0.94721172717000002</v>
      </c>
      <c r="Z24">
        <f si="1" t="shared"/>
        <v>0</v>
      </c>
    </row>
    <row r="25" spans="22:26" x14ac:dyDescent="0.45">
      <c r="V25">
        <f>IntermediateStopLocation!B33</f>
        <v>23</v>
      </c>
      <c r="W25" t="str">
        <f>IntermediateStopLocation!C33</f>
        <v>Beta00023</v>
      </c>
      <c r="X25">
        <f>IntermediateStopLocation!E33</f>
        <v>3.7300906574199999</v>
      </c>
      <c r="Y25" s="401">
        <f si="0" t="shared"/>
        <v>3.7300906574199999</v>
      </c>
      <c r="Z25">
        <f si="1" t="shared"/>
        <v>0</v>
      </c>
    </row>
    <row r="26" spans="22:26" x14ac:dyDescent="0.45">
      <c r="V26">
        <f>IntermediateStopLocation!B34</f>
        <v>24</v>
      </c>
      <c r="W26" t="str">
        <f>IntermediateStopLocation!C34</f>
        <v>Beta00024</v>
      </c>
      <c r="X26">
        <f>IntermediateStopLocation!E34</f>
        <v>-4.1537538241799998</v>
      </c>
      <c r="Y26" s="401">
        <f si="0" t="shared"/>
        <v>-4.1537538241799998</v>
      </c>
      <c r="Z26">
        <f si="1" t="shared"/>
        <v>0</v>
      </c>
    </row>
    <row r="27" spans="22:26" x14ac:dyDescent="0.45">
      <c r="V27">
        <f>IntermediateStopLocation!B35</f>
        <v>25</v>
      </c>
      <c r="W27" t="str">
        <f>IntermediateStopLocation!C35</f>
        <v>Beta00025</v>
      </c>
      <c r="X27">
        <f>IntermediateStopLocation!E35</f>
        <v>1.70783067936</v>
      </c>
      <c r="Y27" s="401">
        <f si="0" t="shared"/>
        <v>1.70783067936</v>
      </c>
      <c r="Z27">
        <f si="1" t="shared"/>
        <v>0</v>
      </c>
    </row>
    <row r="28" spans="22:26" x14ac:dyDescent="0.45">
      <c r="V28">
        <f>IntermediateStopLocation!B36</f>
        <v>26</v>
      </c>
      <c r="W28" t="str">
        <f>IntermediateStopLocation!C36</f>
        <v>Beta00026</v>
      </c>
      <c r="X28">
        <f>IntermediateStopLocation!E36</f>
        <v>-0.16345061284599999</v>
      </c>
      <c r="Y28" s="401">
        <f si="0" t="shared"/>
        <v>-0.16345061284599999</v>
      </c>
      <c r="Z28">
        <f si="1" t="shared"/>
        <v>0</v>
      </c>
    </row>
    <row r="29" spans="22:26" x14ac:dyDescent="0.45">
      <c r="V29">
        <f>IntermediateStopLocation!B37</f>
        <v>27</v>
      </c>
      <c r="W29" t="str">
        <f>IntermediateStopLocation!C37</f>
        <v>Beta00027</v>
      </c>
      <c r="X29">
        <f>IntermediateStopLocation!E37</f>
        <v>7.7917327145000007E-2</v>
      </c>
      <c r="Y29" s="401">
        <f si="0" t="shared"/>
        <v>7.7917327145000007E-2</v>
      </c>
      <c r="Z29">
        <f si="1" t="shared"/>
        <v>0</v>
      </c>
    </row>
    <row r="30" spans="22:26" x14ac:dyDescent="0.45">
      <c r="V30">
        <f>IntermediateStopLocation!B38</f>
        <v>28</v>
      </c>
      <c r="W30" t="str">
        <f>IntermediateStopLocation!C38</f>
        <v>Beta00028</v>
      </c>
      <c r="X30">
        <f>IntermediateStopLocation!E38</f>
        <v>-0.22471314927200001</v>
      </c>
      <c r="Y30" s="401">
        <f si="0" t="shared"/>
        <v>-0.22471314927200001</v>
      </c>
      <c r="Z30">
        <f si="1" t="shared"/>
        <v>0</v>
      </c>
    </row>
    <row r="31" spans="22:26" x14ac:dyDescent="0.45">
      <c r="V31">
        <f>IntermediateStopLocation!B39</f>
        <v>29</v>
      </c>
      <c r="W31" t="str">
        <f>IntermediateStopLocation!C39</f>
        <v>Beta00029</v>
      </c>
      <c r="X31">
        <f>IntermediateStopLocation!E39</f>
        <v>-0.320438653598</v>
      </c>
      <c r="Y31" s="401">
        <f si="0" t="shared"/>
        <v>-0.320438653598</v>
      </c>
      <c r="Z31">
        <f si="1" t="shared"/>
        <v>0</v>
      </c>
    </row>
    <row r="32" spans="22:26" x14ac:dyDescent="0.45">
      <c r="V32">
        <f>IntermediateStopLocation!B40</f>
        <v>30</v>
      </c>
      <c r="W32" t="str">
        <f>IntermediateStopLocation!C40</f>
        <v>Beta00030</v>
      </c>
      <c r="X32">
        <f>IntermediateStopLocation!E40</f>
        <v>-1.3486719354400001</v>
      </c>
      <c r="Y32" s="401">
        <f si="0" t="shared"/>
        <v>-1.3486719354400001</v>
      </c>
      <c r="Z32">
        <f si="1" t="shared"/>
        <v>0</v>
      </c>
    </row>
    <row r="33" spans="22:26" x14ac:dyDescent="0.45">
      <c r="V33">
        <f>IntermediateStopLocation!B41</f>
        <v>31</v>
      </c>
      <c r="W33" t="str">
        <f>IntermediateStopLocation!C41</f>
        <v>Beta00031</v>
      </c>
      <c r="X33">
        <f>IntermediateStopLocation!E41</f>
        <v>-2.8652973205399999</v>
      </c>
      <c r="Y33" s="401">
        <f si="0" t="shared"/>
        <v>-2.8652973205399999</v>
      </c>
      <c r="Z33">
        <f si="1" t="shared"/>
        <v>0</v>
      </c>
    </row>
    <row r="34" spans="22:26" x14ac:dyDescent="0.45">
      <c r="V34">
        <f>IntermediateStopLocation!B42</f>
        <v>32</v>
      </c>
      <c r="W34" t="str">
        <f>IntermediateStopLocation!C42</f>
        <v>Beta00032</v>
      </c>
      <c r="X34">
        <f>IntermediateStopLocation!E42</f>
        <v>0.73144567554600004</v>
      </c>
      <c r="Y34" s="401">
        <f si="0" t="shared"/>
        <v>0.53429686927290365</v>
      </c>
      <c r="Z34">
        <f si="1" t="shared"/>
        <v>1</v>
      </c>
    </row>
    <row r="35" spans="22:26" x14ac:dyDescent="0.45">
      <c r="V35">
        <f>IntermediateStopLocation!B43</f>
        <v>33</v>
      </c>
      <c r="W35" t="str">
        <f>IntermediateStopLocation!C43</f>
        <v>Beta00033</v>
      </c>
      <c r="X35">
        <f>IntermediateStopLocation!E43</f>
        <v>3.2882946296999997E-2</v>
      </c>
      <c r="Y35" s="401">
        <f si="0" t="shared"/>
        <v>3.2882946296999997E-2</v>
      </c>
      <c r="Z35">
        <f si="1" t="shared"/>
        <v>0</v>
      </c>
    </row>
    <row r="36" spans="22:26" x14ac:dyDescent="0.45">
      <c r="V36">
        <f>IntermediateStopLocation!B44</f>
        <v>34</v>
      </c>
      <c r="W36" t="str">
        <f>IntermediateStopLocation!C44</f>
        <v>Beta00034</v>
      </c>
      <c r="X36">
        <f>IntermediateStopLocation!E44</f>
        <v>0.17222898421300001</v>
      </c>
      <c r="Y36" s="401">
        <f si="0" t="shared"/>
        <v>0.17222898421300001</v>
      </c>
      <c r="Z36">
        <f si="1" t="shared"/>
        <v>0</v>
      </c>
    </row>
    <row r="37" spans="22:26" x14ac:dyDescent="0.45">
      <c r="V37">
        <f>IntermediateStopLocation!B45</f>
        <v>35</v>
      </c>
      <c r="W37" t="str">
        <f>IntermediateStopLocation!C45</f>
        <v>Beta00035</v>
      </c>
      <c r="X37">
        <f>IntermediateStopLocation!E45</f>
        <v>-4.3679028443999998E-2</v>
      </c>
      <c r="Y37" s="401">
        <f si="0" t="shared"/>
        <v>-4.3679028443999998E-2</v>
      </c>
      <c r="Z37">
        <f si="1" t="shared"/>
        <v>0</v>
      </c>
    </row>
    <row r="38" spans="22:26" x14ac:dyDescent="0.45">
      <c r="V38">
        <f>IntermediateStopLocation!B46</f>
        <v>36</v>
      </c>
      <c r="W38" t="str">
        <f>IntermediateStopLocation!C46</f>
        <v>Beta00036</v>
      </c>
      <c r="X38">
        <f>IntermediateStopLocation!E46</f>
        <v>-3.4073728969569999</v>
      </c>
      <c r="Y38" s="401">
        <f si="0" t="shared"/>
        <v>-3.6571393488099666</v>
      </c>
      <c r="Z38">
        <f si="1" t="shared"/>
        <v>1</v>
      </c>
    </row>
    <row r="39" spans="22:26" x14ac:dyDescent="0.45">
      <c r="V39">
        <f>IntermediateStopLocation!B47</f>
        <v>37</v>
      </c>
      <c r="W39" t="str">
        <f>IntermediateStopLocation!C47</f>
        <v>Beta00037</v>
      </c>
      <c r="X39">
        <f>IntermediateStopLocation!E47</f>
        <v>-0.20680800883100001</v>
      </c>
      <c r="Y39" s="401">
        <f si="0" t="shared"/>
        <v>-0.20680800883100001</v>
      </c>
      <c r="Z39">
        <f si="1" t="shared"/>
        <v>0</v>
      </c>
    </row>
    <row r="40" spans="22:26" x14ac:dyDescent="0.45">
      <c r="V40">
        <f>IntermediateStopLocation!B48</f>
        <v>38</v>
      </c>
      <c r="W40" t="str">
        <f>IntermediateStopLocation!C48</f>
        <v>Beta00038</v>
      </c>
      <c r="X40">
        <f>IntermediateStopLocation!E48</f>
        <v>9.2439693264999998E-2</v>
      </c>
      <c r="Y40" s="401">
        <f si="0" t="shared"/>
        <v>9.2439693264999998E-2</v>
      </c>
      <c r="Z40">
        <f si="1" t="shared"/>
        <v>0</v>
      </c>
    </row>
    <row r="41" spans="22:26" x14ac:dyDescent="0.45">
      <c r="V41">
        <f>IntermediateStopLocation!B49</f>
        <v>39</v>
      </c>
      <c r="W41" t="str">
        <f>IntermediateStopLocation!C49</f>
        <v>Beta00039</v>
      </c>
      <c r="X41">
        <f>IntermediateStopLocation!E49</f>
        <v>0.106344988665</v>
      </c>
      <c r="Y41" s="401">
        <f si="0" t="shared"/>
        <v>0.106344988665</v>
      </c>
      <c r="Z41">
        <f si="1" t="shared"/>
        <v>0</v>
      </c>
    </row>
    <row r="42" spans="22:26" x14ac:dyDescent="0.45">
      <c r="V42">
        <f>IntermediateStopLocation!B50</f>
        <v>40</v>
      </c>
      <c r="W42" t="str">
        <f>IntermediateStopLocation!C50</f>
        <v>Beta00040</v>
      </c>
      <c r="X42">
        <f>IntermediateStopLocation!E50</f>
        <v>-0.28428116513000001</v>
      </c>
      <c r="Y42" s="401">
        <f si="0" t="shared"/>
        <v>-0.28428116513000001</v>
      </c>
      <c r="Z42">
        <f si="1" t="shared"/>
        <v>0</v>
      </c>
    </row>
    <row r="43" spans="22:26" x14ac:dyDescent="0.45">
      <c r="V43">
        <f>IntermediateStopLocation!B51</f>
        <v>41</v>
      </c>
      <c r="W43" t="str">
        <f>IntermediateStopLocation!C51</f>
        <v>Beta00041</v>
      </c>
      <c r="X43">
        <f>IntermediateStopLocation!E51</f>
        <v>0.20427640591999999</v>
      </c>
      <c r="Y43" s="401">
        <f si="0" t="shared"/>
        <v>0.20427640591999999</v>
      </c>
      <c r="Z43">
        <f si="1" t="shared"/>
        <v>0</v>
      </c>
    </row>
    <row r="44" spans="22:26" x14ac:dyDescent="0.45">
      <c r="V44">
        <f>IntermediateStopLocation!B52</f>
        <v>42</v>
      </c>
      <c r="W44" t="str">
        <f>IntermediateStopLocation!C52</f>
        <v>Beta00042</v>
      </c>
      <c r="X44">
        <f>IntermediateStopLocation!E52</f>
        <v>-9.2217629617999994E-2</v>
      </c>
      <c r="Y44" s="401">
        <f si="0" t="shared"/>
        <v>-9.2217629617999994E-2</v>
      </c>
      <c r="Z44">
        <f si="1" t="shared"/>
        <v>0</v>
      </c>
    </row>
    <row r="45" spans="22:26" x14ac:dyDescent="0.45">
      <c r="V45">
        <f>IntermediateStopLocation!B53</f>
        <v>43</v>
      </c>
      <c r="W45" t="str">
        <f>IntermediateStopLocation!C53</f>
        <v>Beta00043</v>
      </c>
      <c r="X45">
        <f>IntermediateStopLocation!E53</f>
        <v>9.2552474014000005E-2</v>
      </c>
      <c r="Y45" s="401">
        <f si="0" t="shared"/>
        <v>9.2552474014000005E-2</v>
      </c>
      <c r="Z45">
        <f si="1" t="shared"/>
        <v>0</v>
      </c>
    </row>
    <row r="46" spans="22:26" x14ac:dyDescent="0.45">
      <c r="V46">
        <f>IntermediateStopLocation!B54</f>
        <v>44</v>
      </c>
      <c r="W46" t="str">
        <f>IntermediateStopLocation!C54</f>
        <v>Beta00044</v>
      </c>
      <c r="X46">
        <f>IntermediateStopLocation!E54</f>
        <v>0.13432791103399999</v>
      </c>
      <c r="Y46" s="401">
        <f si="0" t="shared"/>
        <v>0.13432791103399999</v>
      </c>
      <c r="Z46">
        <f si="1" t="shared"/>
        <v>0</v>
      </c>
    </row>
    <row r="47" spans="22:26" x14ac:dyDescent="0.45">
      <c r="V47">
        <f>IntermediateStopLocation!B55</f>
        <v>45</v>
      </c>
      <c r="W47" t="str">
        <f>IntermediateStopLocation!C55</f>
        <v>Beta00045</v>
      </c>
      <c r="X47">
        <f>IntermediateStopLocation!E55</f>
        <v>0.17819872261700001</v>
      </c>
      <c r="Y47" s="401">
        <f si="0" t="shared"/>
        <v>0.17819872261700001</v>
      </c>
      <c r="Z47">
        <f si="1" t="shared"/>
        <v>0</v>
      </c>
    </row>
    <row r="48" spans="22:26" x14ac:dyDescent="0.45">
      <c r="V48">
        <f>IntermediateStopLocation!B56</f>
        <v>46</v>
      </c>
      <c r="W48" t="str">
        <f>IntermediateStopLocation!C56</f>
        <v>Beta00046</v>
      </c>
      <c r="X48">
        <f>IntermediateStopLocation!E56</f>
        <v>-0.16252205685099999</v>
      </c>
      <c r="Y48" s="401">
        <f si="0" t="shared"/>
        <v>-0.16252205685099999</v>
      </c>
      <c r="Z48">
        <f si="1" t="shared"/>
        <v>0</v>
      </c>
    </row>
    <row r="49" spans="22:26" x14ac:dyDescent="0.45">
      <c r="V49">
        <f>IntermediateStopLocation!B57</f>
        <v>47</v>
      </c>
      <c r="W49" t="str">
        <f>IntermediateStopLocation!C57</f>
        <v>Beta00047</v>
      </c>
      <c r="X49">
        <f>IntermediateStopLocation!E57</f>
        <v>-3.2310910237949999</v>
      </c>
      <c r="Y49" s="401">
        <f si="0" t="shared"/>
        <v>-3.5256714878795878</v>
      </c>
      <c r="Z49">
        <f si="1" t="shared"/>
        <v>1</v>
      </c>
    </row>
    <row r="50" spans="22:26" x14ac:dyDescent="0.45">
      <c r="V50">
        <f>IntermediateStopLocation!B58</f>
        <v>48</v>
      </c>
      <c r="W50" t="str">
        <f>IntermediateStopLocation!C58</f>
        <v>Beta00048</v>
      </c>
      <c r="X50">
        <f>IntermediateStopLocation!E58</f>
        <v>-6.9722067920999997E-2</v>
      </c>
      <c r="Y50" s="401">
        <f si="0" t="shared"/>
        <v>-6.9722067920999997E-2</v>
      </c>
      <c r="Z50">
        <f si="1" t="shared"/>
        <v>0</v>
      </c>
    </row>
    <row r="51" spans="22:26" x14ac:dyDescent="0.45">
      <c r="V51">
        <f>IntermediateStopLocation!B59</f>
        <v>49</v>
      </c>
      <c r="W51" t="str">
        <f>IntermediateStopLocation!C59</f>
        <v>Beta00049</v>
      </c>
      <c r="X51">
        <f>IntermediateStopLocation!E59</f>
        <v>0.360092886946</v>
      </c>
      <c r="Y51" s="401">
        <f si="0" t="shared"/>
        <v>0.360092886946</v>
      </c>
      <c r="Z51">
        <f si="1" t="shared"/>
        <v>0</v>
      </c>
    </row>
    <row r="52" spans="22:26" x14ac:dyDescent="0.45">
      <c r="V52">
        <f>IntermediateStopLocation!B60</f>
        <v>50</v>
      </c>
      <c r="W52" t="str">
        <f>IntermediateStopLocation!C60</f>
        <v>Beta00050</v>
      </c>
      <c r="X52">
        <f>IntermediateStopLocation!E60</f>
        <v>-3.6870204875549999</v>
      </c>
      <c r="Y52" s="401">
        <f si="0" t="shared"/>
        <v>-4.0335775741271842</v>
      </c>
      <c r="Z52">
        <f si="1" t="shared"/>
        <v>1</v>
      </c>
    </row>
    <row r="53" spans="22:26" x14ac:dyDescent="0.45">
      <c r="V53">
        <f>IntermediateStopLocation!B61</f>
        <v>51</v>
      </c>
      <c r="W53" t="str">
        <f>IntermediateStopLocation!C61</f>
        <v>Beta00051</v>
      </c>
      <c r="X53">
        <f>IntermediateStopLocation!E61</f>
        <v>0.15977089868200001</v>
      </c>
      <c r="Y53" s="401">
        <f si="0" t="shared"/>
        <v>0.15977089868200001</v>
      </c>
      <c r="Z53">
        <f si="1" t="shared"/>
        <v>0</v>
      </c>
    </row>
    <row r="54" spans="22:26" x14ac:dyDescent="0.45">
      <c r="V54">
        <f>IntermediateStopLocation!B62</f>
        <v>52</v>
      </c>
      <c r="W54" t="str">
        <f>IntermediateStopLocation!C62</f>
        <v>Beta00052</v>
      </c>
      <c r="X54">
        <f>IntermediateStopLocation!E62</f>
        <v>-1.9846514120350001</v>
      </c>
      <c r="Y54" s="401">
        <f si="0" t="shared"/>
        <v>-2.3933971278708266</v>
      </c>
      <c r="Z54">
        <f si="1" t="shared"/>
        <v>1</v>
      </c>
    </row>
    <row r="55" spans="22:26" x14ac:dyDescent="0.45">
      <c r="V55">
        <f>IntermediateStopLocation!B63</f>
        <v>53</v>
      </c>
      <c r="W55" t="str">
        <f>IntermediateStopLocation!C63</f>
        <v>Beta00053</v>
      </c>
      <c r="X55">
        <f>IntermediateStopLocation!E63</f>
        <v>6.8361054704999993E-2</v>
      </c>
      <c r="Y55" s="401">
        <f si="0" t="shared"/>
        <v>6.8361054704999993E-2</v>
      </c>
      <c r="Z55">
        <f si="1" t="shared"/>
        <v>0</v>
      </c>
    </row>
    <row r="56" spans="22:26" x14ac:dyDescent="0.45">
      <c r="V56">
        <f>IntermediateStopLocation!B64</f>
        <v>54</v>
      </c>
      <c r="W56" t="str">
        <f>IntermediateStopLocation!C64</f>
        <v>Beta00054</v>
      </c>
      <c r="X56">
        <f>IntermediateStopLocation!E64</f>
        <v>-0.23833241202200001</v>
      </c>
      <c r="Y56" s="401">
        <f si="0" t="shared"/>
        <v>-0.23833241202200001</v>
      </c>
      <c r="Z56">
        <f si="1" t="shared"/>
        <v>0</v>
      </c>
    </row>
    <row r="57" spans="22:26" x14ac:dyDescent="0.45">
      <c r="V57">
        <f>IntermediateStopLocation!B65</f>
        <v>55</v>
      </c>
      <c r="W57" t="str">
        <f>IntermediateStopLocation!C65</f>
        <v>Beta00055</v>
      </c>
      <c r="X57">
        <f>IntermediateStopLocation!E65</f>
        <v>0.21826898786500001</v>
      </c>
      <c r="Y57" s="401">
        <f si="0" t="shared"/>
        <v>0.21826898786500001</v>
      </c>
      <c r="Z57">
        <f si="1" t="shared"/>
        <v>0</v>
      </c>
    </row>
    <row r="58" spans="22:26" x14ac:dyDescent="0.45">
      <c r="V58">
        <f>IntermediateStopLocation!B66</f>
        <v>56</v>
      </c>
      <c r="W58" t="str">
        <f>IntermediateStopLocation!C66</f>
        <v>Beta00056</v>
      </c>
      <c r="X58">
        <f>IntermediateStopLocation!E66</f>
        <v>0.52843873415800002</v>
      </c>
      <c r="Y58" s="401">
        <f si="0" t="shared"/>
        <v>0.52843873415800002</v>
      </c>
      <c r="Z58">
        <f si="1" t="shared"/>
        <v>0</v>
      </c>
    </row>
    <row r="59" spans="22:26" x14ac:dyDescent="0.45">
      <c r="V59">
        <f>IntermediateStopLocation!B67</f>
        <v>57</v>
      </c>
      <c r="W59" t="str">
        <f>IntermediateStopLocation!C67</f>
        <v>Beta00057</v>
      </c>
      <c r="X59">
        <f>IntermediateStopLocation!E67</f>
        <v>-0.62206095057199995</v>
      </c>
      <c r="Y59" s="401">
        <f si="0" t="shared"/>
        <v>-0.62206095057199995</v>
      </c>
      <c r="Z59">
        <f si="1" t="shared"/>
        <v>0</v>
      </c>
    </row>
    <row r="60" spans="22:26" x14ac:dyDescent="0.45">
      <c r="V60">
        <f>IntermediateStopLocation!B68</f>
        <v>60</v>
      </c>
      <c r="W60" t="str">
        <f>IntermediateStopLocation!C68</f>
        <v>LSM_300</v>
      </c>
      <c r="X60">
        <f>IntermediateStopLocation!E68</f>
        <v>0.18914184867700001</v>
      </c>
      <c r="Y60" s="401">
        <f si="0" t="shared"/>
        <v>0.18914184867700001</v>
      </c>
      <c r="Z60">
        <f si="1" t="shared"/>
        <v>0</v>
      </c>
    </row>
    <row r="61" spans="22:26" x14ac:dyDescent="0.45">
      <c r="V61">
        <f>IntermediateStopLocation!B69</f>
        <v>61</v>
      </c>
      <c r="W61" t="str">
        <f>IntermediateStopLocation!C69</f>
        <v>Gamma061</v>
      </c>
      <c r="X61">
        <f>IntermediateStopLocation!E69</f>
        <v>0</v>
      </c>
      <c r="Y61" s="401">
        <f si="0" t="shared"/>
        <v>0</v>
      </c>
      <c r="Z61">
        <f si="1" t="shared"/>
        <v>0</v>
      </c>
    </row>
    <row r="62" spans="22:26" x14ac:dyDescent="0.45">
      <c r="V62">
        <f>IntermediateStopLocation!B70</f>
        <v>62</v>
      </c>
      <c r="W62" t="str">
        <f>IntermediateStopLocation!C70</f>
        <v>Gamma062</v>
      </c>
      <c r="X62">
        <f>IntermediateStopLocation!E70</f>
        <v>-2.3818730558799999</v>
      </c>
      <c r="Y62" s="401">
        <f si="0" t="shared"/>
        <v>-2.3818730558799999</v>
      </c>
      <c r="Z62">
        <f si="1" t="shared"/>
        <v>0</v>
      </c>
    </row>
    <row r="63" spans="22:26" x14ac:dyDescent="0.45">
      <c r="V63">
        <f>IntermediateStopLocation!B71</f>
        <v>63</v>
      </c>
      <c r="W63" t="str">
        <f>IntermediateStopLocation!C71</f>
        <v>Gamma063</v>
      </c>
      <c r="X63">
        <f>IntermediateStopLocation!E71</f>
        <v>-12.7221900232</v>
      </c>
      <c r="Y63" s="401">
        <f si="0" t="shared"/>
        <v>-12.7221900232</v>
      </c>
      <c r="Z63">
        <f si="1" t="shared"/>
        <v>0</v>
      </c>
    </row>
    <row r="64" spans="22:26" x14ac:dyDescent="0.45">
      <c r="V64">
        <f>IntermediateStopLocation!B72</f>
        <v>64</v>
      </c>
      <c r="W64" t="str">
        <f>IntermediateStopLocation!C72</f>
        <v>Gamma064</v>
      </c>
      <c r="X64">
        <f>IntermediateStopLocation!E72</f>
        <v>0</v>
      </c>
      <c r="Y64" s="401">
        <f si="0" t="shared"/>
        <v>0</v>
      </c>
      <c r="Z64">
        <f si="1" t="shared"/>
        <v>0</v>
      </c>
    </row>
    <row r="65" spans="22:26" x14ac:dyDescent="0.45">
      <c r="V65">
        <f>IntermediateStopLocation!B73</f>
        <v>65</v>
      </c>
      <c r="W65" t="str">
        <f>IntermediateStopLocation!C73</f>
        <v>Gamma065</v>
      </c>
      <c r="X65">
        <f>IntermediateStopLocation!E73</f>
        <v>-7.2051774658100003</v>
      </c>
      <c r="Y65" s="401">
        <f si="0" t="shared"/>
        <v>-7.2051774658100003</v>
      </c>
      <c r="Z65">
        <f si="1" t="shared"/>
        <v>0</v>
      </c>
    </row>
    <row r="66" spans="22:26" x14ac:dyDescent="0.45">
      <c r="V66">
        <f>IntermediateStopLocation!B74</f>
        <v>66</v>
      </c>
      <c r="W66" t="str">
        <f>IntermediateStopLocation!C74</f>
        <v>Gamma066</v>
      </c>
      <c r="X66">
        <f>IntermediateStopLocation!E74</f>
        <v>0</v>
      </c>
      <c r="Y66" s="401">
        <f si="0" t="shared"/>
        <v>0</v>
      </c>
      <c r="Z66">
        <f si="1" t="shared"/>
        <v>0</v>
      </c>
    </row>
    <row r="67" spans="22:26" x14ac:dyDescent="0.45">
      <c r="V67">
        <f>IntermediateStopLocation!B75</f>
        <v>67</v>
      </c>
      <c r="W67" t="str">
        <f>IntermediateStopLocation!C75</f>
        <v>Gamma067</v>
      </c>
      <c r="X67">
        <f>IntermediateStopLocation!E75</f>
        <v>-16.884265301199999</v>
      </c>
      <c r="Y67" s="401">
        <f si="0" t="shared"/>
        <v>-16.884265301199999</v>
      </c>
      <c r="Z67">
        <f si="1" t="shared"/>
        <v>0</v>
      </c>
    </row>
    <row r="68" spans="22:26" x14ac:dyDescent="0.45">
      <c r="V68">
        <f>IntermediateStopLocation!B76</f>
        <v>68</v>
      </c>
      <c r="W68" t="str">
        <f>IntermediateStopLocation!C76</f>
        <v>Gamma068</v>
      </c>
      <c r="X68">
        <f>IntermediateStopLocation!E76</f>
        <v>0</v>
      </c>
      <c r="Y68" s="401">
        <f ref="Y68:Y94" si="10" t="shared">_xlfn.IFNA(VLOOKUP(V68,$O$5:$Q$12,3,FALSE),X68)</f>
        <v>0</v>
      </c>
      <c r="Z68">
        <f ref="Z68:Z94" si="11" t="shared">IF(X68=Y68,0,1)</f>
        <v>0</v>
      </c>
    </row>
    <row r="69" spans="22:26" x14ac:dyDescent="0.45">
      <c r="V69">
        <f>IntermediateStopLocation!B77</f>
        <v>69</v>
      </c>
      <c r="W69" t="str">
        <f>IntermediateStopLocation!C77</f>
        <v>Gamma069</v>
      </c>
      <c r="X69">
        <f>IntermediateStopLocation!E77</f>
        <v>0</v>
      </c>
      <c r="Y69" s="401">
        <f si="10" t="shared"/>
        <v>0</v>
      </c>
      <c r="Z69">
        <f si="11" t="shared"/>
        <v>0</v>
      </c>
    </row>
    <row r="70" spans="22:26" x14ac:dyDescent="0.45">
      <c r="V70">
        <f>IntermediateStopLocation!B78</f>
        <v>70</v>
      </c>
      <c r="W70" t="str">
        <f>IntermediateStopLocation!C78</f>
        <v>Gamma070</v>
      </c>
      <c r="X70">
        <f>IntermediateStopLocation!E78</f>
        <v>-3.1062233178100001</v>
      </c>
      <c r="Y70" s="401">
        <f si="10" t="shared"/>
        <v>-3.1062233178100001</v>
      </c>
      <c r="Z70">
        <f si="11" t="shared"/>
        <v>0</v>
      </c>
    </row>
    <row r="71" spans="22:26" x14ac:dyDescent="0.45">
      <c r="V71">
        <f>IntermediateStopLocation!B79</f>
        <v>71</v>
      </c>
      <c r="W71" t="str">
        <f>IntermediateStopLocation!C79</f>
        <v>Gamma071</v>
      </c>
      <c r="X71">
        <f>IntermediateStopLocation!E79</f>
        <v>-30.427810062700001</v>
      </c>
      <c r="Y71" s="401">
        <f si="10" t="shared"/>
        <v>-30.427810062700001</v>
      </c>
      <c r="Z71">
        <f si="11" t="shared"/>
        <v>0</v>
      </c>
    </row>
    <row r="72" spans="22:26" x14ac:dyDescent="0.45">
      <c r="V72">
        <f>IntermediateStopLocation!B80</f>
        <v>72</v>
      </c>
      <c r="W72" t="str">
        <f>IntermediateStopLocation!C80</f>
        <v>Gamma072</v>
      </c>
      <c r="X72">
        <f>IntermediateStopLocation!E80</f>
        <v>0</v>
      </c>
      <c r="Y72" s="401">
        <f si="10" t="shared"/>
        <v>0</v>
      </c>
      <c r="Z72">
        <f si="11" t="shared"/>
        <v>0</v>
      </c>
    </row>
    <row r="73" spans="22:26" x14ac:dyDescent="0.45">
      <c r="V73">
        <f>IntermediateStopLocation!B81</f>
        <v>73</v>
      </c>
      <c r="W73" t="str">
        <f>IntermediateStopLocation!C81</f>
        <v>Gamma073</v>
      </c>
      <c r="X73">
        <f>IntermediateStopLocation!E81</f>
        <v>-7.3954728104100003</v>
      </c>
      <c r="Y73" s="401">
        <f si="10" t="shared"/>
        <v>-7.3954728104100003</v>
      </c>
      <c r="Z73">
        <f si="11" t="shared"/>
        <v>0</v>
      </c>
    </row>
    <row r="74" spans="22:26" x14ac:dyDescent="0.45">
      <c r="V74">
        <f>IntermediateStopLocation!B82</f>
        <v>74</v>
      </c>
      <c r="W74" t="str">
        <f>IntermediateStopLocation!C82</f>
        <v>Gamma074</v>
      </c>
      <c r="X74">
        <f>IntermediateStopLocation!E82</f>
        <v>-29.792078592399999</v>
      </c>
      <c r="Y74" s="401">
        <f si="10" t="shared"/>
        <v>-29.792078592399999</v>
      </c>
      <c r="Z74">
        <f si="11" t="shared"/>
        <v>0</v>
      </c>
    </row>
    <row r="75" spans="22:26" x14ac:dyDescent="0.45">
      <c r="V75">
        <f>IntermediateStopLocation!B83</f>
        <v>75</v>
      </c>
      <c r="W75" t="str">
        <f>IntermediateStopLocation!C83</f>
        <v>Gamma075</v>
      </c>
      <c r="X75">
        <f>IntermediateStopLocation!E83</f>
        <v>-18.0912924197</v>
      </c>
      <c r="Y75" s="401">
        <f si="10" t="shared"/>
        <v>-18.0912924197</v>
      </c>
      <c r="Z75">
        <f si="11" t="shared"/>
        <v>0</v>
      </c>
    </row>
    <row r="76" spans="22:26" x14ac:dyDescent="0.45">
      <c r="V76">
        <f>IntermediateStopLocation!B84</f>
        <v>76</v>
      </c>
      <c r="W76" t="str">
        <f>IntermediateStopLocation!C84</f>
        <v>Gamma076</v>
      </c>
      <c r="X76">
        <f>IntermediateStopLocation!E84</f>
        <v>-18.527273648400001</v>
      </c>
      <c r="Y76" s="401">
        <f si="10" t="shared"/>
        <v>-18.527273648400001</v>
      </c>
      <c r="Z76">
        <f si="11" t="shared"/>
        <v>0</v>
      </c>
    </row>
    <row r="77" spans="22:26" x14ac:dyDescent="0.45">
      <c r="V77">
        <f>IntermediateStopLocation!B85</f>
        <v>77</v>
      </c>
      <c r="W77" t="str">
        <f>IntermediateStopLocation!C85</f>
        <v>Gamma077</v>
      </c>
      <c r="X77">
        <f>IntermediateStopLocation!E85</f>
        <v>-4.3045385028499998</v>
      </c>
      <c r="Y77" s="401">
        <f si="10" t="shared"/>
        <v>-4.3045385028499998</v>
      </c>
      <c r="Z77">
        <f si="11" t="shared"/>
        <v>0</v>
      </c>
    </row>
    <row r="78" spans="22:26" x14ac:dyDescent="0.45">
      <c r="V78">
        <f>IntermediateStopLocation!B86</f>
        <v>78</v>
      </c>
      <c r="W78" t="str">
        <f>IntermediateStopLocation!C86</f>
        <v>Gamma078</v>
      </c>
      <c r="X78">
        <f>IntermediateStopLocation!E86</f>
        <v>-13.6610172678</v>
      </c>
      <c r="Y78" s="401">
        <f si="10" t="shared"/>
        <v>-13.6610172678</v>
      </c>
      <c r="Z78">
        <f si="11" t="shared"/>
        <v>0</v>
      </c>
    </row>
    <row r="79" spans="22:26" x14ac:dyDescent="0.45">
      <c r="V79">
        <f>IntermediateStopLocation!B87</f>
        <v>79</v>
      </c>
      <c r="W79" t="str">
        <f>IntermediateStopLocation!C87</f>
        <v>Gamma079</v>
      </c>
      <c r="X79">
        <f>IntermediateStopLocation!E87</f>
        <v>-0.274925122292</v>
      </c>
      <c r="Y79" s="401">
        <f si="10" t="shared"/>
        <v>-0.274925122292</v>
      </c>
      <c r="Z79">
        <f si="11" t="shared"/>
        <v>0</v>
      </c>
    </row>
    <row r="80" spans="22:26" x14ac:dyDescent="0.45">
      <c r="V80">
        <f>IntermediateStopLocation!B88</f>
        <v>80</v>
      </c>
      <c r="W80" t="str">
        <f>IntermediateStopLocation!C88</f>
        <v>Gamma080</v>
      </c>
      <c r="X80">
        <f>IntermediateStopLocation!E88</f>
        <v>0</v>
      </c>
      <c r="Y80" s="401">
        <f si="10" t="shared"/>
        <v>0</v>
      </c>
      <c r="Z80">
        <f si="11" t="shared"/>
        <v>0</v>
      </c>
    </row>
    <row r="81" spans="22:26" x14ac:dyDescent="0.45">
      <c r="V81">
        <f>IntermediateStopLocation!B89</f>
        <v>81</v>
      </c>
      <c r="W81" t="str">
        <f>IntermediateStopLocation!C89</f>
        <v>Gamma081</v>
      </c>
      <c r="X81">
        <f>IntermediateStopLocation!E89</f>
        <v>-27.509208554699999</v>
      </c>
      <c r="Y81" s="401">
        <f si="10" t="shared"/>
        <v>-27.509208554699999</v>
      </c>
      <c r="Z81">
        <f si="11" t="shared"/>
        <v>0</v>
      </c>
    </row>
    <row r="82" spans="22:26" x14ac:dyDescent="0.45">
      <c r="V82">
        <f>IntermediateStopLocation!B90</f>
        <v>82</v>
      </c>
      <c r="W82" t="str">
        <f>IntermediateStopLocation!C90</f>
        <v>Gamma082</v>
      </c>
      <c r="X82">
        <f>IntermediateStopLocation!E90</f>
        <v>0</v>
      </c>
      <c r="Y82" s="401">
        <f si="10" t="shared"/>
        <v>0</v>
      </c>
      <c r="Z82">
        <f si="11" t="shared"/>
        <v>0</v>
      </c>
    </row>
    <row r="83" spans="22:26" x14ac:dyDescent="0.45">
      <c r="V83">
        <f>IntermediateStopLocation!B91</f>
        <v>83</v>
      </c>
      <c r="W83" t="str">
        <f>IntermediateStopLocation!C91</f>
        <v>Gamma083</v>
      </c>
      <c r="X83">
        <f>IntermediateStopLocation!E91</f>
        <v>-19.440182544799999</v>
      </c>
      <c r="Y83" s="401">
        <f si="10" t="shared"/>
        <v>-19.440182544799999</v>
      </c>
      <c r="Z83">
        <f si="11" t="shared"/>
        <v>0</v>
      </c>
    </row>
    <row r="84" spans="22:26" x14ac:dyDescent="0.45">
      <c r="V84">
        <f>IntermediateStopLocation!B92</f>
        <v>84</v>
      </c>
      <c r="W84" t="str">
        <f>IntermediateStopLocation!C92</f>
        <v>Gamma084</v>
      </c>
      <c r="X84">
        <f>IntermediateStopLocation!E92</f>
        <v>-19.0702084805</v>
      </c>
      <c r="Y84" s="401">
        <f si="10" t="shared"/>
        <v>-19.0702084805</v>
      </c>
      <c r="Z84">
        <f si="11" t="shared"/>
        <v>0</v>
      </c>
    </row>
    <row r="85" spans="22:26" x14ac:dyDescent="0.45">
      <c r="V85">
        <f>IntermediateStopLocation!B93</f>
        <v>85</v>
      </c>
      <c r="W85" t="str">
        <f>IntermediateStopLocation!C93</f>
        <v>Gamma085</v>
      </c>
      <c r="X85">
        <f>IntermediateStopLocation!E93</f>
        <v>-37.313042860899998</v>
      </c>
      <c r="Y85" s="401">
        <f si="10" t="shared"/>
        <v>-37.313042860899998</v>
      </c>
      <c r="Z85">
        <f si="11" t="shared"/>
        <v>0</v>
      </c>
    </row>
    <row r="86" spans="22:26" x14ac:dyDescent="0.45">
      <c r="V86">
        <f>IntermediateStopLocation!B94</f>
        <v>86</v>
      </c>
      <c r="W86" t="str">
        <f>IntermediateStopLocation!C94</f>
        <v>Gamma086</v>
      </c>
      <c r="X86">
        <f>IntermediateStopLocation!E94</f>
        <v>0</v>
      </c>
      <c r="Y86" s="401">
        <f si="10" t="shared"/>
        <v>0</v>
      </c>
      <c r="Z86">
        <f si="11" t="shared"/>
        <v>0</v>
      </c>
    </row>
    <row r="87" spans="22:26" x14ac:dyDescent="0.45">
      <c r="V87">
        <f>IntermediateStopLocation!B95</f>
        <v>87</v>
      </c>
      <c r="W87" t="str">
        <f>IntermediateStopLocation!C95</f>
        <v>Gamma087</v>
      </c>
      <c r="X87">
        <f>IntermediateStopLocation!E95</f>
        <v>-22.0009051947</v>
      </c>
      <c r="Y87" s="401">
        <f si="10" t="shared"/>
        <v>-22.0009051947</v>
      </c>
      <c r="Z87">
        <f si="11" t="shared"/>
        <v>0</v>
      </c>
    </row>
    <row r="88" spans="22:26" x14ac:dyDescent="0.45">
      <c r="V88">
        <f>IntermediateStopLocation!B96</f>
        <v>88</v>
      </c>
      <c r="W88" t="str">
        <f>IntermediateStopLocation!C96</f>
        <v>Gamma088</v>
      </c>
      <c r="X88">
        <f>IntermediateStopLocation!E96</f>
        <v>-39.124170012100002</v>
      </c>
      <c r="Y88" s="401">
        <f si="10" t="shared"/>
        <v>-39.124170012100002</v>
      </c>
      <c r="Z88">
        <f si="11" t="shared"/>
        <v>0</v>
      </c>
    </row>
    <row r="89" spans="22:26" x14ac:dyDescent="0.45">
      <c r="V89">
        <f>IntermediateStopLocation!B97</f>
        <v>89</v>
      </c>
      <c r="W89" t="str">
        <f>IntermediateStopLocation!C97</f>
        <v>Gamma089</v>
      </c>
      <c r="X89">
        <f>IntermediateStopLocation!E97</f>
        <v>-3.3660984088400001</v>
      </c>
      <c r="Y89" s="401">
        <f si="10" t="shared"/>
        <v>-3.3660984088400001</v>
      </c>
      <c r="Z89">
        <f si="11" t="shared"/>
        <v>0</v>
      </c>
    </row>
    <row r="90" spans="22:26" x14ac:dyDescent="0.45">
      <c r="V90">
        <f>IntermediateStopLocation!B98</f>
        <v>90</v>
      </c>
      <c r="W90" t="str">
        <f>IntermediateStopLocation!C98</f>
        <v>Gamma090</v>
      </c>
      <c r="X90">
        <f>IntermediateStopLocation!E98</f>
        <v>-30</v>
      </c>
      <c r="Y90" s="401">
        <f si="10" t="shared"/>
        <v>-30</v>
      </c>
      <c r="Z90">
        <f si="11" t="shared"/>
        <v>0</v>
      </c>
    </row>
    <row r="91" spans="22:26" x14ac:dyDescent="0.45">
      <c r="V91">
        <f>IntermediateStopLocation!B99</f>
        <v>91</v>
      </c>
      <c r="W91" t="str">
        <f>IntermediateStopLocation!C99</f>
        <v>Gamma091</v>
      </c>
      <c r="X91">
        <f>IntermediateStopLocation!E99</f>
        <v>0</v>
      </c>
      <c r="Y91" s="401">
        <f si="10" t="shared"/>
        <v>0</v>
      </c>
      <c r="Z91">
        <f si="11" t="shared"/>
        <v>0</v>
      </c>
    </row>
    <row r="92" spans="22:26" x14ac:dyDescent="0.45">
      <c r="V92">
        <f>IntermediateStopLocation!B100</f>
        <v>92</v>
      </c>
      <c r="W92" t="str">
        <f>IntermediateStopLocation!C100</f>
        <v>Gamma092</v>
      </c>
      <c r="X92">
        <f>IntermediateStopLocation!E100</f>
        <v>-11.6311755932</v>
      </c>
      <c r="Y92" s="401">
        <f si="10" t="shared"/>
        <v>-11.6311755932</v>
      </c>
      <c r="Z92">
        <f si="11" t="shared"/>
        <v>0</v>
      </c>
    </row>
    <row r="93" spans="22:26" x14ac:dyDescent="0.45">
      <c r="V93">
        <f>IntermediateStopLocation!B101</f>
        <v>93</v>
      </c>
      <c r="W93" t="str">
        <f>IntermediateStopLocation!C101</f>
        <v>Gamma093</v>
      </c>
      <c r="X93">
        <f>IntermediateStopLocation!E101</f>
        <v>-80</v>
      </c>
      <c r="Y93" s="401">
        <f si="10" t="shared"/>
        <v>-80</v>
      </c>
      <c r="Z93">
        <f si="11" t="shared"/>
        <v>0</v>
      </c>
    </row>
    <row r="94" spans="22:26" x14ac:dyDescent="0.45">
      <c r="V94">
        <f>IntermediateStopLocation!B102</f>
        <v>94</v>
      </c>
      <c r="W94" t="str">
        <f>IntermediateStopLocation!C102</f>
        <v>Gamma094</v>
      </c>
      <c r="X94">
        <f>IntermediateStopLocation!E102</f>
        <v>-1.0041864141200001</v>
      </c>
      <c r="Y94" s="401">
        <f si="10" t="shared"/>
        <v>-1.0041864141200001</v>
      </c>
      <c r="Z94">
        <f si="11" t="shared"/>
        <v>0</v>
      </c>
    </row>
  </sheetData>
  <mergeCells count="4">
    <mergeCell ref="J3:K3"/>
    <mergeCell ref="L3:M3"/>
    <mergeCell ref="D3:F3"/>
    <mergeCell ref="G3:I3"/>
  </mergeCells>
  <conditionalFormatting sqref="Z3:Z9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F102"/>
  <sheetViews>
    <sheetView topLeftCell="H1" workbookViewId="0">
      <selection activeCell="AF11" sqref="AF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20" max="20" customWidth="true" width="15.265625" collapsed="true"/>
    <col min="21" max="21" customWidth="true" hidden="true" width="14.265625" collapsed="true"/>
    <col min="23" max="23" customWidth="true" hidden="true" width="12.265625" collapsed="true"/>
    <col min="24" max="24" customWidth="true" hidden="true" width="9.1328125" collapsed="true"/>
    <col min="25" max="25" customWidth="true" hidden="true" width="14.265625" collapsed="true"/>
    <col min="27" max="27" customWidth="true" hidden="true" width="12.265625" collapsed="true"/>
  </cols>
  <sheetData>
    <row r="1" spans="1:29" x14ac:dyDescent="0.45">
      <c r="A1" t="s">
        <v>1</v>
      </c>
    </row>
    <row r="2" spans="1:29" x14ac:dyDescent="0.45">
      <c r="A2" t="s">
        <v>19</v>
      </c>
    </row>
    <row r="3" spans="1:29" x14ac:dyDescent="0.45">
      <c r="A3" t="s">
        <v>20</v>
      </c>
    </row>
    <row r="4" spans="1:29" x14ac:dyDescent="0.45">
      <c r="A4" t="s">
        <v>4</v>
      </c>
    </row>
    <row r="5" spans="1:29" x14ac:dyDescent="0.45">
      <c r="A5" t="s">
        <v>6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  <c r="AB9" s="439" t="s">
        <v>175</v>
      </c>
      <c r="AC9" s="439" t="s">
        <v>177</v>
      </c>
    </row>
    <row r="10" spans="1:29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49</v>
      </c>
      <c r="L10" s="4" t="s">
        <v>13</v>
      </c>
      <c r="S10" t="s">
        <v>41</v>
      </c>
      <c r="T10" t="s">
        <v>26</v>
      </c>
      <c r="U10" s="373">
        <f>B102</f>
        <v>591749.35498064256</v>
      </c>
      <c r="V10" s="6">
        <f>K11</f>
        <v>3.9850024009645324</v>
      </c>
      <c r="W10" s="373">
        <f>U10*V10</f>
        <v>2358122.6003670739</v>
      </c>
      <c r="Y10" s="373">
        <f>F102</f>
        <v>527341.33333280787</v>
      </c>
      <c r="Z10" s="6">
        <f>L11</f>
        <v>4.0159262387764336</v>
      </c>
      <c r="AA10" s="373">
        <f>Y10*Z10</f>
        <v>2117763.8973225728</v>
      </c>
      <c r="AB10" s="6">
        <f>Z10-V10</f>
        <v>3.0923837811901222E-2</v>
      </c>
      <c r="AC10" s="380">
        <f>AB10/V10</f>
        <v>7.7600550013260713E-3</v>
      </c>
    </row>
    <row r="11" spans="1:29" x14ac:dyDescent="0.45">
      <c r="A11">
        <v>0</v>
      </c>
      <c r="B11" s="6" t="n">
        <v>125327.7876016739</v>
      </c>
      <c r="C11" s="9">
        <f>B11/B$102</f>
        <v>0.19098366905526451</v>
      </c>
      <c r="E11" s="10">
        <v>0</v>
      </c>
      <c r="F11" s="100" t="n">
        <v>179963.0</v>
      </c>
      <c r="G11" s="9">
        <f>F11/F$102</f>
        <v>0.26987327625876734</v>
      </c>
      <c r="K11" s="6" t="n">
        <v>7.441556572352201</v>
      </c>
      <c r="L11" s="6" t="n">
        <v>7.948418886271414</v>
      </c>
      <c r="S11" t="s">
        <v>42</v>
      </c>
      <c r="T11" t="s">
        <v>27</v>
      </c>
      <c r="U11" s="373">
        <f>TLFD_Work!B102</f>
        <v>172804.50779241012</v>
      </c>
      <c r="V11" s="6">
        <f>TLFD_Work!K11</f>
        <v>5.6809940070425</v>
      </c>
      <c r="W11" s="373">
        <f ref="W11:W16" si="0" t="shared">U11*V11</f>
        <v>981701.37315861089</v>
      </c>
      <c r="Y11" s="373">
        <f>TLFD_Work!F102</f>
        <v>144853.33333318852</v>
      </c>
      <c r="Z11" s="6">
        <f>TLFD_Work!L11</f>
        <v>6.3148807098781781</v>
      </c>
      <c r="AA11" s="373">
        <f ref="AA11:AA16" si="1" t="shared">Y11*Z11</f>
        <v>914731.52042730583</v>
      </c>
      <c r="AB11" s="6">
        <f ref="AB11:AB17" si="2" t="shared">Z11-V11</f>
        <v>0.63388670283567805</v>
      </c>
      <c r="AC11" s="380">
        <f ref="AC11:AC17" si="3" t="shared">AB11/V11</f>
        <v>0.11158024494478856</v>
      </c>
    </row>
    <row r="12" spans="1:29" x14ac:dyDescent="0.45">
      <c r="A12">
        <v>1</v>
      </c>
      <c r="B12" s="6" t="n">
        <v>291686.12879193213</v>
      </c>
      <c r="C12" s="9">
        <f>B12/B$102</f>
        <v>0.2787214391625028</v>
      </c>
      <c r="E12" s="11">
        <v>1</v>
      </c>
      <c r="F12" s="101" t="n">
        <v>233494.0</v>
      </c>
      <c r="G12" s="9">
        <f>F12/F$102</f>
        <v>0.24964918357749322</v>
      </c>
      <c r="K12" s="6"/>
      <c r="L12" s="370"/>
      <c r="S12" t="s">
        <v>43</v>
      </c>
      <c r="T12" t="s">
        <v>28</v>
      </c>
      <c r="U12" s="373">
        <f>TLFD_School!B102</f>
        <v>118878.0203732316</v>
      </c>
      <c r="V12" s="6">
        <f>TLFD_School!K11</f>
        <v>2.9549239586254297</v>
      </c>
      <c r="W12" s="373">
        <f si="0" t="shared"/>
        <v>351275.51055482402</v>
      </c>
      <c r="Y12" s="373">
        <f>TLFD_School!F102</f>
        <v>113636.66666655309</v>
      </c>
      <c r="Z12" s="6">
        <f>TLFD_School!L11</f>
        <v>3.1529125858067162</v>
      </c>
      <c r="AA12" s="373">
        <f si="1" t="shared"/>
        <v>358286.47654209781</v>
      </c>
      <c r="AB12" s="6">
        <f si="2" t="shared"/>
        <v>0.19798862718128651</v>
      </c>
      <c r="AC12" s="380">
        <f si="3" t="shared"/>
        <v>6.7002951667624905E-2</v>
      </c>
    </row>
    <row r="13" spans="1:29" x14ac:dyDescent="0.45">
      <c r="A13">
        <v>2</v>
      </c>
      <c r="B13" s="6" t="n">
        <v>268708.19741579384</v>
      </c>
      <c r="C13" s="9">
        <f ref="C13:C76" si="4" t="shared">B13/B$102</f>
        <v>0.1694075929265163</v>
      </c>
      <c r="E13" s="12">
        <v>2</v>
      </c>
      <c r="F13" s="102" t="n">
        <v>227215.0</v>
      </c>
      <c r="G13" s="9">
        <f ref="G13:G76" si="5" t="shared">F13/F$102</f>
        <v>0.14456165013931513</v>
      </c>
      <c r="S13" t="s">
        <v>44</v>
      </c>
      <c r="T13" t="s">
        <v>29</v>
      </c>
      <c r="U13" s="373">
        <f>TLFD_Escort!B102</f>
        <v>242240.13003163939</v>
      </c>
      <c r="V13" s="6">
        <f>TLFD_Escort!K11</f>
        <v>2.9098967787913121</v>
      </c>
      <c r="W13" s="373">
        <f si="0" t="shared"/>
        <v>704893.77407305606</v>
      </c>
      <c r="Y13" s="373">
        <f>TLFD_Escort!F102</f>
        <v>184465.99999981574</v>
      </c>
      <c r="Z13" s="6">
        <f>TLFD_Escort!L11</f>
        <v>3.2014603619670212</v>
      </c>
      <c r="AA13" s="373">
        <f si="1" t="shared"/>
        <v>590560.58713001863</v>
      </c>
      <c r="AB13" s="6">
        <f si="2" t="shared"/>
        <v>0.29156358317570907</v>
      </c>
      <c r="AC13" s="380">
        <f si="3" t="shared"/>
        <v>0.10019722531079478</v>
      </c>
    </row>
    <row r="14" spans="1:29" x14ac:dyDescent="0.45">
      <c r="A14">
        <v>3</v>
      </c>
      <c r="B14" s="6" t="n">
        <v>224118.14409080354</v>
      </c>
      <c r="C14" s="9">
        <f si="4" t="shared"/>
        <v>0.10212829856048027</v>
      </c>
      <c r="E14" s="13">
        <v>3</v>
      </c>
      <c r="F14" s="103" t="n">
        <v>203048.0</v>
      </c>
      <c r="G14" s="9">
        <f si="5" t="shared"/>
        <v>7.7187830273118291E-2</v>
      </c>
      <c r="S14" t="s">
        <v>45</v>
      </c>
      <c r="T14" t="s">
        <v>30</v>
      </c>
      <c r="U14" s="373">
        <f>TLFD_PerBus!B102</f>
        <v>145417.53954862588</v>
      </c>
      <c r="V14" s="6">
        <f>TLFD_PerBus!K11</f>
        <v>3.6249963121397721</v>
      </c>
      <c r="W14" s="373">
        <f si="0" t="shared"/>
        <v>527138.04458420828</v>
      </c>
      <c r="Y14" s="373">
        <f>TLFD_PerBus!F102</f>
        <v>156428.333333177</v>
      </c>
      <c r="Z14" s="6">
        <f>TLFD_PerBus!L11</f>
        <v>3.9221122258515959</v>
      </c>
      <c r="AA14" s="373">
        <f si="1" t="shared"/>
        <v>613529.47863564221</v>
      </c>
      <c r="AB14" s="6">
        <f si="2" t="shared"/>
        <v>0.29711591371182378</v>
      </c>
      <c r="AC14" s="380">
        <f si="3" t="shared"/>
        <v>8.1963094063519593E-2</v>
      </c>
    </row>
    <row r="15" spans="1:29" x14ac:dyDescent="0.45">
      <c r="A15">
        <v>4</v>
      </c>
      <c r="B15" s="6" t="n">
        <v>167355.49487955443</v>
      </c>
      <c r="C15" s="9">
        <f si="4" t="shared"/>
        <v>3.5159827917039574E-2</v>
      </c>
      <c r="E15" s="14">
        <v>4</v>
      </c>
      <c r="F15" s="104" t="n">
        <v>163384.0</v>
      </c>
      <c r="G15" s="9">
        <f si="5" t="shared"/>
        <v>4.3801484680383959E-2</v>
      </c>
      <c r="S15" t="s">
        <v>46</v>
      </c>
      <c r="T15" t="s">
        <v>31</v>
      </c>
      <c r="U15" s="373">
        <f>TLFD_Shop!B102</f>
        <v>101938.00338150136</v>
      </c>
      <c r="V15" s="6">
        <f>TLFD_Shop!K11</f>
        <v>2.6498382114374377</v>
      </c>
      <c r="W15" s="373">
        <f si="0" t="shared"/>
        <v>270119.21655794105</v>
      </c>
      <c r="Y15" s="373">
        <f>TLFD_Shop!F102</f>
        <v>126916.99999987311</v>
      </c>
      <c r="Z15" s="6">
        <f>TLFD_Shop!L11</f>
        <v>2.9039361666271555</v>
      </c>
      <c r="AA15" s="373">
        <f si="1" t="shared"/>
        <v>368558.86645945022</v>
      </c>
      <c r="AB15" s="6">
        <f si="2" t="shared"/>
        <v>0.25409795518971778</v>
      </c>
      <c r="AC15" s="380">
        <f si="3" t="shared"/>
        <v>9.5891875244669814E-2</v>
      </c>
    </row>
    <row r="16" spans="1:29" x14ac:dyDescent="0.45">
      <c r="A16">
        <v>5</v>
      </c>
      <c r="B16" s="6" t="n">
        <v>120451.28753214423</v>
      </c>
      <c r="C16" s="9">
        <f si="4" t="shared"/>
        <v>3.6024445112473394E-2</v>
      </c>
      <c r="E16" s="15">
        <v>5</v>
      </c>
      <c r="F16" s="105" t="n">
        <v>131790.0</v>
      </c>
      <c r="G16" s="9">
        <f si="5" t="shared"/>
        <v>2.876631454390062E-2</v>
      </c>
      <c r="S16" t="s">
        <v>34</v>
      </c>
      <c r="T16" t="s">
        <v>48</v>
      </c>
      <c r="U16" s="373">
        <f>TLFD_Meal!B102</f>
        <v>50361.78635529241</v>
      </c>
      <c r="V16" s="6">
        <f>TLFD_Meal!K11</f>
        <v>2.6672553963716883</v>
      </c>
      <c r="W16" s="373">
        <f si="0" t="shared"/>
        <v>134327.74642707175</v>
      </c>
      <c r="Y16" s="373">
        <f>TLFD_Meal!F102</f>
        <v>61223.666666605444</v>
      </c>
      <c r="Z16" s="6">
        <f>TLFD_Meal!L11</f>
        <v>3.5248702354064068</v>
      </c>
      <c r="AA16" s="373">
        <f si="1" t="shared"/>
        <v>215805.48033556092</v>
      </c>
      <c r="AB16" s="6">
        <f si="2" t="shared"/>
        <v>0.85761483903471847</v>
      </c>
      <c r="AC16" s="380">
        <f si="3" t="shared"/>
        <v>0.32153457827898524</v>
      </c>
    </row>
    <row r="17" spans="1:31" x14ac:dyDescent="0.45">
      <c r="A17">
        <v>6</v>
      </c>
      <c r="B17" s="6" t="n">
        <v>132432.0441626319</v>
      </c>
      <c r="C17" s="9">
        <f si="4" t="shared"/>
        <v>2.0667361136590581E-2</v>
      </c>
      <c r="E17" s="16">
        <v>6</v>
      </c>
      <c r="F17" s="106" t="n">
        <v>104909.0</v>
      </c>
      <c r="G17" s="9">
        <f si="5" t="shared"/>
        <v>2.4450956496235115E-2</v>
      </c>
      <c r="S17" t="s">
        <v>47</v>
      </c>
      <c r="T17" t="s">
        <v>32</v>
      </c>
      <c r="U17" s="373">
        <f>TLFD_SocRec!B102</f>
        <v>68623.514607982739</v>
      </c>
      <c r="V17" s="6">
        <f>TLFD_SocRec!K11</f>
        <v>3.5146820793906657</v>
      </c>
      <c r="W17" s="373">
        <f>U17*V17</f>
        <v>241189.83701748049</v>
      </c>
      <c r="Y17" s="373">
        <f>TLFD_SocRec!F102</f>
        <v>118598.33333321474</v>
      </c>
      <c r="Z17" s="6">
        <f>TLFD_SocRec!L11</f>
        <v>3.9152288167871685</v>
      </c>
      <c r="AA17" s="373">
        <f>Y17*Z17</f>
        <v>464339.61228913255</v>
      </c>
      <c r="AB17" s="6">
        <f si="2" t="shared"/>
        <v>0.40054673739650282</v>
      </c>
      <c r="AC17" s="380">
        <f si="3" t="shared"/>
        <v>0.11396386027209178</v>
      </c>
    </row>
    <row r="18" spans="1:31" x14ac:dyDescent="0.45">
      <c r="A18">
        <v>7</v>
      </c>
      <c r="B18" s="6" t="n">
        <v>86306.56091071691</v>
      </c>
      <c r="C18" s="9">
        <f si="4" t="shared"/>
        <v>3.1421260934903397E-2</v>
      </c>
      <c r="E18" s="17">
        <v>7</v>
      </c>
      <c r="F18" s="107" t="n">
        <v>83125.0</v>
      </c>
      <c r="G18" s="9">
        <f si="5" t="shared"/>
        <v>2.0804362007150256E-2</v>
      </c>
      <c r="T18" s="375" t="s">
        <v>35</v>
      </c>
      <c r="U18" s="376">
        <f>SUM(U10:U15)+U17</f>
        <v>1441651.0707160337</v>
      </c>
      <c r="V18" s="377">
        <f>W18/U18</f>
        <v>3.7695947838571215</v>
      </c>
      <c r="W18" s="376">
        <f>SUM(W10:W15)+W17</f>
        <v>5434440.3563131951</v>
      </c>
      <c r="X18" s="375"/>
      <c r="Y18" s="376">
        <f>SUM(Y10:Y15)+Y17</f>
        <v>1372240.99999863</v>
      </c>
      <c r="Z18" s="377">
        <f>AA18/Y18</f>
        <v>3.9554061122001438</v>
      </c>
      <c r="AA18" s="376">
        <f>SUM(AA10:AA15)+AA17</f>
        <v>5427770.438806219</v>
      </c>
      <c r="AB18" s="6"/>
      <c r="AC18" s="380"/>
      <c r="AE18" t="s">
        <v>38</v>
      </c>
    </row>
    <row r="19" spans="1:31" x14ac:dyDescent="0.45">
      <c r="A19">
        <v>8</v>
      </c>
      <c r="B19" s="6" t="n">
        <v>74864.53050982341</v>
      </c>
      <c r="C19" s="9">
        <f si="4" t="shared"/>
        <v>1.4082743711449729E-2</v>
      </c>
      <c r="E19" s="18">
        <v>8</v>
      </c>
      <c r="F19" s="108" t="n">
        <v>69582.0</v>
      </c>
      <c r="G19" s="9">
        <f si="5" t="shared"/>
        <v>1.7394173539718675E-2</v>
      </c>
      <c r="S19" s="375" t="s">
        <v>36</v>
      </c>
      <c r="U19" s="378">
        <f>U18+U16</f>
        <v>1492012.8570713261</v>
      </c>
      <c r="V19" s="377">
        <f>W19/U19</f>
        <v>3.7323861361833095</v>
      </c>
      <c r="W19" s="379">
        <f>W18+W16</f>
        <v>5568768.1027402673</v>
      </c>
      <c r="X19" s="375"/>
      <c r="Y19" s="378">
        <f>Y18+Y16</f>
        <v>1433464.6666652355</v>
      </c>
      <c r="Z19" s="377">
        <f>AA19/Y19</f>
        <v>3.9370178075409465</v>
      </c>
      <c r="AA19" s="379">
        <f>AA18+AA16</f>
        <v>5643575.9191417797</v>
      </c>
      <c r="AB19" s="6">
        <f ref="AB19" si="6" t="shared">Z19-V19</f>
        <v>0.20463167135763705</v>
      </c>
      <c r="AC19" s="380">
        <f ref="AC19" si="7" t="shared">AB19/V19</f>
        <v>5.4825964916612506E-2</v>
      </c>
      <c r="AE19" t="s">
        <v>37</v>
      </c>
    </row>
    <row r="20" spans="1:31" x14ac:dyDescent="0.45">
      <c r="A20">
        <v>9</v>
      </c>
      <c r="B20" s="6" t="n">
        <v>57655.78265282884</v>
      </c>
      <c r="C20" s="9">
        <f si="4" t="shared"/>
        <v>5.0273466968144189E-3</v>
      </c>
      <c r="E20" s="19">
        <v>9</v>
      </c>
      <c r="F20" s="109" t="n">
        <v>61023.0</v>
      </c>
      <c r="G20" s="9">
        <f si="5" t="shared"/>
        <v>1.5994068358002097E-2</v>
      </c>
    </row>
    <row r="21" spans="1:31" x14ac:dyDescent="0.45">
      <c r="A21">
        <v>10</v>
      </c>
      <c r="B21" s="6" t="n">
        <v>55453.65596122498</v>
      </c>
      <c r="C21" s="9">
        <f si="4" t="shared"/>
        <v>1.719959436225979E-2</v>
      </c>
      <c r="E21" s="20">
        <v>10</v>
      </c>
      <c r="F21" s="110" t="n">
        <v>54973.0</v>
      </c>
      <c r="G21" s="9">
        <f si="5" t="shared"/>
        <v>1.3944794769232275E-2</v>
      </c>
    </row>
    <row r="22" spans="1:31" x14ac:dyDescent="0.45">
      <c r="A22">
        <v>11</v>
      </c>
      <c r="B22" s="6" t="n">
        <v>54695.36819225296</v>
      </c>
      <c r="C22" s="9">
        <f si="4" t="shared"/>
        <v>3.703994949986935E-2</v>
      </c>
      <c r="E22" s="21">
        <v>11</v>
      </c>
      <c r="F22" s="111" t="n">
        <v>50574.0</v>
      </c>
      <c r="G22" s="9">
        <f si="5" t="shared"/>
        <v>1.165089783720091E-2</v>
      </c>
      <c r="U22" s="381"/>
      <c r="V22" s="377"/>
      <c r="W22" s="381"/>
      <c r="Y22" s="381"/>
      <c r="Z22" s="377"/>
      <c r="AA22" s="381"/>
      <c r="AB22" s="6"/>
      <c r="AC22" s="380"/>
    </row>
    <row r="23" spans="1:31" x14ac:dyDescent="0.45">
      <c r="A23">
        <v>12</v>
      </c>
      <c r="B23" s="6" t="n">
        <v>46480.372838867064</v>
      </c>
      <c r="C23" s="9">
        <f si="4" t="shared"/>
        <v>7.4008410021164156E-3</v>
      </c>
      <c r="E23" s="22">
        <v>12</v>
      </c>
      <c r="F23" s="112" t="n">
        <v>47118.0</v>
      </c>
      <c r="G23" s="9">
        <f si="5" t="shared"/>
        <v>9.6079452650528353E-3</v>
      </c>
    </row>
    <row r="24" spans="1:31" x14ac:dyDescent="0.45">
      <c r="A24">
        <v>13</v>
      </c>
      <c r="B24" s="6" t="n">
        <v>37511.297042106664</v>
      </c>
      <c r="C24" s="9">
        <f si="4" t="shared"/>
        <v>6.9387400559898669E-3</v>
      </c>
      <c r="E24" s="23">
        <v>13</v>
      </c>
      <c r="F24" s="113" t="n">
        <v>39930.0</v>
      </c>
      <c r="G24" s="9">
        <f si="5" t="shared"/>
        <v>8.0371726345491307E-3</v>
      </c>
    </row>
    <row r="25" spans="1:31" x14ac:dyDescent="0.45">
      <c r="A25">
        <v>14</v>
      </c>
      <c r="B25" s="6" t="n">
        <v>34919.27994668102</v>
      </c>
      <c r="C25" s="9">
        <f si="4" t="shared"/>
        <v>4.5159113056898563E-3</v>
      </c>
      <c r="E25" s="24">
        <v>14</v>
      </c>
      <c r="F25" s="114" t="n">
        <v>36161.0</v>
      </c>
      <c r="G25" s="9">
        <f si="5" t="shared"/>
        <v>7.3033026047645026E-3</v>
      </c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1" x14ac:dyDescent="0.45">
      <c r="A26">
        <v>15</v>
      </c>
      <c r="B26" s="6" t="n">
        <v>34702.304129663506</v>
      </c>
      <c r="C26" s="9">
        <f si="4" t="shared"/>
        <v>2.1340686156043347E-3</v>
      </c>
      <c r="E26" s="25">
        <v>15</v>
      </c>
      <c r="F26" s="115" t="n">
        <v>32202.0</v>
      </c>
      <c r="G26" s="9">
        <f si="5" t="shared"/>
        <v>6.7887718517544368E-3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1" x14ac:dyDescent="0.45">
      <c r="A27">
        <v>16</v>
      </c>
      <c r="B27" s="6" t="n">
        <v>21920.64755045594</v>
      </c>
      <c r="C27" s="9">
        <f si="4" t="shared"/>
        <v>4.1193675357308673E-3</v>
      </c>
      <c r="E27" s="26">
        <v>16</v>
      </c>
      <c r="F27" s="116" t="n">
        <v>29003.0</v>
      </c>
      <c r="G27" s="9">
        <f si="5" t="shared"/>
        <v>5.7211521443416577E-3</v>
      </c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1" x14ac:dyDescent="0.45">
      <c r="A28">
        <v>17</v>
      </c>
      <c r="B28" s="6" t="n">
        <v>18755.28904124677</v>
      </c>
      <c r="C28" s="9">
        <f si="4" t="shared"/>
        <v>6.8082558499558193E-3</v>
      </c>
      <c r="E28" s="27">
        <v>17</v>
      </c>
      <c r="F28" s="117" t="n">
        <v>26032.0</v>
      </c>
      <c r="G28" s="9">
        <f si="5" t="shared"/>
        <v>4.8431629355812382E-3</v>
      </c>
      <c r="S28" s="5"/>
      <c r="T28" s="5"/>
      <c r="U28" s="382"/>
      <c r="V28" s="383"/>
      <c r="W28" s="382"/>
      <c r="X28" s="5"/>
      <c r="Y28" s="382"/>
      <c r="Z28" s="383"/>
      <c r="AA28" s="382"/>
      <c r="AB28" s="383"/>
      <c r="AC28" s="384"/>
      <c r="AD28" s="5"/>
    </row>
    <row r="29" spans="1:31" x14ac:dyDescent="0.45">
      <c r="A29">
        <v>18</v>
      </c>
      <c r="B29" s="6" t="n">
        <v>21392.35062587504</v>
      </c>
      <c r="C29" s="9">
        <f si="4" t="shared"/>
        <v>4.2244625208791384E-3</v>
      </c>
      <c r="E29" s="28">
        <v>18</v>
      </c>
      <c r="F29" s="118" t="n">
        <v>23022.0</v>
      </c>
      <c r="G29" s="9">
        <f si="5" t="shared"/>
        <v>4.4575809216547751E-3</v>
      </c>
      <c r="S29" s="5"/>
      <c r="T29" s="5"/>
      <c r="U29" s="382"/>
      <c r="V29" s="383"/>
      <c r="W29" s="382"/>
      <c r="X29" s="5"/>
      <c r="Y29" s="382"/>
      <c r="Z29" s="383"/>
      <c r="AA29" s="382"/>
      <c r="AB29" s="383"/>
      <c r="AC29" s="384"/>
      <c r="AD29" s="5"/>
    </row>
    <row r="30" spans="1:31" x14ac:dyDescent="0.45">
      <c r="A30">
        <v>19</v>
      </c>
      <c r="B30" s="6" t="n">
        <v>17712.681153179154</v>
      </c>
      <c r="C30" s="9">
        <f si="4" t="shared"/>
        <v>2.5601669216279675E-3</v>
      </c>
      <c r="E30" s="29">
        <v>19</v>
      </c>
      <c r="F30" s="119" t="n">
        <v>20559.0</v>
      </c>
      <c r="G30" s="9">
        <f si="5" t="shared"/>
        <v>4.1567005304597006E-3</v>
      </c>
      <c r="S30" s="5"/>
      <c r="T30" s="5"/>
      <c r="U30" s="382"/>
      <c r="V30" s="383"/>
      <c r="W30" s="382"/>
      <c r="X30" s="5"/>
      <c r="Y30" s="382"/>
      <c r="Z30" s="383"/>
      <c r="AA30" s="382"/>
      <c r="AB30" s="383"/>
      <c r="AC30" s="384"/>
      <c r="AD30" s="5"/>
    </row>
    <row r="31" spans="1:31" x14ac:dyDescent="0.45">
      <c r="A31">
        <v>20</v>
      </c>
      <c r="B31" s="6" t="n">
        <v>13000.891644888967</v>
      </c>
      <c r="C31" s="9">
        <f si="4" t="shared"/>
        <v>5.1774041447810336E-3</v>
      </c>
      <c r="E31" s="30">
        <v>20</v>
      </c>
      <c r="F31" s="120" t="n">
        <v>18882.0</v>
      </c>
      <c r="G31" s="9">
        <f si="5" t="shared"/>
        <v>4.0144776564704316E-3</v>
      </c>
      <c r="S31" s="5"/>
      <c r="T31" s="5"/>
      <c r="U31" s="382"/>
      <c r="V31" s="383"/>
      <c r="W31" s="382"/>
      <c r="X31" s="5"/>
      <c r="Y31" s="382"/>
      <c r="Z31" s="383"/>
      <c r="AA31" s="382"/>
      <c r="AB31" s="383"/>
      <c r="AC31" s="384"/>
      <c r="AD31" s="5"/>
    </row>
    <row r="32" spans="1:31" x14ac:dyDescent="0.45">
      <c r="A32">
        <v>21</v>
      </c>
      <c r="B32" s="6" t="n">
        <v>17335.357965367315</v>
      </c>
      <c r="C32" s="9">
        <f si="4" t="shared"/>
        <v>1.6117800964760411E-3</v>
      </c>
      <c r="E32" s="31">
        <v>21</v>
      </c>
      <c r="F32" s="121" t="n">
        <v>17106.0</v>
      </c>
      <c r="G32" s="9">
        <f si="5" t="shared"/>
        <v>3.7211824852214498E-3</v>
      </c>
      <c r="S32" s="5"/>
      <c r="T32" s="5"/>
      <c r="U32" s="382"/>
      <c r="V32" s="383"/>
      <c r="W32" s="382"/>
      <c r="X32" s="5"/>
      <c r="Y32" s="382"/>
      <c r="Z32" s="383"/>
      <c r="AA32" s="382"/>
      <c r="AB32" s="383"/>
      <c r="AC32" s="384"/>
      <c r="AD32" s="5"/>
    </row>
    <row r="33" spans="1:30" x14ac:dyDescent="0.45">
      <c r="A33">
        <v>22</v>
      </c>
      <c r="B33" s="6" t="n">
        <v>12006.612336932434</v>
      </c>
      <c r="C33" s="9">
        <f si="4" t="shared"/>
        <v>2.0565199227969063E-3</v>
      </c>
      <c r="E33" s="32">
        <v>22</v>
      </c>
      <c r="F33" s="122" t="n">
        <v>15051.0</v>
      </c>
      <c r="G33" s="9">
        <f si="5" t="shared"/>
        <v>2.8476179880962513E-3</v>
      </c>
      <c r="S33" s="5"/>
      <c r="T33" s="5"/>
      <c r="U33" s="382"/>
      <c r="V33" s="383"/>
      <c r="W33" s="382"/>
      <c r="X33" s="5"/>
      <c r="Y33" s="382"/>
      <c r="Z33" s="383"/>
      <c r="AA33" s="382"/>
      <c r="AB33" s="383"/>
      <c r="AC33" s="384"/>
      <c r="AD33" s="5"/>
    </row>
    <row r="34" spans="1:30" x14ac:dyDescent="0.45">
      <c r="A34">
        <v>23</v>
      </c>
      <c r="B34" s="6" t="n">
        <v>12592.523107686751</v>
      </c>
      <c r="C34" s="9">
        <f si="4" t="shared"/>
        <v>2.1570479851687695E-3</v>
      </c>
      <c r="E34" s="33">
        <v>23</v>
      </c>
      <c r="F34" s="123" t="n">
        <v>14111.0</v>
      </c>
      <c r="G34" s="9">
        <f si="5" t="shared"/>
        <v>2.3659565215192607E-3</v>
      </c>
      <c r="S34" s="5"/>
      <c r="T34" s="5"/>
      <c r="U34" s="382"/>
      <c r="V34" s="383"/>
      <c r="W34" s="382"/>
      <c r="X34" s="5"/>
      <c r="Y34" s="382"/>
      <c r="Z34" s="383"/>
      <c r="AA34" s="382"/>
      <c r="AB34" s="383"/>
      <c r="AC34" s="384"/>
      <c r="AD34" s="5"/>
    </row>
    <row r="35" spans="1:30" x14ac:dyDescent="0.45">
      <c r="A35">
        <v>24</v>
      </c>
      <c r="B35" s="6" t="n">
        <v>9288.27609734262</v>
      </c>
      <c r="C35" s="9">
        <f si="4" t="shared"/>
        <v>0</v>
      </c>
      <c r="E35" s="34">
        <v>24</v>
      </c>
      <c r="F35" s="124" t="n">
        <v>13066.0</v>
      </c>
      <c r="G35" s="9">
        <f si="5" t="shared"/>
        <v>2.2458572057061001E-3</v>
      </c>
      <c r="S35" s="5"/>
      <c r="T35" s="5"/>
      <c r="U35" s="382"/>
      <c r="V35" s="383"/>
      <c r="W35" s="382"/>
      <c r="X35" s="5"/>
      <c r="Y35" s="382"/>
      <c r="Z35" s="383"/>
      <c r="AA35" s="382"/>
      <c r="AB35" s="383"/>
      <c r="AC35" s="384"/>
      <c r="AD35" s="5"/>
    </row>
    <row r="36" spans="1:30" x14ac:dyDescent="0.45">
      <c r="A36">
        <v>25</v>
      </c>
      <c r="B36" s="6" t="n">
        <v>8706.447813282513</v>
      </c>
      <c r="C36" s="9">
        <f si="4" t="shared"/>
        <v>5.3080962454564217E-3</v>
      </c>
      <c r="E36" s="35">
        <v>25</v>
      </c>
      <c r="F36" s="125" t="n">
        <v>11770.0</v>
      </c>
      <c r="G36" s="9">
        <f si="5" t="shared"/>
        <v>1.8741814283474774E-3</v>
      </c>
      <c r="S36" s="5"/>
      <c r="T36" s="385"/>
      <c r="U36" s="386"/>
      <c r="V36" s="387"/>
      <c r="W36" s="386"/>
      <c r="X36" s="385"/>
      <c r="Y36" s="386"/>
      <c r="Z36" s="387"/>
      <c r="AA36" s="386"/>
      <c r="AB36" s="383"/>
      <c r="AC36" s="384"/>
      <c r="AD36" s="5"/>
    </row>
    <row r="37" spans="1:30" x14ac:dyDescent="0.45">
      <c r="A37">
        <v>26</v>
      </c>
      <c r="B37" s="6" t="n">
        <v>7772.767602650516</v>
      </c>
      <c r="C37" s="9">
        <f si="4" t="shared"/>
        <v>1.0120892290853109E-3</v>
      </c>
      <c r="E37" s="36">
        <v>26</v>
      </c>
      <c r="F37" s="126" t="n">
        <v>11119.0</v>
      </c>
      <c r="G37" s="9">
        <f si="5" t="shared"/>
        <v>1.5126192775836472E-3</v>
      </c>
      <c r="S37" s="385"/>
      <c r="T37" s="5"/>
      <c r="U37" s="388"/>
      <c r="V37" s="387"/>
      <c r="W37" s="389"/>
      <c r="X37" s="385"/>
      <c r="Y37" s="388"/>
      <c r="Z37" s="387"/>
      <c r="AA37" s="389"/>
      <c r="AB37" s="383"/>
      <c r="AC37" s="384"/>
      <c r="AD37" s="5"/>
    </row>
    <row r="38" spans="1:30" x14ac:dyDescent="0.45">
      <c r="A38">
        <v>27</v>
      </c>
      <c r="B38" s="6" t="n">
        <v>8467.20974489133</v>
      </c>
      <c r="C38" s="9">
        <f si="4" t="shared"/>
        <v>8.8626236670946224E-4</v>
      </c>
      <c r="E38" s="37">
        <v>27</v>
      </c>
      <c r="F38" s="127" t="n">
        <v>10236.0</v>
      </c>
      <c r="G38" s="9">
        <f si="5" t="shared"/>
        <v>1.5227329041784395E-3</v>
      </c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45">
      <c r="A39">
        <v>28</v>
      </c>
      <c r="B39" s="6" t="n">
        <v>6355.583842240009</v>
      </c>
      <c r="C39" s="9">
        <f si="4" t="shared"/>
        <v>0</v>
      </c>
      <c r="E39" s="38">
        <v>28</v>
      </c>
      <c r="F39" s="128" t="n">
        <v>9393.0</v>
      </c>
      <c r="G39" s="9">
        <f si="5" t="shared"/>
        <v>1.2066820730911752E-3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</row>
    <row r="40" spans="1:30" x14ac:dyDescent="0.45">
      <c r="A40">
        <v>29</v>
      </c>
      <c r="B40" s="6" t="n">
        <v>7202.635092471977</v>
      </c>
      <c r="C40" s="9">
        <f si="4" t="shared"/>
        <v>2.0067612888491813E-3</v>
      </c>
      <c r="E40" s="39">
        <v>29</v>
      </c>
      <c r="F40" s="129" t="n">
        <v>8383.0</v>
      </c>
      <c r="G40" s="9">
        <f si="5" t="shared"/>
        <v>1.0707802157236515E-3</v>
      </c>
    </row>
    <row r="41" spans="1:30" x14ac:dyDescent="0.45">
      <c r="A41">
        <v>30</v>
      </c>
      <c r="B41" s="6" t="n">
        <v>5230.6584566057145</v>
      </c>
      <c r="C41" s="9">
        <f si="4" t="shared"/>
        <v>7.1785553507649211E-4</v>
      </c>
      <c r="E41" s="40">
        <v>30</v>
      </c>
      <c r="F41" s="130" t="n">
        <v>8259.0</v>
      </c>
      <c r="G41" s="9">
        <f si="5" t="shared"/>
        <v>9.6711554312702887E-4</v>
      </c>
    </row>
    <row r="42" spans="1:30" x14ac:dyDescent="0.45">
      <c r="A42">
        <v>31</v>
      </c>
      <c r="B42" s="6" t="n">
        <v>9337.347029902698</v>
      </c>
      <c r="C42" s="9">
        <f si="4" t="shared"/>
        <v>5.2916165233487513E-4</v>
      </c>
      <c r="E42" s="41">
        <v>31</v>
      </c>
      <c r="F42" s="131" t="n">
        <v>7005.0</v>
      </c>
      <c r="G42" s="9">
        <f si="5" t="shared"/>
        <v>9.7343655974877418E-4</v>
      </c>
    </row>
    <row r="43" spans="1:30" x14ac:dyDescent="0.45">
      <c r="A43">
        <v>32</v>
      </c>
      <c r="B43" s="6" t="n">
        <v>5652.986021886421</v>
      </c>
      <c r="C43" s="9">
        <f si="4" t="shared"/>
        <v>0</v>
      </c>
      <c r="E43" s="42">
        <v>32</v>
      </c>
      <c r="F43" s="132" t="n">
        <v>5958.0</v>
      </c>
      <c r="G43" s="9">
        <f si="5" t="shared"/>
        <v>1.0145231677901184E-3</v>
      </c>
    </row>
    <row r="44" spans="1:30" x14ac:dyDescent="0.45">
      <c r="A44">
        <v>33</v>
      </c>
      <c r="B44" s="6" t="n">
        <v>3061.435059220789</v>
      </c>
      <c r="C44" s="9">
        <f si="4" t="shared"/>
        <v>7.0242589946990845E-5</v>
      </c>
      <c r="E44" s="43">
        <v>33</v>
      </c>
      <c r="F44" s="133" t="n">
        <v>5153.0</v>
      </c>
      <c r="G44" s="9">
        <f si="5" t="shared"/>
        <v>7.4524785970376932E-4</v>
      </c>
    </row>
    <row r="45" spans="1:30" x14ac:dyDescent="0.45">
      <c r="A45">
        <v>34</v>
      </c>
      <c r="B45" s="6" t="n">
        <v>3693.8918915669</v>
      </c>
      <c r="C45" s="9">
        <f si="4" t="shared"/>
        <v>0</v>
      </c>
      <c r="E45" s="44">
        <v>34</v>
      </c>
      <c r="F45" s="134" t="n">
        <v>4483.0</v>
      </c>
      <c r="G45" s="9">
        <f si="5" t="shared"/>
        <v>6.6686725359412782E-4</v>
      </c>
    </row>
    <row r="46" spans="1:30" x14ac:dyDescent="0.45">
      <c r="A46">
        <v>35</v>
      </c>
      <c r="B46" s="6" t="n">
        <v>2819.8864427694352</v>
      </c>
      <c r="C46" s="9">
        <f si="4" t="shared"/>
        <v>0</v>
      </c>
      <c r="E46" s="45">
        <v>35</v>
      </c>
      <c r="F46" s="135" t="n">
        <v>3745.0</v>
      </c>
      <c r="G46" s="9">
        <f si="5" t="shared"/>
        <v>4.9872821145570314E-4</v>
      </c>
    </row>
    <row r="47" spans="1:30" x14ac:dyDescent="0.45">
      <c r="A47">
        <v>36</v>
      </c>
      <c r="B47" s="6" t="n">
        <v>5634.483003595826</v>
      </c>
      <c r="C47" s="9">
        <f si="4" t="shared"/>
        <v>0</v>
      </c>
      <c r="E47" s="46">
        <v>36</v>
      </c>
      <c r="F47" s="136" t="n">
        <v>3113.0</v>
      </c>
      <c r="G47" s="9">
        <f si="5" t="shared"/>
        <v>5.221159729561607E-4</v>
      </c>
    </row>
    <row r="48" spans="1:30" x14ac:dyDescent="0.45">
      <c r="A48">
        <v>37</v>
      </c>
      <c r="B48" s="6" t="n">
        <v>1595.0053264415826</v>
      </c>
      <c r="C48" s="9">
        <f si="4" t="shared"/>
        <v>1.886925891129676E-4</v>
      </c>
      <c r="E48" s="47">
        <v>37</v>
      </c>
      <c r="F48" s="137" t="n">
        <v>2730.0</v>
      </c>
      <c r="G48" s="9">
        <f si="5" t="shared"/>
        <v>4.1971550368388705E-4</v>
      </c>
    </row>
    <row r="49" spans="1:7" x14ac:dyDescent="0.45">
      <c r="A49">
        <v>38</v>
      </c>
      <c r="B49" s="6" t="n">
        <v>863.9822396317794</v>
      </c>
      <c r="C49" s="9">
        <f si="4" t="shared"/>
        <v>0</v>
      </c>
      <c r="E49" s="48">
        <v>38</v>
      </c>
      <c r="F49" s="138" t="n">
        <v>2353.0</v>
      </c>
      <c r="G49" s="9">
        <f si="5" t="shared"/>
        <v>3.6409055741252848E-4</v>
      </c>
    </row>
    <row r="50" spans="1:7" x14ac:dyDescent="0.45">
      <c r="A50">
        <v>39</v>
      </c>
      <c r="B50" s="6" t="n">
        <v>1811.9796403173202</v>
      </c>
      <c r="C50" s="9">
        <f si="4" t="shared"/>
        <v>0</v>
      </c>
      <c r="E50" s="49">
        <v>39</v>
      </c>
      <c r="F50" s="139" t="n">
        <v>2091.0</v>
      </c>
      <c r="G50" s="9">
        <f si="5" t="shared"/>
        <v>3.242681526955332E-4</v>
      </c>
    </row>
    <row r="51" spans="1:7" x14ac:dyDescent="0.45">
      <c r="A51">
        <v>40</v>
      </c>
      <c r="B51" s="6" t="n">
        <v>2320.286949857306</v>
      </c>
      <c r="C51" s="9">
        <f si="4" t="shared"/>
        <v>8.4802711086243707E-4</v>
      </c>
      <c r="E51" s="50">
        <v>40</v>
      </c>
      <c r="F51" s="140" t="n">
        <v>1754.0</v>
      </c>
      <c r="G51" s="9">
        <f si="5" t="shared"/>
        <v>2.6864320642417468E-4</v>
      </c>
    </row>
    <row r="52" spans="1:7" x14ac:dyDescent="0.45">
      <c r="A52">
        <v>41</v>
      </c>
      <c r="B52" s="6" t="n">
        <v>1734.4952230170575</v>
      </c>
      <c r="C52" s="9">
        <f si="4" t="shared"/>
        <v>0</v>
      </c>
      <c r="E52" s="51">
        <v>41</v>
      </c>
      <c r="F52" s="141" t="n">
        <v>1543.0</v>
      </c>
      <c r="G52" s="9">
        <f si="5" t="shared"/>
        <v>2.313492083558775E-4</v>
      </c>
    </row>
    <row r="53" spans="1:7" x14ac:dyDescent="0.45">
      <c r="A53">
        <v>42</v>
      </c>
      <c r="B53" s="6" t="n">
        <v>656.1615801892792</v>
      </c>
      <c r="C53" s="9">
        <f si="4" t="shared"/>
        <v>1.3568212380086946E-4</v>
      </c>
      <c r="E53" s="52">
        <v>42</v>
      </c>
      <c r="F53" s="142" t="n">
        <v>1309.0</v>
      </c>
      <c r="G53" s="9">
        <f si="5" t="shared"/>
        <v>2.2439609007195768E-4</v>
      </c>
    </row>
    <row r="54" spans="1:7" x14ac:dyDescent="0.45">
      <c r="A54">
        <v>43</v>
      </c>
      <c r="B54" s="6" t="n">
        <v>1834.1461535817368</v>
      </c>
      <c r="C54" s="9">
        <f si="4" t="shared"/>
        <v>0</v>
      </c>
      <c r="E54" s="53">
        <v>43</v>
      </c>
      <c r="F54" s="143" t="n">
        <v>1139.0</v>
      </c>
      <c r="G54" s="9">
        <f si="5" t="shared"/>
        <v>1.7572426208451895E-4</v>
      </c>
    </row>
    <row r="55" spans="1:7" x14ac:dyDescent="0.45">
      <c r="A55">
        <v>44</v>
      </c>
      <c r="B55" s="6" t="n">
        <v>661.2089717968465</v>
      </c>
      <c r="C55" s="9">
        <f si="4" t="shared"/>
        <v>0</v>
      </c>
      <c r="E55" s="54">
        <v>44</v>
      </c>
      <c r="F55" s="144" t="n">
        <v>987.0</v>
      </c>
      <c r="G55" s="9">
        <f si="5" t="shared"/>
        <v>2.1681087012586332E-4</v>
      </c>
    </row>
    <row r="56" spans="1:7" x14ac:dyDescent="0.45">
      <c r="A56">
        <v>45</v>
      </c>
      <c r="B56" s="6" t="n">
        <v>853.3030657855093</v>
      </c>
      <c r="C56" s="9">
        <f si="4" t="shared"/>
        <v>6.3877389259959063E-5</v>
      </c>
      <c r="E56" s="55">
        <v>45</v>
      </c>
      <c r="F56" s="145" t="n">
        <v>886.0</v>
      </c>
      <c r="G56" s="9">
        <f si="5" t="shared"/>
        <v>1.9595151527410386E-4</v>
      </c>
    </row>
    <row r="57" spans="1:7" x14ac:dyDescent="0.45">
      <c r="A57">
        <v>46</v>
      </c>
      <c r="B57" s="6" t="n">
        <v>754.0538638511123</v>
      </c>
      <c r="C57" s="9">
        <f si="4" t="shared"/>
        <v>0</v>
      </c>
      <c r="E57" s="56">
        <v>46</v>
      </c>
      <c r="F57" s="146" t="n">
        <v>760.0</v>
      </c>
      <c r="G57" s="9">
        <f si="5" t="shared"/>
        <v>1.6877114380059916E-4</v>
      </c>
    </row>
    <row r="58" spans="1:7" x14ac:dyDescent="0.45">
      <c r="A58">
        <v>47</v>
      </c>
      <c r="B58" s="6" t="n">
        <v>30.6171809117027</v>
      </c>
      <c r="C58" s="9">
        <f si="4" t="shared"/>
        <v>4.2042968657219818E-4</v>
      </c>
      <c r="E58" s="57">
        <v>47</v>
      </c>
      <c r="F58" s="147" t="n">
        <v>672.0</v>
      </c>
      <c r="G58" s="9">
        <f si="5" t="shared"/>
        <v>1.3526975570534914E-4</v>
      </c>
    </row>
    <row r="59" spans="1:7" x14ac:dyDescent="0.45">
      <c r="A59">
        <v>48</v>
      </c>
      <c r="B59" s="6" t="n">
        <v>1348.054702140829</v>
      </c>
      <c r="C59" s="9">
        <f si="4" t="shared"/>
        <v>0</v>
      </c>
      <c r="E59" s="58">
        <v>48</v>
      </c>
      <c r="F59" s="148" t="n">
        <v>528.0</v>
      </c>
      <c r="G59" s="9">
        <f si="5" t="shared"/>
        <v>1.0303257093444818E-4</v>
      </c>
    </row>
    <row r="60" spans="1:7" x14ac:dyDescent="0.45">
      <c r="A60">
        <v>49</v>
      </c>
      <c r="B60" s="6" t="n">
        <v>113.393525861378</v>
      </c>
      <c r="C60" s="9">
        <f si="4" t="shared"/>
        <v>0</v>
      </c>
      <c r="E60" s="59">
        <v>49</v>
      </c>
      <c r="F60" s="149" t="n">
        <v>473.0</v>
      </c>
      <c r="G60" s="9">
        <f si="5" t="shared"/>
        <v>7.4587996136594377E-5</v>
      </c>
    </row>
    <row r="61" spans="1:7" x14ac:dyDescent="0.45">
      <c r="A61">
        <v>50</v>
      </c>
      <c r="B61" s="6" t="n">
        <v>463.602417826706</v>
      </c>
      <c r="C61" s="9">
        <f si="4" t="shared"/>
        <v>0</v>
      </c>
      <c r="E61" s="60">
        <v>50</v>
      </c>
      <c r="F61" s="150" t="n">
        <v>391.0</v>
      </c>
      <c r="G61" s="9">
        <f si="5" t="shared"/>
        <v>6.3210166217452874E-5</v>
      </c>
    </row>
    <row r="62" spans="1:7" x14ac:dyDescent="0.45">
      <c r="A62">
        <v>51</v>
      </c>
      <c r="B62" s="6" t="n">
        <v>331.888526650872</v>
      </c>
      <c r="C62" s="9">
        <f si="4" t="shared"/>
        <v>0</v>
      </c>
      <c r="E62" s="61">
        <v>51</v>
      </c>
      <c r="F62" s="151" t="n">
        <v>339.0</v>
      </c>
      <c r="G62" s="9">
        <f si="5" t="shared"/>
        <v>5.4992844609183995E-5</v>
      </c>
    </row>
    <row r="63" spans="1:7" x14ac:dyDescent="0.45">
      <c r="A63">
        <v>52</v>
      </c>
      <c r="B63" s="6" t="n">
        <v>598.889640408622</v>
      </c>
      <c r="C63" s="9">
        <f si="4" t="shared"/>
        <v>2.4472715995146947E-4</v>
      </c>
      <c r="E63" s="62">
        <v>52</v>
      </c>
      <c r="F63" s="152" t="n">
        <v>266.0</v>
      </c>
      <c r="G63" s="9">
        <f si="5" t="shared"/>
        <v>3.413348975742455E-5</v>
      </c>
    </row>
    <row r="64" spans="1:7" x14ac:dyDescent="0.45">
      <c r="A64">
        <v>53</v>
      </c>
      <c r="B64" s="6" t="n">
        <v>118.263285137175</v>
      </c>
      <c r="C64" s="9">
        <f si="4" t="shared"/>
        <v>0</v>
      </c>
      <c r="E64" s="63">
        <v>53</v>
      </c>
      <c r="F64" s="153" t="n">
        <v>229.0</v>
      </c>
      <c r="G64" s="9">
        <f si="5" t="shared"/>
        <v>2.3387761500457558E-5</v>
      </c>
    </row>
    <row r="65" spans="1:7" x14ac:dyDescent="0.4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203.0</v>
      </c>
      <c r="G65" s="9">
        <f si="5" t="shared"/>
        <v>1.896304986523586E-5</v>
      </c>
    </row>
    <row r="66" spans="1:7" x14ac:dyDescent="0.45">
      <c r="A66">
        <v>55</v>
      </c>
      <c r="B66" s="6" t="n">
        <v>524.2860792502784</v>
      </c>
      <c r="C66" s="9">
        <f si="4" t="shared"/>
        <v>0</v>
      </c>
      <c r="E66" s="65">
        <v>55</v>
      </c>
      <c r="F66" s="155" t="n">
        <v>160.0</v>
      </c>
      <c r="G66" s="9">
        <f si="5" t="shared"/>
        <v>1.8330948203061332E-5</v>
      </c>
    </row>
    <row r="67" spans="1:7" x14ac:dyDescent="0.45">
      <c r="A67">
        <v>56</v>
      </c>
      <c r="B67" s="6" t="n">
        <v>401.969052073472</v>
      </c>
      <c r="C67" s="9">
        <f si="4" t="shared"/>
        <v>0</v>
      </c>
      <c r="E67" s="66">
        <v>56</v>
      </c>
      <c r="F67" s="156" t="n">
        <v>147.0</v>
      </c>
      <c r="G67" s="9">
        <f si="5" t="shared"/>
        <v>2.2123558176108502E-5</v>
      </c>
    </row>
    <row r="68" spans="1:7" x14ac:dyDescent="0.4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139.0</v>
      </c>
      <c r="G68" s="9">
        <f si="5" t="shared"/>
        <v>2.1491456513933973E-5</v>
      </c>
    </row>
    <row r="69" spans="1:7" x14ac:dyDescent="0.45">
      <c r="A69">
        <v>58</v>
      </c>
      <c r="B69" s="6" t="n">
        <v>43.2878375258177</v>
      </c>
      <c r="C69" s="9">
        <f si="4" t="shared"/>
        <v>0</v>
      </c>
      <c r="E69" s="68">
        <v>58</v>
      </c>
      <c r="F69" s="158" t="n">
        <v>94.0</v>
      </c>
      <c r="G69" s="9">
        <f si="5" t="shared"/>
        <v>1.1377829919141515E-5</v>
      </c>
    </row>
    <row r="70" spans="1:7" x14ac:dyDescent="0.4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69.0</v>
      </c>
      <c r="G70" s="9">
        <f si="5" t="shared"/>
        <v>8.2173216082688734E-6</v>
      </c>
    </row>
    <row r="71" spans="1:7" x14ac:dyDescent="0.4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61.0</v>
      </c>
      <c r="G71" s="9">
        <f si="5" t="shared"/>
        <v>1.1377829919141515E-5</v>
      </c>
    </row>
    <row r="72" spans="1:7" x14ac:dyDescent="0.4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62.0</v>
      </c>
      <c r="G72" s="9">
        <f si="5" t="shared"/>
        <v>6.953118283919815E-6</v>
      </c>
    </row>
    <row r="73" spans="1:7" x14ac:dyDescent="0.4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60.0</v>
      </c>
      <c r="G73" s="9">
        <f si="5" t="shared"/>
        <v>1.2009931581316043E-5</v>
      </c>
    </row>
    <row r="74" spans="1:7" x14ac:dyDescent="0.45">
      <c r="A74">
        <v>63</v>
      </c>
      <c r="B74" s="6" t="n">
        <v>104.975169832936</v>
      </c>
      <c r="C74" s="9">
        <f si="4" t="shared"/>
        <v>0</v>
      </c>
      <c r="E74" s="73">
        <v>63</v>
      </c>
      <c r="F74" s="163" t="n">
        <v>30.0</v>
      </c>
      <c r="G74" s="9">
        <f si="5" t="shared"/>
        <v>4.4247116352217008E-6</v>
      </c>
    </row>
    <row r="75" spans="1:7" x14ac:dyDescent="0.4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28.0</v>
      </c>
      <c r="G75" s="9">
        <f si="5" t="shared"/>
        <v>2.5284066486981146E-6</v>
      </c>
    </row>
    <row r="76" spans="1:7" x14ac:dyDescent="0.4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14.0</v>
      </c>
      <c r="G76" s="9">
        <f si="5" t="shared"/>
        <v>4.4247116352217008E-6</v>
      </c>
    </row>
    <row r="77" spans="1:7" x14ac:dyDescent="0.45">
      <c r="A77">
        <v>66</v>
      </c>
      <c r="B77" s="6" t="n">
        <v>0.0</v>
      </c>
      <c r="C77" s="9">
        <f ref="C77:C102" si="8" t="shared">B77/B$102</f>
        <v>0</v>
      </c>
      <c r="E77" s="76">
        <v>66</v>
      </c>
      <c r="F77" s="166" t="n">
        <v>11.0</v>
      </c>
      <c r="G77" s="9">
        <f ref="G77:G102" si="9" t="shared">F77/F$102</f>
        <v>6.3210166217452865E-7</v>
      </c>
    </row>
    <row r="78" spans="1:7" x14ac:dyDescent="0.45">
      <c r="A78">
        <v>67</v>
      </c>
      <c r="B78" s="6" t="n">
        <v>0.0</v>
      </c>
      <c r="C78" s="9">
        <f si="8" t="shared"/>
        <v>0</v>
      </c>
      <c r="E78" s="77">
        <v>67</v>
      </c>
      <c r="F78" s="167" t="n">
        <v>5.0</v>
      </c>
      <c r="G78" s="9">
        <f si="9" t="shared"/>
        <v>1.896304986523586E-6</v>
      </c>
    </row>
    <row r="79" spans="1:7" x14ac:dyDescent="0.45">
      <c r="A79">
        <v>68</v>
      </c>
      <c r="B79" s="6" t="n">
        <v>0.0</v>
      </c>
      <c r="C79" s="9">
        <f si="8" t="shared"/>
        <v>0</v>
      </c>
      <c r="E79" s="78">
        <v>68</v>
      </c>
      <c r="F79" s="168" t="n">
        <v>14.0</v>
      </c>
      <c r="G79" s="9">
        <f si="9" t="shared"/>
        <v>1.896304986523586E-6</v>
      </c>
    </row>
    <row r="80" spans="1:7" x14ac:dyDescent="0.45">
      <c r="A80">
        <v>69</v>
      </c>
      <c r="B80" s="6" t="n">
        <v>0.0</v>
      </c>
      <c r="C80" s="9">
        <f si="8" t="shared"/>
        <v>0</v>
      </c>
      <c r="E80" s="79">
        <v>69</v>
      </c>
      <c r="F80" s="169" t="n">
        <v>7.0</v>
      </c>
      <c r="G80" s="9">
        <f si="9" t="shared"/>
        <v>6.3210166217452865E-7</v>
      </c>
    </row>
    <row r="81" spans="1:7" x14ac:dyDescent="0.45">
      <c r="A81">
        <v>70</v>
      </c>
      <c r="B81" s="6" t="n">
        <v>0.0</v>
      </c>
      <c r="C81" s="9">
        <f si="8" t="shared"/>
        <v>0</v>
      </c>
      <c r="E81" s="80">
        <v>70</v>
      </c>
      <c r="F81" s="170" t="n">
        <v>7.0</v>
      </c>
      <c r="G81" s="9">
        <f si="9" t="shared"/>
        <v>6.3210166217452865E-7</v>
      </c>
    </row>
    <row r="82" spans="1:7" x14ac:dyDescent="0.45">
      <c r="A82">
        <v>71</v>
      </c>
      <c r="B82" s="6" t="n">
        <v>0.0</v>
      </c>
      <c r="C82" s="9">
        <f si="8" t="shared"/>
        <v>0</v>
      </c>
      <c r="E82" s="81">
        <v>71</v>
      </c>
      <c r="F82" s="171" t="n">
        <v>8.0</v>
      </c>
      <c r="G82" s="9">
        <f si="9" t="shared"/>
        <v>0</v>
      </c>
    </row>
    <row r="83" spans="1:7" x14ac:dyDescent="0.45">
      <c r="A83">
        <v>72</v>
      </c>
      <c r="B83" s="6" t="n">
        <v>0.0</v>
      </c>
      <c r="C83" s="9">
        <f si="8" t="shared"/>
        <v>0</v>
      </c>
      <c r="E83" s="82">
        <v>72</v>
      </c>
      <c r="F83" s="172" t="n">
        <v>2.0</v>
      </c>
      <c r="G83" s="9">
        <f si="9" t="shared"/>
        <v>6.3210166217452865E-7</v>
      </c>
    </row>
    <row r="84" spans="1:7" x14ac:dyDescent="0.45">
      <c r="A84">
        <v>73</v>
      </c>
      <c r="B84" s="6" t="n">
        <v>0.0</v>
      </c>
      <c r="C84" s="9">
        <f si="8" t="shared"/>
        <v>0</v>
      </c>
      <c r="E84" s="83">
        <v>73</v>
      </c>
      <c r="F84" s="173" t="n">
        <v>4.0</v>
      </c>
      <c r="G84" s="9">
        <f si="9" t="shared"/>
        <v>1.896304986523586E-6</v>
      </c>
    </row>
    <row r="85" spans="1:7" x14ac:dyDescent="0.45">
      <c r="A85">
        <v>74</v>
      </c>
      <c r="B85" s="6" t="n">
        <v>0.0</v>
      </c>
      <c r="C85" s="9">
        <f si="8" t="shared"/>
        <v>0</v>
      </c>
      <c r="E85" s="84">
        <v>74</v>
      </c>
      <c r="F85" s="174" t="n">
        <v>9.0</v>
      </c>
      <c r="G85" s="9">
        <f si="9" t="shared"/>
        <v>0</v>
      </c>
    </row>
    <row r="86" spans="1:7" x14ac:dyDescent="0.45">
      <c r="A86">
        <v>75</v>
      </c>
      <c r="B86" s="6" t="n">
        <v>0.0</v>
      </c>
      <c r="C86" s="9">
        <f si="8" t="shared"/>
        <v>0</v>
      </c>
      <c r="E86" s="85">
        <v>75</v>
      </c>
      <c r="F86" s="175" t="n">
        <v>4.0</v>
      </c>
      <c r="G86" s="9">
        <f si="9" t="shared"/>
        <v>0</v>
      </c>
    </row>
    <row r="87" spans="1:7" x14ac:dyDescent="0.45">
      <c r="A87">
        <v>76</v>
      </c>
      <c r="B87" s="6" t="n">
        <v>0.0</v>
      </c>
      <c r="C87" s="9">
        <f si="8" t="shared"/>
        <v>0</v>
      </c>
      <c r="E87" s="86">
        <v>76</v>
      </c>
      <c r="F87" s="176" t="n">
        <v>4.0</v>
      </c>
      <c r="G87" s="9">
        <f si="9" t="shared"/>
        <v>6.3210166217452865E-7</v>
      </c>
    </row>
    <row r="88" spans="1:7" x14ac:dyDescent="0.45">
      <c r="A88">
        <v>77</v>
      </c>
      <c r="B88" s="6" t="n">
        <v>0.0</v>
      </c>
      <c r="C88" s="9">
        <f si="8" t="shared"/>
        <v>0</v>
      </c>
      <c r="E88" s="87">
        <v>77</v>
      </c>
      <c r="F88" s="177" t="n">
        <v>4.0</v>
      </c>
      <c r="G88" s="9">
        <f si="9" t="shared"/>
        <v>6.3210166217452865E-7</v>
      </c>
    </row>
    <row r="89" spans="1:7" x14ac:dyDescent="0.45">
      <c r="A89">
        <v>78</v>
      </c>
      <c r="B89" s="6" t="n">
        <v>0.0</v>
      </c>
      <c r="C89" s="9">
        <f si="8" t="shared"/>
        <v>0</v>
      </c>
      <c r="E89" s="88">
        <v>78</v>
      </c>
      <c r="F89" s="178" t="n">
        <v>0.0</v>
      </c>
      <c r="G89" s="9">
        <f si="9" t="shared"/>
        <v>0</v>
      </c>
    </row>
    <row r="90" spans="1:7" x14ac:dyDescent="0.45">
      <c r="A90">
        <v>79</v>
      </c>
      <c r="B90" s="6" t="n">
        <v>0.0</v>
      </c>
      <c r="C90" s="9">
        <f si="8" t="shared"/>
        <v>0</v>
      </c>
      <c r="E90" s="89">
        <v>79</v>
      </c>
      <c r="F90" s="179" t="n">
        <v>0.0</v>
      </c>
      <c r="G90" s="9">
        <f si="9" t="shared"/>
        <v>0</v>
      </c>
    </row>
    <row r="91" spans="1:7" x14ac:dyDescent="0.45">
      <c r="A91">
        <v>80</v>
      </c>
      <c r="B91" s="6" t="n">
        <v>0.0</v>
      </c>
      <c r="C91" s="9">
        <f si="8" t="shared"/>
        <v>0</v>
      </c>
      <c r="E91" s="90">
        <v>80</v>
      </c>
      <c r="F91" s="180" t="n">
        <v>3.0</v>
      </c>
      <c r="G91" s="9">
        <f si="9" t="shared"/>
        <v>0</v>
      </c>
    </row>
    <row r="92" spans="1:7" x14ac:dyDescent="0.45">
      <c r="A92">
        <v>81</v>
      </c>
      <c r="B92" s="6" t="n">
        <v>0.0</v>
      </c>
      <c r="C92" s="9">
        <f si="8" t="shared"/>
        <v>0</v>
      </c>
      <c r="E92" s="91">
        <v>81</v>
      </c>
      <c r="F92" s="181" t="n">
        <v>0.0</v>
      </c>
      <c r="G92" s="9">
        <f si="9" t="shared"/>
        <v>6.3210166217452865E-7</v>
      </c>
    </row>
    <row r="93" spans="1:7" x14ac:dyDescent="0.45">
      <c r="A93">
        <v>82</v>
      </c>
      <c r="B93" s="6" t="n">
        <v>0.0</v>
      </c>
      <c r="C93" s="9">
        <f si="8" t="shared"/>
        <v>0</v>
      </c>
      <c r="E93" s="92">
        <v>82</v>
      </c>
      <c r="F93" s="182" t="n">
        <v>1.0</v>
      </c>
      <c r="G93" s="9">
        <f si="9" t="shared"/>
        <v>0</v>
      </c>
    </row>
    <row r="94" spans="1:7" x14ac:dyDescent="0.45">
      <c r="A94">
        <v>83</v>
      </c>
      <c r="B94" s="6" t="n">
        <v>0.0</v>
      </c>
      <c r="C94" s="9">
        <f si="8" t="shared"/>
        <v>0</v>
      </c>
      <c r="E94" s="93">
        <v>83</v>
      </c>
      <c r="F94" s="183" t="n">
        <v>0.0</v>
      </c>
      <c r="G94" s="9">
        <f si="9" t="shared"/>
        <v>6.3210166217452865E-7</v>
      </c>
    </row>
    <row r="95" spans="1:7" x14ac:dyDescent="0.45">
      <c r="A95">
        <v>84</v>
      </c>
      <c r="B95" s="6" t="n">
        <v>0.0</v>
      </c>
      <c r="C95" s="9">
        <f si="8" t="shared"/>
        <v>0</v>
      </c>
      <c r="E95" s="94">
        <v>84</v>
      </c>
      <c r="F95" s="184" t="n">
        <v>0.0</v>
      </c>
      <c r="G95" s="9">
        <f si="9" t="shared"/>
        <v>0</v>
      </c>
    </row>
    <row r="96" spans="1:7" x14ac:dyDescent="0.45">
      <c r="A96">
        <v>85</v>
      </c>
      <c r="B96" s="6" t="n">
        <v>0.0</v>
      </c>
      <c r="C96" s="9">
        <f si="8" t="shared"/>
        <v>0</v>
      </c>
      <c r="E96" s="95">
        <v>85</v>
      </c>
      <c r="F96" s="185" t="n">
        <v>0.0</v>
      </c>
      <c r="G96" s="9">
        <f si="9" t="shared"/>
        <v>1.2642033243490573E-6</v>
      </c>
    </row>
    <row r="97" spans="1:7" x14ac:dyDescent="0.45">
      <c r="A97">
        <v>86</v>
      </c>
      <c r="B97" s="6" t="n">
        <v>0.0</v>
      </c>
      <c r="C97" s="9">
        <f si="8" t="shared"/>
        <v>0</v>
      </c>
      <c r="E97" s="96">
        <v>86</v>
      </c>
      <c r="F97" s="186" t="n">
        <v>0.0</v>
      </c>
      <c r="G97" s="9">
        <f si="9" t="shared"/>
        <v>0</v>
      </c>
    </row>
    <row r="98" spans="1:7" x14ac:dyDescent="0.45">
      <c r="A98">
        <v>87</v>
      </c>
      <c r="B98" s="6" t="n">
        <v>0.0</v>
      </c>
      <c r="C98" s="9">
        <f si="8" t="shared"/>
        <v>0</v>
      </c>
      <c r="E98" s="97">
        <v>87</v>
      </c>
      <c r="F98" s="187" t="n">
        <v>0.0</v>
      </c>
      <c r="G98" s="9">
        <f si="9" t="shared"/>
        <v>0</v>
      </c>
    </row>
    <row r="99" spans="1:7" x14ac:dyDescent="0.45">
      <c r="A99">
        <v>88</v>
      </c>
      <c r="B99" s="6" t="n">
        <v>0.0</v>
      </c>
      <c r="C99" s="9">
        <f si="8" t="shared"/>
        <v>0</v>
      </c>
      <c r="E99" s="98">
        <v>88</v>
      </c>
      <c r="F99" s="188" t="n">
        <v>0.0</v>
      </c>
      <c r="G99" s="9">
        <f si="9" t="shared"/>
        <v>0</v>
      </c>
    </row>
    <row r="100" spans="1:7" x14ac:dyDescent="0.45">
      <c r="A100">
        <v>89</v>
      </c>
      <c r="B100" s="6" t="n">
        <v>0.0</v>
      </c>
      <c r="C100" s="9">
        <f si="8" t="shared"/>
        <v>0</v>
      </c>
      <c r="E100" s="99">
        <v>89</v>
      </c>
      <c r="F100" s="189" t="n">
        <v>0.0</v>
      </c>
      <c r="G100" s="9">
        <f si="9" t="shared"/>
        <v>6.3210166217452865E-7</v>
      </c>
    </row>
    <row ht="14.65" r="101" spans="1:7" thickBot="1" x14ac:dyDescent="0.5">
      <c r="A101" s="1">
        <v>90</v>
      </c>
      <c r="B101" s="7" t="n">
        <v>0.0</v>
      </c>
      <c r="C101" s="9">
        <f si="8" t="shared"/>
        <v>0</v>
      </c>
      <c r="E101" s="372">
        <v>90</v>
      </c>
      <c r="F101" s="372" t="n">
        <v>0.0</v>
      </c>
      <c r="G101" s="9">
        <f si="9" t="shared"/>
        <v>1.896304986523586E-6</v>
      </c>
    </row>
    <row r="102" spans="1:7" x14ac:dyDescent="0.45">
      <c r="B102" s="6">
        <f>SUM(B11:B101)</f>
        <v>591749.35498064256</v>
      </c>
      <c r="C102" s="9">
        <f si="8" t="shared"/>
        <v>1</v>
      </c>
      <c r="F102" s="6">
        <f>SUM(F11:F101)</f>
        <v>527341.33333280787</v>
      </c>
      <c r="G102" s="9">
        <f si="9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D102"/>
  <sheetViews>
    <sheetView topLeftCell="H1" workbookViewId="0">
      <selection activeCell="AE9" sqref="AE9"/>
    </sheetView>
  </sheetViews>
  <sheetFormatPr defaultRowHeight="14.25" x14ac:dyDescent="0.45"/>
  <cols>
    <col min="2" max="2" bestFit="true" customWidth="true" width="9.59765625" collapsed="true"/>
    <col min="21" max="21" customWidth="true" hidden="true" width="13.265625" collapsed="true"/>
    <col min="23" max="23" customWidth="true" hidden="true" width="12.265625" collapsed="true"/>
    <col min="24" max="24" customWidth="true" hidden="true" width="0.0" collapsed="true"/>
    <col min="25" max="25" customWidth="true" hidden="true" width="13.265625" collapsed="true"/>
    <col min="27" max="27" customWidth="true" hidden="true" width="12.265625" collapsed="true"/>
  </cols>
  <sheetData>
    <row r="1" spans="1:29" x14ac:dyDescent="0.45">
      <c r="A1" t="s">
        <v>0</v>
      </c>
    </row>
    <row r="2" spans="1:29" x14ac:dyDescent="0.45">
      <c r="A2" t="s">
        <v>19</v>
      </c>
    </row>
    <row r="3" spans="1:29" x14ac:dyDescent="0.45">
      <c r="A3" t="s">
        <v>21</v>
      </c>
    </row>
    <row r="4" spans="1:29" x14ac:dyDescent="0.45">
      <c r="A4" t="s">
        <v>7</v>
      </c>
    </row>
    <row r="5" spans="1:29" x14ac:dyDescent="0.45">
      <c r="A5" t="s">
        <v>8</v>
      </c>
    </row>
    <row r="7" spans="1:29" x14ac:dyDescent="0.45">
      <c r="A7" t="s">
        <v>9</v>
      </c>
      <c r="T7" t="s">
        <v>23</v>
      </c>
    </row>
    <row r="8" spans="1:29" x14ac:dyDescent="0.45">
      <c r="U8" t="s">
        <v>17</v>
      </c>
      <c r="V8" t="s">
        <v>17</v>
      </c>
      <c r="Y8" t="s">
        <v>13</v>
      </c>
      <c r="Z8" t="s">
        <v>13</v>
      </c>
    </row>
    <row ht="14.65" r="9" spans="1:29" thickBot="1" x14ac:dyDescent="0.5">
      <c r="A9" s="3" t="s">
        <v>18</v>
      </c>
      <c r="B9" s="1"/>
      <c r="E9" s="3" t="s">
        <v>11</v>
      </c>
      <c r="F9" s="1"/>
      <c r="J9" s="8" t="s">
        <v>15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  <c r="AB9" s="439" t="s">
        <v>175</v>
      </c>
      <c r="AC9" s="439" t="s">
        <v>177</v>
      </c>
    </row>
    <row r="10" spans="1:29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591749.35498064267</v>
      </c>
      <c r="V10" s="6">
        <f>K11</f>
        <v>6.6814277560845632</v>
      </c>
      <c r="W10" s="373">
        <f>U10*V10</f>
        <v>3953730.5650128028</v>
      </c>
      <c r="Y10" s="373">
        <f>F102</f>
        <v>527341.33333280659</v>
      </c>
      <c r="Z10" s="6">
        <f>L11</f>
        <v>9.0104810190133655</v>
      </c>
      <c r="AA10" s="373">
        <f>Y10*Z10</f>
        <v>4751599.0745364539</v>
      </c>
      <c r="AB10" s="6">
        <f>Z10-V10</f>
        <v>2.3290532629288023</v>
      </c>
      <c r="AC10" s="380">
        <f>AB10/V10</f>
        <v>0.34858616271167608</v>
      </c>
    </row>
    <row r="11" spans="1:29" x14ac:dyDescent="0.45">
      <c r="A11">
        <v>0</v>
      </c>
      <c r="B11" s="6" t="n">
        <v>0.0</v>
      </c>
      <c r="C11" s="9">
        <f>B11/B$102</f>
        <v>5.2741552773692184E-2</v>
      </c>
      <c r="E11" s="190">
        <v>0</v>
      </c>
      <c r="F11" s="280" t="n">
        <v>6645.0</v>
      </c>
      <c r="G11" s="9">
        <f>F11/F$102</f>
        <v>2.2443401617168866E-2</v>
      </c>
      <c r="K11" s="6" t="n">
        <v>16.386822332977935</v>
      </c>
      <c r="L11" s="6" t="n">
        <v>20.256095090875295</v>
      </c>
      <c r="S11" t="s">
        <v>42</v>
      </c>
      <c r="T11" t="s">
        <v>27</v>
      </c>
      <c r="U11" s="373">
        <f>TDFD_Work!B102</f>
        <v>172804.50779241003</v>
      </c>
      <c r="V11" s="6">
        <f>TDFD_Work!K11</f>
        <v>8.8036269361383024</v>
      </c>
      <c r="W11" s="373">
        <f ref="W11:W16" si="0" t="shared">U11*V11</f>
        <v>1521306.4194873821</v>
      </c>
      <c r="Y11" s="373">
        <f>TDFD_Work!F102</f>
        <v>144853.33333318829</v>
      </c>
      <c r="Z11" s="6">
        <f>TDFD_Work!L11</f>
        <v>10.722159643990452</v>
      </c>
      <c r="AA11" s="373">
        <f ref="AA11:AA16" si="1" t="shared">Y11*Z11</f>
        <v>1553140.5649626083</v>
      </c>
      <c r="AB11" s="6">
        <f ref="AB11:AB17" si="2" t="shared">Z11-V11</f>
        <v>1.9185327078521492</v>
      </c>
      <c r="AC11" s="380">
        <f ref="AC11:AC17" si="3" t="shared">AB11/V11</f>
        <v>0.21792526214129998</v>
      </c>
    </row>
    <row r="12" spans="1:29" x14ac:dyDescent="0.45">
      <c r="A12">
        <v>1</v>
      </c>
      <c r="B12" s="6" t="n">
        <v>0.0</v>
      </c>
      <c r="C12" s="9">
        <f>B12/B$102</f>
        <v>7.6477324857974066E-2</v>
      </c>
      <c r="E12" s="191">
        <v>1</v>
      </c>
      <c r="F12" s="281" t="n">
        <v>48172.0</v>
      </c>
      <c r="G12" s="9">
        <f>F12/F$102</f>
        <v>8.3133378507532135E-2</v>
      </c>
      <c r="K12" s="6"/>
      <c r="L12" s="371"/>
      <c r="S12" t="s">
        <v>43</v>
      </c>
      <c r="T12" t="s">
        <v>28</v>
      </c>
      <c r="U12" s="373">
        <f>TDFD_School!B102</f>
        <v>118878.02037323156</v>
      </c>
      <c r="V12" s="6">
        <f>TDFD_School!K11</f>
        <v>5.2516432031298201</v>
      </c>
      <c r="W12" s="373">
        <f si="0" t="shared"/>
        <v>624304.94769460976</v>
      </c>
      <c r="Y12" s="373">
        <f>TDFD_School!F102</f>
        <v>113636.66666655301</v>
      </c>
      <c r="Z12" s="6">
        <f>TDFD_School!L11</f>
        <v>8.8254955680420153</v>
      </c>
      <c r="AA12" s="373">
        <f si="1" t="shared"/>
        <v>1002899.8980327314</v>
      </c>
      <c r="AB12" s="6">
        <f si="2" t="shared"/>
        <v>3.5738523649121952</v>
      </c>
      <c r="AC12" s="380">
        <f si="3" t="shared"/>
        <v>0.68052078686196493</v>
      </c>
    </row>
    <row r="13" spans="1:29" x14ac:dyDescent="0.45">
      <c r="A13">
        <v>2</v>
      </c>
      <c r="B13" s="6" t="n">
        <v>8888.01580023082</v>
      </c>
      <c r="C13" s="9">
        <f ref="C13:C76" si="4" t="shared">B13/B$102</f>
        <v>0.18026906195978692</v>
      </c>
      <c r="E13" s="192">
        <v>2</v>
      </c>
      <c r="F13" s="282" t="n">
        <v>22202.0</v>
      </c>
      <c r="G13" s="9">
        <f ref="G13:G76" si="5" t="shared">F13/F$102</f>
        <v>0.14665896345441057</v>
      </c>
      <c r="S13" t="s">
        <v>44</v>
      </c>
      <c r="T13" t="s">
        <v>29</v>
      </c>
      <c r="U13" s="373">
        <f>TDFD_Escort!B102</f>
        <v>242240.13003163939</v>
      </c>
      <c r="V13" s="6">
        <f>TDFD_Escort!K11</f>
        <v>5.2697112455168869</v>
      </c>
      <c r="W13" s="373">
        <f si="0" t="shared"/>
        <v>1276535.5373432031</v>
      </c>
      <c r="Y13" s="373">
        <f>TDFD_Escort!F102</f>
        <v>184465.99999981551</v>
      </c>
      <c r="Z13" s="6">
        <f>TDFD_Escort!L11</f>
        <v>6.7648630721052712</v>
      </c>
      <c r="AA13" s="373">
        <f si="1" t="shared"/>
        <v>1247887.2314577228</v>
      </c>
      <c r="AB13" s="6">
        <f si="2" t="shared"/>
        <v>1.4951518265883843</v>
      </c>
      <c r="AC13" s="380">
        <f si="3" t="shared"/>
        <v>0.28372556994661863</v>
      </c>
    </row>
    <row r="14" spans="1:29" x14ac:dyDescent="0.45">
      <c r="A14">
        <v>3</v>
      </c>
      <c r="B14" s="6" t="n">
        <v>83750.04076154495</v>
      </c>
      <c r="C14" s="9">
        <f si="4" t="shared"/>
        <v>0.14899308552657467</v>
      </c>
      <c r="E14" s="193">
        <v>3</v>
      </c>
      <c r="F14" s="283" t="n">
        <v>39295.0</v>
      </c>
      <c r="G14" s="9">
        <f si="5" t="shared"/>
        <v>0.14443839031519146</v>
      </c>
      <c r="S14" t="s">
        <v>45</v>
      </c>
      <c r="T14" t="s">
        <v>30</v>
      </c>
      <c r="U14" s="373">
        <f>TDFD_PerBus!B102</f>
        <v>145417.53954862591</v>
      </c>
      <c r="V14" s="6">
        <f>TDFD_PerBus!K11</f>
        <v>6.228009548814188</v>
      </c>
      <c r="W14" s="373">
        <f si="0" t="shared"/>
        <v>905661.82487390703</v>
      </c>
      <c r="Y14" s="373">
        <f>TDFD_PerBus!F102</f>
        <v>156428.33333317685</v>
      </c>
      <c r="Z14" s="6">
        <f>TDFD_PerBus!L11</f>
        <v>8.1087402470004157</v>
      </c>
      <c r="AA14" s="373">
        <f si="1" t="shared"/>
        <v>1268436.7222699278</v>
      </c>
      <c r="AB14" s="6">
        <f si="2" t="shared"/>
        <v>1.8807306981862277</v>
      </c>
      <c r="AC14" s="380">
        <f si="3" t="shared"/>
        <v>0.30197941789352561</v>
      </c>
    </row>
    <row r="15" spans="1:29" x14ac:dyDescent="0.45">
      <c r="A15">
        <v>4</v>
      </c>
      <c r="B15" s="6" t="n">
        <v>109314.15289644014</v>
      </c>
      <c r="C15" s="9">
        <f si="4" t="shared"/>
        <v>7.7982200544518224E-2</v>
      </c>
      <c r="E15" s="194">
        <v>4</v>
      </c>
      <c r="F15" s="284" t="n">
        <v>66376.0</v>
      </c>
      <c r="G15" s="9">
        <f si="5" t="shared"/>
        <v>0.10843956855268957</v>
      </c>
      <c r="S15" t="s">
        <v>46</v>
      </c>
      <c r="T15" t="s">
        <v>31</v>
      </c>
      <c r="U15" s="373">
        <f>TDFD_Shop!B102</f>
        <v>101938.00338150132</v>
      </c>
      <c r="V15" s="6">
        <f>TDFD_Shop!K11</f>
        <v>4.9644246183109031</v>
      </c>
      <c r="W15" s="373">
        <f si="0" t="shared"/>
        <v>506063.53352858522</v>
      </c>
      <c r="Y15" s="373">
        <f>TDFD_Shop!F102</f>
        <v>126916.99999987311</v>
      </c>
      <c r="Z15" s="6">
        <f>TDFD_Shop!L11</f>
        <v>6.6650527449185404</v>
      </c>
      <c r="AA15" s="373">
        <f si="1" t="shared"/>
        <v>845908.4992259806</v>
      </c>
      <c r="AB15" s="6">
        <f si="2" t="shared"/>
        <v>1.7006281266076373</v>
      </c>
      <c r="AC15" s="380">
        <f si="3" t="shared"/>
        <v>0.34256298712543637</v>
      </c>
    </row>
    <row r="16" spans="1:29" x14ac:dyDescent="0.45">
      <c r="A16">
        <v>5</v>
      </c>
      <c r="B16" s="6" t="n">
        <v>131021.97924024609</v>
      </c>
      <c r="C16" s="9">
        <f si="4" t="shared"/>
        <v>0.13691398177320233</v>
      </c>
      <c r="E16" s="195">
        <v>5</v>
      </c>
      <c r="F16" s="285" t="n">
        <v>88617.0</v>
      </c>
      <c r="G16" s="9">
        <f si="5" t="shared"/>
        <v>7.7864179051645221E-2</v>
      </c>
      <c r="S16" t="s">
        <v>34</v>
      </c>
      <c r="T16" t="s">
        <v>48</v>
      </c>
      <c r="U16" s="373">
        <f>TDFD_Meal!B102</f>
        <v>50361.786355292417</v>
      </c>
      <c r="V16" s="6">
        <f>TDFD_Meal!K11</f>
        <v>5.0050946359352162</v>
      </c>
      <c r="W16" s="373">
        <f si="0" t="shared"/>
        <v>252065.50674298944</v>
      </c>
      <c r="Y16" s="373">
        <f>TDFD_Meal!F102</f>
        <v>61223.666666605437</v>
      </c>
      <c r="Z16" s="6">
        <f>TDFD_Meal!L11</f>
        <v>7.0781558983198352</v>
      </c>
      <c r="AA16" s="373">
        <f si="1" t="shared"/>
        <v>433350.65733300074</v>
      </c>
      <c r="AB16" s="6">
        <f si="2" t="shared"/>
        <v>2.073061262384619</v>
      </c>
      <c r="AC16" s="380">
        <f si="3" t="shared"/>
        <v>0.41419022279830708</v>
      </c>
    </row>
    <row r="17" spans="1:29" x14ac:dyDescent="0.45">
      <c r="A17">
        <v>6</v>
      </c>
      <c r="B17" s="6" t="n">
        <v>151039.73955663576</v>
      </c>
      <c r="C17" s="9">
        <f si="4" t="shared"/>
        <v>5.1095824363181018E-2</v>
      </c>
      <c r="E17" s="196">
        <v>6</v>
      </c>
      <c r="F17" s="286" t="n">
        <v>101329.0</v>
      </c>
      <c r="G17" s="9">
        <f si="5" t="shared"/>
        <v>5.6007367776974237E-2</v>
      </c>
      <c r="S17" t="s">
        <v>47</v>
      </c>
      <c r="T17" t="s">
        <v>32</v>
      </c>
      <c r="U17" s="373">
        <f>TDFD_SocRec!B102</f>
        <v>68623.514607982725</v>
      </c>
      <c r="V17" s="6">
        <f>TDFD_SocRec!K11</f>
        <v>5.9157357625142541</v>
      </c>
      <c r="W17" s="373">
        <f>U17*V17</f>
        <v>405958.57951586274</v>
      </c>
      <c r="Y17" s="373">
        <f>TDFD_SocRec!F102</f>
        <v>118598.33333321472</v>
      </c>
      <c r="Z17" s="6">
        <f>TDFD_SocRec!L11</f>
        <v>8.9027622592957023</v>
      </c>
      <c r="AA17" s="373">
        <f>Y17*Z17</f>
        <v>1055852.7660143154</v>
      </c>
      <c r="AB17" s="6">
        <f si="2" t="shared"/>
        <v>2.9870264967814482</v>
      </c>
      <c r="AC17" s="380">
        <f si="3" t="shared"/>
        <v>0.50492899221582677</v>
      </c>
    </row>
    <row r="18" spans="1:29" x14ac:dyDescent="0.45">
      <c r="A18">
        <v>7</v>
      </c>
      <c r="B18" s="6" t="n">
        <v>132988.04468790046</v>
      </c>
      <c r="C18" s="9">
        <f si="4" t="shared"/>
        <v>6.7043885077724005E-2</v>
      </c>
      <c r="E18" s="197">
        <v>7</v>
      </c>
      <c r="F18" s="287" t="n">
        <v>106125.0</v>
      </c>
      <c r="G18" s="9">
        <f si="5" t="shared"/>
        <v>4.0196608901002719E-2</v>
      </c>
      <c r="T18" s="375" t="s">
        <v>35</v>
      </c>
      <c r="U18" s="376">
        <f>SUM(U10:U15)+U17</f>
        <v>1441651.0707160337</v>
      </c>
      <c r="V18" s="377">
        <f>W18/U18</f>
        <v>6.3771058019539577</v>
      </c>
      <c r="W18" s="376">
        <f>SUM(W10:W15)+W17</f>
        <v>9193561.4074563533</v>
      </c>
      <c r="X18" s="375"/>
      <c r="Y18" s="376">
        <f>SUM(Y10:Y15)+Y17</f>
        <v>1372240.9999986282</v>
      </c>
      <c r="Z18" s="377">
        <f>AA18/Y18</f>
        <v>8.5449456447602596</v>
      </c>
      <c r="AA18" s="376">
        <f>SUM(AA10:AA15)+AA17</f>
        <v>11725724.756499741</v>
      </c>
      <c r="AB18" s="6"/>
      <c r="AC18" s="380"/>
    </row>
    <row r="19" spans="1:29" x14ac:dyDescent="0.45">
      <c r="A19">
        <v>8</v>
      </c>
      <c r="B19" s="6" t="n">
        <v>133321.8030563234</v>
      </c>
      <c r="C19" s="9">
        <f si="4" t="shared"/>
        <v>1.3804536273345666E-2</v>
      </c>
      <c r="E19" s="198">
        <v>8</v>
      </c>
      <c r="F19" s="288" t="n">
        <v>101285.0</v>
      </c>
      <c r="G19" s="9">
        <f si="5" t="shared"/>
        <v>3.0715083968384765E-2</v>
      </c>
      <c r="S19" s="375" t="s">
        <v>36</v>
      </c>
      <c r="U19" s="378">
        <f>U18+U16</f>
        <v>1492012.8570713261</v>
      </c>
      <c r="V19" s="377">
        <f>W19/U19</f>
        <v>6.33079458359372</v>
      </c>
      <c r="W19" s="379">
        <f>W18+W16</f>
        <v>9445626.914199343</v>
      </c>
      <c r="X19" s="375"/>
      <c r="Y19" s="378">
        <f>Y18+Y16</f>
        <v>1433464.6666652337</v>
      </c>
      <c r="Z19" s="377">
        <f>AA19/Y19</f>
        <v>8.4822986548522508</v>
      </c>
      <c r="AA19" s="379">
        <f>AA18+AA16</f>
        <v>12159075.413832743</v>
      </c>
      <c r="AB19" s="6">
        <f ref="AB19" si="6" t="shared">Z19-V19</f>
        <v>2.1515040712585307</v>
      </c>
      <c r="AC19" s="380">
        <f ref="AC19" si="7" t="shared">AB19/V19</f>
        <v>0.33984739875057113</v>
      </c>
    </row>
    <row r="20" spans="1:29" x14ac:dyDescent="0.45">
      <c r="A20">
        <v>9</v>
      </c>
      <c r="B20" s="6" t="n">
        <v>118846.30019888595</v>
      </c>
      <c r="C20" s="9">
        <f si="4" t="shared"/>
        <v>1.3167901322336265E-2</v>
      </c>
      <c r="E20" s="199">
        <v>9</v>
      </c>
      <c r="F20" s="289" t="n">
        <v>97073.0</v>
      </c>
      <c r="G20" s="9">
        <f si="5" t="shared"/>
        <v>2.5184826526019801E-2</v>
      </c>
    </row>
    <row r="21" spans="1:29" x14ac:dyDescent="0.45">
      <c r="A21">
        <v>10</v>
      </c>
      <c r="B21" s="6" t="n">
        <v>105331.6925194758</v>
      </c>
      <c r="C21" s="9">
        <f si="4" t="shared"/>
        <v>1.1528551879444116E-2</v>
      </c>
      <c r="E21" s="200">
        <v>10</v>
      </c>
      <c r="F21" s="290" t="n">
        <v>87526.0</v>
      </c>
      <c r="G21" s="9">
        <f si="5" t="shared"/>
        <v>2.2090056788013301E-2</v>
      </c>
    </row>
    <row r="22" spans="1:29" x14ac:dyDescent="0.45">
      <c r="A22">
        <v>11</v>
      </c>
      <c r="B22" s="6" t="n">
        <v>85348.43077045797</v>
      </c>
      <c r="C22" s="9">
        <f si="4" t="shared"/>
        <v>1.3212919439952106E-2</v>
      </c>
      <c r="E22" s="201">
        <v>11</v>
      </c>
      <c r="F22" s="291" t="n">
        <v>80304.0</v>
      </c>
      <c r="G22" s="9">
        <f si="5" t="shared"/>
        <v>2.0091351332217438E-2</v>
      </c>
    </row>
    <row r="23" spans="1:29" x14ac:dyDescent="0.45">
      <c r="A23">
        <v>12</v>
      </c>
      <c r="B23" s="6" t="n">
        <v>87128.64318266479</v>
      </c>
      <c r="C23" s="9">
        <f si="4" t="shared"/>
        <v>2.6147166736556485E-2</v>
      </c>
      <c r="E23" s="202">
        <v>12</v>
      </c>
      <c r="F23" s="292" t="n">
        <v>73353.0</v>
      </c>
      <c r="G23" s="9">
        <f si="5" t="shared"/>
        <v>1.9061025622872953E-2</v>
      </c>
    </row>
    <row r="24" spans="1:29" x14ac:dyDescent="0.45">
      <c r="A24">
        <v>13</v>
      </c>
      <c r="B24" s="6" t="n">
        <v>69770.5358345689</v>
      </c>
      <c r="C24" s="9">
        <f si="4" t="shared"/>
        <v>1.2025133814267784E-2</v>
      </c>
      <c r="E24" s="203">
        <v>13</v>
      </c>
      <c r="F24" s="293" t="n">
        <v>67207.0</v>
      </c>
      <c r="G24" s="9">
        <f si="5" t="shared"/>
        <v>1.7921346325972275E-2</v>
      </c>
    </row>
    <row r="25" spans="1:29" x14ac:dyDescent="0.45">
      <c r="A25">
        <v>14</v>
      </c>
      <c r="B25" s="6" t="n">
        <v>53818.34636174253</v>
      </c>
      <c r="C25" s="9">
        <f si="4" t="shared"/>
        <v>1.3120566420110053E-2</v>
      </c>
      <c r="E25" s="204">
        <v>14</v>
      </c>
      <c r="F25" s="294" t="n">
        <v>61130.0</v>
      </c>
      <c r="G25" s="9">
        <f si="5" t="shared"/>
        <v>1.6430850606564736E-2</v>
      </c>
    </row>
    <row r="26" spans="1:29" x14ac:dyDescent="0.45">
      <c r="A26">
        <v>15</v>
      </c>
      <c r="B26" s="6" t="n">
        <v>59083.20823501125</v>
      </c>
      <c r="C26" s="9">
        <f si="4" t="shared"/>
        <v>2.6167306314057028E-2</v>
      </c>
      <c r="E26" s="205">
        <v>15</v>
      </c>
      <c r="F26" s="295" t="n">
        <v>56021.0</v>
      </c>
      <c r="G26" s="9">
        <f si="5" t="shared"/>
        <v>1.4322159461550504E-2</v>
      </c>
    </row>
    <row r="27" spans="1:29" x14ac:dyDescent="0.45">
      <c r="A27">
        <v>16</v>
      </c>
      <c r="B27" s="6" t="n">
        <v>53286.37815319053</v>
      </c>
      <c r="C27" s="9">
        <f si="4" t="shared"/>
        <v>7.4813619653267471E-3</v>
      </c>
      <c r="E27" s="206">
        <v>16</v>
      </c>
      <c r="F27" s="296" t="n">
        <v>52031.0</v>
      </c>
      <c r="G27" s="9">
        <f si="5" t="shared"/>
        <v>1.2332935530687256E-2</v>
      </c>
    </row>
    <row r="28" spans="1:29" x14ac:dyDescent="0.45">
      <c r="A28">
        <v>17</v>
      </c>
      <c r="B28" s="6" t="n">
        <v>55008.811759234886</v>
      </c>
      <c r="C28" s="9">
        <f si="4" t="shared"/>
        <v>3.0297467215232299E-3</v>
      </c>
      <c r="E28" s="207">
        <v>17</v>
      </c>
      <c r="F28" s="297" t="n">
        <v>46794.0</v>
      </c>
      <c r="G28" s="9">
        <f si="5" t="shared"/>
        <v>1.087657330103714E-2</v>
      </c>
    </row>
    <row r="29" spans="1:29" x14ac:dyDescent="0.45">
      <c r="A29">
        <v>18</v>
      </c>
      <c r="B29" s="6" t="n">
        <v>46225.2270125883</v>
      </c>
      <c r="C29" s="9">
        <f si="4" t="shared"/>
        <v>9.0384332274401936E-3</v>
      </c>
      <c r="E29" s="208">
        <v>18</v>
      </c>
      <c r="F29" s="298" t="n">
        <v>43732.0</v>
      </c>
      <c r="G29" s="9">
        <f si="5" t="shared"/>
        <v>9.3133858904795273E-3</v>
      </c>
    </row>
    <row r="30" spans="1:29" x14ac:dyDescent="0.45">
      <c r="A30">
        <v>19</v>
      </c>
      <c r="B30" s="6" t="n">
        <v>36762.430096800344</v>
      </c>
      <c r="C30" s="9">
        <f si="4" t="shared"/>
        <v>9.4650449341149422E-3</v>
      </c>
      <c r="E30" s="209">
        <v>19</v>
      </c>
      <c r="F30" s="299" t="n">
        <v>40749.0</v>
      </c>
      <c r="G30" s="9">
        <f si="5" t="shared"/>
        <v>8.3886211587181903E-3</v>
      </c>
    </row>
    <row r="31" spans="1:29" x14ac:dyDescent="0.45">
      <c r="A31">
        <v>20</v>
      </c>
      <c r="B31" s="6" t="n">
        <v>28803.00040811008</v>
      </c>
      <c r="C31" s="9">
        <f si="4" t="shared"/>
        <v>3.1862049979889204E-3</v>
      </c>
      <c r="E31" s="210">
        <v>20</v>
      </c>
      <c r="F31" s="300" t="n">
        <v>38469.0</v>
      </c>
      <c r="G31" s="9">
        <f si="5" t="shared"/>
        <v>8.1111285290235702E-3</v>
      </c>
    </row>
    <row r="32" spans="1:29" x14ac:dyDescent="0.45">
      <c r="A32">
        <v>21</v>
      </c>
      <c r="B32" s="6" t="n">
        <v>32811.83670790306</v>
      </c>
      <c r="C32" s="9">
        <f si="4" t="shared"/>
        <v>4.3304580964588155E-3</v>
      </c>
      <c r="E32" s="211">
        <v>21</v>
      </c>
      <c r="F32" s="301" t="n">
        <v>35876.0</v>
      </c>
      <c r="G32" s="9">
        <f si="5" t="shared"/>
        <v>7.8665051857620266E-3</v>
      </c>
    </row>
    <row r="33" spans="1:7" x14ac:dyDescent="0.45">
      <c r="A33">
        <v>22</v>
      </c>
      <c r="B33" s="6" t="n">
        <v>28376.616249523173</v>
      </c>
      <c r="C33" s="9">
        <f si="4" t="shared"/>
        <v>3.5299767646989675E-3</v>
      </c>
      <c r="E33" s="212">
        <v>22</v>
      </c>
      <c r="F33" s="302" t="n">
        <v>33570.0</v>
      </c>
      <c r="G33" s="9">
        <f si="5" t="shared"/>
        <v>7.6206176391761353E-3</v>
      </c>
    </row>
    <row r="34" spans="1:7" x14ac:dyDescent="0.45">
      <c r="A34">
        <v>23</v>
      </c>
      <c r="B34" s="6" t="n">
        <v>28938.886886634817</v>
      </c>
      <c r="C34" s="9">
        <f si="4" t="shared"/>
        <v>2.7452954530979984E-3</v>
      </c>
      <c r="E34" s="213">
        <v>23</v>
      </c>
      <c r="F34" s="303" t="n">
        <v>32070.0</v>
      </c>
      <c r="G34" s="9">
        <f si="5" t="shared"/>
        <v>7.076378108043865E-3</v>
      </c>
    </row>
    <row r="35" spans="1:7" x14ac:dyDescent="0.45">
      <c r="A35">
        <v>24</v>
      </c>
      <c r="B35" s="6" t="n">
        <v>26248.53990154136</v>
      </c>
      <c r="C35" s="9">
        <f si="4" t="shared"/>
        <v>5.959055430180122E-3</v>
      </c>
      <c r="E35" s="214">
        <v>24</v>
      </c>
      <c r="F35" s="304" t="n">
        <v>30700.0</v>
      </c>
      <c r="G35" s="9">
        <f si="5" t="shared"/>
        <v>6.757798870307901E-3</v>
      </c>
    </row>
    <row r="36" spans="1:7" x14ac:dyDescent="0.45">
      <c r="A36">
        <v>25</v>
      </c>
      <c r="B36" s="6" t="n">
        <v>23064.902697764774</v>
      </c>
      <c r="C36" s="9">
        <f si="4" t="shared"/>
        <v>4.6149118244965225E-3</v>
      </c>
      <c r="E36" s="215">
        <v>25</v>
      </c>
      <c r="F36" s="305" t="n">
        <v>28548.0</v>
      </c>
      <c r="G36" s="9">
        <f si="5" t="shared"/>
        <v>6.0865069050785505E-3</v>
      </c>
    </row>
    <row r="37" spans="1:7" x14ac:dyDescent="0.45">
      <c r="A37">
        <v>26</v>
      </c>
      <c r="B37" s="6" t="n">
        <v>28172.607462798194</v>
      </c>
      <c r="C37" s="9">
        <f si="4" t="shared"/>
        <v>2.7432235911685672E-3</v>
      </c>
      <c r="E37" s="216">
        <v>26</v>
      </c>
      <c r="F37" s="306" t="n">
        <v>27130.0</v>
      </c>
      <c r="G37" s="9">
        <f si="5" t="shared"/>
        <v>5.4291211764170393E-3</v>
      </c>
    </row>
    <row r="38" spans="1:7" x14ac:dyDescent="0.45">
      <c r="A38">
        <v>27</v>
      </c>
      <c r="B38" s="6" t="n">
        <v>16912.959743732146</v>
      </c>
      <c r="C38" s="9">
        <f si="4" t="shared"/>
        <v>1.1028244154172983E-3</v>
      </c>
      <c r="E38" s="217">
        <v>27</v>
      </c>
      <c r="F38" s="307" t="n">
        <v>25925.0</v>
      </c>
      <c r="G38" s="9">
        <f si="5" t="shared"/>
        <v>4.7205352131193907E-3</v>
      </c>
    </row>
    <row r="39" spans="1:7" x14ac:dyDescent="0.45">
      <c r="A39">
        <v>28</v>
      </c>
      <c r="B39" s="6" t="n">
        <v>19558.131524455854</v>
      </c>
      <c r="C39" s="9">
        <f si="4" t="shared"/>
        <v>9.5233975508600931E-4</v>
      </c>
      <c r="E39" s="218">
        <v>28</v>
      </c>
      <c r="F39" s="308" t="n">
        <v>24503.0</v>
      </c>
      <c r="G39" s="9">
        <f si="5" t="shared"/>
        <v>4.3671903839638286E-3</v>
      </c>
    </row>
    <row r="40" spans="1:7" x14ac:dyDescent="0.45">
      <c r="A40">
        <v>29</v>
      </c>
      <c r="B40" s="6" t="n">
        <v>21094.51300365784</v>
      </c>
      <c r="C40" s="9">
        <f si="4" t="shared"/>
        <v>5.7534056277117865E-4</v>
      </c>
      <c r="E40" s="219">
        <v>29</v>
      </c>
      <c r="F40" s="309" t="n">
        <v>22844.0</v>
      </c>
      <c r="G40" s="9">
        <f si="5" t="shared"/>
        <v>4.0915940592557336E-3</v>
      </c>
    </row>
    <row r="41" spans="1:7" x14ac:dyDescent="0.45">
      <c r="A41">
        <v>30</v>
      </c>
      <c r="B41" s="6" t="n">
        <v>21118.896761490058</v>
      </c>
      <c r="C41" s="9">
        <f si="4" t="shared"/>
        <v>1.1969616205841341E-3</v>
      </c>
      <c r="E41" s="220">
        <v>30</v>
      </c>
      <c r="F41" s="310" t="n">
        <v>21877.0</v>
      </c>
      <c r="G41" s="9">
        <f si="5" t="shared"/>
        <v>3.9013314589412002E-3</v>
      </c>
    </row>
    <row r="42" spans="1:7" x14ac:dyDescent="0.45">
      <c r="A42">
        <v>31</v>
      </c>
      <c r="B42" s="6" t="n">
        <v>15483.433288756127</v>
      </c>
      <c r="C42" s="9">
        <f si="4" t="shared"/>
        <v>3.6998218145396764E-3</v>
      </c>
      <c r="E42" s="221">
        <v>31</v>
      </c>
      <c r="F42" s="311" t="n">
        <v>20493.0</v>
      </c>
      <c r="G42" s="9">
        <f si="5" t="shared"/>
        <v>3.8147335312232892E-3</v>
      </c>
    </row>
    <row r="43" spans="1:7" x14ac:dyDescent="0.45">
      <c r="A43">
        <v>32</v>
      </c>
      <c r="B43" s="6" t="n">
        <v>12541.735118781764</v>
      </c>
      <c r="C43" s="9">
        <f si="4" t="shared"/>
        <v>2.2967565306766294E-3</v>
      </c>
      <c r="E43" s="222">
        <v>32</v>
      </c>
      <c r="F43" s="312" t="n">
        <v>19328.0</v>
      </c>
      <c r="G43" s="9">
        <f si="5" t="shared"/>
        <v>3.5669496796508736E-3</v>
      </c>
    </row>
    <row r="44" spans="1:7" x14ac:dyDescent="0.45">
      <c r="A44">
        <v>33</v>
      </c>
      <c r="B44" s="6" t="n">
        <v>11562.956519914298</v>
      </c>
      <c r="C44" s="9">
        <f si="4" t="shared"/>
        <v>1.3261593943788383E-3</v>
      </c>
      <c r="E44" s="223">
        <v>33</v>
      </c>
      <c r="F44" s="313" t="n">
        <v>18704.0</v>
      </c>
      <c r="G44" s="9">
        <f si="5" t="shared"/>
        <v>3.3387609796058683E-3</v>
      </c>
    </row>
    <row r="45" spans="1:7" x14ac:dyDescent="0.45">
      <c r="A45">
        <v>34</v>
      </c>
      <c r="B45" s="6" t="n">
        <v>11262.54790928993</v>
      </c>
      <c r="C45" s="9">
        <f si="4" t="shared"/>
        <v>1.5609362221693718E-3</v>
      </c>
      <c r="E45" s="224">
        <v>34</v>
      </c>
      <c r="F45" s="314" t="n">
        <v>17777.0</v>
      </c>
      <c r="G45" s="9">
        <f si="5" t="shared"/>
        <v>3.011964420261636E-3</v>
      </c>
    </row>
    <row r="46" spans="1:7" x14ac:dyDescent="0.45">
      <c r="A46">
        <v>35</v>
      </c>
      <c r="B46" s="6" t="n">
        <v>9750.91711346326</v>
      </c>
      <c r="C46" s="9">
        <f si="4" t="shared"/>
        <v>3.4744897829584414E-3</v>
      </c>
      <c r="E46" s="225">
        <v>35</v>
      </c>
      <c r="F46" s="315" t="n">
        <v>16554.0</v>
      </c>
      <c r="G46" s="9">
        <f si="5" t="shared"/>
        <v>2.6668369127143426E-3</v>
      </c>
    </row>
    <row r="47" spans="1:7" x14ac:dyDescent="0.45">
      <c r="A47">
        <v>36</v>
      </c>
      <c r="B47" s="6" t="n">
        <v>8770.607017720135</v>
      </c>
      <c r="C47" s="9">
        <f si="4" t="shared"/>
        <v>3.5393966172751697E-4</v>
      </c>
      <c r="E47" s="226">
        <v>36</v>
      </c>
      <c r="F47" s="316" t="n">
        <v>15738.0</v>
      </c>
      <c r="G47" s="9">
        <f si="5" t="shared"/>
        <v>2.4487618392641298E-3</v>
      </c>
    </row>
    <row r="48" spans="1:7" x14ac:dyDescent="0.45">
      <c r="A48">
        <v>37</v>
      </c>
      <c r="B48" s="6" t="n">
        <v>10184.084114461275</v>
      </c>
      <c r="C48" s="9">
        <f si="4" t="shared"/>
        <v>1.0052919570985588E-3</v>
      </c>
      <c r="E48" s="227">
        <v>37</v>
      </c>
      <c r="F48" s="317" t="n">
        <v>15321.0</v>
      </c>
      <c r="G48" s="9">
        <f si="5" t="shared"/>
        <v>2.2180447325704264E-3</v>
      </c>
    </row>
    <row r="49" spans="1:7" x14ac:dyDescent="0.45">
      <c r="A49">
        <v>38</v>
      </c>
      <c r="B49" s="6" t="n">
        <v>10902.419887569195</v>
      </c>
      <c r="C49" s="9">
        <f si="4" t="shared"/>
        <v>9.579348746371056E-4</v>
      </c>
      <c r="E49" s="228">
        <v>38</v>
      </c>
      <c r="F49" s="318" t="n">
        <v>14292.0</v>
      </c>
      <c r="G49" s="9">
        <f si="5" t="shared"/>
        <v>1.988591829201072E-3</v>
      </c>
    </row>
    <row r="50" spans="1:7" x14ac:dyDescent="0.45">
      <c r="A50">
        <v>39</v>
      </c>
      <c r="B50" s="6" t="n">
        <v>10847.026510353426</v>
      </c>
      <c r="C50" s="9">
        <f si="4" t="shared"/>
        <v>0</v>
      </c>
      <c r="E50" s="229">
        <v>39</v>
      </c>
      <c r="F50" s="319" t="n">
        <v>13625.0</v>
      </c>
      <c r="G50" s="9">
        <f si="5" t="shared"/>
        <v>1.8659641067392131E-3</v>
      </c>
    </row>
    <row r="51" spans="1:7" x14ac:dyDescent="0.45">
      <c r="A51">
        <v>40</v>
      </c>
      <c r="B51" s="6" t="n">
        <v>10317.99030237152</v>
      </c>
      <c r="C51" s="9">
        <f si="4" t="shared"/>
        <v>5.4154354448205158E-5</v>
      </c>
      <c r="E51" s="230">
        <v>40</v>
      </c>
      <c r="F51" s="320" t="n">
        <v>12977.0</v>
      </c>
      <c r="G51" s="9">
        <f si="5" t="shared"/>
        <v>1.6327185933968115E-3</v>
      </c>
    </row>
    <row r="52" spans="1:7" x14ac:dyDescent="0.45">
      <c r="A52">
        <v>41</v>
      </c>
      <c r="B52" s="6" t="n">
        <v>8241.931719554961</v>
      </c>
      <c r="C52" s="9">
        <f si="4" t="shared"/>
        <v>1.9686237798152177E-3</v>
      </c>
      <c r="E52" s="231">
        <v>41</v>
      </c>
      <c r="F52" s="321" t="n">
        <v>11942.0</v>
      </c>
      <c r="G52" s="9">
        <f si="5" t="shared"/>
        <v>1.5612911055710894E-3</v>
      </c>
    </row>
    <row r="53" spans="1:7" x14ac:dyDescent="0.45">
      <c r="A53">
        <v>42</v>
      </c>
      <c r="B53" s="6" t="n">
        <v>11593.459918734594</v>
      </c>
      <c r="C53" s="9">
        <f si="4" t="shared"/>
        <v>6.1887901680783897E-5</v>
      </c>
      <c r="E53" s="232">
        <v>42</v>
      </c>
      <c r="F53" s="322" t="n">
        <v>11050.0</v>
      </c>
      <c r="G53" s="9">
        <f si="5" t="shared"/>
        <v>1.300865220755183E-3</v>
      </c>
    </row>
    <row r="54" spans="1:7" x14ac:dyDescent="0.45">
      <c r="A54">
        <v>43</v>
      </c>
      <c r="B54" s="6" t="n">
        <v>8309.088000328178</v>
      </c>
      <c r="C54" s="9">
        <f si="4" t="shared"/>
        <v>0</v>
      </c>
      <c r="E54" s="233">
        <v>43</v>
      </c>
      <c r="F54" s="323" t="n">
        <v>10642.0</v>
      </c>
      <c r="G54" s="9">
        <f si="5" t="shared"/>
        <v>1.2446081728216499E-3</v>
      </c>
    </row>
    <row r="55" spans="1:7" x14ac:dyDescent="0.45">
      <c r="A55">
        <v>44</v>
      </c>
      <c r="B55" s="6" t="n">
        <v>8675.13029928573</v>
      </c>
      <c r="C55" s="9">
        <f si="4" t="shared"/>
        <v>7.0242589946990832E-5</v>
      </c>
      <c r="E55" s="234">
        <v>44</v>
      </c>
      <c r="F55" s="324" t="n">
        <v>9978.0</v>
      </c>
      <c r="G55" s="9">
        <f si="5" t="shared"/>
        <v>1.1643312617254846E-3</v>
      </c>
    </row>
    <row r="56" spans="1:7" x14ac:dyDescent="0.45">
      <c r="A56">
        <v>45</v>
      </c>
      <c r="B56" s="6" t="n">
        <v>6811.458932909596</v>
      </c>
      <c r="C56" s="9">
        <f si="4" t="shared"/>
        <v>6.2614663928579114E-4</v>
      </c>
      <c r="E56" s="235">
        <v>45</v>
      </c>
      <c r="F56" s="325" t="n">
        <v>9422.0</v>
      </c>
      <c r="G56" s="9">
        <f si="5" t="shared"/>
        <v>1.0594023858045128E-3</v>
      </c>
    </row>
    <row r="57" spans="1:7" x14ac:dyDescent="0.45">
      <c r="A57">
        <v>46</v>
      </c>
      <c r="B57" s="6" t="n">
        <v>6605.142316227194</v>
      </c>
      <c r="C57" s="9">
        <f si="4" t="shared"/>
        <v>0</v>
      </c>
      <c r="E57" s="236">
        <v>46</v>
      </c>
      <c r="F57" s="326" t="n">
        <v>8809.0</v>
      </c>
      <c r="G57" s="9">
        <f si="5" t="shared"/>
        <v>1.0714123173858287E-3</v>
      </c>
    </row>
    <row r="58" spans="1:7" x14ac:dyDescent="0.45">
      <c r="A58">
        <v>47</v>
      </c>
      <c r="B58" s="6" t="n">
        <v>5341.203412776507</v>
      </c>
      <c r="C58" s="9">
        <f si="4" t="shared"/>
        <v>0</v>
      </c>
      <c r="E58" s="237">
        <v>47</v>
      </c>
      <c r="F58" s="327" t="n">
        <v>8160.0</v>
      </c>
      <c r="G58" s="9">
        <f si="5" t="shared"/>
        <v>9.8165388135704537E-4</v>
      </c>
    </row>
    <row r="59" spans="1:7" x14ac:dyDescent="0.45">
      <c r="A59">
        <v>48</v>
      </c>
      <c r="B59" s="6" t="n">
        <v>4173.862186302406</v>
      </c>
      <c r="C59" s="9">
        <f si="4" t="shared"/>
        <v>0</v>
      </c>
      <c r="E59" s="238">
        <v>48</v>
      </c>
      <c r="F59" s="328" t="n">
        <v>7712.0</v>
      </c>
      <c r="G59" s="9">
        <f si="5" t="shared"/>
        <v>9.8102177969487106E-4</v>
      </c>
    </row>
    <row r="60" spans="1:7" x14ac:dyDescent="0.45">
      <c r="A60">
        <v>49</v>
      </c>
      <c r="B60" s="6" t="n">
        <v>3139.5781737918946</v>
      </c>
      <c r="C60" s="9">
        <f si="4" t="shared"/>
        <v>0</v>
      </c>
      <c r="E60" s="239">
        <v>49</v>
      </c>
      <c r="F60" s="329" t="n">
        <v>7524.0</v>
      </c>
      <c r="G60" s="9">
        <f si="5" t="shared"/>
        <v>8.9189544532826208E-4</v>
      </c>
    </row>
    <row r="61" spans="1:7" x14ac:dyDescent="0.45">
      <c r="A61">
        <v>50</v>
      </c>
      <c r="B61" s="6" t="n">
        <v>7858.603569638916</v>
      </c>
      <c r="C61" s="9">
        <f si="4" t="shared"/>
        <v>1.3568212380086944E-4</v>
      </c>
      <c r="E61" s="240">
        <v>50</v>
      </c>
      <c r="F61" s="330" t="n">
        <v>7328.0</v>
      </c>
      <c r="G61" s="9">
        <f si="5" t="shared"/>
        <v>9.222363251126395E-4</v>
      </c>
    </row>
    <row r="62" spans="1:7" x14ac:dyDescent="0.45">
      <c r="A62">
        <v>51</v>
      </c>
      <c r="B62" s="6" t="n">
        <v>2394.2283959709694</v>
      </c>
      <c r="C62" s="9">
        <f si="4" t="shared"/>
        <v>0</v>
      </c>
      <c r="E62" s="241">
        <v>51</v>
      </c>
      <c r="F62" s="331" t="n">
        <v>7130.0</v>
      </c>
      <c r="G62" s="9">
        <f si="5" t="shared"/>
        <v>8.38166804043427E-4</v>
      </c>
    </row>
    <row r="63" spans="1:7" x14ac:dyDescent="0.45">
      <c r="A63">
        <v>52</v>
      </c>
      <c r="B63" s="6" t="n">
        <v>3494.1826781760906</v>
      </c>
      <c r="C63" s="9">
        <f si="4" t="shared"/>
        <v>0</v>
      </c>
      <c r="E63" s="242">
        <v>52</v>
      </c>
      <c r="F63" s="332" t="n">
        <v>6586.0</v>
      </c>
      <c r="G63" s="9">
        <f si="5" t="shared"/>
        <v>7.0479335332460113E-4</v>
      </c>
    </row>
    <row r="64" spans="1:7" x14ac:dyDescent="0.45">
      <c r="A64">
        <v>53</v>
      </c>
      <c r="B64" s="6" t="n">
        <v>2009.9283764888853</v>
      </c>
      <c r="C64" s="9">
        <f si="4" t="shared"/>
        <v>1.8869258911296757E-4</v>
      </c>
      <c r="E64" s="243">
        <v>53</v>
      </c>
      <c r="F64" s="333" t="n">
        <v>6374.0</v>
      </c>
      <c r="G64" s="9">
        <f si="5" t="shared"/>
        <v>6.1440281563364342E-4</v>
      </c>
    </row>
    <row r="65" spans="1:7" x14ac:dyDescent="0.45">
      <c r="A65">
        <v>54</v>
      </c>
      <c r="B65" s="6" t="n">
        <v>5426.0797573858445</v>
      </c>
      <c r="C65" s="9">
        <f si="4" t="shared"/>
        <v>0</v>
      </c>
      <c r="E65" s="244">
        <v>54</v>
      </c>
      <c r="F65" s="334" t="n">
        <v>5956.0</v>
      </c>
      <c r="G65" s="9">
        <f si="5" t="shared"/>
        <v>6.042891890388508E-4</v>
      </c>
    </row>
    <row r="66" spans="1:7" x14ac:dyDescent="0.45">
      <c r="A66">
        <v>55</v>
      </c>
      <c r="B66" s="6" t="n">
        <v>2796.038270988518</v>
      </c>
      <c r="C66" s="9">
        <f si="4" t="shared"/>
        <v>8.4802711086243696E-4</v>
      </c>
      <c r="E66" s="245">
        <v>55</v>
      </c>
      <c r="F66" s="335" t="n">
        <v>5845.0</v>
      </c>
      <c r="G66" s="9">
        <f si="5" t="shared"/>
        <v>5.1579495633441658E-4</v>
      </c>
    </row>
    <row r="67" spans="1:7" x14ac:dyDescent="0.45">
      <c r="A67">
        <v>56</v>
      </c>
      <c r="B67" s="6" t="n">
        <v>2610.627062510362</v>
      </c>
      <c r="C67" s="9">
        <f si="4" t="shared"/>
        <v>0</v>
      </c>
      <c r="E67" s="246">
        <v>56</v>
      </c>
      <c r="F67" s="336" t="n">
        <v>5400.0</v>
      </c>
      <c r="G67" s="9">
        <f si="5" t="shared"/>
        <v>5.0125661810440235E-4</v>
      </c>
    </row>
    <row r="68" spans="1:7" x14ac:dyDescent="0.45">
      <c r="A68">
        <v>57</v>
      </c>
      <c r="B68" s="6" t="n">
        <v>2937.5186659154324</v>
      </c>
      <c r="C68" s="9">
        <f si="4" t="shared"/>
        <v>0</v>
      </c>
      <c r="E68" s="247">
        <v>57</v>
      </c>
      <c r="F68" s="337" t="n">
        <v>5202.0</v>
      </c>
      <c r="G68" s="9">
        <f si="5" t="shared"/>
        <v>4.1023397875127011E-4</v>
      </c>
    </row>
    <row r="69" spans="1:7" x14ac:dyDescent="0.45">
      <c r="A69">
        <v>58</v>
      </c>
      <c r="B69" s="6" t="n">
        <v>3757.006344364936</v>
      </c>
      <c r="C69" s="9">
        <f si="4" t="shared"/>
        <v>0</v>
      </c>
      <c r="E69" s="248">
        <v>58</v>
      </c>
      <c r="F69" s="338" t="n">
        <v>4881.0</v>
      </c>
      <c r="G69" s="9">
        <f si="5" t="shared"/>
        <v>4.2161180867041168E-4</v>
      </c>
    </row>
    <row r="70" spans="1:7" x14ac:dyDescent="0.45">
      <c r="A70">
        <v>59</v>
      </c>
      <c r="B70" s="6" t="n">
        <v>2164.7941636400237</v>
      </c>
      <c r="C70" s="9">
        <f si="4" t="shared"/>
        <v>4.8430707583215719E-4</v>
      </c>
      <c r="E70" s="249">
        <v>59</v>
      </c>
      <c r="F70" s="339" t="n">
        <v>4838.0</v>
      </c>
      <c r="G70" s="9">
        <f si="5" t="shared"/>
        <v>3.8431781060211436E-4</v>
      </c>
    </row>
    <row r="71" spans="1:7" x14ac:dyDescent="0.45">
      <c r="A71">
        <v>60</v>
      </c>
      <c r="B71" s="6" t="n">
        <v>1237.2348867494068</v>
      </c>
      <c r="C71" s="9">
        <f si="4" t="shared"/>
        <v>0</v>
      </c>
      <c r="E71" s="250">
        <v>60</v>
      </c>
      <c r="F71" s="340" t="n">
        <v>4605.0</v>
      </c>
      <c r="G71" s="9">
        <f si="5" t="shared"/>
        <v>3.3058916931727927E-4</v>
      </c>
    </row>
    <row r="72" spans="1:7" x14ac:dyDescent="0.45">
      <c r="A72">
        <v>61</v>
      </c>
      <c r="B72" s="6" t="n">
        <v>4071.83668325495</v>
      </c>
      <c r="C72" s="9">
        <f si="4" t="shared"/>
        <v>0</v>
      </c>
      <c r="E72" s="251">
        <v>61</v>
      </c>
      <c r="F72" s="341" t="n">
        <v>4241.0</v>
      </c>
      <c r="G72" s="9">
        <f si="5" t="shared"/>
        <v>2.8254944299201497E-4</v>
      </c>
    </row>
    <row r="73" spans="1:7" x14ac:dyDescent="0.45">
      <c r="A73">
        <v>62</v>
      </c>
      <c r="B73" s="6" t="n">
        <v>2966.556089105723</v>
      </c>
      <c r="C73" s="9">
        <f si="4" t="shared"/>
        <v>0</v>
      </c>
      <c r="E73" s="252">
        <v>62</v>
      </c>
      <c r="F73" s="342" t="n">
        <v>4227.0</v>
      </c>
      <c r="G73" s="9">
        <f si="5" t="shared"/>
        <v>2.680111047620008E-4</v>
      </c>
    </row>
    <row r="74" spans="1:7" x14ac:dyDescent="0.45">
      <c r="A74">
        <v>63</v>
      </c>
      <c r="B74" s="6" t="n">
        <v>3364.559284659497</v>
      </c>
      <c r="C74" s="9">
        <f si="4" t="shared"/>
        <v>0</v>
      </c>
      <c r="E74" s="253">
        <v>63</v>
      </c>
      <c r="F74" s="343" t="n">
        <v>3997.0</v>
      </c>
      <c r="G74" s="9">
        <f si="5" t="shared"/>
        <v>2.3830232663979786E-4</v>
      </c>
    </row>
    <row r="75" spans="1:7" x14ac:dyDescent="0.45">
      <c r="A75">
        <v>64</v>
      </c>
      <c r="B75" s="6" t="n">
        <v>1594.0601562706142</v>
      </c>
      <c r="C75" s="9">
        <f si="4" t="shared"/>
        <v>0</v>
      </c>
      <c r="E75" s="254">
        <v>64</v>
      </c>
      <c r="F75" s="344" t="n">
        <v>4074.0</v>
      </c>
      <c r="G75" s="9">
        <f si="5" t="shared"/>
        <v>2.4651964824806677E-4</v>
      </c>
    </row>
    <row r="76" spans="1:7" x14ac:dyDescent="0.45">
      <c r="A76">
        <v>65</v>
      </c>
      <c r="B76" s="6" t="n">
        <v>1291.728415505061</v>
      </c>
      <c r="C76" s="9">
        <f si="4" t="shared"/>
        <v>0</v>
      </c>
      <c r="E76" s="255">
        <v>65</v>
      </c>
      <c r="F76" s="345" t="n">
        <v>3840.0</v>
      </c>
      <c r="G76" s="9">
        <f si="5" t="shared"/>
        <v>2.4146283495067055E-4</v>
      </c>
    </row>
    <row r="77" spans="1:7" x14ac:dyDescent="0.45">
      <c r="A77">
        <v>66</v>
      </c>
      <c r="B77" s="6" t="n">
        <v>1939.3791035163972</v>
      </c>
      <c r="C77" s="9">
        <f ref="C77:C102" si="8" t="shared">B77/B$102</f>
        <v>0</v>
      </c>
      <c r="E77" s="256">
        <v>66</v>
      </c>
      <c r="F77" s="346" t="n">
        <v>3626.0</v>
      </c>
      <c r="G77" s="9">
        <f ref="G77:G102" si="9" t="shared">F77/F$102</f>
        <v>2.199713784367365E-4</v>
      </c>
    </row>
    <row r="78" spans="1:7" x14ac:dyDescent="0.45">
      <c r="A78">
        <v>67</v>
      </c>
      <c r="B78" s="6" t="n">
        <v>1436.9617994262626</v>
      </c>
      <c r="C78" s="9">
        <f si="8" t="shared"/>
        <v>0</v>
      </c>
      <c r="E78" s="257">
        <v>67</v>
      </c>
      <c r="F78" s="347" t="n">
        <v>3307.0</v>
      </c>
      <c r="G78" s="9">
        <f si="9" t="shared"/>
        <v>1.9595151527410434E-4</v>
      </c>
    </row>
    <row r="79" spans="1:7" x14ac:dyDescent="0.45">
      <c r="A79">
        <v>68</v>
      </c>
      <c r="B79" s="6" t="n">
        <v>2211.3414406134675</v>
      </c>
      <c r="C79" s="9">
        <f si="8" t="shared"/>
        <v>0</v>
      </c>
      <c r="E79" s="258">
        <v>68</v>
      </c>
      <c r="F79" s="348" t="n">
        <v>3462.0</v>
      </c>
      <c r="G79" s="9">
        <f si="9" t="shared"/>
        <v>1.7888477039539204E-4</v>
      </c>
    </row>
    <row r="80" spans="1:7" x14ac:dyDescent="0.45">
      <c r="A80">
        <v>69</v>
      </c>
      <c r="B80" s="6" t="n">
        <v>2479.201581079367</v>
      </c>
      <c r="C80" s="9">
        <f si="8" t="shared"/>
        <v>0</v>
      </c>
      <c r="E80" s="259">
        <v>69</v>
      </c>
      <c r="F80" s="349" t="n">
        <v>3272.0</v>
      </c>
      <c r="G80" s="9">
        <f si="9" t="shared"/>
        <v>1.9658361693627888E-4</v>
      </c>
    </row>
    <row r="81" spans="1:7" x14ac:dyDescent="0.45">
      <c r="A81">
        <v>70</v>
      </c>
      <c r="B81" s="6" t="n">
        <v>1571.504970178229</v>
      </c>
      <c r="C81" s="9">
        <f si="8" t="shared"/>
        <v>0</v>
      </c>
      <c r="E81" s="260">
        <v>70</v>
      </c>
      <c r="F81" s="350" t="n">
        <v>2952.0</v>
      </c>
      <c r="G81" s="9">
        <f si="9" t="shared"/>
        <v>1.4411917897579288E-4</v>
      </c>
    </row>
    <row r="82" spans="1:7" x14ac:dyDescent="0.45">
      <c r="A82">
        <v>71</v>
      </c>
      <c r="B82" s="6" t="n">
        <v>902.3770596122863</v>
      </c>
      <c r="C82" s="9">
        <f si="8" t="shared"/>
        <v>0</v>
      </c>
      <c r="E82" s="261">
        <v>71</v>
      </c>
      <c r="F82" s="351" t="n">
        <v>2842.0</v>
      </c>
      <c r="G82" s="9">
        <f si="9" t="shared"/>
        <v>1.4664758562449101E-4</v>
      </c>
    </row>
    <row r="83" spans="1:7" x14ac:dyDescent="0.45">
      <c r="A83">
        <v>72</v>
      </c>
      <c r="B83" s="6" t="n">
        <v>1992.5717566288802</v>
      </c>
      <c r="C83" s="9">
        <f si="8" t="shared"/>
        <v>0</v>
      </c>
      <c r="E83" s="262">
        <v>72</v>
      </c>
      <c r="F83" s="352" t="n">
        <v>2774.0</v>
      </c>
      <c r="G83" s="9">
        <f si="9" t="shared"/>
        <v>1.194672141509862E-4</v>
      </c>
    </row>
    <row r="84" spans="1:7" x14ac:dyDescent="0.45">
      <c r="A84">
        <v>73</v>
      </c>
      <c r="B84" s="6" t="n">
        <v>339.06150037056</v>
      </c>
      <c r="C84" s="9">
        <f si="8" t="shared"/>
        <v>0</v>
      </c>
      <c r="E84" s="263">
        <v>73</v>
      </c>
      <c r="F84" s="353" t="n">
        <v>2535.0</v>
      </c>
      <c r="G84" s="9">
        <f si="9" t="shared"/>
        <v>1.1567460417793903E-4</v>
      </c>
    </row>
    <row r="85" spans="1:7" x14ac:dyDescent="0.45">
      <c r="A85">
        <v>74</v>
      </c>
      <c r="B85" s="6" t="n">
        <v>943.1873384925871</v>
      </c>
      <c r="C85" s="9">
        <f si="8" t="shared"/>
        <v>2.4472715995146942E-4</v>
      </c>
      <c r="E85" s="264">
        <v>74</v>
      </c>
      <c r="F85" s="354" t="n">
        <v>2512.0</v>
      </c>
      <c r="G85" s="9">
        <f si="9" t="shared"/>
        <v>1.0366467259662294E-4</v>
      </c>
    </row>
    <row r="86" spans="1:7" x14ac:dyDescent="0.45">
      <c r="A86">
        <v>75</v>
      </c>
      <c r="B86" s="6" t="n">
        <v>1903.3227246218548</v>
      </c>
      <c r="C86" s="9">
        <f si="8" t="shared"/>
        <v>0</v>
      </c>
      <c r="E86" s="265">
        <v>75</v>
      </c>
      <c r="F86" s="355" t="n">
        <v>2170.0</v>
      </c>
      <c r="G86" s="9">
        <f si="9" t="shared"/>
        <v>9.1654741015306882E-5</v>
      </c>
    </row>
    <row r="87" spans="1:7" x14ac:dyDescent="0.45">
      <c r="A87">
        <v>76</v>
      </c>
      <c r="B87" s="6" t="n">
        <v>1771.7725127907572</v>
      </c>
      <c r="C87" s="9">
        <f si="8" t="shared"/>
        <v>0</v>
      </c>
      <c r="E87" s="266">
        <v>76</v>
      </c>
      <c r="F87" s="356" t="n">
        <v>2036.0</v>
      </c>
      <c r="G87" s="9">
        <f si="9" t="shared"/>
        <v>6.8899081177023795E-5</v>
      </c>
    </row>
    <row r="88" spans="1:7" x14ac:dyDescent="0.45">
      <c r="A88">
        <v>77</v>
      </c>
      <c r="B88" s="6" t="n">
        <v>2035.456433328055</v>
      </c>
      <c r="C88" s="9">
        <f si="8" t="shared"/>
        <v>0</v>
      </c>
      <c r="E88" s="267">
        <v>77</v>
      </c>
      <c r="F88" s="357" t="n">
        <v>2130.0</v>
      </c>
      <c r="G88" s="9">
        <f si="9" t="shared"/>
        <v>9.0390537690957805E-5</v>
      </c>
    </row>
    <row r="89" spans="1:7" x14ac:dyDescent="0.45">
      <c r="A89">
        <v>78</v>
      </c>
      <c r="B89" s="6" t="n">
        <v>955.5445056151863</v>
      </c>
      <c r="C89" s="9">
        <f si="8" t="shared"/>
        <v>0</v>
      </c>
      <c r="E89" s="268">
        <v>78</v>
      </c>
      <c r="F89" s="358" t="n">
        <v>1947.0</v>
      </c>
      <c r="G89" s="9">
        <f si="9" t="shared"/>
        <v>6.6370674528325681E-5</v>
      </c>
    </row>
    <row r="90" spans="1:7" x14ac:dyDescent="0.45">
      <c r="A90">
        <v>79</v>
      </c>
      <c r="B90" s="6" t="n">
        <v>79.846417402993</v>
      </c>
      <c r="C90" s="9">
        <f si="8" t="shared"/>
        <v>0</v>
      </c>
      <c r="E90" s="269">
        <v>79</v>
      </c>
      <c r="F90" s="359" t="n">
        <v>1671.0</v>
      </c>
      <c r="G90" s="9">
        <f si="9" t="shared"/>
        <v>8.0276911096165325E-5</v>
      </c>
    </row>
    <row r="91" spans="1:7" x14ac:dyDescent="0.45">
      <c r="A91">
        <v>80</v>
      </c>
      <c r="B91" s="6" t="n">
        <v>919.7645947810674</v>
      </c>
      <c r="C91" s="9">
        <f si="8" t="shared"/>
        <v>0</v>
      </c>
      <c r="E91" s="270">
        <v>80</v>
      </c>
      <c r="F91" s="360" t="n">
        <v>1487.0</v>
      </c>
      <c r="G91" s="9">
        <f si="9" t="shared"/>
        <v>9.2918944339655932E-5</v>
      </c>
    </row>
    <row r="92" spans="1:7" x14ac:dyDescent="0.45">
      <c r="A92">
        <v>81</v>
      </c>
      <c r="B92" s="6" t="n">
        <v>539.2249451767275</v>
      </c>
      <c r="C92" s="9">
        <f si="8" t="shared"/>
        <v>0</v>
      </c>
      <c r="E92" s="271">
        <v>81</v>
      </c>
      <c r="F92" s="361" t="n">
        <v>1410.0</v>
      </c>
      <c r="G92" s="9">
        <f si="9" t="shared"/>
        <v>6.2578064555278491E-5</v>
      </c>
    </row>
    <row r="93" spans="1:7" x14ac:dyDescent="0.45">
      <c r="A93">
        <v>82</v>
      </c>
      <c r="B93" s="6" t="n">
        <v>2288.1598929595166</v>
      </c>
      <c r="C93" s="9">
        <f si="8" t="shared"/>
        <v>0</v>
      </c>
      <c r="E93" s="272">
        <v>82</v>
      </c>
      <c r="F93" s="362" t="n">
        <v>1396.0</v>
      </c>
      <c r="G93" s="9">
        <f si="9" t="shared"/>
        <v>6.6370674528325681E-5</v>
      </c>
    </row>
    <row r="94" spans="1:7" x14ac:dyDescent="0.45">
      <c r="A94">
        <v>83</v>
      </c>
      <c r="B94" s="6" t="n">
        <v>0.0</v>
      </c>
      <c r="C94" s="9">
        <f si="8" t="shared"/>
        <v>0</v>
      </c>
      <c r="E94" s="273">
        <v>83</v>
      </c>
      <c r="F94" s="363" t="n">
        <v>1332.0</v>
      </c>
      <c r="G94" s="9">
        <f si="9" t="shared"/>
        <v>6.5106471203976604E-5</v>
      </c>
    </row>
    <row r="95" spans="1:7" x14ac:dyDescent="0.45">
      <c r="A95">
        <v>84</v>
      </c>
      <c r="B95" s="6" t="n">
        <v>30.6171809117027</v>
      </c>
      <c r="C95" s="9">
        <f si="8" t="shared"/>
        <v>0</v>
      </c>
      <c r="E95" s="274">
        <v>84</v>
      </c>
      <c r="F95" s="364" t="n">
        <v>1211.0</v>
      </c>
      <c r="G95" s="9">
        <f si="9" t="shared"/>
        <v>7.0163284501372844E-5</v>
      </c>
    </row>
    <row r="96" spans="1:7" x14ac:dyDescent="0.45">
      <c r="A96">
        <v>85</v>
      </c>
      <c r="B96" s="6" t="n">
        <v>476.445018997505</v>
      </c>
      <c r="C96" s="9">
        <f si="8" t="shared"/>
        <v>0</v>
      </c>
      <c r="E96" s="275">
        <v>85</v>
      </c>
      <c r="F96" s="365" t="n">
        <v>1143.0</v>
      </c>
      <c r="G96" s="9">
        <f si="9" t="shared"/>
        <v>5.1200234636136947E-5</v>
      </c>
    </row>
    <row r="97" spans="1:7" x14ac:dyDescent="0.45">
      <c r="A97">
        <v>86</v>
      </c>
      <c r="B97" s="6" t="n">
        <v>746.67957209434</v>
      </c>
      <c r="C97" s="9">
        <f si="8" t="shared"/>
        <v>0</v>
      </c>
      <c r="E97" s="276">
        <v>86</v>
      </c>
      <c r="F97" s="366" t="n">
        <v>887.0</v>
      </c>
      <c r="G97" s="9">
        <f si="9" t="shared"/>
        <v>6.7634877852674731E-5</v>
      </c>
    </row>
    <row r="98" spans="1:7" x14ac:dyDescent="0.45">
      <c r="A98">
        <v>87</v>
      </c>
      <c r="B98" s="6" t="n">
        <v>734.739426363561</v>
      </c>
      <c r="C98" s="9">
        <f si="8" t="shared"/>
        <v>0</v>
      </c>
      <c r="E98" s="277">
        <v>87</v>
      </c>
      <c r="F98" s="367" t="n">
        <v>921.0</v>
      </c>
      <c r="G98" s="9">
        <f si="9" t="shared"/>
        <v>5.3728641284835067E-5</v>
      </c>
    </row>
    <row r="99" spans="1:7" x14ac:dyDescent="0.45">
      <c r="A99">
        <v>88</v>
      </c>
      <c r="B99" s="6" t="n">
        <v>0.0</v>
      </c>
      <c r="C99" s="9">
        <f si="8" t="shared"/>
        <v>0</v>
      </c>
      <c r="E99" s="278">
        <v>88</v>
      </c>
      <c r="F99" s="368" t="n">
        <v>857.0</v>
      </c>
      <c r="G99" s="9">
        <f si="9" t="shared"/>
        <v>4.4879218014391643E-5</v>
      </c>
    </row>
    <row r="100" spans="1:7" x14ac:dyDescent="0.45">
      <c r="A100">
        <v>89</v>
      </c>
      <c r="B100" s="6" t="n">
        <v>52.8558184285318</v>
      </c>
      <c r="C100" s="9">
        <f si="8" t="shared"/>
        <v>0</v>
      </c>
      <c r="E100" s="279">
        <v>89</v>
      </c>
      <c r="F100" s="369" t="n">
        <v>822.0</v>
      </c>
      <c r="G100" s="9">
        <f si="9" t="shared"/>
        <v>3.9822404716995397E-5</v>
      </c>
    </row>
    <row ht="14.65" r="101" spans="1:7" thickBot="1" x14ac:dyDescent="0.5">
      <c r="A101" s="1">
        <v>90</v>
      </c>
      <c r="B101" s="7" t="n">
        <v>897.8060066865164</v>
      </c>
      <c r="C101" s="9">
        <f si="8" t="shared"/>
        <v>0</v>
      </c>
      <c r="E101" s="372">
        <v>90</v>
      </c>
      <c r="F101" s="372" t="n">
        <v>12788.0</v>
      </c>
      <c r="G101" s="9">
        <f si="9" t="shared"/>
        <v>1.2939121024712632E-3</v>
      </c>
    </row>
    <row r="102" spans="1:7" x14ac:dyDescent="0.45">
      <c r="B102" s="6">
        <f>SUM(B11:B101)</f>
        <v>591749.35498064267</v>
      </c>
      <c r="C102" s="9">
        <f si="8" t="shared"/>
        <v>1</v>
      </c>
      <c r="F102" s="6">
        <f>SUM(F11:F101)</f>
        <v>527341.33333280659</v>
      </c>
      <c r="G102" s="9">
        <f si="9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82005.15577609901</v>
      </c>
      <c r="C11" s="9">
        <f>B11/B$102</f>
        <v>0.14574158502395446</v>
      </c>
      <c r="E11" s="371">
        <v>0</v>
      </c>
      <c r="F11" s="371" t="n">
        <v>64761.0</v>
      </c>
      <c r="G11" s="9">
        <f>F11/F$102</f>
        <v>0.15885953608247419</v>
      </c>
      <c r="K11" s="6" t="n">
        <v>9.966785708048283</v>
      </c>
      <c r="L11" s="6" t="n">
        <v>10.33518320334783</v>
      </c>
    </row>
    <row r="12" spans="1:12" x14ac:dyDescent="0.45">
      <c r="A12">
        <v>1</v>
      </c>
      <c r="B12" s="6" t="n">
        <v>93488.54765163343</v>
      </c>
      <c r="C12" s="9">
        <f>B12/B$102</f>
        <v>0.25950761603129752</v>
      </c>
      <c r="E12" s="371">
        <v>1</v>
      </c>
      <c r="F12" s="371" t="n">
        <v>79655.0</v>
      </c>
      <c r="G12" s="9">
        <f>F12/F$102</f>
        <v>0.18287923416789389</v>
      </c>
      <c r="K12" s="6"/>
      <c r="L12" s="371"/>
    </row>
    <row r="13" spans="1:12" x14ac:dyDescent="0.45">
      <c r="A13">
        <v>2</v>
      </c>
      <c r="B13" s="6" t="n">
        <v>88080.48174873122</v>
      </c>
      <c r="C13" s="9">
        <f ref="C13:C76" si="0" t="shared">B13/B$102</f>
        <v>0.10427640769856121</v>
      </c>
      <c r="E13" s="371">
        <v>2</v>
      </c>
      <c r="F13" s="371" t="n">
        <v>76113.0</v>
      </c>
      <c r="G13" s="9">
        <f ref="G13:G76" si="1" t="shared">F13/F$102</f>
        <v>0.13141108247422675</v>
      </c>
    </row>
    <row r="14" spans="1:12" x14ac:dyDescent="0.45">
      <c r="A14">
        <v>3</v>
      </c>
      <c r="B14" s="6" t="n">
        <v>77143.98131561956</v>
      </c>
      <c r="C14" s="9">
        <f si="0" t="shared"/>
        <v>3.2559548667214132E-2</v>
      </c>
      <c r="E14" s="371">
        <v>3</v>
      </c>
      <c r="F14" s="371" t="n">
        <v>66138.0</v>
      </c>
      <c r="G14" s="9">
        <f si="1" t="shared"/>
        <v>8.7819863770250334E-2</v>
      </c>
    </row>
    <row r="15" spans="1:12" x14ac:dyDescent="0.45">
      <c r="A15">
        <v>4</v>
      </c>
      <c r="B15" s="6" t="n">
        <v>65717.7359881392</v>
      </c>
      <c r="C15" s="9">
        <f si="0" t="shared"/>
        <v>8.038589312958401E-2</v>
      </c>
      <c r="E15" s="371">
        <v>4</v>
      </c>
      <c r="F15" s="371" t="n">
        <v>56283.0</v>
      </c>
      <c r="G15" s="9">
        <f si="1" t="shared"/>
        <v>5.863402061855668E-2</v>
      </c>
    </row>
    <row r="16" spans="1:12" x14ac:dyDescent="0.45">
      <c r="A16">
        <v>5</v>
      </c>
      <c r="B16" s="6" t="n">
        <v>52880.878421576585</v>
      </c>
      <c r="C16" s="9">
        <f si="0" t="shared"/>
        <v>6.57960725574782E-2</v>
      </c>
      <c r="E16" s="371">
        <v>5</v>
      </c>
      <c r="F16" s="371" t="n">
        <v>52196.0</v>
      </c>
      <c r="G16" s="9">
        <f si="1" t="shared"/>
        <v>4.4456461708394686E-2</v>
      </c>
    </row>
    <row r="17" spans="1:7" x14ac:dyDescent="0.45">
      <c r="A17">
        <v>6</v>
      </c>
      <c r="B17" s="6" t="n">
        <v>45632.342920491465</v>
      </c>
      <c r="C17" s="9">
        <f si="0" t="shared"/>
        <v>3.1560798343953415E-2</v>
      </c>
      <c r="E17" s="371">
        <v>6</v>
      </c>
      <c r="F17" s="371" t="n">
        <v>43673.0</v>
      </c>
      <c r="G17" s="9">
        <f si="1" t="shared"/>
        <v>3.8883008100147262E-2</v>
      </c>
    </row>
    <row r="18" spans="1:7" x14ac:dyDescent="0.45">
      <c r="A18">
        <v>7</v>
      </c>
      <c r="B18" s="6" t="n">
        <v>45257.89075368003</v>
      </c>
      <c r="C18" s="9">
        <f si="0" t="shared"/>
        <v>5.9530383768677503E-2</v>
      </c>
      <c r="E18" s="371">
        <v>7</v>
      </c>
      <c r="F18" s="371" t="n">
        <v>38781.0</v>
      </c>
      <c r="G18" s="9">
        <f si="1" t="shared"/>
        <v>3.15721649484536E-2</v>
      </c>
    </row>
    <row r="19" spans="1:7" x14ac:dyDescent="0.45">
      <c r="A19">
        <v>8</v>
      </c>
      <c r="B19" s="6" t="n">
        <v>44415.744457876106</v>
      </c>
      <c r="C19" s="9">
        <f si="0" t="shared"/>
        <v>1.9218717031923228E-2</v>
      </c>
      <c r="E19" s="371">
        <v>8</v>
      </c>
      <c r="F19" s="371" t="n">
        <v>35857.0</v>
      </c>
      <c r="G19" s="9">
        <f si="1" t="shared"/>
        <v>2.7600331369661259E-2</v>
      </c>
    </row>
    <row r="20" spans="1:7" x14ac:dyDescent="0.45">
      <c r="A20">
        <v>9</v>
      </c>
      <c r="B20" s="6" t="n">
        <v>34656.73527374358</v>
      </c>
      <c r="C20" s="9">
        <f si="0" t="shared"/>
        <v>1.6564696157014013E-2</v>
      </c>
      <c r="E20" s="371">
        <v>9</v>
      </c>
      <c r="F20" s="371" t="n">
        <v>32467.0</v>
      </c>
      <c r="G20" s="9">
        <f si="1" t="shared"/>
        <v>2.7167709867452126E-2</v>
      </c>
    </row>
    <row r="21" spans="1:7" x14ac:dyDescent="0.45">
      <c r="A21">
        <v>10</v>
      </c>
      <c r="B21" s="6" t="n">
        <v>35662.76219147327</v>
      </c>
      <c r="C21" s="9">
        <f si="0" t="shared"/>
        <v>3.079568304624454E-2</v>
      </c>
      <c r="E21" s="371">
        <v>10</v>
      </c>
      <c r="F21" s="371" t="n">
        <v>30903.0</v>
      </c>
      <c r="G21" s="9">
        <f si="1" t="shared"/>
        <v>2.4456921944035339E-2</v>
      </c>
    </row>
    <row r="22" spans="1:7" x14ac:dyDescent="0.45">
      <c r="A22">
        <v>11</v>
      </c>
      <c r="B22" s="6" t="n">
        <v>40512.06890871455</v>
      </c>
      <c r="C22" s="9">
        <f si="0" t="shared"/>
        <v>2.1008416369727542E-2</v>
      </c>
      <c r="E22" s="371">
        <v>11</v>
      </c>
      <c r="F22" s="371" t="n">
        <v>29613.0</v>
      </c>
      <c r="G22" s="9">
        <f si="1" t="shared"/>
        <v>2.133422312223858E-2</v>
      </c>
    </row>
    <row r="23" spans="1:7" x14ac:dyDescent="0.45">
      <c r="A23">
        <v>12</v>
      </c>
      <c r="B23" s="6" t="n">
        <v>29195.68675248606</v>
      </c>
      <c r="C23" s="9">
        <f si="0" t="shared"/>
        <v>9.6877255553891282E-3</v>
      </c>
      <c r="E23" s="371">
        <v>12</v>
      </c>
      <c r="F23" s="371" t="n">
        <v>28596.0</v>
      </c>
      <c r="G23" s="9">
        <f si="1" t="shared"/>
        <v>1.773518041237113E-2</v>
      </c>
    </row>
    <row r="24" spans="1:7" x14ac:dyDescent="0.45">
      <c r="A24">
        <v>13</v>
      </c>
      <c r="B24" s="6" t="n">
        <v>26494.321537535714</v>
      </c>
      <c r="C24" s="9">
        <f si="0" t="shared"/>
        <v>1.6017036185533455E-2</v>
      </c>
      <c r="E24" s="371">
        <v>13</v>
      </c>
      <c r="F24" s="371" t="n">
        <v>25045.0</v>
      </c>
      <c r="G24" s="9">
        <f si="1" t="shared"/>
        <v>1.5671023564064798E-2</v>
      </c>
    </row>
    <row r="25" spans="1:7" x14ac:dyDescent="0.45">
      <c r="A25">
        <v>14</v>
      </c>
      <c r="B25" s="6" t="n">
        <v>27342.355960422217</v>
      </c>
      <c r="C25" s="9">
        <f si="0" t="shared"/>
        <v>1.1813954368757E-2</v>
      </c>
      <c r="E25" s="371">
        <v>14</v>
      </c>
      <c r="F25" s="371" t="n">
        <v>24630.0</v>
      </c>
      <c r="G25" s="9">
        <f si="1" t="shared"/>
        <v>1.3425073637702499E-2</v>
      </c>
    </row>
    <row r="26" spans="1:7" x14ac:dyDescent="0.45">
      <c r="A26">
        <v>15</v>
      </c>
      <c r="B26" s="6" t="n">
        <v>20610.445486286488</v>
      </c>
      <c r="C26" s="9">
        <f si="0" t="shared"/>
        <v>2.5753842082766273E-3</v>
      </c>
      <c r="E26" s="371">
        <v>15</v>
      </c>
      <c r="F26" s="371" t="n">
        <v>22091.0</v>
      </c>
      <c r="G26" s="9">
        <f si="1" t="shared"/>
        <v>1.2709407216494842E-2</v>
      </c>
    </row>
    <row r="27" spans="1:7" x14ac:dyDescent="0.45">
      <c r="A27">
        <v>16</v>
      </c>
      <c r="B27" s="6" t="n">
        <v>19387.144510963113</v>
      </c>
      <c r="C27" s="9">
        <f si="0" t="shared"/>
        <v>7.5101736701407825E-3</v>
      </c>
      <c r="E27" s="371">
        <v>16</v>
      </c>
      <c r="F27" s="371" t="n">
        <v>20414.0</v>
      </c>
      <c r="G27" s="9">
        <f si="1" t="shared"/>
        <v>1.1443759204712809E-2</v>
      </c>
    </row>
    <row r="28" spans="1:7" x14ac:dyDescent="0.45">
      <c r="A28">
        <v>17</v>
      </c>
      <c r="B28" s="6" t="n">
        <v>13376.145430962231</v>
      </c>
      <c r="C28" s="9">
        <f si="0" t="shared"/>
        <v>2.2458719194772249E-2</v>
      </c>
      <c r="E28" s="371">
        <v>17</v>
      </c>
      <c r="F28" s="371" t="n">
        <v>18660.0</v>
      </c>
      <c r="G28" s="9">
        <f si="1" t="shared"/>
        <v>9.9433910162002922E-3</v>
      </c>
    </row>
    <row r="29" spans="1:7" x14ac:dyDescent="0.45">
      <c r="A29">
        <v>18</v>
      </c>
      <c r="B29" s="6" t="n">
        <v>22959.792307714873</v>
      </c>
      <c r="C29" s="9">
        <f si="0" t="shared"/>
        <v>1.0806841003896296E-2</v>
      </c>
      <c r="E29" s="371">
        <v>18</v>
      </c>
      <c r="F29" s="371" t="n">
        <v>16346.0</v>
      </c>
      <c r="G29" s="9">
        <f si="1" t="shared"/>
        <v>9.4049153166421186E-3</v>
      </c>
    </row>
    <row r="30" spans="1:7" x14ac:dyDescent="0.45">
      <c r="A30">
        <v>19</v>
      </c>
      <c r="B30" s="6" t="n">
        <v>14368.041185003012</v>
      </c>
      <c r="C30" s="9">
        <f si="0" t="shared"/>
        <v>0</v>
      </c>
      <c r="E30" s="371">
        <v>19</v>
      </c>
      <c r="F30" s="371" t="n">
        <v>14408.0</v>
      </c>
      <c r="G30" s="9">
        <f si="1" t="shared"/>
        <v>8.4062039764359331E-3</v>
      </c>
    </row>
    <row r="31" spans="1:7" x14ac:dyDescent="0.45">
      <c r="A31">
        <v>20</v>
      </c>
      <c r="B31" s="6" t="n">
        <v>11357.833064584016</v>
      </c>
      <c r="C31" s="9">
        <f si="0" t="shared"/>
        <v>7.5932361625730745E-3</v>
      </c>
      <c r="E31" s="371">
        <v>20</v>
      </c>
      <c r="F31" s="371" t="n">
        <v>12975.0</v>
      </c>
      <c r="G31" s="9">
        <f si="1" t="shared"/>
        <v>7.0715206185567002E-3</v>
      </c>
    </row>
    <row r="32" spans="1:7" x14ac:dyDescent="0.45">
      <c r="A32">
        <v>21</v>
      </c>
      <c r="B32" s="6" t="n">
        <v>15920.732382709399</v>
      </c>
      <c r="C32" s="9">
        <f si="0" t="shared"/>
        <v>7.6690005250066428E-3</v>
      </c>
      <c r="E32" s="371">
        <v>21</v>
      </c>
      <c r="F32" s="371" t="n">
        <v>11394.0</v>
      </c>
      <c r="G32" s="9">
        <f si="1" t="shared"/>
        <v>6.8022827687776125E-3</v>
      </c>
    </row>
    <row r="33" spans="1:7" x14ac:dyDescent="0.45">
      <c r="A33">
        <v>22</v>
      </c>
      <c r="B33" s="6" t="n">
        <v>9831.636913970064</v>
      </c>
      <c r="C33" s="9">
        <f si="0" t="shared"/>
        <v>0</v>
      </c>
      <c r="E33" s="371">
        <v>22</v>
      </c>
      <c r="F33" s="371" t="n">
        <v>10378.0</v>
      </c>
      <c r="G33" s="9">
        <f si="1" t="shared"/>
        <v>6.222385861561118E-3</v>
      </c>
    </row>
    <row r="34" spans="1:7" x14ac:dyDescent="0.45">
      <c r="A34">
        <v>23</v>
      </c>
      <c r="B34" s="6" t="n">
        <v>8123.34567493777</v>
      </c>
      <c r="C34" s="9">
        <f si="0" t="shared"/>
        <v>2.6928850844887202E-3</v>
      </c>
      <c r="E34" s="371">
        <v>23</v>
      </c>
      <c r="F34" s="371" t="n">
        <v>10121.0</v>
      </c>
      <c r="G34" s="9">
        <f si="1" t="shared"/>
        <v>5.3502393225331362E-3</v>
      </c>
    </row>
    <row r="35" spans="1:7" x14ac:dyDescent="0.45">
      <c r="A35">
        <v>24</v>
      </c>
      <c r="B35" s="6" t="n">
        <v>12487.820575707688</v>
      </c>
      <c r="C35" s="9">
        <f si="0" t="shared"/>
        <v>3.3052097174166377E-3</v>
      </c>
      <c r="E35" s="371">
        <v>24</v>
      </c>
      <c r="F35" s="371" t="n">
        <v>9128.0</v>
      </c>
      <c r="G35" s="9">
        <f si="1" t="shared"/>
        <v>4.9107142857142847E-3</v>
      </c>
    </row>
    <row r="36" spans="1:7" x14ac:dyDescent="0.45">
      <c r="A36">
        <v>25</v>
      </c>
      <c r="B36" s="6" t="n">
        <v>7024.832785081541</v>
      </c>
      <c r="C36" s="9">
        <f si="0" t="shared"/>
        <v>1.7632831717688098E-2</v>
      </c>
      <c r="E36" s="371">
        <v>25</v>
      </c>
      <c r="F36" s="371" t="n">
        <v>8898.0</v>
      </c>
      <c r="G36" s="9">
        <f si="1" t="shared"/>
        <v>4.4504786450662729E-3</v>
      </c>
    </row>
    <row r="37" spans="1:7" x14ac:dyDescent="0.45">
      <c r="A37">
        <v>26</v>
      </c>
      <c r="B37" s="6" t="n">
        <v>10096.764064654004</v>
      </c>
      <c r="C37" s="9">
        <f si="0" t="shared"/>
        <v>3.293243437684236E-3</v>
      </c>
      <c r="E37" s="371">
        <v>26</v>
      </c>
      <c r="F37" s="371" t="n">
        <v>8446.0</v>
      </c>
      <c r="G37" s="9">
        <f si="1" t="shared"/>
        <v>3.8038475699558169E-3</v>
      </c>
    </row>
    <row r="38" spans="1:7" x14ac:dyDescent="0.45">
      <c r="A38">
        <v>27</v>
      </c>
      <c r="B38" s="6" t="n">
        <v>7716.2688769372435</v>
      </c>
      <c r="C38" s="9">
        <f si="0" t="shared"/>
        <v>3.4236388289797096E-3</v>
      </c>
      <c r="E38" s="371">
        <v>27</v>
      </c>
      <c r="F38" s="371" t="n">
        <v>8127.0</v>
      </c>
      <c r="G38" s="9">
        <f si="1" t="shared"/>
        <v>3.6749815905743736E-3</v>
      </c>
    </row>
    <row r="39" spans="1:7" x14ac:dyDescent="0.45">
      <c r="A39">
        <v>28</v>
      </c>
      <c r="B39" s="6" t="n">
        <v>9215.129533256273</v>
      </c>
      <c r="C39" s="9">
        <f si="0" t="shared"/>
        <v>0</v>
      </c>
      <c r="E39" s="371">
        <v>28</v>
      </c>
      <c r="F39" s="371" t="n">
        <v>7223.0</v>
      </c>
      <c r="G39" s="9">
        <f si="1" t="shared"/>
        <v>3.4195508100147267E-3</v>
      </c>
    </row>
    <row r="40" spans="1:7" x14ac:dyDescent="0.45">
      <c r="A40">
        <v>29</v>
      </c>
      <c r="B40" s="6" t="n">
        <v>5931.289586097341</v>
      </c>
      <c r="C40" s="9">
        <f si="0" t="shared"/>
        <v>2.3192144246635478E-3</v>
      </c>
      <c r="E40" s="371">
        <v>29</v>
      </c>
      <c r="F40" s="371" t="n">
        <v>6883.0</v>
      </c>
      <c r="G40" s="9">
        <f si="1" t="shared"/>
        <v>2.9132916053019142E-3</v>
      </c>
    </row>
    <row r="41" spans="1:7" x14ac:dyDescent="0.45">
      <c r="A41">
        <v>30</v>
      </c>
      <c r="B41" s="6" t="n">
        <v>4841.455701981092</v>
      </c>
      <c r="C41" s="9">
        <f si="0" t="shared"/>
        <v>2.1441678498675021E-3</v>
      </c>
      <c r="E41" s="371">
        <v>30</v>
      </c>
      <c r="F41" s="371" t="n">
        <v>6569.0</v>
      </c>
      <c r="G41" s="9">
        <f si="1" t="shared"/>
        <v>2.3149852724594988E-3</v>
      </c>
    </row>
    <row r="42" spans="1:7" x14ac:dyDescent="0.45">
      <c r="A42">
        <v>31</v>
      </c>
      <c r="B42" s="6" t="n">
        <v>6903.712018116451</v>
      </c>
      <c r="C42" s="9">
        <f si="0" t="shared"/>
        <v>2.1192807044538109E-4</v>
      </c>
      <c r="E42" s="371">
        <v>31</v>
      </c>
      <c r="F42" s="371" t="n">
        <v>5675.0</v>
      </c>
      <c r="G42" s="9">
        <f si="1" t="shared"/>
        <v>2.1976251840942558E-3</v>
      </c>
    </row>
    <row r="43" spans="1:7" x14ac:dyDescent="0.45">
      <c r="A43">
        <v>32</v>
      </c>
      <c r="B43" s="6" t="n">
        <v>4984.967247141463</v>
      </c>
      <c r="C43" s="9">
        <f si="0" t="shared"/>
        <v>0</v>
      </c>
      <c r="E43" s="371">
        <v>32</v>
      </c>
      <c r="F43" s="371" t="n">
        <v>4758.0</v>
      </c>
      <c r="G43" s="9">
        <f si="1" t="shared"/>
        <v>2.0043262150220907E-3</v>
      </c>
    </row>
    <row r="44" spans="1:7" x14ac:dyDescent="0.45">
      <c r="A44">
        <v>33</v>
      </c>
      <c r="B44" s="6" t="n">
        <v>2159.1770477698456</v>
      </c>
      <c r="C44" s="9">
        <f si="0" t="shared"/>
        <v>2.4053774883717042E-4</v>
      </c>
      <c r="E44" s="371">
        <v>33</v>
      </c>
      <c r="F44" s="371" t="n">
        <v>4080.0</v>
      </c>
      <c r="G44" s="9">
        <f si="1" t="shared"/>
        <v>1.7442930780559643E-3</v>
      </c>
    </row>
    <row r="45" spans="1:7" x14ac:dyDescent="0.45">
      <c r="A45">
        <v>34</v>
      </c>
      <c r="B45" s="6" t="n">
        <v>3648.360492966559</v>
      </c>
      <c r="C45" s="9">
        <f si="0" t="shared"/>
        <v>0</v>
      </c>
      <c r="E45" s="371">
        <v>34</v>
      </c>
      <c r="F45" s="371" t="n">
        <v>3465.0</v>
      </c>
      <c r="G45" s="9">
        <f si="1" t="shared"/>
        <v>1.4244293078055962E-3</v>
      </c>
    </row>
    <row r="46" spans="1:7" x14ac:dyDescent="0.45">
      <c r="A46">
        <v>35</v>
      </c>
      <c r="B46" s="6" t="n">
        <v>3242.5975383076975</v>
      </c>
      <c r="C46" s="9">
        <f si="0" t="shared"/>
        <v>0</v>
      </c>
      <c r="E46" s="371">
        <v>35</v>
      </c>
      <c r="F46" s="371" t="n">
        <v>2755.0</v>
      </c>
      <c r="G46" s="9">
        <f si="1" t="shared"/>
        <v>1.1321796759941086E-3</v>
      </c>
    </row>
    <row r="47" spans="1:7" x14ac:dyDescent="0.45">
      <c r="A47">
        <v>36</v>
      </c>
      <c r="B47" s="6" t="n">
        <v>3285.619599965924</v>
      </c>
      <c r="C47" s="9">
        <f si="0" t="shared"/>
        <v>0</v>
      </c>
      <c r="E47" s="371">
        <v>36</v>
      </c>
      <c r="F47" s="371" t="n">
        <v>2224.0</v>
      </c>
      <c r="G47" s="9">
        <f si="1" t="shared"/>
        <v>1.024024300441826E-3</v>
      </c>
    </row>
    <row r="48" spans="1:7" x14ac:dyDescent="0.45">
      <c r="A48">
        <v>37</v>
      </c>
      <c r="B48" s="6" t="n">
        <v>904.2467804943102</v>
      </c>
      <c r="C48" s="9">
        <f si="0" t="shared"/>
        <v>0</v>
      </c>
      <c r="E48" s="371">
        <v>37</v>
      </c>
      <c r="F48" s="371" t="n">
        <v>1885.0</v>
      </c>
      <c r="G48" s="9">
        <f si="1" t="shared"/>
        <v>7.5478645066273913E-4</v>
      </c>
    </row>
    <row r="49" spans="1:7" x14ac:dyDescent="0.45">
      <c r="A49">
        <v>38</v>
      </c>
      <c r="B49" s="6" t="n">
        <v>1431.51322645231</v>
      </c>
      <c r="C49" s="9">
        <f si="0" t="shared"/>
        <v>0</v>
      </c>
      <c r="E49" s="371">
        <v>38</v>
      </c>
      <c r="F49" s="371" t="n">
        <v>1580.0</v>
      </c>
      <c r="G49" s="9">
        <f si="1" t="shared"/>
        <v>6.7884756995581724E-4</v>
      </c>
    </row>
    <row r="50" spans="1:7" x14ac:dyDescent="0.45">
      <c r="A50">
        <v>39</v>
      </c>
      <c r="B50" s="6" t="n">
        <v>1448.6835489711334</v>
      </c>
      <c r="C50" s="9">
        <f si="0" t="shared"/>
        <v>0</v>
      </c>
      <c r="E50" s="371">
        <v>39</v>
      </c>
      <c r="F50" s="371" t="n">
        <v>1449.0</v>
      </c>
      <c r="G50" s="9">
        <f si="1" t="shared"/>
        <v>6.4202871870397632E-4</v>
      </c>
    </row>
    <row r="51" spans="1:7" x14ac:dyDescent="0.45">
      <c r="A51">
        <v>40</v>
      </c>
      <c r="B51" s="6" t="n">
        <v>1739.23845742411</v>
      </c>
      <c r="C51" s="9">
        <f si="0" t="shared"/>
        <v>0</v>
      </c>
      <c r="E51" s="371">
        <v>40</v>
      </c>
      <c r="F51" s="371" t="n">
        <v>1238.0</v>
      </c>
      <c r="G51" s="9">
        <f si="1" t="shared"/>
        <v>5.1776509572901315E-4</v>
      </c>
    </row>
    <row r="52" spans="1:7" x14ac:dyDescent="0.45">
      <c r="A52">
        <v>41</v>
      </c>
      <c r="B52" s="6" t="n">
        <v>1026.1066604310513</v>
      </c>
      <c r="C52" s="9">
        <f si="0" t="shared"/>
        <v>0</v>
      </c>
      <c r="E52" s="371">
        <v>41</v>
      </c>
      <c r="F52" s="371" t="n">
        <v>1042.0</v>
      </c>
      <c r="G52" s="9">
        <f si="1" t="shared"/>
        <v>3.7969440353460962E-4</v>
      </c>
    </row>
    <row r="53" spans="1:7" x14ac:dyDescent="0.45">
      <c r="A53">
        <v>42</v>
      </c>
      <c r="B53" s="6" t="n">
        <v>1052.334434389085</v>
      </c>
      <c r="C53" s="9">
        <f si="0" t="shared"/>
        <v>0</v>
      </c>
      <c r="E53" s="371">
        <v>42</v>
      </c>
      <c r="F53" s="371" t="n">
        <v>956.0</v>
      </c>
      <c r="G53" s="9">
        <f si="1" t="shared"/>
        <v>4.0040500736377018E-4</v>
      </c>
    </row>
    <row r="54" spans="1:7" x14ac:dyDescent="0.45">
      <c r="A54">
        <v>43</v>
      </c>
      <c r="B54" s="6" t="n">
        <v>1300.9065201787073</v>
      </c>
      <c r="C54" s="9">
        <f si="0" t="shared"/>
        <v>0</v>
      </c>
      <c r="E54" s="371">
        <v>43</v>
      </c>
      <c r="F54" s="371" t="n">
        <v>766.0</v>
      </c>
      <c r="G54" s="9">
        <f si="1" t="shared"/>
        <v>3.451767304860088E-4</v>
      </c>
    </row>
    <row r="55" spans="1:7" x14ac:dyDescent="0.45">
      <c r="A55">
        <v>44</v>
      </c>
      <c r="B55" s="6" t="n">
        <v>729.7355768602109</v>
      </c>
      <c r="C55" s="9">
        <f si="0" t="shared"/>
        <v>2.1874084406314556E-4</v>
      </c>
      <c r="E55" s="371">
        <v>44</v>
      </c>
      <c r="F55" s="371" t="n">
        <v>669.0</v>
      </c>
      <c r="G55" s="9">
        <f si="1" t="shared"/>
        <v>3.0145434462444762E-4</v>
      </c>
    </row>
    <row r="56" spans="1:7" x14ac:dyDescent="0.45">
      <c r="A56">
        <v>45</v>
      </c>
      <c r="B56" s="6" t="n">
        <v>1205.9842016808511</v>
      </c>
      <c r="C56" s="9">
        <f si="0" t="shared"/>
        <v>1.43971357589052E-3</v>
      </c>
      <c r="E56" s="371">
        <v>45</v>
      </c>
      <c r="F56" s="371" t="n">
        <v>620.0</v>
      </c>
      <c r="G56" s="9">
        <f si="1" t="shared"/>
        <v>3.1065905743740788E-4</v>
      </c>
    </row>
    <row r="57" spans="1:7" x14ac:dyDescent="0.45">
      <c r="A57">
        <v>46</v>
      </c>
      <c r="B57" s="6" t="n">
        <v>588.9782263327739</v>
      </c>
      <c r="C57" s="9">
        <f si="0" t="shared"/>
        <v>0</v>
      </c>
      <c r="E57" s="371">
        <v>46</v>
      </c>
      <c r="F57" s="371" t="n">
        <v>530.0</v>
      </c>
      <c r="G57" s="9">
        <f si="1" t="shared"/>
        <v>2.4852724594992629E-4</v>
      </c>
    </row>
    <row r="58" spans="1:7" x14ac:dyDescent="0.45">
      <c r="A58">
        <v>47</v>
      </c>
      <c r="B58" s="6" t="n">
        <v>704.9029537967195</v>
      </c>
      <c r="C58" s="9">
        <f si="0" t="shared"/>
        <v>0</v>
      </c>
      <c r="E58" s="371">
        <v>47</v>
      </c>
      <c r="F58" s="371" t="n">
        <v>475.0</v>
      </c>
      <c r="G58" s="9">
        <f si="1" t="shared"/>
        <v>1.7488954344624443E-4</v>
      </c>
    </row>
    <row r="59" spans="1:7" x14ac:dyDescent="0.45">
      <c r="A59">
        <v>48</v>
      </c>
      <c r="B59" s="6" t="n">
        <v>570.274263573142</v>
      </c>
      <c r="C59" s="9">
        <f si="0" t="shared"/>
        <v>0</v>
      </c>
      <c r="E59" s="371">
        <v>48</v>
      </c>
      <c r="F59" s="371" t="n">
        <v>398.0</v>
      </c>
      <c r="G59" s="9">
        <f si="1" t="shared"/>
        <v>1.7028718703976432E-4</v>
      </c>
    </row>
    <row r="60" spans="1:7" x14ac:dyDescent="0.45">
      <c r="A60">
        <v>49</v>
      </c>
      <c r="B60" s="6" t="n">
        <v>393.36423493714597</v>
      </c>
      <c r="C60" s="9">
        <f si="0" t="shared"/>
        <v>0</v>
      </c>
      <c r="E60" s="371">
        <v>49</v>
      </c>
      <c r="F60" s="371" t="n">
        <v>292.0</v>
      </c>
      <c r="G60" s="9">
        <f si="1" t="shared"/>
        <v>1.1275773195876285E-4</v>
      </c>
    </row>
    <row r="61" spans="1:7" x14ac:dyDescent="0.45">
      <c r="A61">
        <v>50</v>
      </c>
      <c r="B61" s="6" t="n">
        <v>463.602417826706</v>
      </c>
      <c r="C61" s="9">
        <f si="0" t="shared"/>
        <v>0</v>
      </c>
      <c r="E61" s="371">
        <v>50</v>
      </c>
      <c r="F61" s="371" t="n">
        <v>240.0</v>
      </c>
      <c r="G61" s="9">
        <f si="1" t="shared"/>
        <v>1.3116715758468333E-4</v>
      </c>
    </row>
    <row r="62" spans="1:7" x14ac:dyDescent="0.45">
      <c r="A62">
        <v>51</v>
      </c>
      <c r="B62" s="6" t="n">
        <v>1148.7482788028365</v>
      </c>
      <c r="C62" s="9">
        <f si="0" t="shared"/>
        <v>0</v>
      </c>
      <c r="E62" s="371">
        <v>51</v>
      </c>
      <c r="F62" s="371" t="n">
        <v>222.0</v>
      </c>
      <c r="G62" s="9">
        <f si="1" t="shared"/>
        <v>8.2842415316642098E-5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171.0</v>
      </c>
      <c r="G63" s="9">
        <f si="1" t="shared"/>
        <v>7.8240058910161982E-5</v>
      </c>
    </row>
    <row r="64" spans="1:7" x14ac:dyDescent="0.45">
      <c r="A64">
        <v>53</v>
      </c>
      <c r="B64" s="6" t="n">
        <v>57.1453341927284</v>
      </c>
      <c r="C64" s="9">
        <f si="0" t="shared"/>
        <v>0</v>
      </c>
      <c r="E64" s="371">
        <v>53</v>
      </c>
      <c r="F64" s="371" t="n">
        <v>138.0</v>
      </c>
      <c r="G64" s="9">
        <f si="1" t="shared"/>
        <v>5.9830633284241522E-5</v>
      </c>
    </row>
    <row r="65" spans="1:7" x14ac:dyDescent="0.45">
      <c r="A65">
        <v>54</v>
      </c>
      <c r="B65" s="6" t="n">
        <v>33.1366449121671</v>
      </c>
      <c r="C65" s="9">
        <f si="0" t="shared"/>
        <v>0</v>
      </c>
      <c r="E65" s="371">
        <v>54</v>
      </c>
      <c r="F65" s="371" t="n">
        <v>129.0</v>
      </c>
      <c r="G65" s="9">
        <f si="1" t="shared"/>
        <v>4.8324742268041228E-5</v>
      </c>
    </row>
    <row r="66" spans="1:7" x14ac:dyDescent="0.45">
      <c r="A66">
        <v>55</v>
      </c>
      <c r="B66" s="6" t="n">
        <v>471.545064549243</v>
      </c>
      <c r="C66" s="9">
        <f si="0" t="shared"/>
        <v>0</v>
      </c>
      <c r="E66" s="371">
        <v>55</v>
      </c>
      <c r="F66" s="371" t="n">
        <v>111.0</v>
      </c>
      <c r="G66" s="9">
        <f si="1" t="shared"/>
        <v>4.6023564064801164E-5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95.0</v>
      </c>
      <c r="G67" s="9">
        <f si="1" t="shared"/>
        <v>4.1421207658321049E-5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75.0</v>
      </c>
      <c r="G68" s="9">
        <f si="1" t="shared"/>
        <v>2.7614138438880704E-5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67.0</v>
      </c>
      <c r="G69" s="9">
        <f si="1" t="shared"/>
        <v>2.0710603829160524E-5</v>
      </c>
    </row>
    <row r="70" spans="1:7" x14ac:dyDescent="0.45">
      <c r="A70">
        <v>59</v>
      </c>
      <c r="B70" s="6" t="n">
        <v>43.2878375258177</v>
      </c>
      <c r="C70" s="9">
        <f si="0" t="shared"/>
        <v>0</v>
      </c>
      <c r="E70" s="371">
        <v>59</v>
      </c>
      <c r="F70" s="371" t="n">
        <v>43.0</v>
      </c>
      <c r="G70" s="9">
        <f si="1" t="shared"/>
        <v>2.0710603829160524E-5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44.0</v>
      </c>
      <c r="G71" s="9">
        <f si="1" t="shared"/>
        <v>2.5312960235640643E-5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49.0</v>
      </c>
      <c r="G72" s="9">
        <f si="1" t="shared"/>
        <v>1.3807069219440352E-5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29.0</v>
      </c>
      <c r="G73" s="9">
        <f si="1" t="shared"/>
        <v>9.2047128129602334E-6</v>
      </c>
    </row>
    <row r="74" spans="1:7" x14ac:dyDescent="0.45">
      <c r="A74">
        <v>63</v>
      </c>
      <c r="B74" s="6" t="n">
        <v>104.975169832936</v>
      </c>
      <c r="C74" s="9">
        <f si="0" t="shared"/>
        <v>0</v>
      </c>
      <c r="E74" s="371">
        <v>63</v>
      </c>
      <c r="F74" s="371" t="n">
        <v>16.0</v>
      </c>
      <c r="G74" s="9">
        <f si="1" t="shared"/>
        <v>1.1505891016200291E-5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13.0</v>
      </c>
      <c r="G75" s="9">
        <f si="1" t="shared"/>
        <v>9.2047128129602334E-6</v>
      </c>
    </row>
    <row r="76" spans="1:7" x14ac:dyDescent="0.45">
      <c r="A76">
        <v>65</v>
      </c>
      <c r="B76" s="6" t="n">
        <v>389.967913947736</v>
      </c>
      <c r="C76" s="9">
        <f si="0" t="shared"/>
        <v>0</v>
      </c>
      <c r="E76" s="371">
        <v>65</v>
      </c>
      <c r="F76" s="371" t="n">
        <v>8.0</v>
      </c>
      <c r="G76" s="9">
        <f si="1" t="shared"/>
        <v>9.2047128129602334E-6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10.0</v>
      </c>
      <c r="G77" s="9">
        <f ref="G77:G102" si="3" t="shared">F77/F$102</f>
        <v>1.3807069219440352E-5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6.0</v>
      </c>
      <c r="G78" s="9">
        <f si="3" t="shared"/>
        <v>1.1505891016200291E-5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8.0</v>
      </c>
      <c r="G79" s="9">
        <f si="3" t="shared"/>
        <v>9.2047128129602334E-6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4.6023564064801167E-6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6.0</v>
      </c>
      <c r="G81" s="9">
        <f si="3" t="shared"/>
        <v>4.6023564064801167E-6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2.3011782032400584E-6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4.0</v>
      </c>
      <c r="G85" s="9">
        <f si="3" t="shared"/>
        <v>2.3011782032400584E-6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7.0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2.3011782032400584E-6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2.3011782032400584E-6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172804.50779241012</v>
      </c>
      <c r="C102" s="9">
        <f si="2" t="shared"/>
        <v>1</v>
      </c>
      <c r="F102" s="6">
        <f>SUM(F11:F101)</f>
        <v>144853.33333318852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N11" sqref="N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22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2.1258455762017171E-2</v>
      </c>
      <c r="E11" s="371">
        <v>0</v>
      </c>
      <c r="F11" s="371" t="n">
        <v>1131.0</v>
      </c>
      <c r="G11" s="9">
        <f>F11/F$102</f>
        <v>1.1349410898379986E-2</v>
      </c>
      <c r="K11" s="6" t="n">
        <v>21.619395645951652</v>
      </c>
      <c r="L11" s="6" t="n">
        <v>27.94819085931428</v>
      </c>
    </row>
    <row r="12" spans="1:12" x14ac:dyDescent="0.45">
      <c r="A12">
        <v>1</v>
      </c>
      <c r="B12" s="6" t="n">
        <v>0.0</v>
      </c>
      <c r="C12" s="9">
        <f>B12/B$102</f>
        <v>7.6706560938056681E-2</v>
      </c>
      <c r="E12" s="371">
        <v>1</v>
      </c>
      <c r="F12" s="371" t="n">
        <v>11412.0</v>
      </c>
      <c r="G12" s="9">
        <f>F12/F$102</f>
        <v>6.4971465390279898E-2</v>
      </c>
      <c r="K12" s="6"/>
      <c r="L12" s="371"/>
    </row>
    <row r="13" spans="1:12" x14ac:dyDescent="0.45">
      <c r="A13">
        <v>2</v>
      </c>
      <c r="B13" s="6" t="n">
        <v>2382.991433418377</v>
      </c>
      <c r="C13" s="9">
        <f ref="C13:C76" si="0" t="shared">B13/B$102</f>
        <v>0.12294622563365992</v>
      </c>
      <c r="E13" s="371">
        <v>2</v>
      </c>
      <c r="F13" s="371" t="n">
        <v>8155.0</v>
      </c>
      <c r="G13" s="9">
        <f ref="G13:G76" si="1" t="shared">F13/F$102</f>
        <v>0.10635585419734918</v>
      </c>
    </row>
    <row r="14" spans="1:12" x14ac:dyDescent="0.45">
      <c r="A14">
        <v>3</v>
      </c>
      <c r="B14" s="6" t="n">
        <v>32763.25678968054</v>
      </c>
      <c r="C14" s="9">
        <f si="0" t="shared"/>
        <v>0.16645783588500965</v>
      </c>
      <c r="E14" s="371">
        <v>3</v>
      </c>
      <c r="F14" s="371" t="n">
        <v>12225.0</v>
      </c>
      <c r="G14" s="9">
        <f si="1" t="shared"/>
        <v>0.11321796759941105</v>
      </c>
    </row>
    <row r="15" spans="1:12" x14ac:dyDescent="0.45">
      <c r="A15">
        <v>4</v>
      </c>
      <c r="B15" s="6" t="n">
        <v>28355.078030231078</v>
      </c>
      <c r="C15" s="9">
        <f si="0" t="shared"/>
        <v>9.7969048865648237E-2</v>
      </c>
      <c r="E15" s="371">
        <v>4</v>
      </c>
      <c r="F15" s="371" t="n">
        <v>17893.0</v>
      </c>
      <c r="G15" s="9">
        <f si="1" t="shared"/>
        <v>9.5586340206185685E-2</v>
      </c>
    </row>
    <row r="16" spans="1:12" x14ac:dyDescent="0.45">
      <c r="A16">
        <v>5</v>
      </c>
      <c r="B16" s="6" t="n">
        <v>50964.948549442735</v>
      </c>
      <c r="C16" s="9">
        <f si="0" t="shared"/>
        <v>3.8113737804182847E-2</v>
      </c>
      <c r="E16" s="371">
        <v>5</v>
      </c>
      <c r="F16" s="371" t="n">
        <v>22979.0</v>
      </c>
      <c r="G16" s="9">
        <f si="1" t="shared"/>
        <v>7.691227908689259E-2</v>
      </c>
    </row>
    <row r="17" spans="1:7" x14ac:dyDescent="0.45">
      <c r="A17">
        <v>6</v>
      </c>
      <c r="B17" s="6" t="n">
        <v>60166.28217803584</v>
      </c>
      <c r="C17" s="9">
        <f si="0" t="shared"/>
        <v>4.9434611443857628E-2</v>
      </c>
      <c r="E17" s="371">
        <v>6</v>
      </c>
      <c r="F17" s="371" t="n">
        <v>27381.0</v>
      </c>
      <c r="G17" s="9">
        <f si="1" t="shared"/>
        <v>6.1116991899852806E-2</v>
      </c>
    </row>
    <row r="18" spans="1:7" x14ac:dyDescent="0.45">
      <c r="A18">
        <v>7</v>
      </c>
      <c r="B18" s="6" t="n">
        <v>42693.49110840919</v>
      </c>
      <c r="C18" s="9">
        <f si="0" t="shared"/>
        <v>7.0211689319673615E-2</v>
      </c>
      <c r="E18" s="371">
        <v>7</v>
      </c>
      <c r="F18" s="371" t="n">
        <v>29347.0</v>
      </c>
      <c r="G18" s="9">
        <f si="1" t="shared"/>
        <v>4.7475607511045716E-2</v>
      </c>
    </row>
    <row r="19" spans="1:7" x14ac:dyDescent="0.45">
      <c r="A19">
        <v>8</v>
      </c>
      <c r="B19" s="6" t="n">
        <v>45446.40667337974</v>
      </c>
      <c r="C19" s="9">
        <f si="0" t="shared"/>
        <v>1.7291656286819595E-2</v>
      </c>
      <c r="E19" s="371">
        <v>8</v>
      </c>
      <c r="F19" s="371" t="n">
        <v>29171.0</v>
      </c>
      <c r="G19" s="9">
        <f si="1" t="shared"/>
        <v>3.6756719440353511E-2</v>
      </c>
    </row>
    <row r="20" spans="1:7" x14ac:dyDescent="0.45">
      <c r="A20">
        <v>9</v>
      </c>
      <c r="B20" s="6" t="n">
        <v>33081.55560051274</v>
      </c>
      <c r="C20" s="9">
        <f si="0" t="shared"/>
        <v>4.0270594500327474E-2</v>
      </c>
      <c r="E20" s="371">
        <v>9</v>
      </c>
      <c r="F20" s="371" t="n">
        <v>27430.0</v>
      </c>
      <c r="G20" s="9">
        <f si="1" t="shared"/>
        <v>3.1806885125184134E-2</v>
      </c>
    </row>
    <row r="21" spans="1:7" x14ac:dyDescent="0.45">
      <c r="A21">
        <v>10</v>
      </c>
      <c r="B21" s="6" t="n">
        <v>37118.76885915595</v>
      </c>
      <c r="C21" s="9">
        <f si="0" t="shared"/>
        <v>2.1505853945165621E-2</v>
      </c>
      <c r="E21" s="371">
        <v>10</v>
      </c>
      <c r="F21" s="371" t="n">
        <v>26948.0</v>
      </c>
      <c r="G21" s="9">
        <f si="1" t="shared"/>
        <v>2.7699282032400623E-2</v>
      </c>
    </row>
    <row r="22" spans="1:7" x14ac:dyDescent="0.45">
      <c r="A22">
        <v>11</v>
      </c>
      <c r="B22" s="6" t="n">
        <v>40658.345751783105</v>
      </c>
      <c r="C22" s="9">
        <f si="0" t="shared"/>
        <v>3.5206702673726317E-2</v>
      </c>
      <c r="E22" s="371">
        <v>11</v>
      </c>
      <c r="F22" s="371" t="n">
        <v>25663.0</v>
      </c>
      <c r="G22" s="9">
        <f si="1" t="shared"/>
        <v>2.5230117820324038E-2</v>
      </c>
    </row>
    <row r="23" spans="1:7" x14ac:dyDescent="0.45">
      <c r="A23">
        <v>12</v>
      </c>
      <c r="B23" s="6" t="n">
        <v>30940.210380164208</v>
      </c>
      <c r="C23" s="9">
        <f si="0" t="shared"/>
        <v>3.4063129169772659E-2</v>
      </c>
      <c r="E23" s="371">
        <v>12</v>
      </c>
      <c r="F23" s="371" t="n">
        <v>26432.0</v>
      </c>
      <c r="G23" s="9">
        <f si="1" t="shared"/>
        <v>2.3628497790868955E-2</v>
      </c>
    </row>
    <row r="24" spans="1:7" x14ac:dyDescent="0.45">
      <c r="A24">
        <v>13</v>
      </c>
      <c r="B24" s="6" t="n">
        <v>32920.44676775593</v>
      </c>
      <c r="C24" s="9">
        <f si="0" t="shared"/>
        <v>2.5786446671628199E-2</v>
      </c>
      <c r="E24" s="371">
        <v>13</v>
      </c>
      <c r="F24" s="371" t="n">
        <v>25773.0</v>
      </c>
      <c r="G24" s="9">
        <f si="1" t="shared"/>
        <v>2.2926638438880736E-2</v>
      </c>
    </row>
    <row r="25" spans="1:7" x14ac:dyDescent="0.45">
      <c r="A25">
        <v>14</v>
      </c>
      <c r="B25" s="6" t="n">
        <v>28938.64302196126</v>
      </c>
      <c r="C25" s="9">
        <f si="0" t="shared"/>
        <v>1.3945111995812425E-2</v>
      </c>
      <c r="E25" s="371">
        <v>14</v>
      </c>
      <c r="F25" s="371" t="n">
        <v>23715.0</v>
      </c>
      <c r="G25" s="9">
        <f si="1" t="shared"/>
        <v>2.186119293078059E-2</v>
      </c>
    </row>
    <row r="26" spans="1:7" x14ac:dyDescent="0.45">
      <c r="A26">
        <v>15</v>
      </c>
      <c r="B26" s="6" t="n">
        <v>23636.23882901864</v>
      </c>
      <c r="C26" s="9">
        <f si="0" t="shared"/>
        <v>1.3454849245484811E-2</v>
      </c>
      <c r="E26" s="371">
        <v>15</v>
      </c>
      <c r="F26" s="371" t="n">
        <v>23405.0</v>
      </c>
      <c r="G26" s="9">
        <f si="1" t="shared"/>
        <v>2.0176730486008862E-2</v>
      </c>
    </row>
    <row r="27" spans="1:7" x14ac:dyDescent="0.45">
      <c r="A27">
        <v>16</v>
      </c>
      <c r="B27" s="6" t="n">
        <v>26145.15684444898</v>
      </c>
      <c r="C27" s="9">
        <f si="0" t="shared"/>
        <v>1.8033009774154344E-2</v>
      </c>
      <c r="E27" s="371">
        <v>16</v>
      </c>
      <c r="F27" s="371" t="n">
        <v>22334.0</v>
      </c>
      <c r="G27" s="9">
        <f si="1" t="shared"/>
        <v>1.6653626656848327E-2</v>
      </c>
    </row>
    <row r="28" spans="1:7" x14ac:dyDescent="0.45">
      <c r="A28">
        <v>17</v>
      </c>
      <c r="B28" s="6" t="n">
        <v>25565.33675631168</v>
      </c>
      <c r="C28" s="9">
        <f si="0" t="shared"/>
        <v>1.5512452482178397E-2</v>
      </c>
      <c r="E28" s="371">
        <v>17</v>
      </c>
      <c r="F28" s="371" t="n">
        <v>20854.0</v>
      </c>
      <c r="G28" s="9">
        <f si="1" t="shared"/>
        <v>1.558818114874818E-2</v>
      </c>
    </row>
    <row r="29" spans="1:7" x14ac:dyDescent="0.45">
      <c r="A29">
        <v>18</v>
      </c>
      <c r="B29" s="6" t="n">
        <v>23914.84983956791</v>
      </c>
      <c r="C29" s="9">
        <f si="0" t="shared"/>
        <v>1.5777941840091535E-2</v>
      </c>
      <c r="E29" s="371">
        <v>18</v>
      </c>
      <c r="F29" s="371" t="n">
        <v>19641.0</v>
      </c>
      <c r="G29" s="9">
        <f si="1" t="shared"/>
        <v>1.3160438144329914E-2</v>
      </c>
    </row>
    <row r="30" spans="1:7" x14ac:dyDescent="0.45">
      <c r="A30">
        <v>19</v>
      </c>
      <c r="B30" s="6" t="n">
        <v>29487.8315817147</v>
      </c>
      <c r="C30" s="9">
        <f si="0" t="shared"/>
        <v>4.6577907333100682E-3</v>
      </c>
      <c r="E30" s="371">
        <v>19</v>
      </c>
      <c r="F30" s="371" t="n">
        <v>19018.0</v>
      </c>
      <c r="G30" s="9">
        <f si="1" t="shared"/>
        <v>1.1660069955817394E-2</v>
      </c>
    </row>
    <row r="31" spans="1:7" x14ac:dyDescent="0.45">
      <c r="A31">
        <v>20</v>
      </c>
      <c r="B31" s="6" t="n">
        <v>23860.42779998889</v>
      </c>
      <c r="C31" s="9">
        <f si="0" t="shared"/>
        <v>3.216096458947321E-3</v>
      </c>
      <c r="E31" s="371">
        <v>20</v>
      </c>
      <c r="F31" s="371" t="n">
        <v>18865.0</v>
      </c>
      <c r="G31" s="9">
        <f si="1" t="shared"/>
        <v>1.1441458026509588E-2</v>
      </c>
    </row>
    <row r="32" spans="1:7" x14ac:dyDescent="0.45">
      <c r="A32">
        <v>21</v>
      </c>
      <c r="B32" s="6" t="n">
        <v>23428.56411345417</v>
      </c>
      <c r="C32" s="9">
        <f si="0" t="shared"/>
        <v>1.5055423917319503E-2</v>
      </c>
      <c r="E32" s="371">
        <v>21</v>
      </c>
      <c r="F32" s="371" t="n">
        <v>18583.0</v>
      </c>
      <c r="G32" s="9">
        <f si="1" t="shared"/>
        <v>1.0601527982326966E-2</v>
      </c>
    </row>
    <row r="33" spans="1:7" x14ac:dyDescent="0.45">
      <c r="A33">
        <v>22</v>
      </c>
      <c r="B33" s="6" t="n">
        <v>19571.300075706822</v>
      </c>
      <c r="C33" s="9">
        <f si="0" t="shared"/>
        <v>5.3310700328687106E-3</v>
      </c>
      <c r="E33" s="371">
        <v>22</v>
      </c>
      <c r="F33" s="371" t="n">
        <v>18520.0</v>
      </c>
      <c r="G33" s="9">
        <f si="1" t="shared"/>
        <v>1.0012426362297509E-2</v>
      </c>
    </row>
    <row r="34" spans="1:7" x14ac:dyDescent="0.45">
      <c r="A34">
        <v>23</v>
      </c>
      <c r="B34" s="6" t="n">
        <v>14800.863079872097</v>
      </c>
      <c r="C34" s="9">
        <f si="0" t="shared"/>
        <v>3.3133756252048236E-3</v>
      </c>
      <c r="E34" s="371">
        <v>23</v>
      </c>
      <c r="F34" s="371" t="n">
        <v>17290.0</v>
      </c>
      <c r="G34" s="9">
        <f si="1" t="shared"/>
        <v>9.7869108983799843E-3</v>
      </c>
    </row>
    <row r="35" spans="1:7" x14ac:dyDescent="0.45">
      <c r="A35">
        <v>24</v>
      </c>
      <c r="B35" s="6" t="n">
        <v>15491.463509678175</v>
      </c>
      <c r="C35" s="9">
        <f si="0" t="shared"/>
        <v>1.0503923874153109E-2</v>
      </c>
      <c r="E35" s="371">
        <v>24</v>
      </c>
      <c r="F35" s="371" t="n">
        <v>18103.0</v>
      </c>
      <c r="G35" s="9">
        <f si="1" t="shared"/>
        <v>9.9825110456553904E-3</v>
      </c>
    </row>
    <row r="36" spans="1:7" x14ac:dyDescent="0.45">
      <c r="A36">
        <v>25</v>
      </c>
      <c r="B36" s="6" t="n">
        <v>18960.833301839535</v>
      </c>
      <c r="C36" s="9">
        <f si="0" t="shared"/>
        <v>2.6538787988879976E-3</v>
      </c>
      <c r="E36" s="371">
        <v>25</v>
      </c>
      <c r="F36" s="371" t="n">
        <v>16895.0</v>
      </c>
      <c r="G36" s="9">
        <f si="1" t="shared"/>
        <v>8.781296023564077E-3</v>
      </c>
    </row>
    <row r="37" spans="1:7" x14ac:dyDescent="0.45">
      <c r="A37">
        <v>26</v>
      </c>
      <c r="B37" s="6" t="n">
        <v>16982.49116379836</v>
      </c>
      <c r="C37" s="9">
        <f si="0" t="shared"/>
        <v>0</v>
      </c>
      <c r="E37" s="371">
        <v>26</v>
      </c>
      <c r="F37" s="371" t="n">
        <v>16600.0</v>
      </c>
      <c r="G37" s="9">
        <f si="1" t="shared"/>
        <v>8.2290132547864631E-3</v>
      </c>
    </row>
    <row r="38" spans="1:7" x14ac:dyDescent="0.45">
      <c r="A38">
        <v>27</v>
      </c>
      <c r="B38" s="6" t="n">
        <v>17664.651051392208</v>
      </c>
      <c r="C38" s="9">
        <f si="0" t="shared"/>
        <v>2.593864922143503E-3</v>
      </c>
      <c r="E38" s="371">
        <v>27</v>
      </c>
      <c r="F38" s="371" t="n">
        <v>15989.0</v>
      </c>
      <c r="G38" s="9">
        <f si="1" t="shared"/>
        <v>7.04390648011783E-3</v>
      </c>
    </row>
    <row r="39" spans="1:7" x14ac:dyDescent="0.45">
      <c r="A39">
        <v>28</v>
      </c>
      <c r="B39" s="6" t="n">
        <v>9617.737608784135</v>
      </c>
      <c r="C39" s="9">
        <f si="0" t="shared"/>
        <v>1.3157343028796993E-2</v>
      </c>
      <c r="E39" s="371">
        <v>28</v>
      </c>
      <c r="F39" s="371" t="n">
        <v>15418.0</v>
      </c>
      <c r="G39" s="9">
        <f si="1" t="shared"/>
        <v>6.4893225331369752E-3</v>
      </c>
    </row>
    <row r="40" spans="1:7" x14ac:dyDescent="0.45">
      <c r="A40">
        <v>29</v>
      </c>
      <c r="B40" s="6" t="n">
        <v>12664.137345265413</v>
      </c>
      <c r="C40" s="9">
        <f si="0" t="shared"/>
        <v>7.7710145525213704E-3</v>
      </c>
      <c r="E40" s="371">
        <v>29</v>
      </c>
      <c r="F40" s="371" t="n">
        <v>14326.0</v>
      </c>
      <c r="G40" s="9">
        <f si="1" t="shared"/>
        <v>6.0313880706922025E-3</v>
      </c>
    </row>
    <row r="41" spans="1:7" x14ac:dyDescent="0.45">
      <c r="A41">
        <v>30</v>
      </c>
      <c r="B41" s="6" t="n">
        <v>11802.336403732783</v>
      </c>
      <c r="C41" s="9">
        <f si="0" t="shared"/>
        <v>1.4029260430689886E-3</v>
      </c>
      <c r="E41" s="371">
        <v>30</v>
      </c>
      <c r="F41" s="371" t="n">
        <v>14312.0</v>
      </c>
      <c r="G41" s="9">
        <f si="1" t="shared"/>
        <v>5.7391384388807152E-3</v>
      </c>
    </row>
    <row r="42" spans="1:7" x14ac:dyDescent="0.45">
      <c r="A42">
        <v>31</v>
      </c>
      <c r="B42" s="6" t="n">
        <v>15067.604674578088</v>
      </c>
      <c r="C42" s="9">
        <f si="0" t="shared"/>
        <v>3.2170098263751379E-3</v>
      </c>
      <c r="E42" s="371">
        <v>31</v>
      </c>
      <c r="F42" s="371" t="n">
        <v>13634.0</v>
      </c>
      <c r="G42" s="9">
        <f si="1" t="shared"/>
        <v>5.4192746686303464E-3</v>
      </c>
    </row>
    <row r="43" spans="1:7" x14ac:dyDescent="0.45">
      <c r="A43">
        <v>32</v>
      </c>
      <c r="B43" s="6" t="n">
        <v>7891.427275593206</v>
      </c>
      <c r="C43" s="9">
        <f si="0" t="shared"/>
        <v>0</v>
      </c>
      <c r="E43" s="371">
        <v>32</v>
      </c>
      <c r="F43" s="371" t="n">
        <v>12998.0</v>
      </c>
      <c r="G43" s="9">
        <f si="1" t="shared"/>
        <v>4.9567378497790936E-3</v>
      </c>
    </row>
    <row r="44" spans="1:7" x14ac:dyDescent="0.45">
      <c r="A44">
        <v>33</v>
      </c>
      <c r="B44" s="6" t="n">
        <v>16604.11405171413</v>
      </c>
      <c r="C44" s="9">
        <f si="0" t="shared"/>
        <v>1.5041816041924392E-2</v>
      </c>
      <c r="E44" s="371">
        <v>33</v>
      </c>
      <c r="F44" s="371" t="n">
        <v>12392.0</v>
      </c>
      <c r="G44" s="9">
        <f si="1" t="shared"/>
        <v>4.8992083946980923E-3</v>
      </c>
    </row>
    <row r="45" spans="1:7" x14ac:dyDescent="0.45">
      <c r="A45">
        <v>34</v>
      </c>
      <c r="B45" s="6" t="n">
        <v>7666.849239716301</v>
      </c>
      <c r="C45" s="9">
        <f si="0" t="shared"/>
        <v>0</v>
      </c>
      <c r="E45" s="371">
        <v>34</v>
      </c>
      <c r="F45" s="371" t="n">
        <v>11966.0</v>
      </c>
      <c r="G45" s="9">
        <f si="1" t="shared"/>
        <v>4.7381259204712879E-3</v>
      </c>
    </row>
    <row r="46" spans="1:7" x14ac:dyDescent="0.45">
      <c r="A46">
        <v>35</v>
      </c>
      <c r="B46" s="6" t="n">
        <v>12717.326053247069</v>
      </c>
      <c r="C46" s="9">
        <f si="0" t="shared"/>
        <v>6.5031843359975002E-3</v>
      </c>
      <c r="E46" s="371">
        <v>35</v>
      </c>
      <c r="F46" s="371" t="n">
        <v>11435.0</v>
      </c>
      <c r="G46" s="9">
        <f si="1" t="shared"/>
        <v>4.1122054491899906E-3</v>
      </c>
    </row>
    <row r="47" spans="1:7" x14ac:dyDescent="0.45">
      <c r="A47">
        <v>36</v>
      </c>
      <c r="B47" s="6" t="n">
        <v>8781.616831548345</v>
      </c>
      <c r="C47" s="9">
        <f si="0" t="shared"/>
        <v>1.2120260588394456E-3</v>
      </c>
      <c r="E47" s="371">
        <v>36</v>
      </c>
      <c r="F47" s="371" t="n">
        <v>11501.0</v>
      </c>
      <c r="G47" s="9">
        <f si="1" t="shared"/>
        <v>3.3298048600883699E-3</v>
      </c>
    </row>
    <row r="48" spans="1:7" x14ac:dyDescent="0.45">
      <c r="A48">
        <v>37</v>
      </c>
      <c r="B48" s="6" t="n">
        <v>8519.293037081288</v>
      </c>
      <c r="C48" s="9">
        <f si="0" t="shared"/>
        <v>3.8490389986069224E-3</v>
      </c>
      <c r="E48" s="371">
        <v>37</v>
      </c>
      <c r="F48" s="371" t="n">
        <v>10488.0</v>
      </c>
      <c r="G48" s="9">
        <f si="1" t="shared"/>
        <v>3.2768777614138483E-3</v>
      </c>
    </row>
    <row r="49" spans="1:7" x14ac:dyDescent="0.45">
      <c r="A49">
        <v>38</v>
      </c>
      <c r="B49" s="6" t="n">
        <v>8270.59570561603</v>
      </c>
      <c r="C49" s="9">
        <f si="0" t="shared"/>
        <v>9.6373288912344395E-4</v>
      </c>
      <c r="E49" s="371">
        <v>38</v>
      </c>
      <c r="F49" s="371" t="n">
        <v>9718.0</v>
      </c>
      <c r="G49" s="9">
        <f si="1" t="shared"/>
        <v>3.0651693667157628E-3</v>
      </c>
    </row>
    <row r="50" spans="1:7" x14ac:dyDescent="0.45">
      <c r="A50">
        <v>39</v>
      </c>
      <c r="B50" s="6" t="n">
        <v>11464.04638041578</v>
      </c>
      <c r="C50" s="9">
        <f si="0" t="shared"/>
        <v>0</v>
      </c>
      <c r="E50" s="371">
        <v>39</v>
      </c>
      <c r="F50" s="371" t="n">
        <v>9707.0</v>
      </c>
      <c r="G50" s="9">
        <f si="1" t="shared"/>
        <v>3.0214469808542018E-3</v>
      </c>
    </row>
    <row r="51" spans="1:7" x14ac:dyDescent="0.45">
      <c r="A51">
        <v>40</v>
      </c>
      <c r="B51" s="6" t="n">
        <v>9431.433979614816</v>
      </c>
      <c r="C51" s="9">
        <f si="0" t="shared"/>
        <v>0</v>
      </c>
      <c r="E51" s="371">
        <v>40</v>
      </c>
      <c r="F51" s="371" t="n">
        <v>9369.0</v>
      </c>
      <c r="G51" s="9">
        <f si="1" t="shared"/>
        <v>2.3541053019145836E-3</v>
      </c>
    </row>
    <row r="52" spans="1:7" x14ac:dyDescent="0.45">
      <c r="A52">
        <v>41</v>
      </c>
      <c r="B52" s="6" t="n">
        <v>7885.202359782764</v>
      </c>
      <c r="C52" s="9">
        <f si="0" t="shared"/>
        <v>3.2294027682023299E-4</v>
      </c>
      <c r="E52" s="371">
        <v>41</v>
      </c>
      <c r="F52" s="371" t="n">
        <v>8810.0</v>
      </c>
      <c r="G52" s="9">
        <f si="1" t="shared"/>
        <v>2.3356958762886632E-3</v>
      </c>
    </row>
    <row r="53" spans="1:7" x14ac:dyDescent="0.45">
      <c r="A53">
        <v>42</v>
      </c>
      <c r="B53" s="6" t="n">
        <v>11741.46009178134</v>
      </c>
      <c r="C53" s="9">
        <f si="0" t="shared"/>
        <v>1.2444693291652532E-3</v>
      </c>
      <c r="E53" s="371">
        <v>42</v>
      </c>
      <c r="F53" s="371" t="n">
        <v>8244.0</v>
      </c>
      <c r="G53" s="9">
        <f si="1" t="shared"/>
        <v>1.9537002945508126E-3</v>
      </c>
    </row>
    <row r="54" spans="1:7" x14ac:dyDescent="0.45">
      <c r="A54">
        <v>43</v>
      </c>
      <c r="B54" s="6" t="n">
        <v>7731.50153899602</v>
      </c>
      <c r="C54" s="9">
        <f si="0" t="shared"/>
        <v>0</v>
      </c>
      <c r="E54" s="371">
        <v>43</v>
      </c>
      <c r="F54" s="371" t="n">
        <v>7903.0</v>
      </c>
      <c r="G54" s="9">
        <f si="1" t="shared"/>
        <v>1.7742083946980878E-3</v>
      </c>
    </row>
    <row r="55" spans="1:7" x14ac:dyDescent="0.45">
      <c r="A55">
        <v>44</v>
      </c>
      <c r="B55" s="6" t="n">
        <v>6919.027535946515</v>
      </c>
      <c r="C55" s="9">
        <f si="0" t="shared"/>
        <v>2.4053774883717053E-4</v>
      </c>
      <c r="E55" s="371">
        <v>44</v>
      </c>
      <c r="F55" s="371" t="n">
        <v>7578.0</v>
      </c>
      <c r="G55" s="9">
        <f si="1" t="shared"/>
        <v>1.5095729013254807E-3</v>
      </c>
    </row>
    <row r="56" spans="1:7" x14ac:dyDescent="0.45">
      <c r="A56">
        <v>45</v>
      </c>
      <c r="B56" s="6" t="n">
        <v>6956.05016636897</v>
      </c>
      <c r="C56" s="9">
        <f si="0" t="shared"/>
        <v>2.144167849867503E-3</v>
      </c>
      <c r="E56" s="371">
        <v>45</v>
      </c>
      <c r="F56" s="371" t="n">
        <v>7329.0</v>
      </c>
      <c r="G56" s="9">
        <f si="1" t="shared"/>
        <v>1.3415868924889563E-3</v>
      </c>
    </row>
    <row r="57" spans="1:7" x14ac:dyDescent="0.45">
      <c r="A57">
        <v>46</v>
      </c>
      <c r="B57" s="6" t="n">
        <v>5811.642734286979</v>
      </c>
      <c r="C57" s="9">
        <f si="0" t="shared"/>
        <v>0</v>
      </c>
      <c r="E57" s="371">
        <v>46</v>
      </c>
      <c r="F57" s="371" t="n">
        <v>6863.0</v>
      </c>
      <c r="G57" s="9">
        <f si="1" t="shared"/>
        <v>1.2334315169366735E-3</v>
      </c>
    </row>
    <row r="58" spans="1:7" x14ac:dyDescent="0.45">
      <c r="A58">
        <v>47</v>
      </c>
      <c r="B58" s="6" t="n">
        <v>5462.0779993257465</v>
      </c>
      <c r="C58" s="9">
        <f si="0" t="shared"/>
        <v>0</v>
      </c>
      <c r="E58" s="371">
        <v>47</v>
      </c>
      <c r="F58" s="371" t="n">
        <v>6470.0</v>
      </c>
      <c r="G58" s="9">
        <f si="1" t="shared"/>
        <v>1.1114690721649501E-3</v>
      </c>
    </row>
    <row r="59" spans="1:7" x14ac:dyDescent="0.45">
      <c r="A59">
        <v>48</v>
      </c>
      <c r="B59" s="6" t="n">
        <v>3367.0152615856073</v>
      </c>
      <c r="C59" s="9">
        <f si="0" t="shared"/>
        <v>0</v>
      </c>
      <c r="E59" s="371">
        <v>48</v>
      </c>
      <c r="F59" s="371" t="n">
        <v>6237.0</v>
      </c>
      <c r="G59" s="9">
        <f si="1" t="shared"/>
        <v>1.0240243004418276E-3</v>
      </c>
    </row>
    <row r="60" spans="1:7" x14ac:dyDescent="0.45">
      <c r="A60">
        <v>49</v>
      </c>
      <c r="B60" s="6" t="n">
        <v>5470.667613662971</v>
      </c>
      <c r="C60" s="9">
        <f si="0" t="shared"/>
        <v>0</v>
      </c>
      <c r="E60" s="371">
        <v>49</v>
      </c>
      <c r="F60" s="371" t="n">
        <v>6006.0</v>
      </c>
      <c r="G60" s="9">
        <f si="1" t="shared"/>
        <v>9.1126656848306464E-4</v>
      </c>
    </row>
    <row r="61" spans="1:7" x14ac:dyDescent="0.45">
      <c r="A61">
        <v>50</v>
      </c>
      <c r="B61" s="6" t="n">
        <v>8750.317530681212</v>
      </c>
      <c r="C61" s="9">
        <f si="0" t="shared"/>
        <v>0</v>
      </c>
      <c r="E61" s="371">
        <v>50</v>
      </c>
      <c r="F61" s="371" t="n">
        <v>5461.0</v>
      </c>
      <c r="G61" s="9">
        <f si="1" t="shared"/>
        <v>8.5373711340206305E-4</v>
      </c>
    </row>
    <row r="62" spans="1:7" x14ac:dyDescent="0.45">
      <c r="A62">
        <v>51</v>
      </c>
      <c r="B62" s="6" t="n">
        <v>3238.202132755502</v>
      </c>
      <c r="C62" s="9">
        <f si="0" t="shared"/>
        <v>0</v>
      </c>
      <c r="E62" s="371">
        <v>51</v>
      </c>
      <c r="F62" s="371" t="n">
        <v>4839.0</v>
      </c>
      <c r="G62" s="9">
        <f si="1" t="shared"/>
        <v>7.7319587628866084E-4</v>
      </c>
    </row>
    <row r="63" spans="1:7" x14ac:dyDescent="0.45">
      <c r="A63">
        <v>52</v>
      </c>
      <c r="B63" s="6" t="n">
        <v>3167.947258480922</v>
      </c>
      <c r="C63" s="9">
        <f si="0" t="shared"/>
        <v>0</v>
      </c>
      <c r="E63" s="371">
        <v>52</v>
      </c>
      <c r="F63" s="371" t="n">
        <v>4842.0</v>
      </c>
      <c r="G63" s="9">
        <f si="1" t="shared"/>
        <v>6.3052282768777705E-4</v>
      </c>
    </row>
    <row r="64" spans="1:7" x14ac:dyDescent="0.45">
      <c r="A64">
        <v>53</v>
      </c>
      <c r="B64" s="6" t="n">
        <v>3558.9406432797928</v>
      </c>
      <c r="C64" s="9">
        <f si="0" t="shared"/>
        <v>0</v>
      </c>
      <c r="E64" s="371">
        <v>53</v>
      </c>
      <c r="F64" s="371" t="n">
        <v>4587.0</v>
      </c>
      <c r="G64" s="9">
        <f si="1" t="shared"/>
        <v>5.3157216494845432E-4</v>
      </c>
    </row>
    <row r="65" spans="1:7" x14ac:dyDescent="0.45">
      <c r="A65">
        <v>54</v>
      </c>
      <c r="B65" s="6" t="n">
        <v>3255.975459280612</v>
      </c>
      <c r="C65" s="9">
        <f si="0" t="shared"/>
        <v>0</v>
      </c>
      <c r="E65" s="371">
        <v>54</v>
      </c>
      <c r="F65" s="371" t="n">
        <v>4403.0</v>
      </c>
      <c r="G65" s="9">
        <f si="1" t="shared"/>
        <v>5.9830633284241623E-4</v>
      </c>
    </row>
    <row r="66" spans="1:7" x14ac:dyDescent="0.45">
      <c r="A66">
        <v>55</v>
      </c>
      <c r="B66" s="6" t="n">
        <v>2758.479134456232</v>
      </c>
      <c r="C66" s="9">
        <f si="0" t="shared"/>
        <v>0</v>
      </c>
      <c r="E66" s="371">
        <v>55</v>
      </c>
      <c r="F66" s="371" t="n">
        <v>4384.0</v>
      </c>
      <c r="G66" s="9">
        <f si="1" t="shared"/>
        <v>4.8784977908689314E-4</v>
      </c>
    </row>
    <row r="67" spans="1:7" x14ac:dyDescent="0.45">
      <c r="A67">
        <v>56</v>
      </c>
      <c r="B67" s="6" t="n">
        <v>1781.174826115643</v>
      </c>
      <c r="C67" s="9">
        <f si="0" t="shared"/>
        <v>0</v>
      </c>
      <c r="E67" s="371">
        <v>56</v>
      </c>
      <c r="F67" s="371" t="n">
        <v>4208.0</v>
      </c>
      <c r="G67" s="9">
        <f si="1" t="shared"/>
        <v>4.257179675994115E-4</v>
      </c>
    </row>
    <row r="68" spans="1:7" x14ac:dyDescent="0.45">
      <c r="A68">
        <v>57</v>
      </c>
      <c r="B68" s="6" t="n">
        <v>4286.84224257062</v>
      </c>
      <c r="C68" s="9">
        <f si="0" t="shared"/>
        <v>1.4397135758905206E-3</v>
      </c>
      <c r="E68" s="371">
        <v>57</v>
      </c>
      <c r="F68" s="371" t="n">
        <v>4201.0</v>
      </c>
      <c r="G68" s="9">
        <f si="1" t="shared"/>
        <v>3.7739322533137016E-4</v>
      </c>
    </row>
    <row r="69" spans="1:7" x14ac:dyDescent="0.45">
      <c r="A69">
        <v>58</v>
      </c>
      <c r="B69" s="6" t="n">
        <v>1579.387132205816</v>
      </c>
      <c r="C69" s="9">
        <f si="0" t="shared"/>
        <v>2.1874084406314567E-4</v>
      </c>
      <c r="E69" s="371">
        <v>58</v>
      </c>
      <c r="F69" s="371" t="n">
        <v>3999.0</v>
      </c>
      <c r="G69" s="9">
        <f si="1" t="shared"/>
        <v>3.8659793814433042E-4</v>
      </c>
    </row>
    <row r="70" spans="1:7" x14ac:dyDescent="0.45">
      <c r="A70">
        <v>59</v>
      </c>
      <c r="B70" s="6" t="n">
        <v>2514.902877178117</v>
      </c>
      <c r="C70" s="9">
        <f si="0" t="shared"/>
        <v>0</v>
      </c>
      <c r="E70" s="371">
        <v>59</v>
      </c>
      <c r="F70" s="371" t="n">
        <v>3678.0</v>
      </c>
      <c r="G70" s="9">
        <f si="1" t="shared"/>
        <v>3.4287555228276924E-4</v>
      </c>
    </row>
    <row r="71" spans="1:7" x14ac:dyDescent="0.45">
      <c r="A71">
        <v>60</v>
      </c>
      <c r="B71" s="6" t="n">
        <v>3585.1881436008093</v>
      </c>
      <c r="C71" s="9">
        <f si="0" t="shared"/>
        <v>0</v>
      </c>
      <c r="E71" s="371">
        <v>60</v>
      </c>
      <c r="F71" s="371" t="n">
        <v>3331.0</v>
      </c>
      <c r="G71" s="9">
        <f si="1" t="shared"/>
        <v>3.0605670103092827E-4</v>
      </c>
    </row>
    <row r="72" spans="1:7" x14ac:dyDescent="0.45">
      <c r="A72">
        <v>61</v>
      </c>
      <c r="B72" s="6" t="n">
        <v>2098.0024578706375</v>
      </c>
      <c r="C72" s="9">
        <f si="0" t="shared"/>
        <v>0</v>
      </c>
      <c r="E72" s="371">
        <v>61</v>
      </c>
      <c r="F72" s="371" t="n">
        <v>3561.0</v>
      </c>
      <c r="G72" s="9">
        <f si="1" t="shared"/>
        <v>3.3827319587628908E-4</v>
      </c>
    </row>
    <row r="73" spans="1:7" x14ac:dyDescent="0.45">
      <c r="A73">
        <v>62</v>
      </c>
      <c r="B73" s="6" t="n">
        <v>3356.217863125814</v>
      </c>
      <c r="C73" s="9">
        <f si="0" t="shared"/>
        <v>0</v>
      </c>
      <c r="E73" s="371">
        <v>62</v>
      </c>
      <c r="F73" s="371" t="n">
        <v>3336.0</v>
      </c>
      <c r="G73" s="9">
        <f si="1" t="shared"/>
        <v>2.6003313696612703E-4</v>
      </c>
    </row>
    <row r="74" spans="1:7" x14ac:dyDescent="0.45">
      <c r="A74">
        <v>63</v>
      </c>
      <c r="B74" s="6" t="n">
        <v>2316.111027797227</v>
      </c>
      <c r="C74" s="9">
        <f si="0" t="shared"/>
        <v>0</v>
      </c>
      <c r="E74" s="371">
        <v>63</v>
      </c>
      <c r="F74" s="371" t="n">
        <v>3049.0</v>
      </c>
      <c r="G74" s="9">
        <f si="1" t="shared"/>
        <v>2.3241899852724629E-4</v>
      </c>
    </row>
    <row r="75" spans="1:7" x14ac:dyDescent="0.45">
      <c r="A75">
        <v>64</v>
      </c>
      <c r="B75" s="6" t="n">
        <v>1714.6793474046121</v>
      </c>
      <c r="C75" s="9">
        <f si="0" t="shared"/>
        <v>0</v>
      </c>
      <c r="E75" s="371">
        <v>64</v>
      </c>
      <c r="F75" s="371" t="n">
        <v>3150.0</v>
      </c>
      <c r="G75" s="9">
        <f si="1" t="shared"/>
        <v>2.5773195876288698E-4</v>
      </c>
    </row>
    <row r="76" spans="1:7" x14ac:dyDescent="0.45">
      <c r="A76">
        <v>65</v>
      </c>
      <c r="B76" s="6" t="n">
        <v>2158.023550723608</v>
      </c>
      <c r="C76" s="9">
        <f si="0" t="shared"/>
        <v>0</v>
      </c>
      <c r="E76" s="371">
        <v>65</v>
      </c>
      <c r="F76" s="371" t="n">
        <v>2807.0</v>
      </c>
      <c r="G76" s="9">
        <f si="1" t="shared"/>
        <v>1.7028718703976459E-4</v>
      </c>
    </row>
    <row r="77" spans="1:7" x14ac:dyDescent="0.45">
      <c r="A77">
        <v>66</v>
      </c>
      <c r="B77" s="6" t="n">
        <v>1126.4093914473124</v>
      </c>
      <c r="C77" s="9">
        <f ref="C77:C102" si="2" t="shared">B77/B$102</f>
        <v>0</v>
      </c>
      <c r="E77" s="371">
        <v>66</v>
      </c>
      <c r="F77" s="371" t="n">
        <v>2489.0</v>
      </c>
      <c r="G77" s="9">
        <f ref="G77:G102" si="3" t="shared">F77/F$102</f>
        <v>1.9560014727540529E-4</v>
      </c>
    </row>
    <row r="78" spans="1:7" x14ac:dyDescent="0.45">
      <c r="A78">
        <v>67</v>
      </c>
      <c r="B78" s="6" t="n">
        <v>1451.9006273925975</v>
      </c>
      <c r="C78" s="9">
        <f si="2" t="shared"/>
        <v>0</v>
      </c>
      <c r="E78" s="371">
        <v>67</v>
      </c>
      <c r="F78" s="371" t="n">
        <v>2409.0</v>
      </c>
      <c r="G78" s="9">
        <f si="3" t="shared"/>
        <v>1.3576951399116364E-4</v>
      </c>
    </row>
    <row r="79" spans="1:7" x14ac:dyDescent="0.45">
      <c r="A79">
        <v>68</v>
      </c>
      <c r="B79" s="6" t="n">
        <v>2420.8638675446973</v>
      </c>
      <c r="C79" s="9">
        <f si="2" t="shared"/>
        <v>0</v>
      </c>
      <c r="E79" s="371">
        <v>68</v>
      </c>
      <c r="F79" s="371" t="n">
        <v>2313.0</v>
      </c>
      <c r="G79" s="9">
        <f si="3" t="shared"/>
        <v>1.5648011782032421E-4</v>
      </c>
    </row>
    <row r="80" spans="1:7" x14ac:dyDescent="0.45">
      <c r="A80">
        <v>69</v>
      </c>
      <c r="B80" s="6" t="n">
        <v>2075.194755017392</v>
      </c>
      <c r="C80" s="9">
        <f si="2" t="shared"/>
        <v>0</v>
      </c>
      <c r="E80" s="371">
        <v>69</v>
      </c>
      <c r="F80" s="371" t="n">
        <v>2323.0</v>
      </c>
      <c r="G80" s="9">
        <f si="3" t="shared"/>
        <v>1.3807069219440372E-4</v>
      </c>
    </row>
    <row r="81" spans="1:7" x14ac:dyDescent="0.45">
      <c r="A81">
        <v>70</v>
      </c>
      <c r="B81" s="6" t="n">
        <v>874.138247057097</v>
      </c>
      <c r="C81" s="9">
        <f si="2" t="shared"/>
        <v>0</v>
      </c>
      <c r="E81" s="371">
        <v>70</v>
      </c>
      <c r="F81" s="371" t="n">
        <v>2094.0</v>
      </c>
      <c r="G81" s="9">
        <f si="3" t="shared"/>
        <v>1.1275773195876304E-4</v>
      </c>
    </row>
    <row r="82" spans="1:7" x14ac:dyDescent="0.45">
      <c r="A82">
        <v>71</v>
      </c>
      <c r="B82" s="6" t="n">
        <v>1181.9311227378346</v>
      </c>
      <c r="C82" s="9">
        <f si="2" t="shared"/>
        <v>0</v>
      </c>
      <c r="E82" s="371">
        <v>71</v>
      </c>
      <c r="F82" s="371" t="n">
        <v>2059.0</v>
      </c>
      <c r="G82" s="9">
        <f si="3" t="shared"/>
        <v>9.8950662739322669E-5</v>
      </c>
    </row>
    <row r="83" spans="1:7" x14ac:dyDescent="0.45">
      <c r="A83">
        <v>72</v>
      </c>
      <c r="B83" s="6" t="n">
        <v>1773.3310649172693</v>
      </c>
      <c r="C83" s="9">
        <f si="2" t="shared"/>
        <v>0</v>
      </c>
      <c r="E83" s="371">
        <v>72</v>
      </c>
      <c r="F83" s="371" t="n">
        <v>2081.0</v>
      </c>
      <c r="G83" s="9">
        <f si="3" t="shared"/>
        <v>8.9745949926362426E-5</v>
      </c>
    </row>
    <row r="84" spans="1:7" x14ac:dyDescent="0.45">
      <c r="A84">
        <v>73</v>
      </c>
      <c r="B84" s="6" t="n">
        <v>1401.213002742151</v>
      </c>
      <c r="C84" s="9">
        <f si="2" t="shared"/>
        <v>0</v>
      </c>
      <c r="E84" s="371">
        <v>73</v>
      </c>
      <c r="F84" s="371" t="n">
        <v>1981.0</v>
      </c>
      <c r="G84" s="9">
        <f si="3" t="shared"/>
        <v>8.5143593519882297E-5</v>
      </c>
    </row>
    <row r="85" spans="1:7" x14ac:dyDescent="0.45">
      <c r="A85">
        <v>74</v>
      </c>
      <c r="B85" s="6" t="n">
        <v>1406.8256739284982</v>
      </c>
      <c r="C85" s="9">
        <f si="2" t="shared"/>
        <v>0</v>
      </c>
      <c r="E85" s="371">
        <v>74</v>
      </c>
      <c r="F85" s="371" t="n">
        <v>1874.0</v>
      </c>
      <c r="G85" s="9">
        <f si="3" t="shared"/>
        <v>4.6023564064801238E-5</v>
      </c>
    </row>
    <row r="86" spans="1:7" x14ac:dyDescent="0.45">
      <c r="A86">
        <v>75</v>
      </c>
      <c r="B86" s="6" t="n">
        <v>923.8737050611401</v>
      </c>
      <c r="C86" s="9">
        <f si="2" t="shared"/>
        <v>0</v>
      </c>
      <c r="E86" s="371">
        <v>75</v>
      </c>
      <c r="F86" s="371" t="n">
        <v>1667.0</v>
      </c>
      <c r="G86" s="9">
        <f si="3" t="shared"/>
        <v>7.1336524300441925E-5</v>
      </c>
    </row>
    <row r="87" spans="1:7" x14ac:dyDescent="0.45">
      <c r="A87">
        <v>76</v>
      </c>
      <c r="B87" s="6" t="n">
        <v>648.6872653710413</v>
      </c>
      <c r="C87" s="9">
        <f si="2" t="shared"/>
        <v>0</v>
      </c>
      <c r="E87" s="371">
        <v>76</v>
      </c>
      <c r="F87" s="371" t="n">
        <v>1880.0</v>
      </c>
      <c r="G87" s="9">
        <f si="3" t="shared"/>
        <v>5.0625920471281367E-5</v>
      </c>
    </row>
    <row r="88" spans="1:7" x14ac:dyDescent="0.45">
      <c r="A88">
        <v>77</v>
      </c>
      <c r="B88" s="6" t="n">
        <v>930.1786629464507</v>
      </c>
      <c r="C88" s="9">
        <f si="2" t="shared"/>
        <v>0</v>
      </c>
      <c r="E88" s="371">
        <v>77</v>
      </c>
      <c r="F88" s="371" t="n">
        <v>1924.0</v>
      </c>
      <c r="G88" s="9">
        <f si="3" t="shared"/>
        <v>5.0625920471281367E-5</v>
      </c>
    </row>
    <row r="89" spans="1:7" x14ac:dyDescent="0.45">
      <c r="A89">
        <v>78</v>
      </c>
      <c r="B89" s="6" t="n">
        <v>1274.403212110172</v>
      </c>
      <c r="C89" s="9">
        <f si="2" t="shared"/>
        <v>0</v>
      </c>
      <c r="E89" s="371">
        <v>78</v>
      </c>
      <c r="F89" s="371" t="n">
        <v>1877.0</v>
      </c>
      <c r="G89" s="9">
        <f si="3" t="shared"/>
        <v>3.6818851251840995E-5</v>
      </c>
    </row>
    <row r="90" spans="1:7" x14ac:dyDescent="0.45">
      <c r="A90">
        <v>79</v>
      </c>
      <c r="B90" s="6" t="n">
        <v>24.5368584837138</v>
      </c>
      <c r="C90" s="9">
        <f si="2" t="shared"/>
        <v>0</v>
      </c>
      <c r="E90" s="371">
        <v>79</v>
      </c>
      <c r="F90" s="371" t="n">
        <v>1744.0</v>
      </c>
      <c r="G90" s="9">
        <f si="3" t="shared"/>
        <v>5.2927098674521424E-5</v>
      </c>
    </row>
    <row r="91" spans="1:7" x14ac:dyDescent="0.45">
      <c r="A91">
        <v>80</v>
      </c>
      <c r="B91" s="6" t="n">
        <v>1350.2726415854336</v>
      </c>
      <c r="C91" s="9">
        <f si="2" t="shared"/>
        <v>0</v>
      </c>
      <c r="E91" s="371">
        <v>80</v>
      </c>
      <c r="F91" s="371" t="n">
        <v>1646.0</v>
      </c>
      <c r="G91" s="9">
        <f si="3" t="shared"/>
        <v>5.9830633284241617E-5</v>
      </c>
    </row>
    <row r="92" spans="1:7" x14ac:dyDescent="0.45">
      <c r="A92">
        <v>81</v>
      </c>
      <c r="B92" s="6" t="n">
        <v>747.208689297149</v>
      </c>
      <c r="C92" s="9">
        <f si="2" t="shared"/>
        <v>0</v>
      </c>
      <c r="E92" s="371">
        <v>81</v>
      </c>
      <c r="F92" s="371" t="n">
        <v>1659.0</v>
      </c>
      <c r="G92" s="9">
        <f si="3" t="shared"/>
        <v>5.0625920471281367E-5</v>
      </c>
    </row>
    <row r="93" spans="1:7" x14ac:dyDescent="0.45">
      <c r="A93">
        <v>82</v>
      </c>
      <c r="B93" s="6" t="n">
        <v>458.77560353828255</v>
      </c>
      <c r="C93" s="9">
        <f si="2" t="shared"/>
        <v>0</v>
      </c>
      <c r="E93" s="371">
        <v>82</v>
      </c>
      <c r="F93" s="371" t="n">
        <v>1681.0</v>
      </c>
      <c r="G93" s="9">
        <f si="3" t="shared"/>
        <v>5.0625920471281367E-5</v>
      </c>
    </row>
    <row r="94" spans="1:7" x14ac:dyDescent="0.45">
      <c r="A94">
        <v>83</v>
      </c>
      <c r="B94" s="6" t="n">
        <v>1126.707772029467</v>
      </c>
      <c r="C94" s="9">
        <f si="2" t="shared"/>
        <v>0</v>
      </c>
      <c r="E94" s="371">
        <v>83</v>
      </c>
      <c r="F94" s="371" t="n">
        <v>1411.0</v>
      </c>
      <c r="G94" s="9">
        <f si="3" t="shared"/>
        <v>4.6023564064801238E-5</v>
      </c>
    </row>
    <row r="95" spans="1:7" x14ac:dyDescent="0.45">
      <c r="A95">
        <v>84</v>
      </c>
      <c r="B95" s="6" t="n">
        <v>339.5559728939452</v>
      </c>
      <c r="C95" s="9">
        <f si="2" t="shared"/>
        <v>0</v>
      </c>
      <c r="E95" s="371">
        <v>84</v>
      </c>
      <c r="F95" s="371" t="n">
        <v>1748.0</v>
      </c>
      <c r="G95" s="9">
        <f si="3" t="shared"/>
        <v>2.5312960235640683E-5</v>
      </c>
    </row>
    <row r="96" spans="1:7" x14ac:dyDescent="0.45">
      <c r="A96">
        <v>85</v>
      </c>
      <c r="B96" s="6" t="n">
        <v>33.1366449121671</v>
      </c>
      <c r="C96" s="9">
        <f si="2" t="shared"/>
        <v>0</v>
      </c>
      <c r="E96" s="371">
        <v>85</v>
      </c>
      <c r="F96" s="371" t="n">
        <v>1587.0</v>
      </c>
      <c r="G96" s="9">
        <f si="3" t="shared"/>
        <v>3.6818851251840995E-5</v>
      </c>
    </row>
    <row r="97" spans="1:7" x14ac:dyDescent="0.45">
      <c r="A97">
        <v>86</v>
      </c>
      <c r="B97" s="6" t="n">
        <v>524.2860792502784</v>
      </c>
      <c r="C97" s="9">
        <f si="2" t="shared"/>
        <v>0</v>
      </c>
      <c r="E97" s="371">
        <v>86</v>
      </c>
      <c r="F97" s="371" t="n">
        <v>1379.0</v>
      </c>
      <c r="G97" s="9">
        <f si="3" t="shared"/>
        <v>3.9120029455081052E-5</v>
      </c>
    </row>
    <row r="98" spans="1:7" x14ac:dyDescent="0.45">
      <c r="A98">
        <v>87</v>
      </c>
      <c r="B98" s="6" t="n">
        <v>101.835219376403</v>
      </c>
      <c r="C98" s="9">
        <f si="2" t="shared"/>
        <v>0</v>
      </c>
      <c r="E98" s="371">
        <v>87</v>
      </c>
      <c r="F98" s="371" t="n">
        <v>1528.0</v>
      </c>
      <c r="G98" s="9">
        <f si="3" t="shared"/>
        <v>3.9120029455081052E-5</v>
      </c>
    </row>
    <row r="99" spans="1:7" x14ac:dyDescent="0.45">
      <c r="A99">
        <v>88</v>
      </c>
      <c r="B99" s="6" t="n">
        <v>670.916272573936</v>
      </c>
      <c r="C99" s="9">
        <f si="2" t="shared"/>
        <v>0</v>
      </c>
      <c r="E99" s="371">
        <v>88</v>
      </c>
      <c r="F99" s="371" t="n">
        <v>1459.0</v>
      </c>
      <c r="G99" s="9">
        <f si="3" t="shared"/>
        <v>3.9120029455081052E-5</v>
      </c>
    </row>
    <row r="100" spans="1:7" x14ac:dyDescent="0.45">
      <c r="A100">
        <v>89</v>
      </c>
      <c r="B100" s="6" t="n">
        <v>217.775231445794</v>
      </c>
      <c r="C100" s="9">
        <f si="2" t="shared"/>
        <v>0</v>
      </c>
      <c r="E100" s="371">
        <v>89</v>
      </c>
      <c r="F100" s="371" t="n">
        <v>1313.0</v>
      </c>
      <c r="G100" s="9">
        <f si="3" t="shared"/>
        <v>2.5312960235640683E-5</v>
      </c>
    </row>
    <row ht="14.65" r="101" spans="1:7" thickBot="1" x14ac:dyDescent="0.5">
      <c r="A101" s="1">
        <v>90</v>
      </c>
      <c r="B101" s="7" t="n">
        <v>780.5332398932842</v>
      </c>
      <c r="C101" s="9">
        <f si="2" t="shared"/>
        <v>0</v>
      </c>
      <c r="E101" s="372">
        <v>90</v>
      </c>
      <c r="F101" s="372" t="n">
        <v>20724.0</v>
      </c>
      <c r="G101" s="9">
        <f si="3" t="shared"/>
        <v>6.5353460972017766E-4</v>
      </c>
    </row>
    <row r="102" spans="1:7" x14ac:dyDescent="0.45">
      <c r="B102" s="6">
        <f>SUM(B11:B101)</f>
        <v>172804.50779241003</v>
      </c>
      <c r="C102" s="9">
        <f si="2" t="shared"/>
        <v>1</v>
      </c>
      <c r="F102" s="6">
        <f>SUM(F11:F101)</f>
        <v>144853.33333318829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workbookViewId="0">
      <selection activeCell="K11" sqref="K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26364.85275773588</v>
      </c>
      <c r="C11" s="9">
        <f>B11/B$102</f>
        <v>0.37917483693233939</v>
      </c>
      <c r="E11" s="371">
        <v>0</v>
      </c>
      <c r="F11" s="371" t="n">
        <v>41954.0</v>
      </c>
      <c r="G11" s="9">
        <f>F11/F$102</f>
        <v>0.36729342055087871</v>
      </c>
      <c r="K11" s="6" t="n">
        <v>5.205536797765671</v>
      </c>
      <c r="L11" s="6" t="n">
        <v>5.2478761007473995</v>
      </c>
    </row>
    <row r="12" spans="1:12" x14ac:dyDescent="0.45">
      <c r="A12">
        <v>1</v>
      </c>
      <c r="B12" s="6" t="n">
        <v>50380.92324999835</v>
      </c>
      <c r="C12" s="9">
        <f>B12/B$102</f>
        <v>0.22901998813179014</v>
      </c>
      <c r="E12" s="371">
        <v>1</v>
      </c>
      <c r="F12" s="371" t="n">
        <v>60334.0</v>
      </c>
      <c r="G12" s="9">
        <f>F12/F$102</f>
        <v>0.27818485817371136</v>
      </c>
      <c r="K12" s="6"/>
      <c r="L12" s="371"/>
    </row>
    <row r="13" spans="1:12" x14ac:dyDescent="0.45">
      <c r="A13">
        <v>2</v>
      </c>
      <c r="B13" s="6" t="n">
        <v>50380.44925745055</v>
      </c>
      <c r="C13" s="9">
        <f ref="C13:C76" si="0" t="shared">B13/B$102</f>
        <v>0.12029730347584695</v>
      </c>
      <c r="E13" s="371">
        <v>2</v>
      </c>
      <c r="F13" s="371" t="n">
        <v>43839.0</v>
      </c>
      <c r="G13" s="9">
        <f ref="G13:G76" si="1" t="shared">F13/F$102</f>
        <v>0.12414126895661604</v>
      </c>
    </row>
    <row r="14" spans="1:12" x14ac:dyDescent="0.45">
      <c r="A14">
        <v>3</v>
      </c>
      <c r="B14" s="6" t="n">
        <v>34560.689060274424</v>
      </c>
      <c r="C14" s="9">
        <f si="0" t="shared"/>
        <v>0.15605761541964994</v>
      </c>
      <c r="E14" s="371">
        <v>3</v>
      </c>
      <c r="F14" s="371" t="n">
        <v>27465.0</v>
      </c>
      <c r="G14" s="9">
        <f si="1" t="shared"/>
        <v>6.4360095039746518E-2</v>
      </c>
    </row>
    <row r="15" spans="1:12" x14ac:dyDescent="0.45">
      <c r="A15">
        <v>4</v>
      </c>
      <c r="B15" s="6" t="n">
        <v>31734.396694482773</v>
      </c>
      <c r="C15" s="9">
        <f si="0" t="shared"/>
        <v>1.5254611294570727E-2</v>
      </c>
      <c r="E15" s="371">
        <v>4</v>
      </c>
      <c r="F15" s="371" t="n">
        <v>17295.0</v>
      </c>
      <c r="G15" s="9">
        <f si="1" t="shared"/>
        <v>2.853832389780292E-2</v>
      </c>
    </row>
    <row r="16" spans="1:12" x14ac:dyDescent="0.45">
      <c r="A16">
        <v>5</v>
      </c>
      <c r="B16" s="6" t="n">
        <v>21803.239958085178</v>
      </c>
      <c r="C16" s="9">
        <f si="0" t="shared"/>
        <v>5.0586667969220447E-3</v>
      </c>
      <c r="E16" s="371">
        <v>5</v>
      </c>
      <c r="F16" s="371" t="n">
        <v>12778.0</v>
      </c>
      <c r="G16" s="9">
        <f si="1" t="shared"/>
        <v>1.4555161186236829E-2</v>
      </c>
    </row>
    <row r="17" spans="1:7" x14ac:dyDescent="0.45">
      <c r="A17">
        <v>6</v>
      </c>
      <c r="B17" s="6" t="n">
        <v>17724.791008956337</v>
      </c>
      <c r="C17" s="9">
        <f si="0" t="shared"/>
        <v>8.5842623309818076E-4</v>
      </c>
      <c r="E17" s="371">
        <v>6</v>
      </c>
      <c r="F17" s="371" t="n">
        <v>10666.0</v>
      </c>
      <c r="G17" s="9">
        <f si="1" t="shared"/>
        <v>1.0645038279897915E-2</v>
      </c>
    </row>
    <row r="18" spans="1:7" x14ac:dyDescent="0.45">
      <c r="A18">
        <v>7</v>
      </c>
      <c r="B18" s="6" t="n">
        <v>16132.440744297062</v>
      </c>
      <c r="C18" s="9">
        <f si="0" t="shared"/>
        <v>1.0899541124488672E-3</v>
      </c>
      <c r="E18" s="371">
        <v>7</v>
      </c>
      <c r="F18" s="371" t="n">
        <v>9278.0</v>
      </c>
      <c r="G18" s="9">
        <f si="1" t="shared"/>
        <v>1.2636766301956523E-2</v>
      </c>
    </row>
    <row r="19" spans="1:7" x14ac:dyDescent="0.45">
      <c r="A19">
        <v>8</v>
      </c>
      <c r="B19" s="6" t="n">
        <v>7181.329502070141</v>
      </c>
      <c r="C19" s="9">
        <f si="0" t="shared"/>
        <v>5.721408103385779E-3</v>
      </c>
      <c r="E19" s="371">
        <v>8</v>
      </c>
      <c r="F19" s="371" t="n">
        <v>7891.0</v>
      </c>
      <c r="G19" s="9">
        <f si="1" t="shared"/>
        <v>1.1847701739462022E-2</v>
      </c>
    </row>
    <row r="20" spans="1:7" x14ac:dyDescent="0.45">
      <c r="A20">
        <v>9</v>
      </c>
      <c r="B20" s="6" t="n">
        <v>6421.677217637839</v>
      </c>
      <c r="C20" s="9">
        <f si="0" t="shared"/>
        <v>0</v>
      </c>
      <c r="E20" s="371">
        <v>9</v>
      </c>
      <c r="F20" s="371" t="n">
        <v>7184.0</v>
      </c>
      <c r="G20" s="9">
        <f si="1" t="shared"/>
        <v>1.0762371300343193E-2</v>
      </c>
    </row>
    <row r="21" spans="1:7" x14ac:dyDescent="0.45">
      <c r="A21">
        <v>10</v>
      </c>
      <c r="B21" s="6" t="n">
        <v>5403.525067539694</v>
      </c>
      <c r="C21" s="9">
        <f si="0" t="shared"/>
        <v>1.2408419100549411E-2</v>
      </c>
      <c r="E21" s="371">
        <v>10</v>
      </c>
      <c r="F21" s="371" t="n">
        <v>6061.0</v>
      </c>
      <c r="G21" s="9">
        <f si="1" t="shared"/>
        <v>8.9437094834413731E-3</v>
      </c>
    </row>
    <row r="22" spans="1:7" x14ac:dyDescent="0.45">
      <c r="A22">
        <v>11</v>
      </c>
      <c r="B22" s="6" t="n">
        <v>6268.634092148138</v>
      </c>
      <c r="C22" s="9">
        <f si="0" t="shared"/>
        <v>2.829061680518059E-2</v>
      </c>
      <c r="E22" s="371">
        <v>11</v>
      </c>
      <c r="F22" s="371" t="n">
        <v>5584.0</v>
      </c>
      <c r="G22" s="9">
        <f si="1" t="shared"/>
        <v>7.9053122525006552E-3</v>
      </c>
    </row>
    <row r="23" spans="1:7" x14ac:dyDescent="0.45">
      <c r="A23">
        <v>12</v>
      </c>
      <c r="B23" s="6" t="n">
        <v>2454.399010385223</v>
      </c>
      <c r="C23" s="9">
        <f si="0" t="shared"/>
        <v>9.9451668665399996E-3</v>
      </c>
      <c r="E23" s="371">
        <v>12</v>
      </c>
      <c r="F23" s="371" t="n">
        <v>4867.0</v>
      </c>
      <c r="G23" s="9">
        <f si="1" t="shared"/>
        <v>6.3975829397788248E-3</v>
      </c>
    </row>
    <row r="24" spans="1:7" x14ac:dyDescent="0.45">
      <c r="A24">
        <v>13</v>
      </c>
      <c r="B24" s="6" t="n">
        <v>1802.450035622354</v>
      </c>
      <c r="C24" s="9">
        <f si="0" t="shared"/>
        <v>0</v>
      </c>
      <c r="E24" s="371">
        <v>13</v>
      </c>
      <c r="F24" s="371" t="n">
        <v>4208.0</v>
      </c>
      <c r="G24" s="9">
        <f si="1" t="shared"/>
        <v>5.1186530169252857E-3</v>
      </c>
    </row>
    <row r="25" spans="1:7" x14ac:dyDescent="0.45">
      <c r="A25">
        <v>14</v>
      </c>
      <c r="B25" s="6" t="n">
        <v>5072.8695274291995</v>
      </c>
      <c r="C25" s="9">
        <f si="0" t="shared"/>
        <v>0</v>
      </c>
      <c r="E25" s="371">
        <v>14</v>
      </c>
      <c r="F25" s="371" t="n">
        <v>3573.0</v>
      </c>
      <c r="G25" s="9">
        <f si="1" t="shared"/>
        <v>4.0509225308732492E-3</v>
      </c>
    </row>
    <row r="26" spans="1:7" x14ac:dyDescent="0.45">
      <c r="A26">
        <v>15</v>
      </c>
      <c r="B26" s="6" t="n">
        <v>3682.3196064393296</v>
      </c>
      <c r="C26" s="9">
        <f si="0" t="shared"/>
        <v>0</v>
      </c>
      <c r="E26" s="371">
        <v>15</v>
      </c>
      <c r="F26" s="371" t="n">
        <v>3073.0</v>
      </c>
      <c r="G26" s="9">
        <f si="1" t="shared"/>
        <v>4.2005221319409798E-3</v>
      </c>
    </row>
    <row r="27" spans="1:7" x14ac:dyDescent="0.45">
      <c r="A27">
        <v>16</v>
      </c>
      <c r="B27" s="6" t="n">
        <v>1686.9783700382466</v>
      </c>
      <c r="C27" s="9">
        <f si="0" t="shared"/>
        <v>0</v>
      </c>
      <c r="E27" s="371">
        <v>16</v>
      </c>
      <c r="F27" s="371" t="n">
        <v>2714.0</v>
      </c>
      <c r="G27" s="9">
        <f si="1" t="shared"/>
        <v>4.0949224135402289E-3</v>
      </c>
    </row>
    <row r="28" spans="1:7" x14ac:dyDescent="0.45">
      <c r="A28">
        <v>17</v>
      </c>
      <c r="B28" s="6" t="n">
        <v>2557.4780413168946</v>
      </c>
      <c r="C28" s="9">
        <f si="0" t="shared"/>
        <v>0</v>
      </c>
      <c r="E28" s="371">
        <v>17</v>
      </c>
      <c r="F28" s="371" t="n">
        <v>2301.0</v>
      </c>
      <c r="G28" s="9">
        <f si="1" t="shared"/>
        <v>4.1741222023407914E-3</v>
      </c>
    </row>
    <row r="29" spans="1:7" x14ac:dyDescent="0.45">
      <c r="A29">
        <v>18</v>
      </c>
      <c r="B29" s="6" t="n">
        <v>526.9366490917736</v>
      </c>
      <c r="C29" s="9">
        <f si="0" t="shared"/>
        <v>4.9242363498020521E-3</v>
      </c>
      <c r="E29" s="371">
        <v>18</v>
      </c>
      <c r="F29" s="371" t="n">
        <v>1894.0</v>
      </c>
      <c r="G29" s="9">
        <f si="1" t="shared"/>
        <v>2.7837259100642387E-3</v>
      </c>
    </row>
    <row r="30" spans="1:7" x14ac:dyDescent="0.45">
      <c r="A30">
        <v>19</v>
      </c>
      <c r="B30" s="6" t="n">
        <v>522.042341280871</v>
      </c>
      <c r="C30" s="9">
        <f si="0" t="shared"/>
        <v>9.8619142602668509E-3</v>
      </c>
      <c r="E30" s="371">
        <v>19</v>
      </c>
      <c r="F30" s="371" t="n">
        <v>1632.0</v>
      </c>
      <c r="G30" s="9">
        <f si="1" t="shared"/>
        <v>3.4671907541579871E-3</v>
      </c>
    </row>
    <row r="31" spans="1:7" x14ac:dyDescent="0.45">
      <c r="A31">
        <v>20</v>
      </c>
      <c r="B31" s="6" t="n">
        <v>1271.9409063760281</v>
      </c>
      <c r="C31" s="9">
        <f si="0" t="shared"/>
        <v>0</v>
      </c>
      <c r="E31" s="371">
        <v>20</v>
      </c>
      <c r="F31" s="371" t="n">
        <v>1446.0</v>
      </c>
      <c r="G31" s="9">
        <f si="1" t="shared"/>
        <v>3.5581238450030782E-3</v>
      </c>
    </row>
    <row r="32" spans="1:7" x14ac:dyDescent="0.45">
      <c r="A32">
        <v>21</v>
      </c>
      <c r="B32" s="6" t="n">
        <v>336.9160164314971</v>
      </c>
      <c r="C32" s="9">
        <f si="0" t="shared"/>
        <v>0</v>
      </c>
      <c r="E32" s="371">
        <v>21</v>
      </c>
      <c r="F32" s="371" t="n">
        <v>1230.0</v>
      </c>
      <c r="G32" s="9">
        <f si="1" t="shared"/>
        <v>2.8423924202868778E-3</v>
      </c>
    </row>
    <row r="33" spans="1:7" x14ac:dyDescent="0.45">
      <c r="A33">
        <v>22</v>
      </c>
      <c r="B33" s="6" t="n">
        <v>801.2449005787745</v>
      </c>
      <c r="C33" s="9">
        <f si="0" t="shared"/>
        <v>3.9863996313265369E-3</v>
      </c>
      <c r="E33" s="371">
        <v>22</v>
      </c>
      <c r="F33" s="371" t="n">
        <v>1017.0</v>
      </c>
      <c r="G33" s="9">
        <f si="1" t="shared"/>
        <v>1.8567950485465364E-3</v>
      </c>
    </row>
    <row r="34" spans="1:7" x14ac:dyDescent="0.45">
      <c r="A34">
        <v>23</v>
      </c>
      <c r="B34" s="6" t="n">
        <v>121.252263935523</v>
      </c>
      <c r="C34" s="9">
        <f si="0" t="shared"/>
        <v>1.5808453125608888E-2</v>
      </c>
      <c r="E34" s="371">
        <v>23</v>
      </c>
      <c r="F34" s="371" t="n">
        <v>889.0</v>
      </c>
      <c r="G34" s="9">
        <f si="1" t="shared"/>
        <v>1.7071954474788059E-3</v>
      </c>
    </row>
    <row r="35" spans="1:7" x14ac:dyDescent="0.45">
      <c r="A35">
        <v>24</v>
      </c>
      <c r="B35" s="6" t="n">
        <v>367.0499462111889</v>
      </c>
      <c r="C35" s="9">
        <f si="0" t="shared"/>
        <v>0</v>
      </c>
      <c r="E35" s="371">
        <v>24</v>
      </c>
      <c r="F35" s="371" t="n">
        <v>768.0</v>
      </c>
      <c r="G35" s="9">
        <f si="1" t="shared"/>
        <v>2.1765275292599208E-3</v>
      </c>
    </row>
    <row r="36" spans="1:7" x14ac:dyDescent="0.45">
      <c r="A36">
        <v>25</v>
      </c>
      <c r="B36" s="6" t="n">
        <v>1067.723270428264</v>
      </c>
      <c r="C36" s="9">
        <f si="0" t="shared"/>
        <v>0</v>
      </c>
      <c r="E36" s="371">
        <v>25</v>
      </c>
      <c r="F36" s="371" t="n">
        <v>650.0</v>
      </c>
      <c r="G36" s="9">
        <f si="1" t="shared"/>
        <v>1.69839547094541E-3</v>
      </c>
    </row>
    <row r="37" spans="1:7" x14ac:dyDescent="0.45">
      <c r="A37">
        <v>26</v>
      </c>
      <c r="B37" s="6" t="n">
        <v>166.209439065969</v>
      </c>
      <c r="C37" s="9">
        <f si="0" t="shared"/>
        <v>0</v>
      </c>
      <c r="E37" s="371">
        <v>26</v>
      </c>
      <c r="F37" s="371" t="n">
        <v>552.0</v>
      </c>
      <c r="G37" s="9">
        <f si="1" t="shared"/>
        <v>1.3669296881874975E-3</v>
      </c>
    </row>
    <row r="38" spans="1:7" x14ac:dyDescent="0.45">
      <c r="A38">
        <v>27</v>
      </c>
      <c r="B38" s="6" t="n">
        <v>594.7187172471299</v>
      </c>
      <c r="C38" s="9">
        <f si="0" t="shared"/>
        <v>0</v>
      </c>
      <c r="E38" s="371">
        <v>27</v>
      </c>
      <c r="F38" s="371" t="n">
        <v>500.0</v>
      </c>
      <c r="G38" s="9">
        <f si="1" t="shared"/>
        <v>1.1645302279193917E-3</v>
      </c>
    </row>
    <row r="39" spans="1:7" x14ac:dyDescent="0.45">
      <c r="A39">
        <v>28</v>
      </c>
      <c r="B39" s="6" t="n">
        <v>216.2044754331561</v>
      </c>
      <c r="C39" s="9">
        <f si="0" t="shared"/>
        <v>0</v>
      </c>
      <c r="E39" s="371">
        <v>28</v>
      </c>
      <c r="F39" s="371" t="n">
        <v>425.0</v>
      </c>
      <c r="G39" s="9">
        <f si="1" t="shared"/>
        <v>1.0325305799184529E-3</v>
      </c>
    </row>
    <row r="40" spans="1:7" x14ac:dyDescent="0.45">
      <c r="A40">
        <v>29</v>
      </c>
      <c r="B40" s="6" t="n">
        <v>604.2317070324642</v>
      </c>
      <c r="C40" s="9">
        <f si="0" t="shared"/>
        <v>0</v>
      </c>
      <c r="E40" s="371">
        <v>29</v>
      </c>
      <c r="F40" s="371" t="n">
        <v>366.0</v>
      </c>
      <c r="G40" s="9">
        <f si="1" t="shared"/>
        <v>9.1813088498430629E-4</v>
      </c>
    </row>
    <row r="41" spans="1:7" x14ac:dyDescent="0.45">
      <c r="A41">
        <v>30</v>
      </c>
      <c r="B41" s="6" t="n">
        <v>1097.6524314705262</v>
      </c>
      <c r="C41" s="9">
        <f si="0" t="shared"/>
        <v>0</v>
      </c>
      <c r="E41" s="371">
        <v>30</v>
      </c>
      <c r="F41" s="371" t="n">
        <v>362.0</v>
      </c>
      <c r="G41" s="9">
        <f si="1" t="shared"/>
        <v>8.2133114311695125E-4</v>
      </c>
    </row>
    <row r="42" spans="1:7" x14ac:dyDescent="0.45">
      <c r="A42">
        <v>31</v>
      </c>
      <c r="B42" s="6" t="n">
        <v>38.581100217278</v>
      </c>
      <c r="C42" s="9">
        <f si="0" t="shared"/>
        <v>0</v>
      </c>
      <c r="E42" s="371">
        <v>31</v>
      </c>
      <c r="F42" s="371" t="n">
        <v>264.0</v>
      </c>
      <c r="G42" s="9">
        <f si="1" t="shared"/>
        <v>7.6266463289431197E-4</v>
      </c>
    </row>
    <row r="43" spans="1:7" x14ac:dyDescent="0.4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280.0</v>
      </c>
      <c r="G43" s="9">
        <f si="1" t="shared"/>
        <v>5.8373177671526186E-4</v>
      </c>
    </row>
    <row r="44" spans="1:7" x14ac:dyDescent="0.45">
      <c r="A44">
        <v>33</v>
      </c>
      <c r="B44" s="6" t="n">
        <v>114.084435212854</v>
      </c>
      <c r="C44" s="9">
        <f si="0" t="shared"/>
        <v>0</v>
      </c>
      <c r="E44" s="371">
        <v>33</v>
      </c>
      <c r="F44" s="371" t="n">
        <v>215.0</v>
      </c>
      <c r="G44" s="9">
        <f si="1" t="shared"/>
        <v>5.6906514915960199E-4</v>
      </c>
    </row>
    <row r="45" spans="1:7" x14ac:dyDescent="0.45">
      <c r="A45">
        <v>34</v>
      </c>
      <c r="B45" s="6" t="n">
        <v>76.4326655486359</v>
      </c>
      <c r="C45" s="9">
        <f si="0" t="shared"/>
        <v>2.2419833606735287E-3</v>
      </c>
      <c r="E45" s="371">
        <v>34</v>
      </c>
      <c r="F45" s="371" t="n">
        <v>161.0</v>
      </c>
      <c r="G45" s="9">
        <f si="1" t="shared"/>
        <v>4.4586547769205924E-4</v>
      </c>
    </row>
    <row r="46" spans="1:7" x14ac:dyDescent="0.45">
      <c r="A46">
        <v>35</v>
      </c>
      <c r="B46" s="6" t="n">
        <v>68.9228000295889</v>
      </c>
      <c r="C46" s="9">
        <f si="0" t="shared"/>
        <v>0</v>
      </c>
      <c r="E46" s="371">
        <v>35</v>
      </c>
      <c r="F46" s="371" t="n">
        <v>135.0</v>
      </c>
      <c r="G46" s="9">
        <f si="1" t="shared"/>
        <v>3.8426564195828791E-4</v>
      </c>
    </row>
    <row r="47" spans="1:7" x14ac:dyDescent="0.45">
      <c r="A47">
        <v>36</v>
      </c>
      <c r="B47" s="6" t="n">
        <v>492.13724669525806</v>
      </c>
      <c r="C47" s="9">
        <f si="0" t="shared"/>
        <v>0</v>
      </c>
      <c r="E47" s="371">
        <v>36</v>
      </c>
      <c r="F47" s="371" t="n">
        <v>111.0</v>
      </c>
      <c r="G47" s="9">
        <f si="1" t="shared"/>
        <v>4.810653838256429E-4</v>
      </c>
    </row>
    <row r="48" spans="1:7" x14ac:dyDescent="0.45">
      <c r="A48">
        <v>37</v>
      </c>
      <c r="B48" s="6" t="n">
        <v>78.0955874929912</v>
      </c>
      <c r="C48" s="9">
        <f si="0" t="shared"/>
        <v>0</v>
      </c>
      <c r="E48" s="371">
        <v>37</v>
      </c>
      <c r="F48" s="371" t="n">
        <v>98.0</v>
      </c>
      <c r="G48" s="9">
        <f si="1" t="shared"/>
        <v>5.279985920037544E-4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68.0</v>
      </c>
      <c r="G49" s="9">
        <f si="1" t="shared"/>
        <v>3.6373236338036412E-4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63.0</v>
      </c>
      <c r="G50" s="9">
        <f si="1" t="shared"/>
        <v>3.4613241031357232E-4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44.0</v>
      </c>
      <c r="G51" s="9">
        <f si="1" t="shared"/>
        <v>2.8159924906866901E-4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41.0</v>
      </c>
      <c r="G52" s="9">
        <f si="1" t="shared"/>
        <v>2.7279927253527311E-4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38.0</v>
      </c>
      <c r="G53" s="9">
        <f si="1" t="shared"/>
        <v>2.5813264497961323E-4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31.0</v>
      </c>
      <c r="G54" s="9">
        <f si="1" t="shared"/>
        <v>1.7599953066791814E-4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22.0</v>
      </c>
      <c r="G55" s="9">
        <f si="1" t="shared"/>
        <v>2.2293273884602962E-4</v>
      </c>
    </row>
    <row r="56" spans="1:7" x14ac:dyDescent="0.45">
      <c r="A56">
        <v>45</v>
      </c>
      <c r="B56" s="6" t="n">
        <v>60.0756860683432</v>
      </c>
      <c r="C56" s="9">
        <f si="0" t="shared"/>
        <v>0</v>
      </c>
      <c r="E56" s="371">
        <v>45</v>
      </c>
      <c r="F56" s="371" t="n">
        <v>11.0</v>
      </c>
      <c r="G56" s="9">
        <f si="1" t="shared"/>
        <v>1.9946613475697389E-4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13.0</v>
      </c>
      <c r="G57" s="9">
        <f si="1" t="shared"/>
        <v>1.9653280924584194E-4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12.0</v>
      </c>
      <c r="G58" s="9">
        <f si="1" t="shared"/>
        <v>1.5546625208999435E-4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10.0</v>
      </c>
      <c r="G59" s="9">
        <f si="1" t="shared"/>
        <v>1.0266639288961891E-4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9.0</v>
      </c>
      <c r="G60" s="9">
        <f si="1" t="shared"/>
        <v>7.9199788800563169E-5</v>
      </c>
    </row>
    <row r="61" spans="1:7" x14ac:dyDescent="0.45">
      <c r="A61">
        <v>50</v>
      </c>
      <c r="B61" s="6" t="n">
        <v>100.077929421183</v>
      </c>
      <c r="C61" s="9">
        <f si="0" t="shared"/>
        <v>0</v>
      </c>
      <c r="E61" s="371">
        <v>50</v>
      </c>
      <c r="F61" s="371" t="n">
        <v>5.0</v>
      </c>
      <c r="G61" s="9">
        <f si="1" t="shared"/>
        <v>7.6266463289431197E-5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7.0</v>
      </c>
      <c r="G62" s="9">
        <f si="1" t="shared"/>
        <v>9.6799741867354975E-5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1.0</v>
      </c>
      <c r="G63" s="9">
        <f si="1" t="shared"/>
        <v>3.8133231644715598E-5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2.0</v>
      </c>
      <c r="G64" s="9">
        <f si="1" t="shared"/>
        <v>1.7599953066791813E-5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2.0</v>
      </c>
      <c r="G65" s="9">
        <f si="1" t="shared"/>
        <v>1.4666627555659844E-5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1.0</v>
      </c>
      <c r="G66" s="9">
        <f si="1" t="shared"/>
        <v>1.7599953066791813E-5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1.0</v>
      </c>
      <c r="G67" s="9">
        <f si="1" t="shared"/>
        <v>1.4666627555659844E-5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2.3466604089055751E-5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1.7599953066791813E-5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1.1733302044527875E-5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5.8666510222639377E-6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0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2.9333255111319688E-6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2.9333255111319688E-6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0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2.9333255111319688E-6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2.9333255111319688E-6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118878.0203732316</v>
      </c>
      <c r="C102" s="9">
        <f si="2" t="shared"/>
        <v>1</v>
      </c>
      <c r="F102" s="6">
        <f>SUM(F11:F101)</f>
        <v>113636.66666655309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0.1066084205639863</v>
      </c>
      <c r="E11" s="371">
        <v>0</v>
      </c>
      <c r="F11" s="371" t="n">
        <v>293.0</v>
      </c>
      <c r="G11" s="9">
        <f>F11/F$102</f>
        <v>3.4935906837581772E-3</v>
      </c>
      <c r="K11" s="6" t="n">
        <v>12.19692531825829</v>
      </c>
      <c r="L11" s="6" t="n">
        <v>16.642002237142318</v>
      </c>
    </row>
    <row r="12" spans="1:12" x14ac:dyDescent="0.45">
      <c r="A12">
        <v>1</v>
      </c>
      <c r="B12" s="6" t="n">
        <v>0.0</v>
      </c>
      <c r="C12" s="9">
        <f>B12/B$102</f>
        <v>0.12286225851907043</v>
      </c>
      <c r="E12" s="371">
        <v>1</v>
      </c>
      <c r="F12" s="371" t="n">
        <v>5789.0</v>
      </c>
      <c r="G12" s="9">
        <f>F12/F$102</f>
        <v>0.11414156228916725</v>
      </c>
      <c r="K12" s="6"/>
      <c r="L12" s="371"/>
    </row>
    <row r="13" spans="1:12" x14ac:dyDescent="0.45">
      <c r="A13">
        <v>2</v>
      </c>
      <c r="B13" s="6" t="n">
        <v>2337.496052601804</v>
      </c>
      <c r="C13" s="9">
        <f ref="C13:C76" si="0" t="shared">B13/B$102</f>
        <v>0.2391433056354611</v>
      </c>
      <c r="E13" s="371">
        <v>2</v>
      </c>
      <c r="F13" s="371" t="n">
        <v>6619.0</v>
      </c>
      <c r="G13" s="9">
        <f ref="G13:G76" si="1" t="shared">F13/F$102</f>
        <v>0.19093602417060224</v>
      </c>
    </row>
    <row r="14" spans="1:12" x14ac:dyDescent="0.45">
      <c r="A14">
        <v>3</v>
      </c>
      <c r="B14" s="6" t="n">
        <v>17660.175805860436</v>
      </c>
      <c r="C14" s="9">
        <f si="0" t="shared"/>
        <v>0.13321131711752293</v>
      </c>
      <c r="E14" s="371">
        <v>3</v>
      </c>
      <c r="F14" s="371" t="n">
        <v>11746.0</v>
      </c>
      <c r="G14" s="9">
        <f si="1" t="shared"/>
        <v>0.15174679534187913</v>
      </c>
    </row>
    <row r="15" spans="1:12" x14ac:dyDescent="0.45">
      <c r="A15">
        <v>4</v>
      </c>
      <c r="B15" s="6" t="n">
        <v>21906.697681102305</v>
      </c>
      <c r="C15" s="9">
        <f si="0" t="shared"/>
        <v>5.3057754688895682E-2</v>
      </c>
      <c r="E15" s="371">
        <v>4</v>
      </c>
      <c r="F15" s="371" t="n">
        <v>18441.0</v>
      </c>
      <c r="G15" s="9">
        <f si="1" t="shared"/>
        <v>9.7163474230735389E-2</v>
      </c>
    </row>
    <row r="16" spans="1:12" x14ac:dyDescent="0.45">
      <c r="A16">
        <v>5</v>
      </c>
      <c r="B16" s="6" t="n">
        <v>27775.361565176012</v>
      </c>
      <c r="C16" s="9">
        <f si="0" t="shared"/>
        <v>0.11103639085917071</v>
      </c>
      <c r="E16" s="371">
        <v>5</v>
      </c>
      <c r="F16" s="371" t="n">
        <v>21726.0</v>
      </c>
      <c r="G16" s="9">
        <f si="1" t="shared"/>
        <v>6.9997946672142222E-2</v>
      </c>
    </row>
    <row r="17" spans="1:7" x14ac:dyDescent="0.45">
      <c r="A17">
        <v>6</v>
      </c>
      <c r="B17" s="6" t="n">
        <v>30518.79244202905</v>
      </c>
      <c r="C17" s="9">
        <f si="0" t="shared"/>
        <v>9.297296920541849E-2</v>
      </c>
      <c r="E17" s="371">
        <v>6</v>
      </c>
      <c r="F17" s="371" t="n">
        <v>22148.0</v>
      </c>
      <c r="G17" s="9">
        <f si="1" t="shared"/>
        <v>5.0752397993605362E-2</v>
      </c>
    </row>
    <row r="18" spans="1:7" x14ac:dyDescent="0.45">
      <c r="A18">
        <v>7</v>
      </c>
      <c r="B18" s="6" t="n">
        <v>23545.91914919234</v>
      </c>
      <c r="C18" s="9">
        <f si="0" t="shared"/>
        <v>3.5092719154365945E-2</v>
      </c>
      <c r="E18" s="371">
        <v>7</v>
      </c>
      <c r="F18" s="371" t="n">
        <v>19674.0</v>
      </c>
      <c r="G18" s="9">
        <f si="1" t="shared"/>
        <v>3.3199378134991644E-2</v>
      </c>
    </row>
    <row r="19" spans="1:7" x14ac:dyDescent="0.45">
      <c r="A19">
        <v>8</v>
      </c>
      <c r="B19" s="6" t="n">
        <v>17791.033929960086</v>
      </c>
      <c r="C19" s="9">
        <f si="0" t="shared"/>
        <v>1.087788630722801E-2</v>
      </c>
      <c r="E19" s="371">
        <v>8</v>
      </c>
      <c r="F19" s="371" t="n">
        <v>17305.0</v>
      </c>
      <c r="G19" s="9">
        <f si="1" t="shared"/>
        <v>2.3850869731014052E-2</v>
      </c>
    </row>
    <row r="20" spans="1:7" x14ac:dyDescent="0.45">
      <c r="A20">
        <v>9</v>
      </c>
      <c r="B20" s="6" t="n">
        <v>19074.54853677625</v>
      </c>
      <c r="C20" s="9">
        <f si="0" t="shared"/>
        <v>0</v>
      </c>
      <c r="E20" s="371">
        <v>9</v>
      </c>
      <c r="F20" s="371" t="n">
        <v>13477.0</v>
      </c>
      <c r="G20" s="9">
        <f si="1" t="shared"/>
        <v>1.8591417089554429E-2</v>
      </c>
    </row>
    <row r="21" spans="1:7" x14ac:dyDescent="0.45">
      <c r="A21">
        <v>10</v>
      </c>
      <c r="B21" s="6" t="n">
        <v>19357.39626664722</v>
      </c>
      <c r="C21" s="9">
        <f si="0" t="shared"/>
        <v>8.5842623309818108E-4</v>
      </c>
      <c r="E21" s="371">
        <v>10</v>
      </c>
      <c r="F21" s="371" t="n">
        <v>11551.0</v>
      </c>
      <c r="G21" s="9">
        <f si="1" t="shared"/>
        <v>1.695168812883166E-2</v>
      </c>
    </row>
    <row r="22" spans="1:7" x14ac:dyDescent="0.45">
      <c r="A22">
        <v>11</v>
      </c>
      <c r="B22" s="6" t="n">
        <v>17409.278244827306</v>
      </c>
      <c r="C22" s="9">
        <f si="0" t="shared"/>
        <v>1.0899541124488677E-3</v>
      </c>
      <c r="E22" s="371">
        <v>11</v>
      </c>
      <c r="F22" s="371" t="n">
        <v>9322.0</v>
      </c>
      <c r="G22" s="9">
        <f si="1" t="shared"/>
        <v>1.5341292423220208E-2</v>
      </c>
    </row>
    <row r="23" spans="1:7" x14ac:dyDescent="0.45">
      <c r="A23">
        <v>12</v>
      </c>
      <c r="B23" s="6" t="n">
        <v>12929.380341547334</v>
      </c>
      <c r="C23" s="9">
        <f si="0" t="shared"/>
        <v>0</v>
      </c>
      <c r="E23" s="371">
        <v>12</v>
      </c>
      <c r="F23" s="371" t="n">
        <v>8059.0</v>
      </c>
      <c r="G23" s="9">
        <f si="1" t="shared"/>
        <v>1.5097826405796254E-2</v>
      </c>
    </row>
    <row r="24" spans="1:7" x14ac:dyDescent="0.45">
      <c r="A24">
        <v>13</v>
      </c>
      <c r="B24" s="6" t="n">
        <v>11546.18633331467</v>
      </c>
      <c r="C24" s="9">
        <f si="0" t="shared"/>
        <v>0</v>
      </c>
      <c r="E24" s="371">
        <v>13</v>
      </c>
      <c r="F24" s="371" t="n">
        <v>7134.0</v>
      </c>
      <c r="G24" s="9">
        <f si="1" t="shared"/>
        <v>1.5420492212020772E-2</v>
      </c>
    </row>
    <row r="25" spans="1:7" x14ac:dyDescent="0.45">
      <c r="A25">
        <v>14</v>
      </c>
      <c r="B25" s="6" t="n">
        <v>11270.680750250413</v>
      </c>
      <c r="C25" s="9">
        <f si="0" t="shared"/>
        <v>1.1201185582645757E-2</v>
      </c>
      <c r="E25" s="371">
        <v>14</v>
      </c>
      <c r="F25" s="371" t="n">
        <v>6492.0</v>
      </c>
      <c r="G25" s="9">
        <f si="1" t="shared"/>
        <v>1.4314628494324019E-2</v>
      </c>
    </row>
    <row r="26" spans="1:7" x14ac:dyDescent="0.45">
      <c r="A26">
        <v>15</v>
      </c>
      <c r="B26" s="6" t="n">
        <v>10475.639732289326</v>
      </c>
      <c r="C26" s="9">
        <f si="0" t="shared"/>
        <v>7.9189565504763741E-3</v>
      </c>
      <c r="E26" s="371">
        <v>15</v>
      </c>
      <c r="F26" s="371" t="n">
        <v>6176.0</v>
      </c>
      <c r="G26" s="9">
        <f si="1" t="shared"/>
        <v>1.3396497609339711E-2</v>
      </c>
    </row>
    <row r="27" spans="1:7" x14ac:dyDescent="0.45">
      <c r="A27">
        <v>16</v>
      </c>
      <c r="B27" s="6" t="n">
        <v>4232.533559833714</v>
      </c>
      <c r="C27" s="9">
        <f si="0" t="shared"/>
        <v>0</v>
      </c>
      <c r="E27" s="371">
        <v>16</v>
      </c>
      <c r="F27" s="371" t="n">
        <v>5624.0</v>
      </c>
      <c r="G27" s="9">
        <f si="1" t="shared"/>
        <v>1.2264233962042769E-2</v>
      </c>
    </row>
    <row r="28" spans="1:7" x14ac:dyDescent="0.45">
      <c r="A28">
        <v>17</v>
      </c>
      <c r="B28" s="6" t="n">
        <v>8206.213514025547</v>
      </c>
      <c r="C28" s="9">
        <f si="0" t="shared"/>
        <v>0</v>
      </c>
      <c r="E28" s="371">
        <v>17</v>
      </c>
      <c r="F28" s="371" t="n">
        <v>5260.0</v>
      </c>
      <c r="G28" s="9">
        <f si="1" t="shared"/>
        <v>1.0906104250388668E-2</v>
      </c>
    </row>
    <row r="29" spans="1:7" x14ac:dyDescent="0.45">
      <c r="A29">
        <v>18</v>
      </c>
      <c r="B29" s="6" t="n">
        <v>3391.1639135515147</v>
      </c>
      <c r="C29" s="9">
        <f si="0" t="shared"/>
        <v>8.9548519373530665E-3</v>
      </c>
      <c r="E29" s="371">
        <v>18</v>
      </c>
      <c r="F29" s="371" t="n">
        <v>4644.0</v>
      </c>
      <c r="G29" s="9">
        <f si="1" t="shared"/>
        <v>8.7325100466398783E-3</v>
      </c>
    </row>
    <row r="30" spans="1:7" x14ac:dyDescent="0.45">
      <c r="A30">
        <v>19</v>
      </c>
      <c r="B30" s="6" t="n">
        <v>2202.3476813879765</v>
      </c>
      <c r="C30" s="9">
        <f si="0" t="shared"/>
        <v>2.82906168051806E-2</v>
      </c>
      <c r="E30" s="371">
        <v>19</v>
      </c>
      <c r="F30" s="371" t="n">
        <v>4636.0</v>
      </c>
      <c r="G30" s="9">
        <f si="1" t="shared"/>
        <v>7.9962453433457537E-3</v>
      </c>
    </row>
    <row r="31" spans="1:7" x14ac:dyDescent="0.45">
      <c r="A31">
        <v>20</v>
      </c>
      <c r="B31" s="6" t="n">
        <v>2373.1986059439596</v>
      </c>
      <c r="C31" s="9">
        <f si="0" t="shared"/>
        <v>0</v>
      </c>
      <c r="E31" s="371">
        <v>20</v>
      </c>
      <c r="F31" s="371" t="n">
        <v>4235.0</v>
      </c>
      <c r="G31" s="9">
        <f si="1" t="shared"/>
        <v>7.8261124637000988E-3</v>
      </c>
    </row>
    <row r="32" spans="1:7" x14ac:dyDescent="0.45">
      <c r="A32">
        <v>21</v>
      </c>
      <c r="B32" s="6" t="n">
        <v>1746.055745597856</v>
      </c>
      <c r="C32" s="9">
        <f si="0" t="shared"/>
        <v>0</v>
      </c>
      <c r="E32" s="371">
        <v>21</v>
      </c>
      <c r="F32" s="371" t="n">
        <v>3921.0</v>
      </c>
      <c r="G32" s="9">
        <f si="1" t="shared"/>
        <v>6.9461148103605076E-3</v>
      </c>
    </row>
    <row r="33" spans="1:7" x14ac:dyDescent="0.45">
      <c r="A33">
        <v>22</v>
      </c>
      <c r="B33" s="6" t="n">
        <v>1900.5570241088965</v>
      </c>
      <c r="C33" s="9">
        <f si="0" t="shared"/>
        <v>4.9242363498020539E-3</v>
      </c>
      <c r="E33" s="371">
        <v>22</v>
      </c>
      <c r="F33" s="371" t="n">
        <v>3435.0</v>
      </c>
      <c r="G33" s="9">
        <f si="1" t="shared"/>
        <v>6.2303833856443072E-3</v>
      </c>
    </row>
    <row r="34" spans="1:7" x14ac:dyDescent="0.45">
      <c r="A34">
        <v>23</v>
      </c>
      <c r="B34" s="6" t="n">
        <v>2727.934288000996</v>
      </c>
      <c r="C34" s="9">
        <f si="0" t="shared"/>
        <v>0</v>
      </c>
      <c r="E34" s="371">
        <v>23</v>
      </c>
      <c r="F34" s="371" t="n">
        <v>3456.0</v>
      </c>
      <c r="G34" s="9">
        <f si="1" t="shared"/>
        <v>6.4357161714235448E-3</v>
      </c>
    </row>
    <row r="35" spans="1:7" x14ac:dyDescent="0.45">
      <c r="A35">
        <v>24</v>
      </c>
      <c r="B35" s="6" t="n">
        <v>2347.1488645149207</v>
      </c>
      <c r="C35" s="9">
        <f si="0" t="shared"/>
        <v>3.9036953675442919E-3</v>
      </c>
      <c r="E35" s="371">
        <v>24</v>
      </c>
      <c r="F35" s="371" t="n">
        <v>3359.0</v>
      </c>
      <c r="G35" s="9">
        <f si="1" t="shared"/>
        <v>5.9986506702648813E-3</v>
      </c>
    </row>
    <row r="36" spans="1:7" x14ac:dyDescent="0.45">
      <c r="A36">
        <v>25</v>
      </c>
      <c r="B36" s="6" t="n">
        <v>2880.0002908735664</v>
      </c>
      <c r="C36" s="9">
        <f si="0" t="shared"/>
        <v>0</v>
      </c>
      <c r="E36" s="371">
        <v>25</v>
      </c>
      <c r="F36" s="371" t="n">
        <v>3233.0</v>
      </c>
      <c r="G36" s="9">
        <f si="1" t="shared"/>
        <v>5.687718166084892E-3</v>
      </c>
    </row>
    <row r="37" spans="1:7" x14ac:dyDescent="0.45">
      <c r="A37">
        <v>26</v>
      </c>
      <c r="B37" s="6" t="n">
        <v>2378.7930527723224</v>
      </c>
      <c r="C37" s="9">
        <f si="0" t="shared"/>
        <v>0</v>
      </c>
      <c r="E37" s="371">
        <v>26</v>
      </c>
      <c r="F37" s="371" t="n">
        <v>3004.0</v>
      </c>
      <c r="G37" s="9">
        <f si="1" t="shared"/>
        <v>5.6143850283065936E-3</v>
      </c>
    </row>
    <row r="38" spans="1:7" x14ac:dyDescent="0.45">
      <c r="A38">
        <v>27</v>
      </c>
      <c r="B38" s="6" t="n">
        <v>2132.978380388476</v>
      </c>
      <c r="C38" s="9">
        <f si="0" t="shared"/>
        <v>0</v>
      </c>
      <c r="E38" s="371">
        <v>27</v>
      </c>
      <c r="F38" s="371" t="n">
        <v>2875.0</v>
      </c>
      <c r="G38" s="9">
        <f si="1" t="shared"/>
        <v>4.5173212871432358E-3</v>
      </c>
    </row>
    <row r="39" spans="1:7" x14ac:dyDescent="0.45">
      <c r="A39">
        <v>28</v>
      </c>
      <c r="B39" s="6" t="n">
        <v>2789.742086783865</v>
      </c>
      <c r="C39" s="9">
        <f si="0" t="shared"/>
        <v>0</v>
      </c>
      <c r="E39" s="371">
        <v>28</v>
      </c>
      <c r="F39" s="371" t="n">
        <v>2748.0</v>
      </c>
      <c r="G39" s="9">
        <f si="1" t="shared"/>
        <v>4.2445220146079621E-3</v>
      </c>
    </row>
    <row r="40" spans="1:7" x14ac:dyDescent="0.45">
      <c r="A40">
        <v>29</v>
      </c>
      <c r="B40" s="6" t="n">
        <v>718.7578541409815</v>
      </c>
      <c r="C40" s="9">
        <f si="0" t="shared"/>
        <v>0</v>
      </c>
      <c r="E40" s="371">
        <v>29</v>
      </c>
      <c r="F40" s="371" t="n">
        <v>2711.0</v>
      </c>
      <c r="G40" s="9">
        <f si="1" t="shared"/>
        <v>4.9514534627907673E-3</v>
      </c>
    </row>
    <row r="41" spans="1:7" x14ac:dyDescent="0.45">
      <c r="A41">
        <v>30</v>
      </c>
      <c r="B41" s="6" t="n">
        <v>1404.771183768101</v>
      </c>
      <c r="C41" s="9">
        <f si="0" t="shared"/>
        <v>5.9582188927225629E-3</v>
      </c>
      <c r="E41" s="371">
        <v>30</v>
      </c>
      <c r="F41" s="371" t="n">
        <v>2522.0</v>
      </c>
      <c r="G41" s="9">
        <f si="1" t="shared"/>
        <v>4.7930538851896414E-3</v>
      </c>
    </row>
    <row r="42" spans="1:7" x14ac:dyDescent="0.45">
      <c r="A42">
        <v>31</v>
      </c>
      <c r="B42" s="6" t="n">
        <v>473.169317001777</v>
      </c>
      <c r="C42" s="9">
        <f si="0" t="shared"/>
        <v>1.5808453125608891E-2</v>
      </c>
      <c r="E42" s="371">
        <v>31</v>
      </c>
      <c r="F42" s="371" t="n">
        <v>2424.0</v>
      </c>
      <c r="G42" s="9">
        <f si="1" t="shared"/>
        <v>3.6490569358481719E-3</v>
      </c>
    </row>
    <row r="43" spans="1:7" x14ac:dyDescent="0.45">
      <c r="A43">
        <v>32</v>
      </c>
      <c r="B43" s="6" t="n">
        <v>1311.8447494748036</v>
      </c>
      <c r="C43" s="9">
        <f si="0" t="shared"/>
        <v>0</v>
      </c>
      <c r="E43" s="371">
        <v>32</v>
      </c>
      <c r="F43" s="371" t="n">
        <v>2302.0</v>
      </c>
      <c r="G43" s="9">
        <f si="1" t="shared"/>
        <v>3.5522571939808172E-3</v>
      </c>
    </row>
    <row r="44" spans="1:7" x14ac:dyDescent="0.45">
      <c r="A44">
        <v>33</v>
      </c>
      <c r="B44" s="6" t="n">
        <v>2293.239199561812</v>
      </c>
      <c r="C44" s="9">
        <f si="0" t="shared"/>
        <v>0</v>
      </c>
      <c r="E44" s="371">
        <v>33</v>
      </c>
      <c r="F44" s="371" t="n">
        <v>2217.0</v>
      </c>
      <c r="G44" s="9">
        <f si="1" t="shared"/>
        <v>3.1767915285559247E-3</v>
      </c>
    </row>
    <row r="45" spans="1:7" x14ac:dyDescent="0.45">
      <c r="A45">
        <v>34</v>
      </c>
      <c r="B45" s="6" t="n">
        <v>863.5875989234509</v>
      </c>
      <c r="C45" s="9">
        <f si="0" t="shared"/>
        <v>3.9863996313265386E-3</v>
      </c>
      <c r="E45" s="371">
        <v>34</v>
      </c>
      <c r="F45" s="371" t="n">
        <v>2080.0</v>
      </c>
      <c r="G45" s="9">
        <f si="1" t="shared"/>
        <v>2.9714587427766867E-3</v>
      </c>
    </row>
    <row r="46" spans="1:7" x14ac:dyDescent="0.45">
      <c r="A46">
        <v>35</v>
      </c>
      <c r="B46" s="6" t="n">
        <v>55.3095589192792</v>
      </c>
      <c r="C46" s="9">
        <f si="0" t="shared"/>
        <v>0</v>
      </c>
      <c r="E46" s="371">
        <v>35</v>
      </c>
      <c r="F46" s="371" t="n">
        <v>2019.0</v>
      </c>
      <c r="G46" s="9">
        <f si="1" t="shared"/>
        <v>2.46986008037312E-3</v>
      </c>
    </row>
    <row r="47" spans="1:7" x14ac:dyDescent="0.4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1947.0</v>
      </c>
      <c r="G47" s="9">
        <f si="1" t="shared"/>
        <v>2.5871931008183986E-3</v>
      </c>
    </row>
    <row r="48" spans="1:7" x14ac:dyDescent="0.45">
      <c r="A48">
        <v>37</v>
      </c>
      <c r="B48" s="6" t="n">
        <v>201.7023704893879</v>
      </c>
      <c r="C48" s="9">
        <f si="0" t="shared"/>
        <v>0</v>
      </c>
      <c r="E48" s="371">
        <v>37</v>
      </c>
      <c r="F48" s="371" t="n">
        <v>1809.0</v>
      </c>
      <c r="G48" s="9">
        <f si="1" t="shared"/>
        <v>2.4962600099733075E-3</v>
      </c>
    </row>
    <row r="49" spans="1:7" x14ac:dyDescent="0.45">
      <c r="A49">
        <v>38</v>
      </c>
      <c r="B49" s="6" t="n">
        <v>303.3936112771353</v>
      </c>
      <c r="C49" s="9">
        <f si="0" t="shared"/>
        <v>0</v>
      </c>
      <c r="E49" s="371">
        <v>38</v>
      </c>
      <c r="F49" s="371" t="n">
        <v>1602.0</v>
      </c>
      <c r="G49" s="9">
        <f si="1" t="shared"/>
        <v>2.4287935232172723E-3</v>
      </c>
    </row>
    <row r="50" spans="1:7" x14ac:dyDescent="0.45">
      <c r="A50">
        <v>39</v>
      </c>
      <c r="B50" s="6" t="n">
        <v>855.171672244383</v>
      </c>
      <c r="C50" s="9">
        <f si="0" t="shared"/>
        <v>0</v>
      </c>
      <c r="E50" s="371">
        <v>39</v>
      </c>
      <c r="F50" s="371" t="n">
        <v>1718.0</v>
      </c>
      <c r="G50" s="9">
        <f si="1" t="shared"/>
        <v>1.9975946730808724E-3</v>
      </c>
    </row>
    <row r="51" spans="1:7" x14ac:dyDescent="0.45">
      <c r="A51">
        <v>40</v>
      </c>
      <c r="B51" s="6" t="n">
        <v>964.4392521872486</v>
      </c>
      <c r="C51" s="9">
        <f si="0" t="shared"/>
        <v>0</v>
      </c>
      <c r="E51" s="371">
        <v>40</v>
      </c>
      <c r="F51" s="371" t="n">
        <v>1492.0</v>
      </c>
      <c r="G51" s="9">
        <f si="1" t="shared"/>
        <v>1.8039951893461623E-3</v>
      </c>
    </row>
    <row r="52" spans="1:7" x14ac:dyDescent="0.45">
      <c r="A52">
        <v>41</v>
      </c>
      <c r="B52" s="6" t="n">
        <v>921.4795160904551</v>
      </c>
      <c r="C52" s="9">
        <f si="0" t="shared"/>
        <v>0</v>
      </c>
      <c r="E52" s="371">
        <v>41</v>
      </c>
      <c r="F52" s="371" t="n">
        <v>1337.0</v>
      </c>
      <c r="G52" s="9">
        <f si="1" t="shared"/>
        <v>1.7365287025901269E-3</v>
      </c>
    </row>
    <row r="53" spans="1:7" x14ac:dyDescent="0.45">
      <c r="A53">
        <v>42</v>
      </c>
      <c r="B53" s="6" t="n">
        <v>112.119143326975</v>
      </c>
      <c r="C53" s="9">
        <f si="0" t="shared"/>
        <v>0</v>
      </c>
      <c r="E53" s="371">
        <v>42</v>
      </c>
      <c r="F53" s="371" t="n">
        <v>1287.0</v>
      </c>
      <c r="G53" s="9">
        <f si="1" t="shared"/>
        <v>1.3815963157431583E-3</v>
      </c>
    </row>
    <row r="54" spans="1:7" x14ac:dyDescent="0.45">
      <c r="A54">
        <v>43</v>
      </c>
      <c r="B54" s="6" t="n">
        <v>1081.05347700065</v>
      </c>
      <c r="C54" s="9">
        <f si="0" t="shared"/>
        <v>2.2419833606735291E-3</v>
      </c>
      <c r="E54" s="371">
        <v>43</v>
      </c>
      <c r="F54" s="371" t="n">
        <v>1247.0</v>
      </c>
      <c r="G54" s="9">
        <f si="1" t="shared"/>
        <v>1.5663958229444727E-3</v>
      </c>
    </row>
    <row r="55" spans="1:7" x14ac:dyDescent="0.45">
      <c r="A55">
        <v>44</v>
      </c>
      <c r="B55" s="6" t="n">
        <v>154.230849885155</v>
      </c>
      <c r="C55" s="9">
        <f si="0" t="shared"/>
        <v>0</v>
      </c>
      <c r="E55" s="371">
        <v>44</v>
      </c>
      <c r="F55" s="371" t="n">
        <v>1236.0</v>
      </c>
      <c r="G55" s="9">
        <f si="1" t="shared"/>
        <v>1.3463964096095747E-3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1106.0</v>
      </c>
      <c r="G56" s="9">
        <f si="1" t="shared"/>
        <v>1.1498636003637326E-3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1042.0</v>
      </c>
      <c r="G57" s="9">
        <f si="1" t="shared"/>
        <v>1.3317297820539149E-3</v>
      </c>
    </row>
    <row r="58" spans="1:7" x14ac:dyDescent="0.45">
      <c r="A58">
        <v>47</v>
      </c>
      <c r="B58" s="6" t="n">
        <v>43.2889293413725</v>
      </c>
      <c r="C58" s="9">
        <f si="0" t="shared"/>
        <v>0</v>
      </c>
      <c r="E58" s="371">
        <v>47</v>
      </c>
      <c r="F58" s="371" t="n">
        <v>920.0</v>
      </c>
      <c r="G58" s="9">
        <f si="1" t="shared"/>
        <v>1.0677304860520374E-3</v>
      </c>
    </row>
    <row r="59" spans="1:7" x14ac:dyDescent="0.45">
      <c r="A59">
        <v>48</v>
      </c>
      <c r="B59" s="6" t="n">
        <v>577.1357007943341</v>
      </c>
      <c r="C59" s="9">
        <f si="0" t="shared"/>
        <v>0</v>
      </c>
      <c r="E59" s="371">
        <v>48</v>
      </c>
      <c r="F59" s="371" t="n">
        <v>843.0</v>
      </c>
      <c r="G59" s="9">
        <f si="1" t="shared"/>
        <v>1.0501305329852458E-3</v>
      </c>
    </row>
    <row r="60" spans="1:7" x14ac:dyDescent="0.45">
      <c r="A60">
        <v>49</v>
      </c>
      <c r="B60" s="6" t="n">
        <v>71.5482832237671</v>
      </c>
      <c r="C60" s="9">
        <f si="0" t="shared"/>
        <v>0</v>
      </c>
      <c r="E60" s="371">
        <v>49</v>
      </c>
      <c r="F60" s="371" t="n">
        <v>826.0</v>
      </c>
      <c r="G60" s="9">
        <f si="1" t="shared"/>
        <v>8.7706432782845936E-4</v>
      </c>
    </row>
    <row r="61" spans="1:7" x14ac:dyDescent="0.45">
      <c r="A61">
        <v>50</v>
      </c>
      <c r="B61" s="6" t="n">
        <v>166.209439065969</v>
      </c>
      <c r="C61" s="9">
        <f si="0" t="shared"/>
        <v>0</v>
      </c>
      <c r="E61" s="371">
        <v>50</v>
      </c>
      <c r="F61" s="371" t="n">
        <v>777.0</v>
      </c>
      <c r="G61" s="9">
        <f si="1" t="shared"/>
        <v>9.4453081458449476E-4</v>
      </c>
    </row>
    <row r="62" spans="1:7" x14ac:dyDescent="0.45">
      <c r="A62">
        <v>51</v>
      </c>
      <c r="B62" s="6" t="n">
        <v>1189.189469327679</v>
      </c>
      <c r="C62" s="9">
        <f si="0" t="shared"/>
        <v>0</v>
      </c>
      <c r="E62" s="371">
        <v>51</v>
      </c>
      <c r="F62" s="371" t="n">
        <v>737.0</v>
      </c>
      <c r="G62" s="9">
        <f si="1" t="shared"/>
        <v>8.7413100231732742E-4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755.0</v>
      </c>
      <c r="G63" s="9">
        <f si="1" t="shared"/>
        <v>7.9786453902789612E-4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704.0</v>
      </c>
      <c r="G64" s="9">
        <f si="1" t="shared"/>
        <v>7.8319791147223635E-4</v>
      </c>
    </row>
    <row r="65" spans="1:7" x14ac:dyDescent="0.45">
      <c r="A65">
        <v>54</v>
      </c>
      <c r="B65" s="6" t="n">
        <v>594.582016431077</v>
      </c>
      <c r="C65" s="9">
        <f si="0" t="shared"/>
        <v>0</v>
      </c>
      <c r="E65" s="371">
        <v>54</v>
      </c>
      <c r="F65" s="371" t="n">
        <v>619.0</v>
      </c>
      <c r="G65" s="9">
        <f si="1" t="shared"/>
        <v>7.7146460942770841E-4</v>
      </c>
    </row>
    <row r="66" spans="1:7" x14ac:dyDescent="0.45">
      <c r="A66">
        <v>55</v>
      </c>
      <c r="B66" s="6" t="n">
        <v>1182.5087276193208</v>
      </c>
      <c r="C66" s="9">
        <f si="0" t="shared"/>
        <v>0</v>
      </c>
      <c r="E66" s="371">
        <v>55</v>
      </c>
      <c r="F66" s="371" t="n">
        <v>591.0</v>
      </c>
      <c r="G66" s="9">
        <f si="1" t="shared"/>
        <v>7.6559795840544444E-4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591.0</v>
      </c>
      <c r="G67" s="9">
        <f si="1" t="shared"/>
        <v>7.0986477369393709E-4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519.0</v>
      </c>
      <c r="G68" s="9">
        <f si="1" t="shared"/>
        <v>5.2799859200375473E-4</v>
      </c>
    </row>
    <row r="69" spans="1:7" x14ac:dyDescent="0.45">
      <c r="A69">
        <v>58</v>
      </c>
      <c r="B69" s="6" t="n">
        <v>38.581100217278</v>
      </c>
      <c r="C69" s="9">
        <f si="0" t="shared"/>
        <v>0</v>
      </c>
      <c r="E69" s="371">
        <v>58</v>
      </c>
      <c r="F69" s="371" t="n">
        <v>523.0</v>
      </c>
      <c r="G69" s="9">
        <f si="1" t="shared"/>
        <v>6.1013170631545001E-4</v>
      </c>
    </row>
    <row r="70" spans="1:7" x14ac:dyDescent="0.45">
      <c r="A70">
        <v>59</v>
      </c>
      <c r="B70" s="6" t="n">
        <v>757.153172635338</v>
      </c>
      <c r="C70" s="9">
        <f si="0" t="shared"/>
        <v>0</v>
      </c>
      <c r="E70" s="371">
        <v>59</v>
      </c>
      <c r="F70" s="371" t="n">
        <v>464.0</v>
      </c>
      <c r="G70" s="9">
        <f si="1" t="shared"/>
        <v>4.8399870933677521E-4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388.0</v>
      </c>
      <c r="G71" s="9">
        <f si="1" t="shared"/>
        <v>3.9893226951394806E-4</v>
      </c>
    </row>
    <row r="72" spans="1:7" x14ac:dyDescent="0.45">
      <c r="A72">
        <v>61</v>
      </c>
      <c r="B72" s="6" t="n">
        <v>68.9228000295889</v>
      </c>
      <c r="C72" s="9">
        <f si="0" t="shared"/>
        <v>0</v>
      </c>
      <c r="E72" s="371">
        <v>61</v>
      </c>
      <c r="F72" s="371" t="n">
        <v>426.0</v>
      </c>
      <c r="G72" s="9">
        <f si="1" t="shared"/>
        <v>3.7546566542489228E-4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363.0</v>
      </c>
      <c r="G73" s="9">
        <f si="1" t="shared"/>
        <v>3.9599894400281607E-4</v>
      </c>
    </row>
    <row r="74" spans="1:7" x14ac:dyDescent="0.45">
      <c r="A74">
        <v>63</v>
      </c>
      <c r="B74" s="6" t="n">
        <v>60.0756860683432</v>
      </c>
      <c r="C74" s="9">
        <f si="0" t="shared"/>
        <v>0</v>
      </c>
      <c r="E74" s="371">
        <v>63</v>
      </c>
      <c r="F74" s="371" t="n">
        <v>326.0</v>
      </c>
      <c r="G74" s="9">
        <f si="1" t="shared"/>
        <v>3.0799917866885699E-4</v>
      </c>
    </row>
    <row r="75" spans="1:7" x14ac:dyDescent="0.45">
      <c r="A75">
        <v>64</v>
      </c>
      <c r="B75" s="6" t="n">
        <v>73.2917699035499</v>
      </c>
      <c r="C75" s="9">
        <f si="0" t="shared"/>
        <v>0</v>
      </c>
      <c r="E75" s="371">
        <v>64</v>
      </c>
      <c r="F75" s="371" t="n">
        <v>358.0</v>
      </c>
      <c r="G75" s="9">
        <f si="1" t="shared"/>
        <v>3.1386582969112091E-4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287.0</v>
      </c>
      <c r="G76" s="9">
        <f si="1" t="shared"/>
        <v>3.3146578275791277E-4</v>
      </c>
    </row>
    <row r="77" spans="1:7" x14ac:dyDescent="0.45">
      <c r="A77">
        <v>66</v>
      </c>
      <c r="B77" s="6" t="n">
        <v>69.021600198116</v>
      </c>
      <c r="C77" s="9">
        <f ref="C77:C102" si="2" t="shared">B77/B$102</f>
        <v>0</v>
      </c>
      <c r="E77" s="371">
        <v>66</v>
      </c>
      <c r="F77" s="371" t="n">
        <v>265.0</v>
      </c>
      <c r="G77" s="9">
        <f ref="G77:G102" si="3" t="shared">F77/F$102</f>
        <v>3.1386582969112091E-4</v>
      </c>
    </row>
    <row r="78" spans="1:7" x14ac:dyDescent="0.45">
      <c r="A78">
        <v>67</v>
      </c>
      <c r="B78" s="6" t="n">
        <v>38.581100217278</v>
      </c>
      <c r="C78" s="9">
        <f si="2" t="shared"/>
        <v>0</v>
      </c>
      <c r="E78" s="371">
        <v>67</v>
      </c>
      <c r="F78" s="371" t="n">
        <v>246.0</v>
      </c>
      <c r="G78" s="9">
        <f si="3" t="shared"/>
        <v>1.9066615822357813E-4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242.0</v>
      </c>
      <c r="G79" s="9">
        <f si="3" t="shared"/>
        <v>1.9653280924584207E-4</v>
      </c>
    </row>
    <row r="80" spans="1:7" x14ac:dyDescent="0.45">
      <c r="A80">
        <v>69</v>
      </c>
      <c r="B80" s="6" t="n">
        <v>37.6172992960671</v>
      </c>
      <c r="C80" s="9">
        <f si="2" t="shared"/>
        <v>0</v>
      </c>
      <c r="E80" s="371">
        <v>69</v>
      </c>
      <c r="F80" s="371" t="n">
        <v>261.0</v>
      </c>
      <c r="G80" s="9">
        <f si="3" t="shared"/>
        <v>2.4933266844621754E-4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198.0</v>
      </c>
      <c r="G81" s="9">
        <f si="3" t="shared"/>
        <v>1.7893285617905024E-4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234.0</v>
      </c>
      <c r="G82" s="9">
        <f si="3" t="shared"/>
        <v>1.6719955413452235E-4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180.0</v>
      </c>
      <c r="G83" s="9">
        <f si="3" t="shared"/>
        <v>1.5546625208999446E-4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177.0</v>
      </c>
      <c r="G84" s="9">
        <f si="3" t="shared"/>
        <v>1.7893285617905024E-4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205.0</v>
      </c>
      <c r="G85" s="9">
        <f si="3" t="shared"/>
        <v>1.2026634595641081E-4</v>
      </c>
    </row>
    <row r="86" spans="1:7" x14ac:dyDescent="0.45">
      <c r="A86">
        <v>75</v>
      </c>
      <c r="B86" s="6" t="n">
        <v>176.5105949698189</v>
      </c>
      <c r="C86" s="9">
        <f si="2" t="shared"/>
        <v>0</v>
      </c>
      <c r="E86" s="371">
        <v>75</v>
      </c>
      <c r="F86" s="371" t="n">
        <v>168.0</v>
      </c>
      <c r="G86" s="9">
        <f si="3" t="shared"/>
        <v>1.0559971840075096E-4</v>
      </c>
    </row>
    <row r="87" spans="1:7" x14ac:dyDescent="0.45">
      <c r="A87">
        <v>76</v>
      </c>
      <c r="B87" s="6" t="n">
        <v>93.2893258970981</v>
      </c>
      <c r="C87" s="9">
        <f si="2" t="shared"/>
        <v>0</v>
      </c>
      <c r="E87" s="371">
        <v>76</v>
      </c>
      <c r="F87" s="371" t="n">
        <v>145.0</v>
      </c>
      <c r="G87" s="9">
        <f si="3" t="shared"/>
        <v>1.1439969493414688E-4</v>
      </c>
    </row>
    <row r="88" spans="1:7" x14ac:dyDescent="0.45">
      <c r="A88">
        <v>77</v>
      </c>
      <c r="B88" s="6" t="n">
        <v>78.0955874929912</v>
      </c>
      <c r="C88" s="9">
        <f si="2" t="shared"/>
        <v>0</v>
      </c>
      <c r="E88" s="371">
        <v>77</v>
      </c>
      <c r="F88" s="371" t="n">
        <v>144.0</v>
      </c>
      <c r="G88" s="9">
        <f si="3" t="shared"/>
        <v>1.0559971840075096E-4</v>
      </c>
    </row>
    <row r="89" spans="1:7" x14ac:dyDescent="0.45">
      <c r="A89">
        <v>78</v>
      </c>
      <c r="B89" s="6" t="n">
        <v>398.84792079816</v>
      </c>
      <c r="C89" s="9">
        <f si="2" t="shared"/>
        <v>0</v>
      </c>
      <c r="E89" s="371">
        <v>78</v>
      </c>
      <c r="F89" s="371" t="n">
        <v>132.0</v>
      </c>
      <c r="G89" s="9">
        <f si="3" t="shared"/>
        <v>7.6266463289431251E-5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123.0</v>
      </c>
      <c r="G90" s="9">
        <f si="3" t="shared"/>
        <v>9.9733067378487015E-5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118.0</v>
      </c>
      <c r="G91" s="9">
        <f si="3" t="shared"/>
        <v>8.2133114311695195E-5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121.0</v>
      </c>
      <c r="G92" s="9">
        <f si="3" t="shared"/>
        <v>9.3866416356223071E-5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102.0</v>
      </c>
      <c r="G93" s="9">
        <f si="3" t="shared"/>
        <v>9.9733067378487015E-5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97.0</v>
      </c>
      <c r="G94" s="9">
        <f si="3" t="shared"/>
        <v>9.3866416356223071E-5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100.0</v>
      </c>
      <c r="G95" s="9">
        <f si="3" t="shared"/>
        <v>1.0853304391188293E-4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74.0</v>
      </c>
      <c r="G96" s="9">
        <f si="3" t="shared"/>
        <v>9.0933090845091112E-5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89.0</v>
      </c>
      <c r="G97" s="9">
        <f si="3" t="shared"/>
        <v>9.3866416356223071E-5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94.0</v>
      </c>
      <c r="G98" s="9">
        <f si="3" t="shared"/>
        <v>5.279985920037548E-5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87.0</v>
      </c>
      <c r="G99" s="9">
        <f si="3" t="shared"/>
        <v>5.5733184711507452E-5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81.0</v>
      </c>
      <c r="G100" s="9">
        <f si="3" t="shared"/>
        <v>2.3466604089055768E-5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1272.0</v>
      </c>
      <c r="G101" s="9">
        <f si="3" t="shared"/>
        <v>1.3786629902320265E-3</v>
      </c>
    </row>
    <row r="102" spans="1:7" x14ac:dyDescent="0.45">
      <c r="B102" s="6">
        <f>SUM(B11:B101)</f>
        <v>118878.02037323156</v>
      </c>
      <c r="C102" s="9">
        <f si="2" t="shared"/>
        <v>1</v>
      </c>
      <c r="F102" s="6">
        <f>SUM(F11:F101)</f>
        <v>113636.66666655301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topLeftCell="A4"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31597.85439229843</v>
      </c>
      <c r="C11" s="9">
        <f>B11/B$102</f>
        <v>0.15624708539275392</v>
      </c>
      <c r="E11" s="371">
        <v>0</v>
      </c>
      <c r="F11" s="371" t="n">
        <v>56241.0</v>
      </c>
      <c r="G11" s="9">
        <f>F11/F$102</f>
        <v>0.32220029707371584</v>
      </c>
      <c r="K11" s="6" t="n">
        <v>6.23273019930526</v>
      </c>
      <c r="L11" s="6" t="n">
        <v>6.3199084138736685</v>
      </c>
    </row>
    <row r="12" spans="1:12" x14ac:dyDescent="0.45">
      <c r="A12">
        <v>1</v>
      </c>
      <c r="B12" s="6" t="n">
        <v>77997.45171041857</v>
      </c>
      <c r="C12" s="9">
        <f>B12/B$102</f>
        <v>0.40503110730156033</v>
      </c>
      <c r="E12" s="371">
        <v>1</v>
      </c>
      <c r="F12" s="371" t="n">
        <v>64602.0</v>
      </c>
      <c r="G12" s="9">
        <f>F12/F$102</f>
        <v>0.27408302885084534</v>
      </c>
      <c r="K12" s="6"/>
      <c r="L12" s="371"/>
    </row>
    <row r="13" spans="1:12" x14ac:dyDescent="0.45">
      <c r="A13">
        <v>2</v>
      </c>
      <c r="B13" s="6" t="n">
        <v>79997.81845648821</v>
      </c>
      <c r="C13" s="9">
        <f ref="C13:C76" si="0" t="shared">B13/B$102</f>
        <v>0.1980236517013465</v>
      </c>
      <c r="E13" s="371">
        <v>2</v>
      </c>
      <c r="F13" s="371" t="n">
        <v>61882.0</v>
      </c>
      <c r="G13" s="9">
        <f ref="G13:G76" si="1" t="shared">F13/F$102</f>
        <v>0.13946382169794597</v>
      </c>
    </row>
    <row r="14" spans="1:12" x14ac:dyDescent="0.45">
      <c r="A14">
        <v>3</v>
      </c>
      <c r="B14" s="6" t="n">
        <v>64190.30920361917</v>
      </c>
      <c r="C14" s="9">
        <f si="0" t="shared"/>
        <v>0.12071804092765123</v>
      </c>
      <c r="E14" s="371">
        <v>3</v>
      </c>
      <c r="F14" s="371" t="n">
        <v>55560.0</v>
      </c>
      <c r="G14" s="9">
        <f si="1" t="shared"/>
        <v>7.1198305740172441E-2</v>
      </c>
    </row>
    <row r="15" spans="1:12" x14ac:dyDescent="0.45">
      <c r="A15">
        <v>4</v>
      </c>
      <c r="B15" s="6" t="n">
        <v>39713.72178131236</v>
      </c>
      <c r="C15" s="9">
        <f si="0" t="shared"/>
        <v>1.2402943109940468E-2</v>
      </c>
      <c r="E15" s="371">
        <v>4</v>
      </c>
      <c r="F15" s="371" t="n">
        <v>42915.0</v>
      </c>
      <c r="G15" s="9">
        <f si="1" t="shared"/>
        <v>4.0527793739767719E-2</v>
      </c>
    </row>
    <row r="16" spans="1:12" x14ac:dyDescent="0.45">
      <c r="A16">
        <v>5</v>
      </c>
      <c r="B16" s="6" t="n">
        <v>31153.67099585164</v>
      </c>
      <c r="C16" s="9">
        <f si="0" t="shared"/>
        <v>2.019909135316475E-2</v>
      </c>
      <c r="E16" s="371">
        <v>5</v>
      </c>
      <c r="F16" s="371" t="n">
        <v>32569.0</v>
      </c>
      <c r="G16" s="9">
        <f si="1" t="shared"/>
        <v>2.5968651856349285E-2</v>
      </c>
    </row>
    <row r="17" spans="1:7" x14ac:dyDescent="0.45">
      <c r="A17">
        <v>6</v>
      </c>
      <c r="B17" s="6" t="n">
        <v>27698.359474763543</v>
      </c>
      <c r="C17" s="9">
        <f si="0" t="shared"/>
        <v>1.0331540314808478E-3</v>
      </c>
      <c r="E17" s="371">
        <v>6</v>
      </c>
      <c r="F17" s="371" t="n">
        <v>23414.0</v>
      </c>
      <c r="G17" s="9">
        <f si="1" t="shared"/>
        <v>1.8794791452083289E-2</v>
      </c>
    </row>
    <row r="18" spans="1:7" x14ac:dyDescent="0.45">
      <c r="A18">
        <v>7</v>
      </c>
      <c r="B18" s="6" t="n">
        <v>14988.003561964126</v>
      </c>
      <c r="C18" s="9">
        <f si="0" t="shared"/>
        <v>2.7931425954338882E-2</v>
      </c>
      <c r="E18" s="371">
        <v>7</v>
      </c>
      <c r="F18" s="371" t="n">
        <v>17332.0</v>
      </c>
      <c r="G18" s="9">
        <f si="1" t="shared"/>
        <v>1.5679492878543092E-2</v>
      </c>
    </row>
    <row r="19" spans="1:7" x14ac:dyDescent="0.45">
      <c r="A19">
        <v>8</v>
      </c>
      <c r="B19" s="6" t="n">
        <v>16666.875265271072</v>
      </c>
      <c r="C19" s="9">
        <f si="0" t="shared"/>
        <v>3.985790373942746E-3</v>
      </c>
      <c r="E19" s="371">
        <v>8</v>
      </c>
      <c r="F19" s="371" t="n">
        <v>13486.0</v>
      </c>
      <c r="G19" s="9">
        <f si="1" t="shared"/>
        <v>1.1308316979822828E-2</v>
      </c>
    </row>
    <row r="20" spans="1:7" x14ac:dyDescent="0.45">
      <c r="A20">
        <v>9</v>
      </c>
      <c r="B20" s="6" t="n">
        <v>18804.74614891058</v>
      </c>
      <c r="C20" s="9">
        <f si="0" t="shared"/>
        <v>6.3331157397581066E-3</v>
      </c>
      <c r="E20" s="371">
        <v>9</v>
      </c>
      <c r="F20" s="371" t="n">
        <v>11260.0</v>
      </c>
      <c r="G20" s="9">
        <f si="1" t="shared"/>
        <v>9.7271764625097915E-3</v>
      </c>
    </row>
    <row r="21" spans="1:7" x14ac:dyDescent="0.45">
      <c r="A21">
        <v>10</v>
      </c>
      <c r="B21" s="6" t="n">
        <v>15480.084740157467</v>
      </c>
      <c r="C21" s="9">
        <f si="0" t="shared"/>
        <v>1.4369051698757858E-2</v>
      </c>
      <c r="E21" s="371">
        <v>10</v>
      </c>
      <c r="F21" s="371" t="n">
        <v>9191.0</v>
      </c>
      <c r="G21" s="9">
        <f si="1" t="shared"/>
        <v>8.5616500240333262E-3</v>
      </c>
    </row>
    <row r="22" spans="1:7" x14ac:dyDescent="0.45">
      <c r="A22">
        <v>11</v>
      </c>
      <c r="B22" s="6" t="n">
        <v>9246.120453055959</v>
      </c>
      <c r="C22" s="9">
        <f si="0" t="shared"/>
        <v>0</v>
      </c>
      <c r="E22" s="371">
        <v>11</v>
      </c>
      <c r="F22" s="371" t="n">
        <v>8524.0</v>
      </c>
      <c r="G22" s="9">
        <f si="1" t="shared"/>
        <v>7.3455270890028434E-3</v>
      </c>
    </row>
    <row r="23" spans="1:7" x14ac:dyDescent="0.45">
      <c r="A23">
        <v>12</v>
      </c>
      <c r="B23" s="6" t="n">
        <v>11648.567615786113</v>
      </c>
      <c r="C23" s="9">
        <f si="0" t="shared"/>
        <v>5.7374347092260108E-4</v>
      </c>
      <c r="E23" s="371">
        <v>12</v>
      </c>
      <c r="F23" s="371" t="n">
        <v>7516.0</v>
      </c>
      <c r="G23" s="9">
        <f si="1" t="shared"/>
        <v>6.5142989313297052E-3</v>
      </c>
    </row>
    <row r="24" spans="1:7" x14ac:dyDescent="0.45">
      <c r="A24">
        <v>13</v>
      </c>
      <c r="B24" s="6" t="n">
        <v>8985.990838019601</v>
      </c>
      <c r="C24" s="9">
        <f si="0" t="shared"/>
        <v>8.9651987502656055E-3</v>
      </c>
      <c r="E24" s="371">
        <v>13</v>
      </c>
      <c r="F24" s="371" t="n">
        <v>6385.0</v>
      </c>
      <c r="G24" s="9">
        <f si="1" t="shared"/>
        <v>5.4716496987701375E-3</v>
      </c>
    </row>
    <row r="25" spans="1:7" x14ac:dyDescent="0.45">
      <c r="A25">
        <v>14</v>
      </c>
      <c r="B25" s="6" t="n">
        <v>8779.09410176821</v>
      </c>
      <c r="C25" s="9">
        <f si="0" t="shared"/>
        <v>4.4878353959381035E-4</v>
      </c>
      <c r="E25" s="371">
        <v>14</v>
      </c>
      <c r="F25" s="371" t="n">
        <v>5662.0</v>
      </c>
      <c r="G25" s="9">
        <f si="1" t="shared"/>
        <v>4.6386145233629269E-3</v>
      </c>
    </row>
    <row r="26" spans="1:7" x14ac:dyDescent="0.45">
      <c r="A26">
        <v>15</v>
      </c>
      <c r="B26" s="6" t="n">
        <v>8861.215877223774</v>
      </c>
      <c r="C26" s="9">
        <f si="0" t="shared"/>
        <v>0</v>
      </c>
      <c r="E26" s="371">
        <v>15</v>
      </c>
      <c r="F26" s="371" t="n">
        <v>5127.0</v>
      </c>
      <c r="G26" s="9">
        <f si="1" t="shared"/>
        <v>4.1543337706316207E-3</v>
      </c>
    </row>
    <row r="27" spans="1:7" x14ac:dyDescent="0.45">
      <c r="A27">
        <v>16</v>
      </c>
      <c r="B27" s="6" t="n">
        <v>7301.899186854064</v>
      </c>
      <c r="C27" s="9">
        <f si="0" t="shared"/>
        <v>0</v>
      </c>
      <c r="E27" s="371">
        <v>16</v>
      </c>
      <c r="F27" s="371" t="n">
        <v>4460.0</v>
      </c>
      <c r="G27" s="9">
        <f si="1" t="shared"/>
        <v>3.5706670425263514E-3</v>
      </c>
    </row>
    <row r="28" spans="1:7" x14ac:dyDescent="0.45">
      <c r="A28">
        <v>17</v>
      </c>
      <c r="B28" s="6" t="n">
        <v>5044.490988037991</v>
      </c>
      <c r="C28" s="9">
        <f si="0" t="shared"/>
        <v>0</v>
      </c>
      <c r="E28" s="371">
        <v>17</v>
      </c>
      <c r="F28" s="371" t="n">
        <v>3799.0</v>
      </c>
      <c r="G28" s="9">
        <f si="1" t="shared"/>
        <v>3.2417898149252398E-3</v>
      </c>
    </row>
    <row r="29" spans="1:7" x14ac:dyDescent="0.45">
      <c r="A29">
        <v>18</v>
      </c>
      <c r="B29" s="6" t="n">
        <v>1904.1025717460468</v>
      </c>
      <c r="C29" s="9">
        <f si="0" t="shared"/>
        <v>1.5530192151024334E-3</v>
      </c>
      <c r="E29" s="371">
        <v>18</v>
      </c>
      <c r="F29" s="371" t="n">
        <v>3409.0</v>
      </c>
      <c r="G29" s="9">
        <f si="1" t="shared"/>
        <v>2.9111055695900567E-3</v>
      </c>
    </row>
    <row r="30" spans="1:7" x14ac:dyDescent="0.45">
      <c r="A30">
        <v>19</v>
      </c>
      <c r="B30" s="6" t="n">
        <v>2400.587913786706</v>
      </c>
      <c r="C30" s="9">
        <f si="0" t="shared"/>
        <v>1.4264813007305271E-3</v>
      </c>
      <c r="E30" s="371">
        <v>19</v>
      </c>
      <c r="F30" s="371" t="n">
        <v>3049.0</v>
      </c>
      <c r="G30" s="9">
        <f si="1" t="shared"/>
        <v>2.7358248493850688E-3</v>
      </c>
    </row>
    <row r="31" spans="1:7" x14ac:dyDescent="0.45">
      <c r="A31">
        <v>20</v>
      </c>
      <c r="B31" s="6" t="n">
        <v>3123.228040340014</v>
      </c>
      <c r="C31" s="9">
        <f si="0" t="shared"/>
        <v>0</v>
      </c>
      <c r="E31" s="371">
        <v>20</v>
      </c>
      <c r="F31" s="371" t="n">
        <v>2606.0</v>
      </c>
      <c r="G31" s="9">
        <f si="1" t="shared"/>
        <v>2.7014915124377002E-3</v>
      </c>
    </row>
    <row r="32" spans="1:7" x14ac:dyDescent="0.45">
      <c r="A32">
        <v>21</v>
      </c>
      <c r="B32" s="6" t="n">
        <v>1212.8001940448598</v>
      </c>
      <c r="C32" s="9">
        <f si="0" t="shared"/>
        <v>5.1367338156869825E-3</v>
      </c>
      <c r="E32" s="371">
        <v>21</v>
      </c>
      <c r="F32" s="371" t="n">
        <v>2447.0</v>
      </c>
      <c r="G32" s="9">
        <f si="1" t="shared"/>
        <v>2.061807234576198E-3</v>
      </c>
    </row>
    <row r="33" spans="1:7" x14ac:dyDescent="0.45">
      <c r="A33">
        <v>22</v>
      </c>
      <c r="B33" s="6" t="n">
        <v>1385.9881752746242</v>
      </c>
      <c r="C33" s="9">
        <f si="0" t="shared"/>
        <v>0</v>
      </c>
      <c r="E33" s="371">
        <v>22</v>
      </c>
      <c r="F33" s="371" t="n">
        <v>2258.0</v>
      </c>
      <c r="G33" s="9">
        <f si="1" t="shared"/>
        <v>1.9027896739778585E-3</v>
      </c>
    </row>
    <row r="34" spans="1:7" x14ac:dyDescent="0.45">
      <c r="A34">
        <v>23</v>
      </c>
      <c r="B34" s="6" t="n">
        <v>1295.18750469625</v>
      </c>
      <c r="C34" s="9">
        <f si="0" t="shared"/>
        <v>0</v>
      </c>
      <c r="E34" s="371">
        <v>23</v>
      </c>
      <c r="F34" s="371" t="n">
        <v>2060.0</v>
      </c>
      <c r="G34" s="9">
        <f si="1" t="shared"/>
        <v>1.8214738759446164E-3</v>
      </c>
    </row>
    <row r="35" spans="1:7" x14ac:dyDescent="0.45">
      <c r="A35">
        <v>24</v>
      </c>
      <c r="B35" s="6" t="n">
        <v>1701.8698419644702</v>
      </c>
      <c r="C35" s="9">
        <f si="0" t="shared"/>
        <v>1.1003761282536875E-2</v>
      </c>
      <c r="E35" s="371">
        <v>24</v>
      </c>
      <c r="F35" s="371" t="n">
        <v>1889.0</v>
      </c>
      <c r="G35" s="9">
        <f si="1" t="shared"/>
        <v>1.7528072020498791E-3</v>
      </c>
    </row>
    <row r="36" spans="1:7" x14ac:dyDescent="0.45">
      <c r="A36">
        <v>25</v>
      </c>
      <c r="B36" s="6" t="n">
        <v>107.7714181269622</v>
      </c>
      <c r="C36" s="9">
        <f si="0" t="shared"/>
        <v>0</v>
      </c>
      <c r="E36" s="371">
        <v>25</v>
      </c>
      <c r="F36" s="371" t="n">
        <v>1796.0</v>
      </c>
      <c r="G36" s="9">
        <f si="1" t="shared"/>
        <v>1.4365790985872719E-3</v>
      </c>
    </row>
    <row r="37" spans="1:7" x14ac:dyDescent="0.45">
      <c r="A37">
        <v>26</v>
      </c>
      <c r="B37" s="6" t="n">
        <v>822.1347317793378</v>
      </c>
      <c r="C37" s="9">
        <f si="0" t="shared"/>
        <v>0</v>
      </c>
      <c r="E37" s="371">
        <v>26</v>
      </c>
      <c r="F37" s="371" t="n">
        <v>1633.0</v>
      </c>
      <c r="G37" s="9">
        <f si="1" t="shared"/>
        <v>1.25768434291414E-3</v>
      </c>
    </row>
    <row r="38" spans="1:7" x14ac:dyDescent="0.45">
      <c r="A38">
        <v>27</v>
      </c>
      <c r="B38" s="6" t="n">
        <v>1073.2079355859485</v>
      </c>
      <c r="C38" s="9">
        <f si="0" t="shared"/>
        <v>5.1170358578758604E-4</v>
      </c>
      <c r="E38" s="371">
        <v>27</v>
      </c>
      <c r="F38" s="371" t="n">
        <v>1481.0</v>
      </c>
      <c r="G38" s="9">
        <f si="1" t="shared"/>
        <v>1.0571053744321435E-3</v>
      </c>
    </row>
    <row r="39" spans="1:7" x14ac:dyDescent="0.45">
      <c r="A39">
        <v>28</v>
      </c>
      <c r="B39" s="6" t="n">
        <v>505.1106792604502</v>
      </c>
      <c r="C39" s="9">
        <f si="0" t="shared"/>
        <v>0</v>
      </c>
      <c r="E39" s="371">
        <v>28</v>
      </c>
      <c r="F39" s="371" t="n">
        <v>1309.0</v>
      </c>
      <c r="G39" s="9">
        <f si="1" t="shared"/>
        <v>1.0552983566980716E-3</v>
      </c>
    </row>
    <row r="40" spans="1:7" x14ac:dyDescent="0.45">
      <c r="A40">
        <v>29</v>
      </c>
      <c r="B40" s="6" t="n">
        <v>1484.6676419630926</v>
      </c>
      <c r="C40" s="9">
        <f si="0" t="shared"/>
        <v>0</v>
      </c>
      <c r="E40" s="371">
        <v>29</v>
      </c>
      <c r="F40" s="371" t="n">
        <v>1176.0</v>
      </c>
      <c r="G40" s="9">
        <f si="1" t="shared"/>
        <v>8.5833342368421908E-4</v>
      </c>
    </row>
    <row r="41" spans="1:7" x14ac:dyDescent="0.45">
      <c r="A41">
        <v>30</v>
      </c>
      <c r="B41" s="6" t="n">
        <v>350.75696160991583</v>
      </c>
      <c r="C41" s="9">
        <f si="0" t="shared"/>
        <v>0</v>
      </c>
      <c r="E41" s="371">
        <v>30</v>
      </c>
      <c r="F41" s="371" t="n">
        <v>1079.0</v>
      </c>
      <c r="G41" s="9">
        <f si="1" t="shared"/>
        <v>6.6859656160665488E-4</v>
      </c>
    </row>
    <row r="42" spans="1:7" x14ac:dyDescent="0.45">
      <c r="A42">
        <v>31</v>
      </c>
      <c r="B42" s="6" t="n">
        <v>158.35113129328948</v>
      </c>
      <c r="C42" s="9">
        <f si="0" t="shared"/>
        <v>3.0058763691411363E-3</v>
      </c>
      <c r="E42" s="371">
        <v>31</v>
      </c>
      <c r="F42" s="371" t="n">
        <v>937.0</v>
      </c>
      <c r="G42" s="9">
        <f si="1" t="shared"/>
        <v>6.6498252613851074E-4</v>
      </c>
    </row>
    <row r="43" spans="1:7" x14ac:dyDescent="0.45">
      <c r="A43">
        <v>32</v>
      </c>
      <c r="B43" s="6" t="n">
        <v>922.154079020292</v>
      </c>
      <c r="C43" s="9">
        <f si="0" t="shared"/>
        <v>0</v>
      </c>
      <c r="E43" s="371">
        <v>32</v>
      </c>
      <c r="F43" s="371" t="n">
        <v>835.0</v>
      </c>
      <c r="G43" s="9">
        <f si="1" t="shared"/>
        <v>7.0835095175623974E-4</v>
      </c>
    </row>
    <row r="44" spans="1:7" x14ac:dyDescent="0.45">
      <c r="A44">
        <v>33</v>
      </c>
      <c r="B44" s="6" t="n">
        <v>825.2768947200524</v>
      </c>
      <c r="C44" s="9">
        <f si="0" t="shared"/>
        <v>1.1002410855368307E-3</v>
      </c>
      <c r="E44" s="371">
        <v>33</v>
      </c>
      <c r="F44" s="371" t="n">
        <v>770.0</v>
      </c>
      <c r="G44" s="9">
        <f si="1" t="shared"/>
        <v>5.3126321381717981E-4</v>
      </c>
    </row>
    <row r="45" spans="1:7" x14ac:dyDescent="0.45">
      <c r="A45">
        <v>34</v>
      </c>
      <c r="B45" s="6" t="n">
        <v>1224.2212723228974</v>
      </c>
      <c r="C45" s="9">
        <f si="0" t="shared"/>
        <v>0</v>
      </c>
      <c r="E45" s="371">
        <v>34</v>
      </c>
      <c r="F45" s="371" t="n">
        <v>631.0</v>
      </c>
      <c r="G45" s="9">
        <f si="1" t="shared"/>
        <v>4.4994741578393806E-4</v>
      </c>
    </row>
    <row r="46" spans="1:7" x14ac:dyDescent="0.45">
      <c r="A46">
        <v>35</v>
      </c>
      <c r="B46" s="6" t="n">
        <v>464.9340375526985</v>
      </c>
      <c r="C46" s="9">
        <f si="0" t="shared"/>
        <v>0</v>
      </c>
      <c r="E46" s="371">
        <v>35</v>
      </c>
      <c r="F46" s="371" t="n">
        <v>582.0</v>
      </c>
      <c r="G46" s="9">
        <f si="1" t="shared"/>
        <v>3.2526319213296726E-4</v>
      </c>
    </row>
    <row r="47" spans="1:7" x14ac:dyDescent="0.45">
      <c r="A47">
        <v>36</v>
      </c>
      <c r="B47" s="6" t="n">
        <v>202.7133036614848</v>
      </c>
      <c r="C47" s="9">
        <f si="0" t="shared"/>
        <v>0</v>
      </c>
      <c r="E47" s="371">
        <v>36</v>
      </c>
      <c r="F47" s="371" t="n">
        <v>503.0</v>
      </c>
      <c r="G47" s="9">
        <f si="1" t="shared"/>
        <v>3.6501758228255218E-4</v>
      </c>
    </row>
    <row r="48" spans="1:7" x14ac:dyDescent="0.45">
      <c r="A48">
        <v>37</v>
      </c>
      <c r="B48" s="6" t="n">
        <v>150.5020269166988</v>
      </c>
      <c r="C48" s="9">
        <f si="0" t="shared"/>
        <v>0</v>
      </c>
      <c r="E48" s="371">
        <v>37</v>
      </c>
      <c r="F48" s="371" t="n">
        <v>415.0</v>
      </c>
      <c r="G48" s="9">
        <f si="1" t="shared"/>
        <v>2.8008774878116624E-4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361.0</v>
      </c>
      <c r="G49" s="9">
        <f si="1" t="shared"/>
        <v>2.8731581971745441E-4</v>
      </c>
    </row>
    <row r="50" spans="1:7" x14ac:dyDescent="0.45">
      <c r="A50">
        <v>39</v>
      </c>
      <c r="B50" s="6" t="n">
        <v>341.97733352215903</v>
      </c>
      <c r="C50" s="9">
        <f si="0" t="shared"/>
        <v>0</v>
      </c>
      <c r="E50" s="371">
        <v>39</v>
      </c>
      <c r="F50" s="371" t="n">
        <v>310.0</v>
      </c>
      <c r="G50" s="9">
        <f si="1" t="shared"/>
        <v>2.1503511035457279E-4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291.0</v>
      </c>
      <c r="G51" s="9">
        <f si="1" t="shared"/>
        <v>2.2226318129086095E-4</v>
      </c>
    </row>
    <row r="52" spans="1:7" x14ac:dyDescent="0.45">
      <c r="A52">
        <v>41</v>
      </c>
      <c r="B52" s="6" t="n">
        <v>383.812497583765</v>
      </c>
      <c r="C52" s="9">
        <f si="0" t="shared"/>
        <v>0</v>
      </c>
      <c r="E52" s="371">
        <v>41</v>
      </c>
      <c r="F52" s="371" t="n">
        <v>287.0</v>
      </c>
      <c r="G52" s="9">
        <f si="1" t="shared"/>
        <v>1.3914036552354711E-4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238.0</v>
      </c>
      <c r="G53" s="9">
        <f si="1" t="shared"/>
        <v>1.8070177340720405E-4</v>
      </c>
    </row>
    <row r="54" spans="1:7" x14ac:dyDescent="0.45">
      <c r="A54">
        <v>43</v>
      </c>
      <c r="B54" s="6" t="n">
        <v>38.581100217278</v>
      </c>
      <c r="C54" s="9">
        <f si="0" t="shared"/>
        <v>0</v>
      </c>
      <c r="E54" s="371">
        <v>43</v>
      </c>
      <c r="F54" s="371" t="n">
        <v>201.0</v>
      </c>
      <c r="G54" s="9">
        <f si="1" t="shared"/>
        <v>1.3191229458725894E-4</v>
      </c>
    </row>
    <row r="55" spans="1:7" x14ac:dyDescent="0.45">
      <c r="A55">
        <v>44</v>
      </c>
      <c r="B55" s="6" t="n">
        <v>404.521934531258</v>
      </c>
      <c r="C55" s="9">
        <f si="0" t="shared"/>
        <v>0</v>
      </c>
      <c r="E55" s="371">
        <v>44</v>
      </c>
      <c r="F55" s="371" t="n">
        <v>196.0</v>
      </c>
      <c r="G55" s="9">
        <f si="1" t="shared"/>
        <v>1.427544009916912E-4</v>
      </c>
    </row>
    <row r="56" spans="1:7" x14ac:dyDescent="0.45">
      <c r="A56">
        <v>45</v>
      </c>
      <c r="B56" s="6" t="n">
        <v>60.0756860683432</v>
      </c>
      <c r="C56" s="9">
        <f si="0" t="shared"/>
        <v>0</v>
      </c>
      <c r="E56" s="371">
        <v>45</v>
      </c>
      <c r="F56" s="371" t="n">
        <v>178.0</v>
      </c>
      <c r="G56" s="9">
        <f si="1" t="shared"/>
        <v>1.3552633005540303E-4</v>
      </c>
    </row>
    <row r="57" spans="1:7" x14ac:dyDescent="0.45">
      <c r="A57">
        <v>46</v>
      </c>
      <c r="B57" s="6" t="n">
        <v>177.638989785686</v>
      </c>
      <c r="C57" s="9">
        <f si="0" t="shared"/>
        <v>0</v>
      </c>
      <c r="E57" s="371">
        <v>46</v>
      </c>
      <c r="F57" s="371" t="n">
        <v>131.0</v>
      </c>
      <c r="G57" s="9">
        <f si="1" t="shared"/>
        <v>1.3552633005540303E-4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147.0</v>
      </c>
      <c r="G58" s="9">
        <f si="1" t="shared"/>
        <v>8.8543868969529968E-5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112.0</v>
      </c>
      <c r="G59" s="9">
        <f si="1" t="shared"/>
        <v>8.4929833501385884E-5</v>
      </c>
    </row>
    <row r="60" spans="1:7" x14ac:dyDescent="0.45">
      <c r="A60">
        <v>49</v>
      </c>
      <c r="B60" s="6" t="n">
        <v>62.195477629974</v>
      </c>
      <c r="C60" s="9">
        <f si="0" t="shared"/>
        <v>0</v>
      </c>
      <c r="E60" s="371">
        <v>49</v>
      </c>
      <c r="F60" s="371" t="n">
        <v>104.0</v>
      </c>
      <c r="G60" s="9">
        <f si="1" t="shared"/>
        <v>4.6982461085873047E-5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97.0</v>
      </c>
      <c r="G61" s="9">
        <f si="1" t="shared"/>
        <v>3.4333336947368768E-5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71.0</v>
      </c>
      <c r="G62" s="9">
        <f si="1" t="shared"/>
        <v>3.0719301479224684E-5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72.0</v>
      </c>
      <c r="G63" s="9">
        <f si="1" t="shared"/>
        <v>2.5298248277008565E-5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59.0</v>
      </c>
      <c r="G64" s="9">
        <f si="1" t="shared"/>
        <v>1.9877195074792443E-5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61.0</v>
      </c>
      <c r="G65" s="9">
        <f si="1" t="shared"/>
        <v>1.2649124138504283E-5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42.0</v>
      </c>
      <c r="G66" s="9">
        <f si="1" t="shared"/>
        <v>1.0842106404432242E-5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42.0</v>
      </c>
      <c r="G67" s="9">
        <f si="1" t="shared"/>
        <v>7.2280709362881614E-6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39.0</v>
      </c>
      <c r="G68" s="9">
        <f si="1" t="shared"/>
        <v>3.6140354681440807E-6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36.0</v>
      </c>
      <c r="G69" s="9">
        <f si="1" t="shared"/>
        <v>1.0842106404432242E-5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18.0</v>
      </c>
      <c r="G70" s="9">
        <f si="1" t="shared"/>
        <v>5.4210532022161212E-6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12.0</v>
      </c>
      <c r="G71" s="9">
        <f si="1" t="shared"/>
        <v>9.0350886703602006E-6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16.0</v>
      </c>
      <c r="G72" s="9">
        <f si="1" t="shared"/>
        <v>1.8070177340720403E-6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9.0</v>
      </c>
      <c r="G73" s="9">
        <f si="1" t="shared"/>
        <v>3.6140354681440807E-6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8.0</v>
      </c>
      <c r="G74" s="9">
        <f si="1" t="shared"/>
        <v>1.8070177340720403E-6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10.0</v>
      </c>
      <c r="G75" s="9">
        <f si="1" t="shared"/>
        <v>1.8070177340720403E-6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9.0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1.0</v>
      </c>
      <c r="G93" s="9">
        <f si="3" t="shared"/>
        <v>1.8070177340720403E-6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5.4210532022161212E-6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3.6140354681440807E-6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2.0</v>
      </c>
      <c r="G101" s="9">
        <f si="3" t="shared"/>
        <v>3.6140354681440807E-6</v>
      </c>
    </row>
    <row r="102" spans="1:7" x14ac:dyDescent="0.45">
      <c r="B102" s="6">
        <f>SUM(B11:B101)</f>
        <v>242240.13003163939</v>
      </c>
      <c r="C102" s="9">
        <f si="2" t="shared"/>
        <v>1</v>
      </c>
      <c r="F102" s="6">
        <f>SUM(F11:F101)</f>
        <v>184465.99999981574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K11" sqref="K11:L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4.9229886648089936E-2</v>
      </c>
      <c r="E11" s="371">
        <v>0</v>
      </c>
      <c r="F11" s="371" t="n">
        <v>3515.0</v>
      </c>
      <c r="G11" s="9">
        <f>F11/F$102</f>
        <v>4.2022197405845341E-2</v>
      </c>
      <c r="K11" s="6" t="n">
        <v>14.35110643663044</v>
      </c>
      <c r="L11" s="6" t="n">
        <v>16.25252361561088</v>
      </c>
    </row>
    <row r="12" spans="1:12" x14ac:dyDescent="0.45">
      <c r="A12">
        <v>1</v>
      </c>
      <c r="B12" s="6" t="n">
        <v>0.0</v>
      </c>
      <c r="C12" s="9">
        <f>B12/B$102</f>
        <v>4.4322088352582487E-2</v>
      </c>
      <c r="E12" s="371">
        <v>1</v>
      </c>
      <c r="F12" s="371" t="n">
        <v>14089.0</v>
      </c>
      <c r="G12" s="9">
        <f>F12/F$102</f>
        <v>0.11373369618249435</v>
      </c>
      <c r="K12" s="6"/>
      <c r="L12" s="371"/>
    </row>
    <row r="13" spans="1:12" x14ac:dyDescent="0.45">
      <c r="A13">
        <v>2</v>
      </c>
      <c r="B13" s="6" t="n">
        <v>3334.1595095824678</v>
      </c>
      <c r="C13" s="9">
        <f ref="C13:C76" si="0" t="shared">B13/B$102</f>
        <v>0.27131854064093386</v>
      </c>
      <c r="E13" s="371">
        <v>2</v>
      </c>
      <c r="F13" s="371" t="n">
        <v>8354.0</v>
      </c>
      <c r="G13" s="9">
        <f ref="G13:G76" si="1" t="shared">F13/F$102</f>
        <v>0.18779973906663927</v>
      </c>
    </row>
    <row r="14" spans="1:12" x14ac:dyDescent="0.45">
      <c r="A14">
        <v>3</v>
      </c>
      <c r="B14" s="6" t="n">
        <v>23724.726444766187</v>
      </c>
      <c r="C14" s="9">
        <f si="0" t="shared"/>
        <v>0.1947735313422464</v>
      </c>
      <c r="E14" s="371">
        <v>3</v>
      </c>
      <c r="F14" s="371" t="n">
        <v>12941.0</v>
      </c>
      <c r="G14" s="9">
        <f si="1" t="shared"/>
        <v>0.16651487717700461</v>
      </c>
    </row>
    <row r="15" spans="1:12" x14ac:dyDescent="0.45">
      <c r="A15">
        <v>4</v>
      </c>
      <c r="B15" s="6" t="n">
        <v>27729.000888803956</v>
      </c>
      <c r="C15" s="9">
        <f si="0" t="shared"/>
        <v>0.14750001136196053</v>
      </c>
      <c r="E15" s="371">
        <v>4</v>
      </c>
      <c r="F15" s="371" t="n">
        <v>19051.0</v>
      </c>
      <c r="G15" s="9">
        <f si="1" t="shared"/>
        <v>0.1112291696030705</v>
      </c>
    </row>
    <row r="16" spans="1:12" x14ac:dyDescent="0.45">
      <c r="A16">
        <v>5</v>
      </c>
      <c r="B16" s="6" t="n">
        <v>39002.83682869109</v>
      </c>
      <c r="C16" s="9">
        <f si="0" t="shared"/>
        <v>6.7592663519050245E-2</v>
      </c>
      <c r="E16" s="371">
        <v>5</v>
      </c>
      <c r="F16" s="371" t="n">
        <v>24391.0</v>
      </c>
      <c r="G16" s="9">
        <f si="1" t="shared"/>
        <v>7.4586463991557619E-2</v>
      </c>
    </row>
    <row r="17" spans="1:7" x14ac:dyDescent="0.45">
      <c r="A17">
        <v>6</v>
      </c>
      <c r="B17" s="6" t="n">
        <v>35041.18502057713</v>
      </c>
      <c r="C17" s="9">
        <f si="0" t="shared"/>
        <v>8.952281717609023E-2</v>
      </c>
      <c r="E17" s="371">
        <v>6</v>
      </c>
      <c r="F17" s="371" t="n">
        <v>27521.0</v>
      </c>
      <c r="G17" s="9">
        <f si="1" t="shared"/>
        <v>5.00977596594133E-2</v>
      </c>
    </row>
    <row r="18" spans="1:7" x14ac:dyDescent="0.45">
      <c r="A18">
        <v>7</v>
      </c>
      <c r="B18" s="6" t="n">
        <v>39367.465420372886</v>
      </c>
      <c r="C18" s="9">
        <f si="0" t="shared"/>
        <v>3.470580261829679E-2</v>
      </c>
      <c r="E18" s="371">
        <v>7</v>
      </c>
      <c r="F18" s="371" t="n">
        <v>28626.0</v>
      </c>
      <c r="G18" s="9">
        <f si="1" t="shared"/>
        <v>3.7085424956360524E-2</v>
      </c>
    </row>
    <row r="19" spans="1:7" x14ac:dyDescent="0.45">
      <c r="A19">
        <v>8</v>
      </c>
      <c r="B19" s="6" t="n">
        <v>40571.30070613039</v>
      </c>
      <c r="C19" s="9">
        <f si="0" t="shared"/>
        <v>1.0880357753654455E-2</v>
      </c>
      <c r="E19" s="371">
        <v>8</v>
      </c>
      <c r="F19" s="371" t="n">
        <v>27635.0</v>
      </c>
      <c r="G19" s="9">
        <f si="1" t="shared"/>
        <v>2.6395108041590322E-2</v>
      </c>
    </row>
    <row r="20" spans="1:7" x14ac:dyDescent="0.45">
      <c r="A20">
        <v>9</v>
      </c>
      <c r="B20" s="6" t="n">
        <v>31649.25002945699</v>
      </c>
      <c r="C20" s="9">
        <f si="0" t="shared"/>
        <v>2.0723220989350153E-3</v>
      </c>
      <c r="E20" s="371">
        <v>9</v>
      </c>
      <c r="F20" s="371" t="n">
        <v>26153.0</v>
      </c>
      <c r="G20" s="9">
        <f si="1" t="shared"/>
        <v>2.0939721502426827E-2</v>
      </c>
    </row>
    <row r="21" spans="1:7" x14ac:dyDescent="0.45">
      <c r="A21">
        <v>10</v>
      </c>
      <c r="B21" s="6" t="n">
        <v>24951.381604799484</v>
      </c>
      <c r="C21" s="9">
        <f si="0" t="shared"/>
        <v>2.7869502991031735E-3</v>
      </c>
      <c r="E21" s="371">
        <v>10</v>
      </c>
      <c r="F21" s="371" t="n">
        <v>23921.0</v>
      </c>
      <c r="G21" s="9">
        <f si="1" t="shared"/>
        <v>1.736001937123011E-2</v>
      </c>
    </row>
    <row r="22" spans="1:7" x14ac:dyDescent="0.45">
      <c r="A22">
        <v>11</v>
      </c>
      <c r="B22" s="6" t="n">
        <v>27249.81858785211</v>
      </c>
      <c r="C22" s="9">
        <f si="0" t="shared"/>
        <v>2.1326843680425298E-3</v>
      </c>
      <c r="E22" s="371">
        <v>11</v>
      </c>
      <c r="F22" s="371" t="n">
        <v>21634.0</v>
      </c>
      <c r="G22" s="9">
        <f si="1" t="shared"/>
        <v>1.473080856815529E-2</v>
      </c>
    </row>
    <row r="23" spans="1:7" x14ac:dyDescent="0.45">
      <c r="A23">
        <v>12</v>
      </c>
      <c r="B23" s="6" t="n">
        <v>14024.39124040869</v>
      </c>
      <c r="C23" s="9">
        <f si="0" t="shared"/>
        <v>2.9055803648156023E-2</v>
      </c>
      <c r="E23" s="371">
        <v>12</v>
      </c>
      <c r="F23" s="371" t="n">
        <v>19521.0</v>
      </c>
      <c r="G23" s="9">
        <f si="1" t="shared"/>
        <v>1.3108106642958596E-2</v>
      </c>
    </row>
    <row r="24" spans="1:7" x14ac:dyDescent="0.45">
      <c r="A24">
        <v>13</v>
      </c>
      <c r="B24" s="6" t="n">
        <v>17027.13740497148</v>
      </c>
      <c r="C24" s="9">
        <f si="0" t="shared"/>
        <v>4.8450285820083212E-3</v>
      </c>
      <c r="E24" s="371">
        <v>13</v>
      </c>
      <c r="F24" s="371" t="n">
        <v>17413.0</v>
      </c>
      <c r="G24" s="9">
        <f si="1" t="shared"/>
        <v>1.1483597700027829E-2</v>
      </c>
    </row>
    <row r="25" spans="1:7" x14ac:dyDescent="0.45">
      <c r="A25">
        <v>14</v>
      </c>
      <c r="B25" s="6" t="n">
        <v>16272.290314216802</v>
      </c>
      <c r="C25" s="9">
        <f si="0" t="shared"/>
        <v>7.8859505692335952E-3</v>
      </c>
      <c r="E25" s="371">
        <v>14</v>
      </c>
      <c r="F25" s="371" t="n">
        <v>15569.0</v>
      </c>
      <c r="G25" s="9">
        <f si="1" t="shared"/>
        <v>1.0377702846775739E-2</v>
      </c>
    </row>
    <row r="26" spans="1:7" x14ac:dyDescent="0.45">
      <c r="A26">
        <v>15</v>
      </c>
      <c r="B26" s="6" t="n">
        <v>13314.718397798395</v>
      </c>
      <c r="C26" s="9">
        <f si="0" t="shared"/>
        <v>2.0261556848532886E-3</v>
      </c>
      <c r="E26" s="371">
        <v>15</v>
      </c>
      <c r="F26" s="371" t="n">
        <v>13834.0</v>
      </c>
      <c r="G26" s="9">
        <f si="1" t="shared"/>
        <v>8.652000910736939E-3</v>
      </c>
    </row>
    <row r="27" spans="1:7" x14ac:dyDescent="0.45">
      <c r="A27">
        <v>16</v>
      </c>
      <c r="B27" s="6" t="n">
        <v>10152.127179903175</v>
      </c>
      <c r="C27" s="9">
        <f si="0" t="shared"/>
        <v>0</v>
      </c>
      <c r="E27" s="371">
        <v>16</v>
      </c>
      <c r="F27" s="371" t="n">
        <v>12388.0</v>
      </c>
      <c r="G27" s="9">
        <f si="1" t="shared"/>
        <v>7.3003516456510518E-3</v>
      </c>
    </row>
    <row r="28" spans="1:7" x14ac:dyDescent="0.45">
      <c r="A28">
        <v>17</v>
      </c>
      <c r="B28" s="6" t="n">
        <v>11441.525377932228</v>
      </c>
      <c r="C28" s="9">
        <f si="0" t="shared"/>
        <v>5.6238629214586883E-3</v>
      </c>
      <c r="E28" s="371">
        <v>17</v>
      </c>
      <c r="F28" s="371" t="n">
        <v>11135.0</v>
      </c>
      <c r="G28" s="9">
        <f si="1" t="shared"/>
        <v>6.9172638860277779E-3</v>
      </c>
    </row>
    <row r="29" spans="1:7" x14ac:dyDescent="0.45">
      <c r="A29">
        <v>18</v>
      </c>
      <c r="B29" s="6" t="n">
        <v>10324.784440928916</v>
      </c>
      <c r="C29" s="9">
        <f si="0" t="shared"/>
        <v>0</v>
      </c>
      <c r="E29" s="371">
        <v>18</v>
      </c>
      <c r="F29" s="371" t="n">
        <v>10077.0</v>
      </c>
      <c r="G29" s="9">
        <f si="1" t="shared"/>
        <v>5.9432813273629483E-3</v>
      </c>
    </row>
    <row r="30" spans="1:7" x14ac:dyDescent="0.45">
      <c r="A30">
        <v>19</v>
      </c>
      <c r="B30" s="6" t="n">
        <v>8999.20861871848</v>
      </c>
      <c r="C30" s="9">
        <f si="0" t="shared"/>
        <v>0</v>
      </c>
      <c r="E30" s="371">
        <v>19</v>
      </c>
      <c r="F30" s="371" t="n">
        <v>9211.0</v>
      </c>
      <c r="G30" s="9">
        <f si="1" t="shared"/>
        <v>5.1608426485097534E-3</v>
      </c>
    </row>
    <row r="31" spans="1:7" x14ac:dyDescent="0.45">
      <c r="A31">
        <v>20</v>
      </c>
      <c r="B31" s="6" t="n">
        <v>6626.876714508349</v>
      </c>
      <c r="C31" s="9">
        <f si="0" t="shared"/>
        <v>1.1716995452908572E-3</v>
      </c>
      <c r="E31" s="371">
        <v>20</v>
      </c>
      <c r="F31" s="371" t="n">
        <v>8153.0</v>
      </c>
      <c r="G31" s="9">
        <f si="1" t="shared"/>
        <v>5.8818427244044982E-3</v>
      </c>
    </row>
    <row r="32" spans="1:7" x14ac:dyDescent="0.45">
      <c r="A32">
        <v>21</v>
      </c>
      <c r="B32" s="6" t="n">
        <v>6857.32713084384</v>
      </c>
      <c r="C32" s="9">
        <f si="0" t="shared"/>
        <v>8.3672426758973489E-3</v>
      </c>
      <c r="E32" s="371">
        <v>21</v>
      </c>
      <c r="F32" s="371" t="n">
        <v>7493.0</v>
      </c>
      <c r="G32" s="9">
        <f si="1" t="shared"/>
        <v>4.9006320948033798E-3</v>
      </c>
    </row>
    <row r="33" spans="1:7" x14ac:dyDescent="0.45">
      <c r="A33">
        <v>22</v>
      </c>
      <c r="B33" s="6" t="n">
        <v>8833.558560097481</v>
      </c>
      <c r="C33" s="9">
        <f si="0" t="shared"/>
        <v>1.5530192151024334E-3</v>
      </c>
      <c r="E33" s="371">
        <v>22</v>
      </c>
      <c r="F33" s="371" t="n">
        <v>6735.0</v>
      </c>
      <c r="G33" s="9">
        <f si="1" t="shared"/>
        <v>4.6566847007036534E-3</v>
      </c>
    </row>
    <row r="34" spans="1:7" x14ac:dyDescent="0.45">
      <c r="A34">
        <v>23</v>
      </c>
      <c r="B34" s="6" t="n">
        <v>4254.979193791603</v>
      </c>
      <c r="C34" s="9">
        <f si="0" t="shared"/>
        <v>4.4878353959381035E-4</v>
      </c>
      <c r="E34" s="371">
        <v>23</v>
      </c>
      <c r="F34" s="371" t="n">
        <v>6330.0</v>
      </c>
      <c r="G34" s="9">
        <f si="1" t="shared"/>
        <v>4.1832460543767781E-3</v>
      </c>
    </row>
    <row r="35" spans="1:7" x14ac:dyDescent="0.45">
      <c r="A35">
        <v>24</v>
      </c>
      <c r="B35" s="6" t="n">
        <v>7060.345887229089</v>
      </c>
      <c r="C35" s="9">
        <f si="0" t="shared"/>
        <v>1.4264813007305271E-3</v>
      </c>
      <c r="E35" s="371">
        <v>24</v>
      </c>
      <c r="F35" s="371" t="n">
        <v>5803.0</v>
      </c>
      <c r="G35" s="9">
        <f si="1" t="shared"/>
        <v>4.1073513095457523E-3</v>
      </c>
    </row>
    <row r="36" spans="1:7" x14ac:dyDescent="0.45">
      <c r="A36">
        <v>25</v>
      </c>
      <c r="B36" s="6" t="n">
        <v>10281.488925116171</v>
      </c>
      <c r="C36" s="9">
        <f si="0" t="shared"/>
        <v>0</v>
      </c>
      <c r="E36" s="371">
        <v>25</v>
      </c>
      <c r="F36" s="371" t="n">
        <v>5366.0</v>
      </c>
      <c r="G36" s="9">
        <f si="1" t="shared"/>
        <v>3.960982873085917E-3</v>
      </c>
    </row>
    <row r="37" spans="1:7" x14ac:dyDescent="0.45">
      <c r="A37">
        <v>26</v>
      </c>
      <c r="B37" s="6" t="n">
        <v>3897.791702700128</v>
      </c>
      <c r="C37" s="9">
        <f si="0" t="shared"/>
        <v>0</v>
      </c>
      <c r="E37" s="371">
        <v>26</v>
      </c>
      <c r="F37" s="371" t="n">
        <v>5098.0</v>
      </c>
      <c r="G37" s="9">
        <f si="1" t="shared"/>
        <v>3.5905442376011486E-3</v>
      </c>
    </row>
    <row r="38" spans="1:7" x14ac:dyDescent="0.45">
      <c r="A38">
        <v>27</v>
      </c>
      <c r="B38" s="6" t="n">
        <v>4197.717458910113</v>
      </c>
      <c r="C38" s="9">
        <f si="0" t="shared"/>
        <v>0</v>
      </c>
      <c r="E38" s="371">
        <v>27</v>
      </c>
      <c r="F38" s="371" t="n">
        <v>4486.0</v>
      </c>
      <c r="G38" s="9">
        <f si="1" t="shared"/>
        <v>2.9400178533352133E-3</v>
      </c>
    </row>
    <row r="39" spans="1:7" x14ac:dyDescent="0.45">
      <c r="A39">
        <v>28</v>
      </c>
      <c r="B39" s="6" t="n">
        <v>3001.2852382950687</v>
      </c>
      <c r="C39" s="9">
        <f si="0" t="shared"/>
        <v>0</v>
      </c>
      <c r="E39" s="371">
        <v>28</v>
      </c>
      <c r="F39" s="371" t="n">
        <v>4318.0</v>
      </c>
      <c r="G39" s="9">
        <f si="1" t="shared"/>
        <v>2.5460879873075081E-3</v>
      </c>
    </row>
    <row r="40" spans="1:7" x14ac:dyDescent="0.45">
      <c r="A40">
        <v>29</v>
      </c>
      <c r="B40" s="6" t="n">
        <v>3929.6886812479815</v>
      </c>
      <c r="C40" s="9">
        <f si="0" t="shared"/>
        <v>0</v>
      </c>
      <c r="E40" s="371">
        <v>29</v>
      </c>
      <c r="F40" s="371" t="n">
        <v>3918.0</v>
      </c>
      <c r="G40" s="9">
        <f si="1" t="shared"/>
        <v>2.728596778448784E-3</v>
      </c>
    </row>
    <row r="41" spans="1:7" x14ac:dyDescent="0.45">
      <c r="A41">
        <v>30</v>
      </c>
      <c r="B41" s="6" t="n">
        <v>2564.8246987655257</v>
      </c>
      <c r="C41" s="9">
        <f si="0" t="shared"/>
        <v>0</v>
      </c>
      <c r="E41" s="371">
        <v>30</v>
      </c>
      <c r="F41" s="371" t="n">
        <v>3647.0</v>
      </c>
      <c r="G41" s="9">
        <f si="1" t="shared"/>
        <v>2.3111756818781424E-3</v>
      </c>
    </row>
    <row r="42" spans="1:7" x14ac:dyDescent="0.45">
      <c r="A42">
        <v>31</v>
      </c>
      <c r="B42" s="6" t="n">
        <v>4037.3148406249657</v>
      </c>
      <c r="C42" s="9">
        <f si="0" t="shared"/>
        <v>1.1003761282536875E-2</v>
      </c>
      <c r="E42" s="371">
        <v>31</v>
      </c>
      <c r="F42" s="371" t="n">
        <v>3403.0</v>
      </c>
      <c r="G42" s="9">
        <f si="1" t="shared"/>
        <v>2.3581581429640156E-3</v>
      </c>
    </row>
    <row r="43" spans="1:7" x14ac:dyDescent="0.45">
      <c r="A43">
        <v>32</v>
      </c>
      <c r="B43" s="6" t="n">
        <v>2582.001631986948</v>
      </c>
      <c r="C43" s="9">
        <f si="0" t="shared"/>
        <v>0</v>
      </c>
      <c r="E43" s="371">
        <v>32</v>
      </c>
      <c r="F43" s="371" t="n">
        <v>3252.0</v>
      </c>
      <c r="G43" s="9">
        <f si="1" t="shared"/>
        <v>2.1864914582271715E-3</v>
      </c>
    </row>
    <row r="44" spans="1:7" x14ac:dyDescent="0.45">
      <c r="A44">
        <v>33</v>
      </c>
      <c r="B44" s="6" t="n">
        <v>4679.798094638229</v>
      </c>
      <c r="C44" s="9">
        <f si="0" t="shared"/>
        <v>5.1367338156869825E-3</v>
      </c>
      <c r="E44" s="371">
        <v>33</v>
      </c>
      <c r="F44" s="371" t="n">
        <v>2943.0</v>
      </c>
      <c r="G44" s="9">
        <f si="1" t="shared"/>
        <v>1.9262809045207975E-3</v>
      </c>
    </row>
    <row r="45" spans="1:7" x14ac:dyDescent="0.45">
      <c r="A45">
        <v>34</v>
      </c>
      <c r="B45" s="6" t="n">
        <v>1534.789712445705</v>
      </c>
      <c r="C45" s="9">
        <f si="0" t="shared"/>
        <v>5.1170358578758604E-4</v>
      </c>
      <c r="E45" s="371">
        <v>34</v>
      </c>
      <c r="F45" s="371" t="n">
        <v>2756.0</v>
      </c>
      <c r="G45" s="9">
        <f si="1" t="shared"/>
        <v>1.8287019468809069E-3</v>
      </c>
    </row>
    <row r="46" spans="1:7" x14ac:dyDescent="0.45">
      <c r="A46">
        <v>35</v>
      </c>
      <c r="B46" s="6" t="n">
        <v>1811.2470290183344</v>
      </c>
      <c r="C46" s="9">
        <f si="0" t="shared"/>
        <v>0</v>
      </c>
      <c r="E46" s="371">
        <v>35</v>
      </c>
      <c r="F46" s="371" t="n">
        <v>2602.0</v>
      </c>
      <c r="G46" s="9">
        <f si="1" t="shared"/>
        <v>1.6317370138670543E-3</v>
      </c>
    </row>
    <row r="47" spans="1:7" x14ac:dyDescent="0.45">
      <c r="A47">
        <v>36</v>
      </c>
      <c r="B47" s="6" t="n">
        <v>1318.2455053604392</v>
      </c>
      <c r="C47" s="9">
        <f si="0" t="shared"/>
        <v>0</v>
      </c>
      <c r="E47" s="371">
        <v>36</v>
      </c>
      <c r="F47" s="371" t="n">
        <v>2411.0</v>
      </c>
      <c r="G47" s="9">
        <f si="1" t="shared"/>
        <v>1.535965073961236E-3</v>
      </c>
    </row>
    <row r="48" spans="1:7" x14ac:dyDescent="0.45">
      <c r="A48">
        <v>37</v>
      </c>
      <c r="B48" s="6" t="n">
        <v>1331.887434093387</v>
      </c>
      <c r="C48" s="9">
        <f si="0" t="shared"/>
        <v>0</v>
      </c>
      <c r="E48" s="371">
        <v>37</v>
      </c>
      <c r="F48" s="371" t="n">
        <v>2204.0</v>
      </c>
      <c r="G48" s="9">
        <f si="1" t="shared"/>
        <v>1.35345628281996E-3</v>
      </c>
    </row>
    <row r="49" spans="1:7" x14ac:dyDescent="0.45">
      <c r="A49">
        <v>38</v>
      </c>
      <c r="B49" s="6" t="n">
        <v>3487.930842905102</v>
      </c>
      <c r="C49" s="9">
        <f si="0" t="shared"/>
        <v>0</v>
      </c>
      <c r="E49" s="371">
        <v>38</v>
      </c>
      <c r="F49" s="371" t="n">
        <v>2179.0</v>
      </c>
      <c r="G49" s="9">
        <f si="1" t="shared"/>
        <v>1.1601053852742513E-3</v>
      </c>
    </row>
    <row r="50" spans="1:7" x14ac:dyDescent="0.45">
      <c r="A50">
        <v>39</v>
      </c>
      <c r="B50" s="6" t="n">
        <v>3206.4720388555015</v>
      </c>
      <c r="C50" s="9">
        <f si="0" t="shared"/>
        <v>0</v>
      </c>
      <c r="E50" s="371">
        <v>39</v>
      </c>
      <c r="F50" s="371" t="n">
        <v>1968.0</v>
      </c>
      <c r="G50" s="9">
        <f si="1" t="shared"/>
        <v>1.102280817783946E-3</v>
      </c>
    </row>
    <row r="51" spans="1:7" x14ac:dyDescent="0.45">
      <c r="A51">
        <v>40</v>
      </c>
      <c r="B51" s="6" t="n">
        <v>2036.1310484675341</v>
      </c>
      <c r="C51" s="9">
        <f si="0" t="shared"/>
        <v>0</v>
      </c>
      <c r="E51" s="371">
        <v>40</v>
      </c>
      <c r="F51" s="371" t="n">
        <v>1889.0</v>
      </c>
      <c r="G51" s="9">
        <f si="1" t="shared"/>
        <v>1.0209650197507041E-3</v>
      </c>
    </row>
    <row r="52" spans="1:7" x14ac:dyDescent="0.45">
      <c r="A52">
        <v>41</v>
      </c>
      <c r="B52" s="6" t="n">
        <v>3642.8669788977454</v>
      </c>
      <c r="C52" s="9">
        <f si="0" t="shared"/>
        <v>0</v>
      </c>
      <c r="E52" s="371">
        <v>41</v>
      </c>
      <c r="F52" s="371" t="n">
        <v>1710.0</v>
      </c>
      <c r="G52" s="9">
        <f si="1" t="shared"/>
        <v>9.5771939905818255E-4</v>
      </c>
    </row>
    <row r="53" spans="1:7" x14ac:dyDescent="0.45">
      <c r="A53">
        <v>42</v>
      </c>
      <c r="B53" s="6" t="n">
        <v>1336.4039554762753</v>
      </c>
      <c r="C53" s="9">
        <f si="0" t="shared"/>
        <v>1.1002410855368307E-3</v>
      </c>
      <c r="E53" s="371">
        <v>42</v>
      </c>
      <c r="F53" s="371" t="n">
        <v>1663.0</v>
      </c>
      <c r="G53" s="9">
        <f si="1" t="shared"/>
        <v>8.4387728181164394E-4</v>
      </c>
    </row>
    <row r="54" spans="1:7" x14ac:dyDescent="0.45">
      <c r="A54">
        <v>43</v>
      </c>
      <c r="B54" s="6" t="n">
        <v>1803.5064176197031</v>
      </c>
      <c r="C54" s="9">
        <f si="0" t="shared"/>
        <v>0</v>
      </c>
      <c r="E54" s="371">
        <v>43</v>
      </c>
      <c r="F54" s="371" t="n">
        <v>1538.0</v>
      </c>
      <c r="G54" s="9">
        <f si="1" t="shared"/>
        <v>7.8785973205541056E-4</v>
      </c>
    </row>
    <row r="55" spans="1:7" x14ac:dyDescent="0.45">
      <c r="A55">
        <v>44</v>
      </c>
      <c r="B55" s="6" t="n">
        <v>1028.1283416625695</v>
      </c>
      <c r="C55" s="9">
        <f si="0" t="shared"/>
        <v>3.0058763691411363E-3</v>
      </c>
      <c r="E55" s="371">
        <v>44</v>
      </c>
      <c r="F55" s="371" t="n">
        <v>1429.0</v>
      </c>
      <c r="G55" s="9">
        <f si="1" t="shared"/>
        <v>5.6921058623269336E-4</v>
      </c>
    </row>
    <row r="56" spans="1:7" x14ac:dyDescent="0.45">
      <c r="A56">
        <v>45</v>
      </c>
      <c r="B56" s="6" t="n">
        <v>269.1260436483187</v>
      </c>
      <c r="C56" s="9">
        <f si="0" t="shared"/>
        <v>0</v>
      </c>
      <c r="E56" s="371">
        <v>45</v>
      </c>
      <c r="F56" s="371" t="n">
        <v>1420.0</v>
      </c>
      <c r="G56" s="9">
        <f si="1" t="shared"/>
        <v>5.565614620941891E-4</v>
      </c>
    </row>
    <row r="57" spans="1:7" x14ac:dyDescent="0.45">
      <c r="A57">
        <v>46</v>
      </c>
      <c r="B57" s="6" t="n">
        <v>460.375108437746</v>
      </c>
      <c r="C57" s="9">
        <f si="0" t="shared"/>
        <v>0</v>
      </c>
      <c r="E57" s="371">
        <v>46</v>
      </c>
      <c r="F57" s="371" t="n">
        <v>1391.0</v>
      </c>
      <c r="G57" s="9">
        <f si="1" t="shared"/>
        <v>4.6982461085873109E-4</v>
      </c>
    </row>
    <row r="58" spans="1:7" x14ac:dyDescent="0.45">
      <c r="A58">
        <v>47</v>
      </c>
      <c r="B58" s="6" t="n">
        <v>526.3714764513431</v>
      </c>
      <c r="C58" s="9">
        <f si="0" t="shared"/>
        <v>0</v>
      </c>
      <c r="E58" s="371">
        <v>47</v>
      </c>
      <c r="F58" s="371" t="n">
        <v>1119.0</v>
      </c>
      <c r="G58" s="9">
        <f si="1" t="shared"/>
        <v>5.1319303647646009E-4</v>
      </c>
    </row>
    <row r="59" spans="1:7" x14ac:dyDescent="0.45">
      <c r="A59">
        <v>48</v>
      </c>
      <c r="B59" s="6" t="n">
        <v>1052.6954751189992</v>
      </c>
      <c r="C59" s="9">
        <f si="0" t="shared"/>
        <v>0</v>
      </c>
      <c r="E59" s="371">
        <v>48</v>
      </c>
      <c r="F59" s="371" t="n">
        <v>1066.0</v>
      </c>
      <c r="G59" s="9">
        <f si="1" t="shared"/>
        <v>4.6440355765651494E-4</v>
      </c>
    </row>
    <row r="60" spans="1:7" x14ac:dyDescent="0.45">
      <c r="A60">
        <v>49</v>
      </c>
      <c r="B60" s="6" t="n">
        <v>275.6112825484327</v>
      </c>
      <c r="C60" s="9">
        <f si="0" t="shared"/>
        <v>0</v>
      </c>
      <c r="E60" s="371">
        <v>49</v>
      </c>
      <c r="F60" s="371" t="n">
        <v>1051.0</v>
      </c>
      <c r="G60" s="9">
        <f si="1" t="shared"/>
        <v>4.5356145125208269E-4</v>
      </c>
    </row>
    <row r="61" spans="1:7" x14ac:dyDescent="0.45">
      <c r="A61">
        <v>50</v>
      </c>
      <c r="B61" s="6" t="n">
        <v>164.7244735282796</v>
      </c>
      <c r="C61" s="9">
        <f si="0" t="shared"/>
        <v>0</v>
      </c>
      <c r="E61" s="371">
        <v>50</v>
      </c>
      <c r="F61" s="371" t="n">
        <v>973.0</v>
      </c>
      <c r="G61" s="9">
        <f si="1" t="shared"/>
        <v>3.9212284829363327E-4</v>
      </c>
    </row>
    <row r="62" spans="1:7" x14ac:dyDescent="0.45">
      <c r="A62">
        <v>51</v>
      </c>
      <c r="B62" s="6" t="n">
        <v>1755.6635607131202</v>
      </c>
      <c r="C62" s="9">
        <f si="0" t="shared"/>
        <v>0</v>
      </c>
      <c r="E62" s="371">
        <v>51</v>
      </c>
      <c r="F62" s="371" t="n">
        <v>901.0</v>
      </c>
      <c r="G62" s="9">
        <f si="1" t="shared"/>
        <v>4.2464916750693002E-4</v>
      </c>
    </row>
    <row r="63" spans="1:7" x14ac:dyDescent="0.45">
      <c r="A63">
        <v>52</v>
      </c>
      <c r="B63" s="6" t="n">
        <v>759.4020989009049</v>
      </c>
      <c r="C63" s="9">
        <f si="0" t="shared"/>
        <v>0</v>
      </c>
      <c r="E63" s="371">
        <v>52</v>
      </c>
      <c r="F63" s="371" t="n">
        <v>888.0</v>
      </c>
      <c r="G63" s="9">
        <f si="1" t="shared"/>
        <v>3.2164915666482355E-4</v>
      </c>
    </row>
    <row r="64" spans="1:7" x14ac:dyDescent="0.45">
      <c r="A64">
        <v>53</v>
      </c>
      <c r="B64" s="6" t="n">
        <v>52.4037208040866</v>
      </c>
      <c r="C64" s="9">
        <f si="0" t="shared"/>
        <v>0</v>
      </c>
      <c r="E64" s="371">
        <v>53</v>
      </c>
      <c r="F64" s="371" t="n">
        <v>831.0</v>
      </c>
      <c r="G64" s="9">
        <f si="1" t="shared"/>
        <v>3.053859970581752E-4</v>
      </c>
    </row>
    <row r="65" spans="1:7" x14ac:dyDescent="0.45">
      <c r="A65">
        <v>54</v>
      </c>
      <c r="B65" s="6" t="n">
        <v>458.1530945341699</v>
      </c>
      <c r="C65" s="9">
        <f si="0" t="shared"/>
        <v>0</v>
      </c>
      <c r="E65" s="371">
        <v>54</v>
      </c>
      <c r="F65" s="371" t="n">
        <v>806.0</v>
      </c>
      <c r="G65" s="9">
        <f si="1" t="shared"/>
        <v>3.0900003252631929E-4</v>
      </c>
    </row>
    <row r="66" spans="1:7" x14ac:dyDescent="0.45">
      <c r="A66">
        <v>55</v>
      </c>
      <c r="B66" s="6" t="n">
        <v>318.9816543216246</v>
      </c>
      <c r="C66" s="9">
        <f si="0" t="shared"/>
        <v>0</v>
      </c>
      <c r="E66" s="371">
        <v>55</v>
      </c>
      <c r="F66" s="371" t="n">
        <v>725.0</v>
      </c>
      <c r="G66" s="9">
        <f si="1" t="shared"/>
        <v>2.8731581971745473E-4</v>
      </c>
    </row>
    <row r="67" spans="1:7" x14ac:dyDescent="0.45">
      <c r="A67">
        <v>56</v>
      </c>
      <c r="B67" s="6" t="n">
        <v>539.2393819822</v>
      </c>
      <c r="C67" s="9">
        <f si="0" t="shared"/>
        <v>0</v>
      </c>
      <c r="E67" s="371">
        <v>56</v>
      </c>
      <c r="F67" s="371" t="n">
        <v>738.0</v>
      </c>
      <c r="G67" s="9">
        <f si="1" t="shared"/>
        <v>2.0780703941828489E-4</v>
      </c>
    </row>
    <row r="68" spans="1:7" x14ac:dyDescent="0.45">
      <c r="A68">
        <v>57</v>
      </c>
      <c r="B68" s="6" t="n">
        <v>354.158006696798</v>
      </c>
      <c r="C68" s="9">
        <f si="0" t="shared"/>
        <v>0</v>
      </c>
      <c r="E68" s="371">
        <v>57</v>
      </c>
      <c r="F68" s="371" t="n">
        <v>662.0</v>
      </c>
      <c r="G68" s="9">
        <f si="1" t="shared"/>
        <v>2.4033335863158167E-4</v>
      </c>
    </row>
    <row r="69" spans="1:7" x14ac:dyDescent="0.45">
      <c r="A69">
        <v>58</v>
      </c>
      <c r="B69" s="6" t="n">
        <v>119.8655909887428</v>
      </c>
      <c r="C69" s="9">
        <f si="0" t="shared"/>
        <v>0</v>
      </c>
      <c r="E69" s="371">
        <v>58</v>
      </c>
      <c r="F69" s="371" t="n">
        <v>638.0</v>
      </c>
      <c r="G69" s="9">
        <f si="1" t="shared"/>
        <v>2.0238598621606877E-4</v>
      </c>
    </row>
    <row r="70" spans="1:7" x14ac:dyDescent="0.45">
      <c r="A70">
        <v>59</v>
      </c>
      <c r="B70" s="6" t="n">
        <v>51.6529481029952</v>
      </c>
      <c r="C70" s="9">
        <f si="0" t="shared"/>
        <v>0</v>
      </c>
      <c r="E70" s="371">
        <v>59</v>
      </c>
      <c r="F70" s="371" t="n">
        <v>641.0</v>
      </c>
      <c r="G70" s="9">
        <f si="1" t="shared"/>
        <v>1.7708773793906015E-4</v>
      </c>
    </row>
    <row r="71" spans="1:7" x14ac:dyDescent="0.45">
      <c r="A71">
        <v>60</v>
      </c>
      <c r="B71" s="6" t="n">
        <v>71.5145024210323</v>
      </c>
      <c r="C71" s="9">
        <f si="0" t="shared"/>
        <v>0</v>
      </c>
      <c r="E71" s="371">
        <v>60</v>
      </c>
      <c r="F71" s="371" t="n">
        <v>594.0</v>
      </c>
      <c r="G71" s="9">
        <f si="1" t="shared"/>
        <v>1.4094738325761932E-4</v>
      </c>
    </row>
    <row r="72" spans="1:7" x14ac:dyDescent="0.45">
      <c r="A72">
        <v>61</v>
      </c>
      <c r="B72" s="6" t="n">
        <v>509.1429748003515</v>
      </c>
      <c r="C72" s="9">
        <f si="0" t="shared"/>
        <v>0</v>
      </c>
      <c r="E72" s="371">
        <v>61</v>
      </c>
      <c r="F72" s="371" t="n">
        <v>496.0</v>
      </c>
      <c r="G72" s="9">
        <f si="1" t="shared"/>
        <v>1.3010527685318707E-4</v>
      </c>
    </row>
    <row r="73" spans="1:7" x14ac:dyDescent="0.45">
      <c r="A73">
        <v>62</v>
      </c>
      <c r="B73" s="6" t="n">
        <v>340.4525608920883</v>
      </c>
      <c r="C73" s="9">
        <f si="0" t="shared"/>
        <v>0</v>
      </c>
      <c r="E73" s="371">
        <v>62</v>
      </c>
      <c r="F73" s="371" t="n">
        <v>510.0</v>
      </c>
      <c r="G73" s="9">
        <f si="1" t="shared"/>
        <v>1.0480702857617847E-4</v>
      </c>
    </row>
    <row r="74" spans="1:7" x14ac:dyDescent="0.45">
      <c r="A74">
        <v>63</v>
      </c>
      <c r="B74" s="6" t="n">
        <v>260.21574367756637</v>
      </c>
      <c r="C74" s="9">
        <f si="0" t="shared"/>
        <v>0</v>
      </c>
      <c r="E74" s="371">
        <v>63</v>
      </c>
      <c r="F74" s="371" t="n">
        <v>455.0</v>
      </c>
      <c r="G74" s="9">
        <f si="1" t="shared"/>
        <v>1.1564913498061072E-4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499.0</v>
      </c>
      <c r="G75" s="9">
        <f si="1" t="shared"/>
        <v>1.2829825911911502E-4</v>
      </c>
    </row>
    <row r="76" spans="1:7" x14ac:dyDescent="0.45">
      <c r="A76">
        <v>65</v>
      </c>
      <c r="B76" s="6" t="n">
        <v>1052.7071406590894</v>
      </c>
      <c r="C76" s="9">
        <f si="0" t="shared"/>
        <v>0</v>
      </c>
      <c r="E76" s="371">
        <v>65</v>
      </c>
      <c r="F76" s="371" t="n">
        <v>408.0</v>
      </c>
      <c r="G76" s="9">
        <f si="1" t="shared"/>
        <v>1.0842106404432255E-4</v>
      </c>
    </row>
    <row r="77" spans="1:7" x14ac:dyDescent="0.45">
      <c r="A77">
        <v>66</v>
      </c>
      <c r="B77" s="6" t="n">
        <v>178.4599880371114</v>
      </c>
      <c r="C77" s="9">
        <f ref="C77:C102" si="2" t="shared">B77/B$102</f>
        <v>0</v>
      </c>
      <c r="E77" s="371">
        <v>66</v>
      </c>
      <c r="F77" s="371" t="n">
        <v>365.0</v>
      </c>
      <c r="G77" s="9">
        <f ref="G77:G102" si="3" t="shared">F77/F$102</f>
        <v>8.8543868969530076E-5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309.0</v>
      </c>
      <c r="G78" s="9">
        <f si="3" t="shared"/>
        <v>7.7701762565097825E-5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353.0</v>
      </c>
      <c r="G79" s="9">
        <f si="3" t="shared"/>
        <v>6.8666673894737616E-5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328.0</v>
      </c>
      <c r="G80" s="9">
        <f si="3" t="shared"/>
        <v>1.1203509951246663E-4</v>
      </c>
    </row>
    <row r="81" spans="1:7" x14ac:dyDescent="0.45">
      <c r="A81">
        <v>70</v>
      </c>
      <c r="B81" s="6" t="n">
        <v>410.075217523124</v>
      </c>
      <c r="C81" s="9">
        <f si="2" t="shared"/>
        <v>0</v>
      </c>
      <c r="E81" s="371">
        <v>70</v>
      </c>
      <c r="F81" s="371" t="n">
        <v>292.0</v>
      </c>
      <c r="G81" s="9">
        <f si="3" t="shared"/>
        <v>3.614035468144085E-5</v>
      </c>
    </row>
    <row r="82" spans="1:7" x14ac:dyDescent="0.45">
      <c r="A82">
        <v>71</v>
      </c>
      <c r="B82" s="6" t="n">
        <v>392.739106914076</v>
      </c>
      <c r="C82" s="9">
        <f si="2" t="shared"/>
        <v>0</v>
      </c>
      <c r="E82" s="371">
        <v>71</v>
      </c>
      <c r="F82" s="371" t="n">
        <v>287.0</v>
      </c>
      <c r="G82" s="9">
        <f si="3" t="shared"/>
        <v>5.2403514288089233E-5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288.0</v>
      </c>
      <c r="G83" s="9">
        <f si="3" t="shared"/>
        <v>6.1438602958449449E-5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285.0</v>
      </c>
      <c r="G84" s="9">
        <f si="3" t="shared"/>
        <v>4.5175443351801066E-5</v>
      </c>
    </row>
    <row r="85" spans="1:7" x14ac:dyDescent="0.45">
      <c r="A85">
        <v>74</v>
      </c>
      <c r="B85" s="6" t="n">
        <v>75.2510134583494</v>
      </c>
      <c r="C85" s="9">
        <f si="2" t="shared"/>
        <v>0</v>
      </c>
      <c r="E85" s="371">
        <v>74</v>
      </c>
      <c r="F85" s="371" t="n">
        <v>246.0</v>
      </c>
      <c r="G85" s="9">
        <f si="3" t="shared"/>
        <v>4.878947881994515E-5</v>
      </c>
    </row>
    <row r="86" spans="1:7" x14ac:dyDescent="0.45">
      <c r="A86">
        <v>75</v>
      </c>
      <c r="B86" s="6" t="n">
        <v>179.6366522932</v>
      </c>
      <c r="C86" s="9">
        <f si="2" t="shared"/>
        <v>0</v>
      </c>
      <c r="E86" s="371">
        <v>75</v>
      </c>
      <c r="F86" s="371" t="n">
        <v>228.0</v>
      </c>
      <c r="G86" s="9">
        <f si="3" t="shared"/>
        <v>2.5298248277008596E-5</v>
      </c>
    </row>
    <row r="87" spans="1:7" x14ac:dyDescent="0.45">
      <c r="A87">
        <v>76</v>
      </c>
      <c r="B87" s="6" t="n">
        <v>183.570319866993</v>
      </c>
      <c r="C87" s="9">
        <f si="2" t="shared"/>
        <v>0</v>
      </c>
      <c r="E87" s="371">
        <v>76</v>
      </c>
      <c r="F87" s="371" t="n">
        <v>228.0</v>
      </c>
      <c r="G87" s="9">
        <f si="3" t="shared"/>
        <v>2.5298248277008596E-5</v>
      </c>
    </row>
    <row r="88" spans="1:7" x14ac:dyDescent="0.45">
      <c r="A88">
        <v>77</v>
      </c>
      <c r="B88" s="6" t="n">
        <v>52.9898690175678</v>
      </c>
      <c r="C88" s="9">
        <f si="2" t="shared"/>
        <v>0</v>
      </c>
      <c r="E88" s="371">
        <v>77</v>
      </c>
      <c r="F88" s="371" t="n">
        <v>207.0</v>
      </c>
      <c r="G88" s="9">
        <f si="3" t="shared"/>
        <v>5.0596496554017191E-5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194.0</v>
      </c>
      <c r="G89" s="9">
        <f si="3" t="shared"/>
        <v>1.9877195074792467E-5</v>
      </c>
    </row>
    <row r="90" spans="1:7" x14ac:dyDescent="0.45">
      <c r="A90">
        <v>79</v>
      </c>
      <c r="B90" s="6" t="n">
        <v>109.541105784721</v>
      </c>
      <c r="C90" s="9">
        <f si="2" t="shared"/>
        <v>0</v>
      </c>
      <c r="E90" s="371">
        <v>79</v>
      </c>
      <c r="F90" s="371" t="n">
        <v>192.0</v>
      </c>
      <c r="G90" s="9">
        <f si="3" t="shared"/>
        <v>2.3491230542936554E-5</v>
      </c>
    </row>
    <row r="91" spans="1:7" x14ac:dyDescent="0.45">
      <c r="A91">
        <v>80</v>
      </c>
      <c r="B91" s="6" t="n">
        <v>383.812497583765</v>
      </c>
      <c r="C91" s="9">
        <f si="2" t="shared"/>
        <v>0</v>
      </c>
      <c r="E91" s="371">
        <v>80</v>
      </c>
      <c r="F91" s="371" t="n">
        <v>177.0</v>
      </c>
      <c r="G91" s="9">
        <f si="3" t="shared"/>
        <v>2.7105266011080638E-5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153.0</v>
      </c>
      <c r="G92" s="9">
        <f si="3" t="shared"/>
        <v>3.614035468144085E-5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153.0</v>
      </c>
      <c r="G93" s="9">
        <f si="3" t="shared"/>
        <v>1.9877195074792467E-5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144.0</v>
      </c>
      <c r="G94" s="9">
        <f si="3" t="shared"/>
        <v>1.8070177340720425E-5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143.0</v>
      </c>
      <c r="G95" s="9">
        <f si="3" t="shared"/>
        <v>2.3491230542936554E-5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116.0</v>
      </c>
      <c r="G96" s="9">
        <f si="3" t="shared"/>
        <v>1.6263159606648383E-5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123.0</v>
      </c>
      <c r="G97" s="9">
        <f si="3" t="shared"/>
        <v>2.1684212808864512E-5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127.0</v>
      </c>
      <c r="G98" s="9">
        <f si="3" t="shared"/>
        <v>1.2649124138504298E-5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90.0</v>
      </c>
      <c r="G99" s="9">
        <f si="3" t="shared"/>
        <v>3.0719301479224725E-5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87.0</v>
      </c>
      <c r="G100" s="9">
        <f si="3" t="shared"/>
        <v>7.2280709362881698E-6</v>
      </c>
    </row>
    <row ht="14.65" r="101" spans="1:7" thickBot="1" x14ac:dyDescent="0.5">
      <c r="A101" s="1">
        <v>90</v>
      </c>
      <c r="B101" s="7" t="n">
        <v>62.195477629974</v>
      </c>
      <c r="C101" s="9">
        <f si="2" t="shared"/>
        <v>0</v>
      </c>
      <c r="E101" s="372">
        <v>90</v>
      </c>
      <c r="F101" s="372" t="n">
        <v>1769.0</v>
      </c>
      <c r="G101" s="9">
        <f si="3" t="shared"/>
        <v>4.8970180593352352E-4</v>
      </c>
    </row>
    <row r="102" spans="1:7" x14ac:dyDescent="0.45">
      <c r="B102" s="6">
        <f>SUM(B11:B101)</f>
        <v>242240.13003163939</v>
      </c>
      <c r="C102" s="9">
        <f si="2" t="shared"/>
        <v>1</v>
      </c>
      <c r="F102" s="6">
        <f>SUM(F11:F101)</f>
        <v>184465.99999981551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5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83705.08142663159</v>
      </c>
      <c r="C11" s="9">
        <f>B11/B$102</f>
        <v>0.17837248446089948</v>
      </c>
      <c r="E11" s="371">
        <v>0</v>
      </c>
      <c r="F11" s="371" t="n">
        <v>122086.0</v>
      </c>
      <c r="G11" s="9">
        <f>F11/F$102</f>
        <v>0.2837593360111661</v>
      </c>
      <c r="K11" s="6" t="n">
        <v>5.601805990507558</v>
      </c>
      <c r="L11" s="6" t="n">
        <v>5.841318998292138</v>
      </c>
    </row>
    <row r="12" spans="1:12" x14ac:dyDescent="0.45">
      <c r="A12">
        <v>1</v>
      </c>
      <c r="B12" s="6" t="n">
        <v>133573.0348364688</v>
      </c>
      <c r="C12" s="9">
        <f>B12/B$102</f>
        <v>0.20187777985589014</v>
      </c>
      <c r="E12" s="371">
        <v>1</v>
      </c>
      <c r="F12" s="371" t="n">
        <v>122839.0</v>
      </c>
      <c r="G12" s="9">
        <f>F12/F$102</f>
        <v>0.24034435364437387</v>
      </c>
      <c r="K12" s="6"/>
      <c r="L12" s="371"/>
    </row>
    <row r="13" spans="1:12" x14ac:dyDescent="0.45">
      <c r="A13">
        <v>2</v>
      </c>
      <c r="B13" s="6" t="n">
        <v>93050.9357634907</v>
      </c>
      <c r="C13" s="9">
        <f ref="C13:C76" si="0" t="shared">B13/B$102</f>
        <v>0.2830288691250441</v>
      </c>
      <c r="E13" s="371">
        <v>2</v>
      </c>
      <c r="F13" s="371" t="n">
        <v>103177.0</v>
      </c>
      <c r="G13" s="9">
        <f ref="G13:G76" si="1" t="shared">F13/F$102</f>
        <v>0.14411498343224255</v>
      </c>
    </row>
    <row r="14" spans="1:12" x14ac:dyDescent="0.45">
      <c r="A14">
        <v>3</v>
      </c>
      <c r="B14" s="6" t="n">
        <v>73445.26195148175</v>
      </c>
      <c r="C14" s="9">
        <f si="0" t="shared"/>
        <v>8.1646656573735987E-2</v>
      </c>
      <c r="E14" s="371">
        <v>3</v>
      </c>
      <c r="F14" s="371" t="n">
        <v>81374.0</v>
      </c>
      <c r="G14" s="9">
        <f si="1" t="shared"/>
        <v>7.5127054987907088E-2</v>
      </c>
    </row>
    <row r="15" spans="1:12" x14ac:dyDescent="0.45">
      <c r="A15">
        <v>4</v>
      </c>
      <c r="B15" s="6" t="n">
        <v>54567.91995082905</v>
      </c>
      <c r="C15" s="9">
        <f si="0" t="shared"/>
        <v>5.1758601748413541E-2</v>
      </c>
      <c r="E15" s="371">
        <v>4</v>
      </c>
      <c r="F15" s="371" t="n">
        <v>61249.0</v>
      </c>
      <c r="G15" s="9">
        <f si="1" t="shared"/>
        <v>4.203842014980233E-2</v>
      </c>
    </row>
    <row r="16" spans="1:12" x14ac:dyDescent="0.45">
      <c r="A16">
        <v>5</v>
      </c>
      <c r="B16" s="6" t="n">
        <v>31858.230228534092</v>
      </c>
      <c r="C16" s="9">
        <f si="0" t="shared"/>
        <v>8.8084371920747959E-2</v>
      </c>
      <c r="E16" s="371">
        <v>5</v>
      </c>
      <c r="F16" s="371" t="n">
        <v>46111.0</v>
      </c>
      <c r="G16" s="9">
        <f si="1" t="shared"/>
        <v>2.7880712147202644E-2</v>
      </c>
    </row>
    <row r="17" spans="1:7" x14ac:dyDescent="0.45">
      <c r="A17">
        <v>6</v>
      </c>
      <c r="B17" s="6" t="n">
        <v>33592.01526553361</v>
      </c>
      <c r="C17" s="9">
        <f si="0" t="shared"/>
        <v>1.2414615238919697E-2</v>
      </c>
      <c r="E17" s="371">
        <v>6</v>
      </c>
      <c r="F17" s="371" t="n">
        <v>34703.0</v>
      </c>
      <c r="G17" s="9">
        <f si="1" t="shared"/>
        <v>2.5157420330928951E-2</v>
      </c>
    </row>
    <row r="18" spans="1:7" x14ac:dyDescent="0.45">
      <c r="A18">
        <v>7</v>
      </c>
      <c r="B18" s="6" t="n">
        <v>24783.535233804367</v>
      </c>
      <c r="C18" s="9">
        <f si="0" t="shared"/>
        <v>1.8005873163893894E-2</v>
      </c>
      <c r="E18" s="371">
        <v>7</v>
      </c>
      <c r="F18" s="371" t="n">
        <v>26489.0</v>
      </c>
      <c r="G18" s="9">
        <f si="1" t="shared"/>
        <v>2.0948890333166402E-2</v>
      </c>
    </row>
    <row r="19" spans="1:7" x14ac:dyDescent="0.45">
      <c r="A19">
        <v>8</v>
      </c>
      <c r="B19" s="6" t="n">
        <v>21752.529298884518</v>
      </c>
      <c r="C19" s="9">
        <f si="0" t="shared"/>
        <v>9.2756483874020679E-3</v>
      </c>
      <c r="E19" s="371">
        <v>8</v>
      </c>
      <c r="F19" s="371" t="n">
        <v>21237.0</v>
      </c>
      <c r="G19" s="9">
        <f si="1" t="shared"/>
        <v>1.7185718699724038E-2</v>
      </c>
    </row>
    <row r="20" spans="1:7" x14ac:dyDescent="0.45">
      <c r="A20">
        <v>9</v>
      </c>
      <c r="B20" s="6" t="n">
        <v>15610.951117773478</v>
      </c>
      <c r="C20" s="9">
        <f si="0" t="shared"/>
        <v>2.2349381984744293E-3</v>
      </c>
      <c r="E20" s="371">
        <v>9</v>
      </c>
      <c r="F20" s="371" t="n">
        <v>17682.0</v>
      </c>
      <c r="G20" s="9">
        <f si="1" t="shared"/>
        <v>1.6056341029438391E-2</v>
      </c>
    </row>
    <row r="21" spans="1:7" x14ac:dyDescent="0.45">
      <c r="A21">
        <v>10</v>
      </c>
      <c r="B21" s="6" t="n">
        <v>15348.462845753284</v>
      </c>
      <c r="C21" s="9">
        <f si="0" t="shared"/>
        <v>2.3825367961205088E-2</v>
      </c>
      <c r="E21" s="371">
        <v>10</v>
      </c>
      <c r="F21" s="371" t="n">
        <v>15228.0</v>
      </c>
      <c r="G21" s="9">
        <f si="1" t="shared"/>
        <v>1.5137922584357045E-2</v>
      </c>
    </row>
    <row r="22" spans="1:7" x14ac:dyDescent="0.45">
      <c r="A22">
        <v>11</v>
      </c>
      <c r="B22" s="6" t="n">
        <v>6068.29164501577</v>
      </c>
      <c r="C22" s="9">
        <f si="0" t="shared"/>
        <v>1.0575762138590381E-2</v>
      </c>
      <c r="E22" s="371">
        <v>11</v>
      </c>
      <c r="F22" s="371" t="n">
        <v>14041.0</v>
      </c>
      <c r="G22" s="9">
        <f si="1" t="shared"/>
        <v>1.2175969826438085E-2</v>
      </c>
    </row>
    <row r="23" spans="1:7" x14ac:dyDescent="0.45">
      <c r="A23">
        <v>12</v>
      </c>
      <c r="B23" s="6" t="n">
        <v>9318.150905865159</v>
      </c>
      <c r="C23" s="9">
        <f si="0" t="shared"/>
        <v>5.3624850303899177E-4</v>
      </c>
      <c r="E23" s="371">
        <v>12</v>
      </c>
      <c r="F23" s="371" t="n">
        <v>12616.0</v>
      </c>
      <c r="G23" s="9">
        <f si="1" t="shared"/>
        <v>9.4207144911940457E-3</v>
      </c>
    </row>
    <row r="24" spans="1:7" x14ac:dyDescent="0.45">
      <c r="A24">
        <v>13</v>
      </c>
      <c r="B24" s="6" t="n">
        <v>9876.07738700144</v>
      </c>
      <c r="C24" s="9">
        <f si="0" t="shared"/>
        <v>8.8175875986656004E-4</v>
      </c>
      <c r="E24" s="371">
        <v>13</v>
      </c>
      <c r="F24" s="371" t="n">
        <v>11054.0</v>
      </c>
      <c r="G24" s="9">
        <f si="1" t="shared"/>
        <v>8.1272574235272763E-3</v>
      </c>
    </row>
    <row r="25" spans="1:7" x14ac:dyDescent="0.45">
      <c r="A25">
        <v>14</v>
      </c>
      <c r="B25" s="6" t="n">
        <v>7776.142064982909</v>
      </c>
      <c r="C25" s="9">
        <f si="0" t="shared"/>
        <v>0</v>
      </c>
      <c r="E25" s="371">
        <v>14</v>
      </c>
      <c r="F25" s="371" t="n">
        <v>9516.0</v>
      </c>
      <c r="G25" s="9">
        <f si="1" t="shared"/>
        <v>7.7969677275003422E-3</v>
      </c>
    </row>
    <row r="26" spans="1:7" x14ac:dyDescent="0.45">
      <c r="A26">
        <v>15</v>
      </c>
      <c r="B26" s="6" t="n">
        <v>7918.076696847437</v>
      </c>
      <c r="C26" s="9">
        <f si="0" t="shared"/>
        <v>0</v>
      </c>
      <c r="E26" s="371">
        <v>15</v>
      </c>
      <c r="F26" s="371" t="n">
        <v>8470.0</v>
      </c>
      <c r="G26" s="9">
        <f si="1" t="shared"/>
        <v>7.3899655859445707E-3</v>
      </c>
    </row>
    <row r="27" spans="1:7" x14ac:dyDescent="0.45">
      <c r="A27">
        <v>16</v>
      </c>
      <c r="B27" s="6" t="n">
        <v>3806.9690489439704</v>
      </c>
      <c r="C27" s="9">
        <f si="0" t="shared"/>
        <v>5.2871565745148813E-4</v>
      </c>
      <c r="E27" s="371">
        <v>16</v>
      </c>
      <c r="F27" s="371" t="n">
        <v>7528.0</v>
      </c>
      <c r="G27" s="9">
        <f si="1" t="shared"/>
        <v>5.5637832021053282E-3</v>
      </c>
    </row>
    <row r="28" spans="1:7" x14ac:dyDescent="0.45">
      <c r="A28">
        <v>17</v>
      </c>
      <c r="B28" s="6" t="n">
        <v>5650.33980969919</v>
      </c>
      <c r="C28" s="9">
        <f si="0" t="shared"/>
        <v>0</v>
      </c>
      <c r="E28" s="371">
        <v>17</v>
      </c>
      <c r="F28" s="371" t="n">
        <v>6533.0</v>
      </c>
      <c r="G28" s="9">
        <f si="1" t="shared"/>
        <v>4.4812853596428587E-3</v>
      </c>
    </row>
    <row r="29" spans="1:7" x14ac:dyDescent="0.45">
      <c r="A29">
        <v>18</v>
      </c>
      <c r="B29" s="6" t="n">
        <v>5177.4093975752085</v>
      </c>
      <c r="C29" s="9">
        <f si="0" t="shared"/>
        <v>3.9453287021158547E-3</v>
      </c>
      <c r="E29" s="371">
        <v>18</v>
      </c>
      <c r="F29" s="371" t="n">
        <v>5620.0</v>
      </c>
      <c r="G29" s="9">
        <f si="1" t="shared"/>
        <v>4.6666737696708796E-3</v>
      </c>
    </row>
    <row r="30" spans="1:7" x14ac:dyDescent="0.45">
      <c r="A30">
        <v>19</v>
      </c>
      <c r="B30" s="6" t="n">
        <v>2519.147848152546</v>
      </c>
      <c r="C30" s="9">
        <f si="0" t="shared"/>
        <v>0</v>
      </c>
      <c r="E30" s="371">
        <v>19</v>
      </c>
      <c r="F30" s="371" t="n">
        <v>4845.0</v>
      </c>
      <c r="G30" s="9">
        <f si="1" t="shared"/>
        <v>4.2490171217916591E-3</v>
      </c>
    </row>
    <row r="31" spans="1:7" x14ac:dyDescent="0.45">
      <c r="A31">
        <v>20</v>
      </c>
      <c r="B31" s="6" t="n">
        <v>2611.637050000624</v>
      </c>
      <c r="C31" s="9">
        <f si="0" t="shared"/>
        <v>0</v>
      </c>
      <c r="E31" s="371">
        <v>20</v>
      </c>
      <c r="F31" s="371" t="n">
        <v>4387.0</v>
      </c>
      <c r="G31" s="9">
        <f si="1" t="shared"/>
        <v>3.9613454510585228E-3</v>
      </c>
    </row>
    <row r="32" spans="1:7" x14ac:dyDescent="0.45">
      <c r="A32">
        <v>21</v>
      </c>
      <c r="B32" s="6" t="n">
        <v>2770.323332756496</v>
      </c>
      <c r="C32" s="9">
        <f si="0" t="shared"/>
        <v>0</v>
      </c>
      <c r="E32" s="371">
        <v>21</v>
      </c>
      <c r="F32" s="371" t="n">
        <v>3884.0</v>
      </c>
      <c r="G32" s="9">
        <f si="1" t="shared"/>
        <v>3.8292295726477499E-3</v>
      </c>
    </row>
    <row r="33" spans="1:7" x14ac:dyDescent="0.45">
      <c r="A33">
        <v>22</v>
      </c>
      <c r="B33" s="6" t="n">
        <v>1944.6331067244523</v>
      </c>
      <c r="C33" s="9">
        <f si="0" t="shared"/>
        <v>2.8316672894234576E-2</v>
      </c>
      <c r="E33" s="371">
        <v>22</v>
      </c>
      <c r="F33" s="371" t="n">
        <v>3634.0</v>
      </c>
      <c r="G33" s="9">
        <f si="1" t="shared"/>
        <v>2.9470364490661312E-3</v>
      </c>
    </row>
    <row r="34" spans="1:7" x14ac:dyDescent="0.45">
      <c r="A34">
        <v>23</v>
      </c>
      <c r="B34" s="6" t="n">
        <v>893.7255992505166</v>
      </c>
      <c r="C34" s="9">
        <f si="0" t="shared"/>
        <v>4.5575529847395333E-3</v>
      </c>
      <c r="E34" s="371">
        <v>23</v>
      </c>
      <c r="F34" s="371" t="n">
        <v>3232.0</v>
      </c>
      <c r="G34" s="9">
        <f si="1" t="shared"/>
        <v>2.3546458974823391E-3</v>
      </c>
    </row>
    <row r="35" spans="1:7" x14ac:dyDescent="0.45">
      <c r="A35">
        <v>24</v>
      </c>
      <c r="B35" s="6" t="n">
        <v>1082.92639478787</v>
      </c>
      <c r="C35" s="9">
        <f si="0" t="shared"/>
        <v>0</v>
      </c>
      <c r="E35" s="371">
        <v>24</v>
      </c>
      <c r="F35" s="371" t="n">
        <v>2918.0</v>
      </c>
      <c r="G35" s="9">
        <f si="1" t="shared"/>
        <v>1.9625600647793975E-3</v>
      </c>
    </row>
    <row r="36" spans="1:7" x14ac:dyDescent="0.45">
      <c r="A36">
        <v>25</v>
      </c>
      <c r="B36" s="6" t="n">
        <v>1086.42316774424</v>
      </c>
      <c r="C36" s="9">
        <f si="0" t="shared"/>
        <v>1.3275372533634662E-4</v>
      </c>
      <c r="E36" s="371">
        <v>25</v>
      </c>
      <c r="F36" s="371" t="n">
        <v>2692.0</v>
      </c>
      <c r="G36" s="9">
        <f si="1" t="shared"/>
        <v>1.6365321712818429E-3</v>
      </c>
    </row>
    <row r="37" spans="1:7" x14ac:dyDescent="0.45">
      <c r="A37">
        <v>26</v>
      </c>
      <c r="B37" s="6" t="n">
        <v>2635.529078661022</v>
      </c>
      <c r="C37" s="9">
        <f si="0" t="shared"/>
        <v>0</v>
      </c>
      <c r="E37" s="371">
        <v>26</v>
      </c>
      <c r="F37" s="371" t="n">
        <v>2502.0</v>
      </c>
      <c r="G37" s="9">
        <f si="1" t="shared"/>
        <v>1.3467295992840166E-3</v>
      </c>
    </row>
    <row r="38" spans="1:7" x14ac:dyDescent="0.45">
      <c r="A38">
        <v>27</v>
      </c>
      <c r="B38" s="6" t="n">
        <v>2321.1993406766856</v>
      </c>
      <c r="C38" s="9">
        <f si="0" t="shared"/>
        <v>0</v>
      </c>
      <c r="E38" s="371">
        <v>27</v>
      </c>
      <c r="F38" s="371" t="n">
        <v>2192.0</v>
      </c>
      <c r="G38" s="9">
        <f si="1" t="shared"/>
        <v>1.3019806727255286E-3</v>
      </c>
    </row>
    <row r="39" spans="1:7" x14ac:dyDescent="0.45">
      <c r="A39">
        <v>28</v>
      </c>
      <c r="B39" s="6" t="n">
        <v>3630.933546627093</v>
      </c>
      <c r="C39" s="9">
        <f si="0" t="shared"/>
        <v>0</v>
      </c>
      <c r="E39" s="371">
        <v>28</v>
      </c>
      <c r="F39" s="371" t="n">
        <v>2100.0</v>
      </c>
      <c r="G39" s="9">
        <f si="1" t="shared"/>
        <v>1.2188755234026224E-3</v>
      </c>
    </row>
    <row r="40" spans="1:7" x14ac:dyDescent="0.45">
      <c r="A40">
        <v>29</v>
      </c>
      <c r="B40" s="6" t="n">
        <v>1390.4624661862183</v>
      </c>
      <c r="C40" s="9">
        <f si="0" t="shared"/>
        <v>0</v>
      </c>
      <c r="E40" s="371">
        <v>29</v>
      </c>
      <c r="F40" s="371" t="n">
        <v>1737.0</v>
      </c>
      <c r="G40" s="9">
        <f si="1" t="shared"/>
        <v>1.016439903257082E-3</v>
      </c>
    </row>
    <row r="41" spans="1:7" x14ac:dyDescent="0.45">
      <c r="A41">
        <v>30</v>
      </c>
      <c r="B41" s="6" t="n">
        <v>1256.1726250709366</v>
      </c>
      <c r="C41" s="9">
        <f si="0" t="shared"/>
        <v>0</v>
      </c>
      <c r="E41" s="371">
        <v>30</v>
      </c>
      <c r="F41" s="371" t="n">
        <v>1679.0</v>
      </c>
      <c r="G41" s="9">
        <f si="1" t="shared"/>
        <v>7.9908797425871231E-4</v>
      </c>
    </row>
    <row r="42" spans="1:7" x14ac:dyDescent="0.45">
      <c r="A42">
        <v>31</v>
      </c>
      <c r="B42" s="6" t="n">
        <v>855.335167218861</v>
      </c>
      <c r="C42" s="9">
        <f si="0" t="shared"/>
        <v>0</v>
      </c>
      <c r="E42" s="371">
        <v>31</v>
      </c>
      <c r="F42" s="371" t="n">
        <v>1366.0</v>
      </c>
      <c r="G42" s="9">
        <f si="1" t="shared"/>
        <v>8.566223084053397E-4</v>
      </c>
    </row>
    <row r="43" spans="1:7" x14ac:dyDescent="0.45">
      <c r="A43">
        <v>32</v>
      </c>
      <c r="B43" s="6" t="n">
        <v>2225.634392905103</v>
      </c>
      <c r="C43" s="9">
        <f si="0" t="shared"/>
        <v>0</v>
      </c>
      <c r="E43" s="371">
        <v>32</v>
      </c>
      <c r="F43" s="371" t="n">
        <v>1172.0</v>
      </c>
      <c r="G43" s="9">
        <f si="1" t="shared"/>
        <v>9.6103647037514472E-4</v>
      </c>
    </row>
    <row r="44" spans="1:7" x14ac:dyDescent="0.45">
      <c r="A44">
        <v>33</v>
      </c>
      <c r="B44" s="6" t="n">
        <v>497.2286726744623</v>
      </c>
      <c r="C44" s="9">
        <f si="0" t="shared"/>
        <v>0</v>
      </c>
      <c r="E44" s="371">
        <v>33</v>
      </c>
      <c r="F44" s="371" t="n">
        <v>981.0</v>
      </c>
      <c r="G44" s="9">
        <f si="1" t="shared"/>
        <v>7.3516093631801531E-4</v>
      </c>
    </row>
    <row r="45" spans="1:7" x14ac:dyDescent="0.45">
      <c r="A45">
        <v>34</v>
      </c>
      <c r="B45" s="6" t="n">
        <v>399.06878996043815</v>
      </c>
      <c r="C45" s="9">
        <f si="0" t="shared"/>
        <v>0</v>
      </c>
      <c r="E45" s="371">
        <v>34</v>
      </c>
      <c r="F45" s="371" t="n">
        <v>793.0</v>
      </c>
      <c r="G45" s="9">
        <f si="1" t="shared"/>
        <v>5.8812874905441229E-4</v>
      </c>
    </row>
    <row r="46" spans="1:7" x14ac:dyDescent="0.45">
      <c r="A46">
        <v>35</v>
      </c>
      <c r="B46" s="6" t="n">
        <v>651.2486120503879</v>
      </c>
      <c r="C46" s="9">
        <f si="0" t="shared"/>
        <v>0</v>
      </c>
      <c r="E46" s="371">
        <v>35</v>
      </c>
      <c r="F46" s="371" t="n">
        <v>718.0</v>
      </c>
      <c r="G46" s="9">
        <f si="1" t="shared"/>
        <v>4.2191845040860009E-4</v>
      </c>
    </row>
    <row r="47" spans="1:7" x14ac:dyDescent="0.45">
      <c r="A47">
        <v>36</v>
      </c>
      <c r="B47" s="6" t="n">
        <v>400.86453562529977</v>
      </c>
      <c r="C47" s="9">
        <f si="0" t="shared"/>
        <v>0</v>
      </c>
      <c r="E47" s="371">
        <v>36</v>
      </c>
      <c r="F47" s="371" t="n">
        <v>610.0</v>
      </c>
      <c r="G47" s="9">
        <f si="1" t="shared"/>
        <v>4.2831115420266985E-4</v>
      </c>
    </row>
    <row r="48" spans="1:7" x14ac:dyDescent="0.45">
      <c r="A48">
        <v>37</v>
      </c>
      <c r="B48" s="6" t="n">
        <v>286.6836975670323</v>
      </c>
      <c r="C48" s="9">
        <f si="0" t="shared"/>
        <v>0</v>
      </c>
      <c r="E48" s="371">
        <v>37</v>
      </c>
      <c r="F48" s="371" t="n">
        <v>528.0</v>
      </c>
      <c r="G48" s="9">
        <f si="1" t="shared"/>
        <v>2.3866094164526875E-4</v>
      </c>
    </row>
    <row r="49" spans="1:7" x14ac:dyDescent="0.45">
      <c r="A49">
        <v>38</v>
      </c>
      <c r="B49" s="6" t="n">
        <v>151.4435892195672</v>
      </c>
      <c r="C49" s="9">
        <f si="0" t="shared"/>
        <v>0</v>
      </c>
      <c r="E49" s="371">
        <v>38</v>
      </c>
      <c r="F49" s="371" t="n">
        <v>419.0</v>
      </c>
      <c r="G49" s="9">
        <f si="1" t="shared"/>
        <v>2.6210085555685765E-4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360.0</v>
      </c>
      <c r="G50" s="9">
        <f si="1" t="shared"/>
        <v>2.1309012646898997E-4</v>
      </c>
    </row>
    <row r="51" spans="1:7" x14ac:dyDescent="0.45">
      <c r="A51">
        <v>40</v>
      </c>
      <c r="B51" s="6" t="n">
        <v>1148.465315274139</v>
      </c>
      <c r="C51" s="9">
        <f si="0" t="shared"/>
        <v>0</v>
      </c>
      <c r="E51" s="371">
        <v>40</v>
      </c>
      <c r="F51" s="371" t="n">
        <v>361.0</v>
      </c>
      <c r="G51" s="9">
        <f si="1" t="shared"/>
        <v>1.6834119991050207E-4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314.0</v>
      </c>
      <c r="G52" s="9">
        <f si="1" t="shared"/>
        <v>1.5768669358705257E-4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224.0</v>
      </c>
      <c r="G53" s="9">
        <f si="1" t="shared"/>
        <v>8.7366951852285878E-5</v>
      </c>
    </row>
    <row r="54" spans="1:7" x14ac:dyDescent="0.45">
      <c r="A54">
        <v>43</v>
      </c>
      <c r="B54" s="6" t="n">
        <v>476.445018997505</v>
      </c>
      <c r="C54" s="9">
        <f si="0" t="shared"/>
        <v>0</v>
      </c>
      <c r="E54" s="371">
        <v>43</v>
      </c>
      <c r="F54" s="371" t="n">
        <v>220.0</v>
      </c>
      <c r="G54" s="9">
        <f si="1" t="shared"/>
        <v>1.3211587841077376E-4</v>
      </c>
    </row>
    <row r="55" spans="1:7" x14ac:dyDescent="0.45">
      <c r="A55">
        <v>44</v>
      </c>
      <c r="B55" s="6" t="n">
        <v>429.1490047662185</v>
      </c>
      <c r="C55" s="9">
        <f si="0" t="shared"/>
        <v>0</v>
      </c>
      <c r="E55" s="371">
        <v>44</v>
      </c>
      <c r="F55" s="371" t="n">
        <v>160.0</v>
      </c>
      <c r="G55" s="9">
        <f si="1" t="shared"/>
        <v>1.4490128599891315E-4</v>
      </c>
    </row>
    <row r="56" spans="1:7" x14ac:dyDescent="0.45">
      <c r="A56">
        <v>45</v>
      </c>
      <c r="B56" s="6" t="n">
        <v>38.581100217278</v>
      </c>
      <c r="C56" s="9">
        <f si="0" t="shared"/>
        <v>0</v>
      </c>
      <c r="E56" s="371">
        <v>45</v>
      </c>
      <c r="F56" s="371" t="n">
        <v>187.0</v>
      </c>
      <c r="G56" s="9">
        <f si="1" t="shared"/>
        <v>1.0867596449918486E-4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109.0</v>
      </c>
      <c r="G57" s="9">
        <f si="1" t="shared"/>
        <v>9.3759655646355575E-5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110.0</v>
      </c>
      <c r="G58" s="9">
        <f si="1" t="shared"/>
        <v>8.9497853116975772E-5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65.0</v>
      </c>
      <c r="G59" s="9">
        <f si="1" t="shared"/>
        <v>7.0319741734766681E-5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76.0</v>
      </c>
      <c r="G60" s="9">
        <f si="1" t="shared"/>
        <v>3.4094420235038393E-5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54.0</v>
      </c>
      <c r="G61" s="9">
        <f si="1" t="shared"/>
        <v>3.6225321499728288E-5</v>
      </c>
    </row>
    <row r="62" spans="1:7" x14ac:dyDescent="0.45">
      <c r="A62">
        <v>51</v>
      </c>
      <c r="B62" s="6" t="n">
        <v>170.52938421295698</v>
      </c>
      <c r="C62" s="9">
        <f si="0" t="shared"/>
        <v>0</v>
      </c>
      <c r="E62" s="371">
        <v>51</v>
      </c>
      <c r="F62" s="371" t="n">
        <v>48.0</v>
      </c>
      <c r="G62" s="9">
        <f si="1" t="shared"/>
        <v>1.9178111382209095E-5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65.0</v>
      </c>
      <c r="G63" s="9">
        <f si="1" t="shared"/>
        <v>1.7047210117519197E-5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48.0</v>
      </c>
      <c r="G64" s="9">
        <f si="1" t="shared"/>
        <v>3.4094420235038393E-5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31.0</v>
      </c>
      <c r="G65" s="9">
        <f si="1" t="shared"/>
        <v>1.0654506323449498E-5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24.0</v>
      </c>
      <c r="G66" s="9">
        <f si="1" t="shared"/>
        <v>1.0654506323449498E-5</v>
      </c>
    </row>
    <row r="67" spans="1:7" x14ac:dyDescent="0.45">
      <c r="A67">
        <v>56</v>
      </c>
      <c r="B67" s="6" t="n">
        <v>109.048513407622</v>
      </c>
      <c r="C67" s="9">
        <f si="0" t="shared"/>
        <v>0</v>
      </c>
      <c r="E67" s="371">
        <v>56</v>
      </c>
      <c r="F67" s="371" t="n">
        <v>30.0</v>
      </c>
      <c r="G67" s="9">
        <f si="1" t="shared"/>
        <v>1.7047210117519197E-5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21.0</v>
      </c>
      <c r="G68" s="9">
        <f si="1" t="shared"/>
        <v>1.2785407588139397E-5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14.0</v>
      </c>
      <c r="G69" s="9">
        <f si="1" t="shared"/>
        <v>4.2618025293797992E-6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13.0</v>
      </c>
      <c r="G70" s="9">
        <f si="1" t="shared"/>
        <v>1.7047210117519197E-5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11.0</v>
      </c>
      <c r="G71" s="9">
        <f si="1" t="shared"/>
        <v>2.1309012646898996E-6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8.0</v>
      </c>
      <c r="G72" s="9">
        <f si="1" t="shared"/>
        <v>6.3927037940696987E-6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6.3927037940696987E-6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5.0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2.1309012646898996E-6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2.1309012646898996E-6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4.0</v>
      </c>
      <c r="G80" s="9">
        <f si="3" t="shared"/>
        <v>2.1309012646898996E-6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6.3927037940696987E-6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2.1309012646898996E-6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2.1309012646898996E-6</v>
      </c>
    </row>
    <row r="102" spans="1:7" x14ac:dyDescent="0.45">
      <c r="B102" s="6">
        <f>SUM(B11:B101)</f>
        <v>145417.53954862588</v>
      </c>
      <c r="C102" s="9">
        <f si="2" t="shared"/>
        <v>1</v>
      </c>
      <c r="F102" s="6">
        <f>SUM(F11:F101)</f>
        <v>156428.333333177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3.6107390107563579E-2</v>
      </c>
      <c r="E11" s="371">
        <v>0</v>
      </c>
      <c r="F11" s="371" t="n">
        <v>5630.0</v>
      </c>
      <c r="G11" s="9">
        <f>F11/F$102</f>
        <v>3.6730345099459827E-2</v>
      </c>
      <c r="K11" s="6" t="n">
        <v>13.124456063316458</v>
      </c>
      <c r="L11" s="6" t="n">
        <v>15.627990614113907</v>
      </c>
    </row>
    <row r="12" spans="1:12" x14ac:dyDescent="0.45">
      <c r="A12">
        <v>1</v>
      </c>
      <c r="B12" s="6" t="n">
        <v>0.0</v>
      </c>
      <c r="C12" s="9">
        <f>B12/B$102</f>
        <v>6.5237556273998951E-2</v>
      </c>
      <c r="E12" s="371">
        <v>1</v>
      </c>
      <c r="F12" s="371" t="n">
        <v>30790.0</v>
      </c>
      <c r="G12" s="9">
        <f>F12/F$102</f>
        <v>0.10460381218236256</v>
      </c>
      <c r="K12" s="6"/>
      <c r="L12" s="371"/>
    </row>
    <row r="13" spans="1:12" x14ac:dyDescent="0.45">
      <c r="A13">
        <v>2</v>
      </c>
      <c r="B13" s="6" t="n">
        <v>3958.313190038037</v>
      </c>
      <c r="C13" s="9">
        <f ref="C13:C76" si="0" t="shared">B13/B$102</f>
        <v>0.15351980297073864</v>
      </c>
      <c r="E13" s="371">
        <v>2</v>
      </c>
      <c r="F13" s="371" t="n">
        <v>17199.0</v>
      </c>
      <c r="G13" s="9">
        <f ref="G13:G76" si="1" t="shared">F13/F$102</f>
        <v>0.14951468723696693</v>
      </c>
    </row>
    <row r="14" spans="1:12" x14ac:dyDescent="0.45">
      <c r="A14">
        <v>3</v>
      </c>
      <c r="B14" s="6" t="n">
        <v>45669.149878803495</v>
      </c>
      <c r="C14" s="9">
        <f si="0" t="shared"/>
        <v>0.12563201849356098</v>
      </c>
      <c r="E14" s="371">
        <v>3</v>
      </c>
      <c r="F14" s="371" t="n">
        <v>26255.0</v>
      </c>
      <c r="G14" s="9">
        <f si="1" t="shared"/>
        <v>0.14423644480433001</v>
      </c>
    </row>
    <row r="15" spans="1:12" x14ac:dyDescent="0.45">
      <c r="A15">
        <v>4</v>
      </c>
      <c r="B15" s="6" t="n">
        <v>53418.29829891572</v>
      </c>
      <c r="C15" s="9">
        <f si="0" t="shared"/>
        <v>0.1303553273964291</v>
      </c>
      <c r="E15" s="371">
        <v>4</v>
      </c>
      <c r="F15" s="371" t="n">
        <v>38046.0</v>
      </c>
      <c r="G15" s="9">
        <f si="1" t="shared"/>
        <v>0.11135450738890018</v>
      </c>
    </row>
    <row r="16" spans="1:12" x14ac:dyDescent="0.45">
      <c r="A16">
        <v>5</v>
      </c>
      <c r="B16" s="6" t="n">
        <v>65141.1573445402</v>
      </c>
      <c r="C16" s="9">
        <f si="0" t="shared"/>
        <v>0.17006180575357052</v>
      </c>
      <c r="E16" s="371">
        <v>5</v>
      </c>
      <c r="F16" s="371" t="n">
        <v>45684.0</v>
      </c>
      <c r="G16" s="9">
        <f si="1" t="shared"/>
        <v>7.6887179432541017E-2</v>
      </c>
    </row>
    <row r="17" spans="1:7" x14ac:dyDescent="0.45">
      <c r="A17">
        <v>6</v>
      </c>
      <c r="B17" s="6" t="n">
        <v>60904.0310735329</v>
      </c>
      <c r="C17" s="9">
        <f si="0" t="shared"/>
        <v>6.4011889019707779E-2</v>
      </c>
      <c r="E17" s="371">
        <v>6</v>
      </c>
      <c r="F17" s="371" t="n">
        <v>49630.0</v>
      </c>
      <c r="G17" s="9">
        <f si="1" t="shared"/>
        <v>5.4029001566212445E-2</v>
      </c>
    </row>
    <row r="18" spans="1:7" x14ac:dyDescent="0.45">
      <c r="A18">
        <v>7</v>
      </c>
      <c r="B18" s="6" t="n">
        <v>47698.44890941448</v>
      </c>
      <c r="C18" s="9">
        <f si="0" t="shared"/>
        <v>9.5592143333112486E-2</v>
      </c>
      <c r="E18" s="371">
        <v>7</v>
      </c>
      <c r="F18" s="371" t="n">
        <v>49059.0</v>
      </c>
      <c r="G18" s="9">
        <f si="1" t="shared"/>
        <v>3.6515124071726149E-2</v>
      </c>
    </row>
    <row r="19" spans="1:7" x14ac:dyDescent="0.45">
      <c r="A19">
        <v>8</v>
      </c>
      <c r="B19" s="6" t="n">
        <v>50584.966841001944</v>
      </c>
      <c r="C19" s="9">
        <f si="0" t="shared"/>
        <v>3.6173027012977595E-2</v>
      </c>
      <c r="E19" s="371">
        <v>8</v>
      </c>
      <c r="F19" s="371" t="n">
        <v>44700.0</v>
      </c>
      <c r="G19" s="9">
        <f si="1" t="shared"/>
        <v>2.8345248622905068E-2</v>
      </c>
    </row>
    <row r="20" spans="1:7" x14ac:dyDescent="0.45">
      <c r="A20">
        <v>9</v>
      </c>
      <c r="B20" s="6" t="n">
        <v>33470.81786514484</v>
      </c>
      <c r="C20" s="9">
        <f si="0" t="shared"/>
        <v>2.0083901256552017E-2</v>
      </c>
      <c r="E20" s="371">
        <v>9</v>
      </c>
      <c r="F20" s="371" t="n">
        <v>40286.0</v>
      </c>
      <c r="G20" s="9">
        <f si="1" t="shared"/>
        <v>2.3160765845914536E-2</v>
      </c>
    </row>
    <row r="21" spans="1:7" x14ac:dyDescent="0.45">
      <c r="A21">
        <v>10</v>
      </c>
      <c r="B21" s="6" t="n">
        <v>30969.647060698328</v>
      </c>
      <c r="C21" s="9">
        <f si="0" t="shared"/>
        <v>7.3016016970064877E-3</v>
      </c>
      <c r="E21" s="371">
        <v>10</v>
      </c>
      <c r="F21" s="371" t="n">
        <v>36175.0</v>
      </c>
      <c r="G21" s="9">
        <f si="1" t="shared"/>
        <v>1.9702313093322824E-2</v>
      </c>
    </row>
    <row r="22" spans="1:7" x14ac:dyDescent="0.45">
      <c r="A22">
        <v>11</v>
      </c>
      <c r="B22" s="6" t="n">
        <v>34227.508666304195</v>
      </c>
      <c r="C22" s="9">
        <f si="0" t="shared"/>
        <v>8.2374326955256139E-3</v>
      </c>
      <c r="E22" s="371">
        <v>11</v>
      </c>
      <c r="F22" s="371" t="n">
        <v>32642.0</v>
      </c>
      <c r="G22" s="9">
        <f si="1" t="shared"/>
        <v>1.8402463321861989E-2</v>
      </c>
    </row>
    <row r="23" spans="1:7" x14ac:dyDescent="0.45">
      <c r="A23">
        <v>12</v>
      </c>
      <c r="B23" s="6" t="n">
        <v>23228.11728945619</v>
      </c>
      <c r="C23" s="9">
        <f si="0" t="shared"/>
        <v>1.6642175312992268E-3</v>
      </c>
      <c r="E23" s="371">
        <v>12</v>
      </c>
      <c r="F23" s="371" t="n">
        <v>29857.0</v>
      </c>
      <c r="G23" s="9">
        <f si="1" t="shared"/>
        <v>1.8464259458537996E-2</v>
      </c>
    </row>
    <row r="24" spans="1:7" x14ac:dyDescent="0.45">
      <c r="A24">
        <v>13</v>
      </c>
      <c r="B24" s="6" t="n">
        <v>17558.00429877322</v>
      </c>
      <c r="C24" s="9">
        <f si="0" t="shared"/>
        <v>2.9109456958524921E-2</v>
      </c>
      <c r="E24" s="371">
        <v>13</v>
      </c>
      <c r="F24" s="371" t="n">
        <v>26220.0</v>
      </c>
      <c r="G24" s="9">
        <f si="1" t="shared"/>
        <v>1.659758995066964E-2</v>
      </c>
    </row>
    <row r="25" spans="1:7" x14ac:dyDescent="0.45">
      <c r="A25">
        <v>14</v>
      </c>
      <c r="B25" s="6" t="n">
        <v>14944.172846510957</v>
      </c>
      <c r="C25" s="9">
        <f si="0" t="shared"/>
        <v>4.1806987927205629E-3</v>
      </c>
      <c r="E25" s="371">
        <v>14</v>
      </c>
      <c r="F25" s="371" t="n">
        <v>23969.0</v>
      </c>
      <c r="G25" s="9">
        <f si="1" t="shared"/>
        <v>1.4530615723920438E-2</v>
      </c>
    </row>
    <row r="26" spans="1:7" x14ac:dyDescent="0.45">
      <c r="A26">
        <v>15</v>
      </c>
      <c r="B26" s="6" t="n">
        <v>15503.592790464938</v>
      </c>
      <c r="C26" s="9">
        <f si="0" t="shared"/>
        <v>1.5358838308363707E-3</v>
      </c>
      <c r="E26" s="371">
        <v>15</v>
      </c>
      <c r="F26" s="371" t="n">
        <v>21717.0</v>
      </c>
      <c r="G26" s="9">
        <f si="1" t="shared"/>
        <v>1.3222242347400836E-2</v>
      </c>
    </row>
    <row r="27" spans="1:7" x14ac:dyDescent="0.45">
      <c r="A27">
        <v>16</v>
      </c>
      <c r="B27" s="6" t="n">
        <v>16577.959956330586</v>
      </c>
      <c r="C27" s="9">
        <f si="0" t="shared"/>
        <v>1.7210535105013601E-3</v>
      </c>
      <c r="E27" s="371">
        <v>16</v>
      </c>
      <c r="F27" s="371" t="n">
        <v>19276.0</v>
      </c>
      <c r="G27" s="9">
        <f si="1" t="shared"/>
        <v>1.0343394738804782E-2</v>
      </c>
    </row>
    <row r="28" spans="1:7" x14ac:dyDescent="0.45">
      <c r="A28">
        <v>17</v>
      </c>
      <c r="B28" s="6" t="n">
        <v>18692.92103932377</v>
      </c>
      <c r="C28" s="9">
        <f si="0" t="shared"/>
        <v>0</v>
      </c>
      <c r="E28" s="371">
        <v>17</v>
      </c>
      <c r="F28" s="371" t="n">
        <v>17465.0</v>
      </c>
      <c r="G28" s="9">
        <f si="1" t="shared"/>
        <v>9.5890556911045564E-3</v>
      </c>
    </row>
    <row r="29" spans="1:7" x14ac:dyDescent="0.45">
      <c r="A29">
        <v>18</v>
      </c>
      <c r="B29" s="6" t="n">
        <v>16947.90622164086</v>
      </c>
      <c r="C29" s="9">
        <f si="0" t="shared"/>
        <v>9.1000308615126347E-4</v>
      </c>
      <c r="E29" s="371">
        <v>18</v>
      </c>
      <c r="F29" s="371" t="n">
        <v>15710.0</v>
      </c>
      <c r="G29" s="9">
        <f si="1" t="shared"/>
        <v>8.7920986181105332E-3</v>
      </c>
    </row>
    <row r="30" spans="1:7" x14ac:dyDescent="0.45">
      <c r="A30">
        <v>19</v>
      </c>
      <c r="B30" s="6" t="n">
        <v>9185.481403502816</v>
      </c>
      <c r="C30" s="9">
        <f si="0" t="shared"/>
        <v>9.665759052439115E-3</v>
      </c>
      <c r="E30" s="371">
        <v>19</v>
      </c>
      <c r="F30" s="371" t="n">
        <v>14219.0</v>
      </c>
      <c r="G30" s="9">
        <f si="1" t="shared"/>
        <v>7.4773325377968649E-3</v>
      </c>
    </row>
    <row r="31" spans="1:7" x14ac:dyDescent="0.45">
      <c r="A31">
        <v>20</v>
      </c>
      <c r="B31" s="6" t="n">
        <v>7089.679225029773</v>
      </c>
      <c r="C31" s="9">
        <f si="0" t="shared"/>
        <v>1.0515980115307453E-3</v>
      </c>
      <c r="E31" s="371">
        <v>20</v>
      </c>
      <c r="F31" s="371" t="n">
        <v>13040.0</v>
      </c>
      <c r="G31" s="9">
        <f si="1" t="shared"/>
        <v>7.4815943403262431E-3</v>
      </c>
    </row>
    <row r="32" spans="1:7" x14ac:dyDescent="0.45">
      <c r="A32">
        <v>21</v>
      </c>
      <c r="B32" s="6" t="n">
        <v>7662.965733903155</v>
      </c>
      <c r="C32" s="9">
        <f si="0" t="shared"/>
        <v>3.6640925137480627E-4</v>
      </c>
      <c r="E32" s="371">
        <v>21</v>
      </c>
      <c r="F32" s="371" t="n">
        <v>12240.0</v>
      </c>
      <c r="G32" s="9">
        <f si="1" t="shared"/>
        <v>7.3899655859445777E-3</v>
      </c>
    </row>
    <row r="33" spans="1:7" x14ac:dyDescent="0.45">
      <c r="A33">
        <v>22</v>
      </c>
      <c r="B33" s="6" t="n">
        <v>7410.528607100007</v>
      </c>
      <c r="C33" s="9">
        <f si="0" t="shared"/>
        <v>3.9453287021158539E-3</v>
      </c>
      <c r="E33" s="371">
        <v>22</v>
      </c>
      <c r="F33" s="371" t="n">
        <v>11112.0</v>
      </c>
      <c r="G33" s="9">
        <f si="1" t="shared"/>
        <v>7.4155364011208574E-3</v>
      </c>
    </row>
    <row r="34" spans="1:7" x14ac:dyDescent="0.45">
      <c r="A34">
        <v>23</v>
      </c>
      <c r="B34" s="6" t="n">
        <v>8999.70244077003</v>
      </c>
      <c r="C34" s="9">
        <f si="0" t="shared"/>
        <v>0</v>
      </c>
      <c r="E34" s="371">
        <v>23</v>
      </c>
      <c r="F34" s="371" t="n">
        <v>10412.0</v>
      </c>
      <c r="G34" s="9">
        <f si="1" t="shared"/>
        <v>6.7847896267726462E-3</v>
      </c>
    </row>
    <row r="35" spans="1:7" x14ac:dyDescent="0.45">
      <c r="A35">
        <v>24</v>
      </c>
      <c r="B35" s="6" t="n">
        <v>7161.522236388</v>
      </c>
      <c r="C35" s="9">
        <f si="0" t="shared"/>
        <v>0</v>
      </c>
      <c r="E35" s="371">
        <v>24</v>
      </c>
      <c r="F35" s="371" t="n">
        <v>9426.0</v>
      </c>
      <c r="G35" s="9">
        <f si="1" t="shared"/>
        <v>6.5589140927155166E-3</v>
      </c>
    </row>
    <row r="36" spans="1:7" x14ac:dyDescent="0.45">
      <c r="A36">
        <v>25</v>
      </c>
      <c r="B36" s="6" t="n">
        <v>3489.0089254727454</v>
      </c>
      <c r="C36" s="9">
        <f si="0" t="shared"/>
        <v>0</v>
      </c>
      <c r="E36" s="371">
        <v>25</v>
      </c>
      <c r="F36" s="371" t="n">
        <v>8646.0</v>
      </c>
      <c r="G36" s="9">
        <f si="1" t="shared"/>
        <v>5.3847874958713807E-3</v>
      </c>
    </row>
    <row r="37" spans="1:7" x14ac:dyDescent="0.45">
      <c r="A37">
        <v>26</v>
      </c>
      <c r="B37" s="6" t="n">
        <v>5106.68284614406</v>
      </c>
      <c r="C37" s="9">
        <f si="0" t="shared"/>
        <v>5.2871565745148802E-4</v>
      </c>
      <c r="E37" s="371">
        <v>26</v>
      </c>
      <c r="F37" s="371" t="n">
        <v>8013.0</v>
      </c>
      <c r="G37" s="9">
        <f si="1" t="shared"/>
        <v>4.5793068178185984E-3</v>
      </c>
    </row>
    <row r="38" spans="1:7" x14ac:dyDescent="0.45">
      <c r="A38">
        <v>27</v>
      </c>
      <c r="B38" s="6" t="n">
        <v>2489.243831708188</v>
      </c>
      <c r="C38" s="9">
        <f si="0" t="shared"/>
        <v>0</v>
      </c>
      <c r="E38" s="371">
        <v>27</v>
      </c>
      <c r="F38" s="371" t="n">
        <v>7503.0</v>
      </c>
      <c r="G38" s="9">
        <f si="1" t="shared"/>
        <v>3.9464291422056973E-3</v>
      </c>
    </row>
    <row r="39" spans="1:7" x14ac:dyDescent="0.45">
      <c r="A39">
        <v>28</v>
      </c>
      <c r="B39" s="6" t="n">
        <v>3975.253343871574</v>
      </c>
      <c r="C39" s="9">
        <f si="0" t="shared"/>
        <v>0</v>
      </c>
      <c r="E39" s="371">
        <v>28</v>
      </c>
      <c r="F39" s="371" t="n">
        <v>6899.0</v>
      </c>
      <c r="G39" s="9">
        <f si="1" t="shared"/>
        <v>3.6885900891782193E-3</v>
      </c>
    </row>
    <row r="40" spans="1:7" x14ac:dyDescent="0.45">
      <c r="A40">
        <v>29</v>
      </c>
      <c r="B40" s="6" t="n">
        <v>2721.787066399658</v>
      </c>
      <c r="C40" s="9">
        <f si="0" t="shared"/>
        <v>0</v>
      </c>
      <c r="E40" s="371">
        <v>29</v>
      </c>
      <c r="F40" s="371" t="n">
        <v>6312.0</v>
      </c>
      <c r="G40" s="9">
        <f si="1" t="shared"/>
        <v>3.3902639121216331E-3</v>
      </c>
    </row>
    <row r="41" spans="1:7" x14ac:dyDescent="0.45">
      <c r="A41">
        <v>30</v>
      </c>
      <c r="B41" s="6" t="n">
        <v>3161.249631342918</v>
      </c>
      <c r="C41" s="9">
        <f si="0" t="shared"/>
        <v>4.5575529847395324E-3</v>
      </c>
      <c r="E41" s="371">
        <v>30</v>
      </c>
      <c r="F41" s="371" t="n">
        <v>5955.0</v>
      </c>
      <c r="G41" s="9">
        <f si="1" t="shared"/>
        <v>3.1239012540353957E-3</v>
      </c>
    </row>
    <row r="42" spans="1:7" x14ac:dyDescent="0.45">
      <c r="A42">
        <v>31</v>
      </c>
      <c r="B42" s="6" t="n">
        <v>2582.604879831407</v>
      </c>
      <c r="C42" s="9">
        <f si="0" t="shared"/>
        <v>0</v>
      </c>
      <c r="E42" s="371">
        <v>31</v>
      </c>
      <c r="F42" s="371" t="n">
        <v>5575.0</v>
      </c>
      <c r="G42" s="9">
        <f si="1" t="shared"/>
        <v>3.7759570410305053E-3</v>
      </c>
    </row>
    <row r="43" spans="1:7" x14ac:dyDescent="0.45">
      <c r="A43">
        <v>32</v>
      </c>
      <c r="B43" s="6" t="n">
        <v>2813.7344995106246</v>
      </c>
      <c r="C43" s="9">
        <f si="0" t="shared"/>
        <v>0</v>
      </c>
      <c r="E43" s="371">
        <v>32</v>
      </c>
      <c r="F43" s="371" t="n">
        <v>5153.0</v>
      </c>
      <c r="G43" s="9">
        <f si="1" t="shared"/>
        <v>3.3305986767103164E-3</v>
      </c>
    </row>
    <row r="44" spans="1:7" x14ac:dyDescent="0.45">
      <c r="A44">
        <v>33</v>
      </c>
      <c r="B44" s="6" t="n">
        <v>2530.197808001249</v>
      </c>
      <c r="C44" s="9">
        <f si="0" t="shared"/>
        <v>2.8316672894234569E-2</v>
      </c>
      <c r="E44" s="371">
        <v>33</v>
      </c>
      <c r="F44" s="371" t="n">
        <v>4898.0</v>
      </c>
      <c r="G44" s="9">
        <f si="1" t="shared"/>
        <v>2.7382081251265235E-3</v>
      </c>
    </row>
    <row r="45" spans="1:7" x14ac:dyDescent="0.45">
      <c r="A45">
        <v>34</v>
      </c>
      <c r="B45" s="6" t="n">
        <v>2931.325221721568</v>
      </c>
      <c r="C45" s="9">
        <f si="0" t="shared"/>
        <v>0</v>
      </c>
      <c r="E45" s="371">
        <v>34</v>
      </c>
      <c r="F45" s="371" t="n">
        <v>4547.0</v>
      </c>
      <c r="G45" s="9">
        <f si="1" t="shared"/>
        <v>2.744600828920593E-3</v>
      </c>
    </row>
    <row r="46" spans="1:7" x14ac:dyDescent="0.45">
      <c r="A46">
        <v>35</v>
      </c>
      <c r="B46" s="6" t="n">
        <v>2990.0107810344666</v>
      </c>
      <c r="C46" s="9">
        <f si="0" t="shared"/>
        <v>0</v>
      </c>
      <c r="E46" s="371">
        <v>35</v>
      </c>
      <c r="F46" s="371" t="n">
        <v>4193.0</v>
      </c>
      <c r="G46" s="9">
        <f si="1" t="shared"/>
        <v>2.3908712189820696E-3</v>
      </c>
    </row>
    <row r="47" spans="1:7" x14ac:dyDescent="0.45">
      <c r="A47">
        <v>36</v>
      </c>
      <c r="B47" s="6" t="n">
        <v>2807.4384998207324</v>
      </c>
      <c r="C47" s="9">
        <f si="0" t="shared"/>
        <v>0</v>
      </c>
      <c r="E47" s="371">
        <v>36</v>
      </c>
      <c r="F47" s="371" t="n">
        <v>4034.0</v>
      </c>
      <c r="G47" s="9">
        <f si="1" t="shared"/>
        <v>1.905025730632772E-3</v>
      </c>
    </row>
    <row r="48" spans="1:7" x14ac:dyDescent="0.45">
      <c r="A48">
        <v>37</v>
      </c>
      <c r="B48" s="6" t="n">
        <v>3065.119671463922</v>
      </c>
      <c r="C48" s="9">
        <f si="0" t="shared"/>
        <v>0</v>
      </c>
      <c r="E48" s="371">
        <v>37</v>
      </c>
      <c r="F48" s="371" t="n">
        <v>3854.0</v>
      </c>
      <c r="G48" s="9">
        <f si="1" t="shared"/>
        <v>1.6706265915168827E-3</v>
      </c>
    </row>
    <row r="49" spans="1:7" x14ac:dyDescent="0.45">
      <c r="A49">
        <v>38</v>
      </c>
      <c r="B49" s="6" t="n">
        <v>3188.891060932794</v>
      </c>
      <c r="C49" s="9">
        <f si="0" t="shared"/>
        <v>1.3275372533634659E-4</v>
      </c>
      <c r="E49" s="371">
        <v>38</v>
      </c>
      <c r="F49" s="371" t="n">
        <v>3557.0</v>
      </c>
      <c r="G49" s="9">
        <f si="1" t="shared"/>
        <v>1.5235944042532796E-3</v>
      </c>
    </row>
    <row r="50" spans="1:7" x14ac:dyDescent="0.45">
      <c r="A50">
        <v>39</v>
      </c>
      <c r="B50" s="6" t="n">
        <v>2795.8217168862716</v>
      </c>
      <c r="C50" s="9">
        <f si="0" t="shared"/>
        <v>0</v>
      </c>
      <c r="E50" s="371">
        <v>39</v>
      </c>
      <c r="F50" s="371" t="n">
        <v>3328.0</v>
      </c>
      <c r="G50" s="9">
        <f si="1" t="shared"/>
        <v>1.340336895489948E-3</v>
      </c>
    </row>
    <row r="51" spans="1:7" x14ac:dyDescent="0.45">
      <c r="A51">
        <v>40</v>
      </c>
      <c r="B51" s="6" t="n">
        <v>2245.7375659444</v>
      </c>
      <c r="C51" s="9">
        <f si="0" t="shared"/>
        <v>0</v>
      </c>
      <c r="E51" s="371">
        <v>40</v>
      </c>
      <c r="F51" s="371" t="n">
        <v>3071.0</v>
      </c>
      <c r="G51" s="9">
        <f si="1" t="shared"/>
        <v>1.3829549207837462E-3</v>
      </c>
    </row>
    <row r="52" spans="1:7" x14ac:dyDescent="0.45">
      <c r="A52">
        <v>41</v>
      </c>
      <c r="B52" s="6" t="n">
        <v>1219.801499463402</v>
      </c>
      <c r="C52" s="9">
        <f si="0" t="shared"/>
        <v>0</v>
      </c>
      <c r="E52" s="371">
        <v>41</v>
      </c>
      <c r="F52" s="371" t="n">
        <v>2885.0</v>
      </c>
      <c r="G52" s="9">
        <f si="1" t="shared"/>
        <v>1.167733893050066E-3</v>
      </c>
    </row>
    <row r="53" spans="1:7" x14ac:dyDescent="0.45">
      <c r="A53">
        <v>42</v>
      </c>
      <c r="B53" s="6" t="n">
        <v>1482.0906054085717</v>
      </c>
      <c r="C53" s="9">
        <f si="0" t="shared"/>
        <v>0</v>
      </c>
      <c r="E53" s="371">
        <v>42</v>
      </c>
      <c r="F53" s="371" t="n">
        <v>2634.0</v>
      </c>
      <c r="G53" s="9">
        <f si="1" t="shared"/>
        <v>9.3120385266948701E-4</v>
      </c>
    </row>
    <row r="54" spans="1:7" x14ac:dyDescent="0.45">
      <c r="A54">
        <v>43</v>
      </c>
      <c r="B54" s="6" t="n">
        <v>659.0358363743476</v>
      </c>
      <c r="C54" s="9">
        <f si="0" t="shared"/>
        <v>0</v>
      </c>
      <c r="E54" s="371">
        <v>43</v>
      </c>
      <c r="F54" s="371" t="n">
        <v>2420.0</v>
      </c>
      <c r="G54" s="9">
        <f si="1" t="shared"/>
        <v>8.9497853116975873E-4</v>
      </c>
    </row>
    <row r="55" spans="1:7" x14ac:dyDescent="0.45">
      <c r="A55">
        <v>44</v>
      </c>
      <c r="B55" s="6" t="n">
        <v>724.7496454199053</v>
      </c>
      <c r="C55" s="9">
        <f si="0" t="shared"/>
        <v>0</v>
      </c>
      <c r="E55" s="371">
        <v>44</v>
      </c>
      <c r="F55" s="371" t="n">
        <v>2384.0</v>
      </c>
      <c r="G55" s="9">
        <f si="1" t="shared"/>
        <v>8.8432402484630917E-4</v>
      </c>
    </row>
    <row r="56" spans="1:7" x14ac:dyDescent="0.45">
      <c r="A56">
        <v>45</v>
      </c>
      <c r="B56" s="6" t="n">
        <v>942.6682320958234</v>
      </c>
      <c r="C56" s="9">
        <f si="0" t="shared"/>
        <v>0</v>
      </c>
      <c r="E56" s="371">
        <v>45</v>
      </c>
      <c r="F56" s="371" t="n">
        <v>2210.0</v>
      </c>
      <c r="G56" s="9">
        <f si="1" t="shared"/>
        <v>7.5646994896491507E-4</v>
      </c>
    </row>
    <row r="57" spans="1:7" x14ac:dyDescent="0.45">
      <c r="A57">
        <v>46</v>
      </c>
      <c r="B57" s="6" t="n">
        <v>989.3339639222372</v>
      </c>
      <c r="C57" s="9">
        <f si="0" t="shared"/>
        <v>0</v>
      </c>
      <c r="E57" s="371">
        <v>46</v>
      </c>
      <c r="F57" s="371" t="n">
        <v>2142.0</v>
      </c>
      <c r="G57" s="9">
        <f si="1" t="shared"/>
        <v>7.3303003505332609E-4</v>
      </c>
    </row>
    <row r="58" spans="1:7" x14ac:dyDescent="0.45">
      <c r="A58">
        <v>47</v>
      </c>
      <c r="B58" s="6" t="n">
        <v>636.324767403475</v>
      </c>
      <c r="C58" s="9">
        <f si="0" t="shared"/>
        <v>0</v>
      </c>
      <c r="E58" s="371">
        <v>47</v>
      </c>
      <c r="F58" s="371" t="n">
        <v>1896.0</v>
      </c>
      <c r="G58" s="9">
        <f si="1" t="shared"/>
        <v>7.0106651608297754E-4</v>
      </c>
    </row>
    <row r="59" spans="1:7" x14ac:dyDescent="0.45">
      <c r="A59">
        <v>48</v>
      </c>
      <c r="B59" s="6" t="n">
        <v>1102.8201778002376</v>
      </c>
      <c r="C59" s="9">
        <f si="0" t="shared"/>
        <v>0</v>
      </c>
      <c r="E59" s="371">
        <v>48</v>
      </c>
      <c r="F59" s="371" t="n">
        <v>1726.0</v>
      </c>
      <c r="G59" s="9">
        <f si="1" t="shared"/>
        <v>7.607317514942948E-4</v>
      </c>
    </row>
    <row r="60" spans="1:7" x14ac:dyDescent="0.45">
      <c r="A60">
        <v>49</v>
      </c>
      <c r="B60" s="6" t="n">
        <v>1628.7268477305397</v>
      </c>
      <c r="C60" s="9">
        <f si="0" t="shared"/>
        <v>0</v>
      </c>
      <c r="E60" s="371">
        <v>49</v>
      </c>
      <c r="F60" s="371" t="n">
        <v>1587.0</v>
      </c>
      <c r="G60" s="9">
        <f si="1" t="shared"/>
        <v>7.3089913378863612E-4</v>
      </c>
    </row>
    <row r="61" spans="1:7" x14ac:dyDescent="0.45">
      <c r="A61">
        <v>50</v>
      </c>
      <c r="B61" s="6" t="n">
        <v>464.3352408089732</v>
      </c>
      <c r="C61" s="9">
        <f si="0" t="shared"/>
        <v>0</v>
      </c>
      <c r="E61" s="371">
        <v>50</v>
      </c>
      <c r="F61" s="371" t="n">
        <v>1529.0</v>
      </c>
      <c r="G61" s="9">
        <f si="1" t="shared"/>
        <v>6.2648497181883099E-4</v>
      </c>
    </row>
    <row r="62" spans="1:7" x14ac:dyDescent="0.45">
      <c r="A62">
        <v>51</v>
      </c>
      <c r="B62" s="6" t="n">
        <v>1632.212967838259</v>
      </c>
      <c r="C62" s="9">
        <f si="0" t="shared"/>
        <v>0</v>
      </c>
      <c r="E62" s="371">
        <v>51</v>
      </c>
      <c r="F62" s="371" t="n">
        <v>1483.0</v>
      </c>
      <c r="G62" s="9">
        <f si="1" t="shared"/>
        <v>5.3911801996654502E-4</v>
      </c>
    </row>
    <row r="63" spans="1:7" x14ac:dyDescent="0.45">
      <c r="A63">
        <v>52</v>
      </c>
      <c r="B63" s="6" t="n">
        <v>1029.8189453074094</v>
      </c>
      <c r="C63" s="9">
        <f si="0" t="shared"/>
        <v>0</v>
      </c>
      <c r="E63" s="371">
        <v>52</v>
      </c>
      <c r="F63" s="371" t="n">
        <v>1354.0</v>
      </c>
      <c r="G63" s="9">
        <f si="1" t="shared"/>
        <v>4.3257295673204997E-4</v>
      </c>
    </row>
    <row r="64" spans="1:7" x14ac:dyDescent="0.45">
      <c r="A64">
        <v>53</v>
      </c>
      <c r="B64" s="6" t="n">
        <v>499.301691002472</v>
      </c>
      <c r="C64" s="9">
        <f si="0" t="shared"/>
        <v>0</v>
      </c>
      <c r="E64" s="371">
        <v>53</v>
      </c>
      <c r="F64" s="371" t="n">
        <v>1269.0</v>
      </c>
      <c r="G64" s="9">
        <f si="1" t="shared"/>
        <v>3.6651501752666305E-4</v>
      </c>
    </row>
    <row r="65" spans="1:7" x14ac:dyDescent="0.45">
      <c r="A65">
        <v>54</v>
      </c>
      <c r="B65" s="6" t="n">
        <v>814.1358665978289</v>
      </c>
      <c r="C65" s="9">
        <f si="0" t="shared"/>
        <v>0</v>
      </c>
      <c r="E65" s="371">
        <v>54</v>
      </c>
      <c r="F65" s="371" t="n">
        <v>1160.0</v>
      </c>
      <c r="G65" s="9">
        <f si="1" t="shared"/>
        <v>4.1765664787922068E-4</v>
      </c>
    </row>
    <row r="66" spans="1:7" x14ac:dyDescent="0.45">
      <c r="A66">
        <v>55</v>
      </c>
      <c r="B66" s="6" t="n">
        <v>1908.0239553520628</v>
      </c>
      <c r="C66" s="9">
        <f si="0" t="shared"/>
        <v>0</v>
      </c>
      <c r="E66" s="371">
        <v>55</v>
      </c>
      <c r="F66" s="371" t="n">
        <v>1056.0</v>
      </c>
      <c r="G66" s="9">
        <f si="1" t="shared"/>
        <v>3.3881330108569434E-4</v>
      </c>
    </row>
    <row r="67" spans="1:7" x14ac:dyDescent="0.45">
      <c r="A67">
        <v>56</v>
      </c>
      <c r="B67" s="6" t="n">
        <v>245.6375052460843</v>
      </c>
      <c r="C67" s="9">
        <f si="0" t="shared"/>
        <v>0</v>
      </c>
      <c r="E67" s="371">
        <v>56</v>
      </c>
      <c r="F67" s="371" t="n">
        <v>1070.0</v>
      </c>
      <c r="G67" s="9">
        <f si="1" t="shared"/>
        <v>3.302896960269347E-4</v>
      </c>
    </row>
    <row r="68" spans="1:7" x14ac:dyDescent="0.45">
      <c r="A68">
        <v>57</v>
      </c>
      <c r="B68" s="6" t="n">
        <v>288.694496386223</v>
      </c>
      <c r="C68" s="9">
        <f si="0" t="shared"/>
        <v>0</v>
      </c>
      <c r="E68" s="371">
        <v>57</v>
      </c>
      <c r="F68" s="371" t="n">
        <v>969.0</v>
      </c>
      <c r="G68" s="9">
        <f si="1" t="shared"/>
        <v>2.3866094164526897E-4</v>
      </c>
    </row>
    <row r="69" spans="1:7" x14ac:dyDescent="0.45">
      <c r="A69">
        <v>58</v>
      </c>
      <c r="B69" s="6" t="n">
        <v>52.9898690175678</v>
      </c>
      <c r="C69" s="9">
        <f si="0" t="shared"/>
        <v>0</v>
      </c>
      <c r="E69" s="371">
        <v>58</v>
      </c>
      <c r="F69" s="371" t="n">
        <v>909.0</v>
      </c>
      <c r="G69" s="9">
        <f si="1" t="shared"/>
        <v>2.7701716440968721E-4</v>
      </c>
    </row>
    <row r="70" spans="1:7" x14ac:dyDescent="0.45">
      <c r="A70">
        <v>59</v>
      </c>
      <c r="B70" s="6" t="n">
        <v>686.0156531738714</v>
      </c>
      <c r="C70" s="9">
        <f si="0" t="shared"/>
        <v>0</v>
      </c>
      <c r="E70" s="371">
        <v>59</v>
      </c>
      <c r="F70" s="371" t="n">
        <v>931.0</v>
      </c>
      <c r="G70" s="9">
        <f si="1" t="shared"/>
        <v>2.5144634923340836E-4</v>
      </c>
    </row>
    <row r="71" spans="1:7" x14ac:dyDescent="0.45">
      <c r="A71">
        <v>60</v>
      </c>
      <c r="B71" s="6" t="n">
        <v>705.6608149123225</v>
      </c>
      <c r="C71" s="9">
        <f si="0" t="shared"/>
        <v>0</v>
      </c>
      <c r="E71" s="371">
        <v>60</v>
      </c>
      <c r="F71" s="371" t="n">
        <v>871.0</v>
      </c>
      <c r="G71" s="9">
        <f si="1" t="shared"/>
        <v>2.4292274417464876E-4</v>
      </c>
    </row>
    <row r="72" spans="1:7" x14ac:dyDescent="0.45">
      <c r="A72">
        <v>61</v>
      </c>
      <c r="B72" s="6" t="n">
        <v>112.76904248176851</v>
      </c>
      <c r="C72" s="9">
        <f si="0" t="shared"/>
        <v>0</v>
      </c>
      <c r="E72" s="371">
        <v>61</v>
      </c>
      <c r="F72" s="371" t="n">
        <v>796.0</v>
      </c>
      <c r="G72" s="9">
        <f si="1" t="shared"/>
        <v>1.8112660749864163E-4</v>
      </c>
    </row>
    <row r="73" spans="1:7" x14ac:dyDescent="0.45">
      <c r="A73">
        <v>62</v>
      </c>
      <c r="B73" s="6" t="n">
        <v>339.691479955965</v>
      </c>
      <c r="C73" s="9">
        <f si="0" t="shared"/>
        <v>0</v>
      </c>
      <c r="E73" s="371">
        <v>62</v>
      </c>
      <c r="F73" s="371" t="n">
        <v>758.0</v>
      </c>
      <c r="G73" s="9">
        <f si="1" t="shared"/>
        <v>1.4277038473422342E-4</v>
      </c>
    </row>
    <row r="74" spans="1:7" x14ac:dyDescent="0.45">
      <c r="A74">
        <v>63</v>
      </c>
      <c r="B74" s="6" t="n">
        <v>905.421122809552</v>
      </c>
      <c r="C74" s="9">
        <f si="0" t="shared"/>
        <v>0</v>
      </c>
      <c r="E74" s="371">
        <v>63</v>
      </c>
      <c r="F74" s="371" t="n">
        <v>673.0</v>
      </c>
      <c r="G74" s="9">
        <f si="1" t="shared"/>
        <v>1.406394834695335E-4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672.0</v>
      </c>
      <c r="G75" s="9">
        <f si="1" t="shared"/>
        <v>1.1933047082263449E-4</v>
      </c>
    </row>
    <row r="76" spans="1:7" x14ac:dyDescent="0.45">
      <c r="A76">
        <v>65</v>
      </c>
      <c r="B76" s="6" t="n">
        <v>404.521934531258</v>
      </c>
      <c r="C76" s="9">
        <f si="0" t="shared"/>
        <v>0</v>
      </c>
      <c r="E76" s="371">
        <v>65</v>
      </c>
      <c r="F76" s="371" t="n">
        <v>567.0</v>
      </c>
      <c r="G76" s="9">
        <f si="1" t="shared"/>
        <v>1.5981759485174263E-4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487.0</v>
      </c>
      <c r="G77" s="9">
        <f ref="G77:G102" si="3" t="shared">F77/F$102</f>
        <v>1.3424677967546379E-4</v>
      </c>
    </row>
    <row r="78" spans="1:7" x14ac:dyDescent="0.45">
      <c r="A78">
        <v>67</v>
      </c>
      <c r="B78" s="6" t="n">
        <v>123.037590640126</v>
      </c>
      <c r="C78" s="9">
        <f si="2" t="shared"/>
        <v>0</v>
      </c>
      <c r="E78" s="371">
        <v>67</v>
      </c>
      <c r="F78" s="371" t="n">
        <v>485.0</v>
      </c>
      <c r="G78" s="9">
        <f si="3" t="shared"/>
        <v>1.3211587841077389E-4</v>
      </c>
    </row>
    <row r="79" spans="1:7" x14ac:dyDescent="0.45">
      <c r="A79">
        <v>68</v>
      </c>
      <c r="B79" s="6" t="n">
        <v>528.42302767266</v>
      </c>
      <c r="C79" s="9">
        <f si="2" t="shared"/>
        <v>0</v>
      </c>
      <c r="E79" s="371">
        <v>68</v>
      </c>
      <c r="F79" s="371" t="n">
        <v>469.0</v>
      </c>
      <c r="G79" s="9">
        <f si="3" t="shared"/>
        <v>1.0867596449918497E-4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458.0</v>
      </c>
      <c r="G80" s="9">
        <f si="3" t="shared"/>
        <v>1.3424677967546379E-4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411.0</v>
      </c>
      <c r="G81" s="9">
        <f si="3" t="shared"/>
        <v>9.3759655646355656E-5</v>
      </c>
    </row>
    <row r="82" spans="1:7" x14ac:dyDescent="0.45">
      <c r="A82">
        <v>71</v>
      </c>
      <c r="B82" s="6" t="n">
        <v>91.2188889516938</v>
      </c>
      <c r="C82" s="9">
        <f si="2" t="shared"/>
        <v>0</v>
      </c>
      <c r="E82" s="371">
        <v>71</v>
      </c>
      <c r="F82" s="371" t="n">
        <v>445.0</v>
      </c>
      <c r="G82" s="9">
        <f si="3" t="shared"/>
        <v>8.0974248058216249E-5</v>
      </c>
    </row>
    <row r="83" spans="1:7" x14ac:dyDescent="0.45">
      <c r="A83">
        <v>72</v>
      </c>
      <c r="B83" s="6" t="n">
        <v>368.3204869958801</v>
      </c>
      <c r="C83" s="9">
        <f si="2" t="shared"/>
        <v>0</v>
      </c>
      <c r="E83" s="371">
        <v>72</v>
      </c>
      <c r="F83" s="371" t="n">
        <v>382.0</v>
      </c>
      <c r="G83" s="9">
        <f si="3" t="shared"/>
        <v>6.3927037940697052E-5</v>
      </c>
    </row>
    <row r="84" spans="1:7" x14ac:dyDescent="0.45">
      <c r="A84">
        <v>73</v>
      </c>
      <c r="B84" s="6" t="n">
        <v>306.771772247644</v>
      </c>
      <c r="C84" s="9">
        <f si="2" t="shared"/>
        <v>0</v>
      </c>
      <c r="E84" s="371">
        <v>73</v>
      </c>
      <c r="F84" s="371" t="n">
        <v>356.0</v>
      </c>
      <c r="G84" s="9">
        <f si="3" t="shared"/>
        <v>6.8188840470076841E-5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353.0</v>
      </c>
      <c r="G85" s="9">
        <f si="3" t="shared"/>
        <v>6.6057939205386946E-5</v>
      </c>
    </row>
    <row r="86" spans="1:7" x14ac:dyDescent="0.45">
      <c r="A86">
        <v>75</v>
      </c>
      <c r="B86" s="6" t="n">
        <v>1146.324354322154</v>
      </c>
      <c r="C86" s="9">
        <f si="2" t="shared"/>
        <v>0</v>
      </c>
      <c r="E86" s="371">
        <v>75</v>
      </c>
      <c r="F86" s="371" t="n">
        <v>327.0</v>
      </c>
      <c r="G86" s="9">
        <f si="3" t="shared"/>
        <v>5.7534334146627341E-5</v>
      </c>
    </row>
    <row r="87" spans="1:7" x14ac:dyDescent="0.45">
      <c r="A87">
        <v>76</v>
      </c>
      <c r="B87" s="6" t="n">
        <v>155.4693678195983</v>
      </c>
      <c r="C87" s="9">
        <f si="2" t="shared"/>
        <v>0</v>
      </c>
      <c r="E87" s="371">
        <v>76</v>
      </c>
      <c r="F87" s="371" t="n">
        <v>286.0</v>
      </c>
      <c r="G87" s="9">
        <f si="3" t="shared"/>
        <v>4.9010729087867729E-5</v>
      </c>
    </row>
    <row r="88" spans="1:7" x14ac:dyDescent="0.45">
      <c r="A88">
        <v>77</v>
      </c>
      <c r="B88" s="6" t="n">
        <v>158.7854058469178</v>
      </c>
      <c r="C88" s="9">
        <f si="2" t="shared"/>
        <v>0</v>
      </c>
      <c r="E88" s="371">
        <v>77</v>
      </c>
      <c r="F88" s="371" t="n">
        <v>303.0</v>
      </c>
      <c r="G88" s="9">
        <f si="3" t="shared"/>
        <v>7.0319741734766749E-5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261.0</v>
      </c>
      <c r="G89" s="9">
        <f si="3" t="shared"/>
        <v>6.8188840470076841E-5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251.0</v>
      </c>
      <c r="G90" s="9">
        <f si="3" t="shared"/>
        <v>3.8356222764418223E-5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240.0</v>
      </c>
      <c r="G91" s="9">
        <f si="3" t="shared"/>
        <v>7.0319741734766749E-5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240.0</v>
      </c>
      <c r="G92" s="9">
        <f si="3" t="shared"/>
        <v>4.4748926558487927E-5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209.0</v>
      </c>
      <c r="G93" s="9">
        <f si="3" t="shared"/>
        <v>5.540343288193744E-5</v>
      </c>
    </row>
    <row r="94" spans="1:7" x14ac:dyDescent="0.45">
      <c r="A94">
        <v>83</v>
      </c>
      <c r="B94" s="6" t="n">
        <v>501.0720892324655</v>
      </c>
      <c r="C94" s="9">
        <f si="2" t="shared"/>
        <v>0</v>
      </c>
      <c r="E94" s="371">
        <v>83</v>
      </c>
      <c r="F94" s="371" t="n">
        <v>193.0</v>
      </c>
      <c r="G94" s="9">
        <f si="3" t="shared"/>
        <v>4.2618025293798026E-5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196.0</v>
      </c>
      <c r="G95" s="9">
        <f si="3" t="shared"/>
        <v>4.9010729087867729E-5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154.0</v>
      </c>
      <c r="G96" s="9">
        <f si="3" t="shared"/>
        <v>5.9665235411317243E-5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152.0</v>
      </c>
      <c r="G97" s="9">
        <f si="3" t="shared"/>
        <v>3.409442023503842E-5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158.0</v>
      </c>
      <c r="G98" s="9">
        <f si="3" t="shared"/>
        <v>3.8356222764418223E-5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148.0</v>
      </c>
      <c r="G99" s="9">
        <f si="3" t="shared"/>
        <v>5.7534334146627341E-5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139.0</v>
      </c>
      <c r="G100" s="9">
        <f si="3" t="shared"/>
        <v>3.6225321499728322E-5</v>
      </c>
    </row>
    <row ht="14.65" r="101" spans="1:7" thickBot="1" x14ac:dyDescent="0.5">
      <c r="A101" s="1">
        <v>90</v>
      </c>
      <c r="B101" s="7" t="n">
        <v>109.048513407622</v>
      </c>
      <c r="C101" s="9">
        <f si="2" t="shared"/>
        <v>0</v>
      </c>
      <c r="E101" s="372">
        <v>90</v>
      </c>
      <c r="F101" s="372" t="n">
        <v>3179.0</v>
      </c>
      <c r="G101" s="9">
        <f si="3" t="shared"/>
        <v>9.3546565519886664E-4</v>
      </c>
    </row>
    <row r="102" spans="1:7" x14ac:dyDescent="0.45">
      <c r="B102" s="6">
        <f>SUM(B11:B101)</f>
        <v>145417.53954862591</v>
      </c>
      <c r="C102" s="9">
        <f si="2" t="shared"/>
        <v>1</v>
      </c>
      <c r="F102" s="6">
        <f>SUM(F11:F101)</f>
        <v>156428.33333317685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86277.67595492928</v>
      </c>
      <c r="C11" s="9">
        <f>B11/B$102</f>
        <v>0.30506482257134149</v>
      </c>
      <c r="E11" s="371">
        <v>0</v>
      </c>
      <c r="F11" s="371" t="n">
        <v>84538.0</v>
      </c>
      <c r="G11" s="9">
        <f>F11/F$102</f>
        <v>0.32491050581613734</v>
      </c>
      <c r="K11" s="6" t="n">
        <v>4.786006764843927</v>
      </c>
      <c r="L11" s="6" t="n">
        <v>4.904148918233662</v>
      </c>
    </row>
    <row r="12" spans="1:12" x14ac:dyDescent="0.45">
      <c r="A12">
        <v>1</v>
      </c>
      <c r="B12" s="6" t="n">
        <v>110246.26529248765</v>
      </c>
      <c r="C12" s="9">
        <f>B12/B$102</f>
        <v>0.23358115185859488</v>
      </c>
      <c r="E12" s="371">
        <v>1</v>
      </c>
      <c r="F12" s="371" t="n">
        <v>82176.0</v>
      </c>
      <c r="G12" s="9">
        <f>F12/F$102</f>
        <v>0.2693965347431786</v>
      </c>
      <c r="K12" s="6"/>
      <c r="L12" s="371"/>
    </row>
    <row r="13" spans="1:12" x14ac:dyDescent="0.45">
      <c r="A13">
        <v>2</v>
      </c>
      <c r="B13" s="6" t="n">
        <v>83021.46810300992</v>
      </c>
      <c r="C13" s="9">
        <f ref="C13:C76" si="0" t="shared">B13/B$102</f>
        <v>0.26268902006251099</v>
      </c>
      <c r="E13" s="371">
        <v>2</v>
      </c>
      <c r="F13" s="371" t="n">
        <v>72151.0</v>
      </c>
      <c r="G13" s="9">
        <f ref="G13:G76" si="1" t="shared">F13/F$102</f>
        <v>0.14818083209236479</v>
      </c>
    </row>
    <row r="14" spans="1:12" x14ac:dyDescent="0.45">
      <c r="A14">
        <v>3</v>
      </c>
      <c r="B14" s="6" t="n">
        <v>62652.27818603237</v>
      </c>
      <c r="C14" s="9">
        <f si="0" t="shared"/>
        <v>5.3720089661332196E-2</v>
      </c>
      <c r="E14" s="371">
        <v>3</v>
      </c>
      <c r="F14" s="371" t="n">
        <v>59358.0</v>
      </c>
      <c r="G14" s="9">
        <f si="1" t="shared"/>
        <v>7.407728410430961E-2</v>
      </c>
    </row>
    <row r="15" spans="1:12" x14ac:dyDescent="0.45">
      <c r="A15">
        <v>4</v>
      </c>
      <c r="B15" s="6" t="n">
        <v>39728.69386101646</v>
      </c>
      <c r="C15" s="9">
        <f si="0" t="shared"/>
        <v>2.7806630255805927E-2</v>
      </c>
      <c r="E15" s="371">
        <v>4</v>
      </c>
      <c r="F15" s="371" t="n">
        <v>42755.0</v>
      </c>
      <c r="G15" s="9">
        <f si="1" t="shared"/>
        <v>4.0903372545311754E-2</v>
      </c>
    </row>
    <row r="16" spans="1:12" x14ac:dyDescent="0.45">
      <c r="A16">
        <v>5</v>
      </c>
      <c r="B16" s="6" t="n">
        <v>32764.19969498825</v>
      </c>
      <c r="C16" s="9">
        <f si="0" t="shared"/>
        <v>2.4179472879530376E-2</v>
      </c>
      <c r="E16" s="371">
        <v>5</v>
      </c>
      <c r="F16" s="371" t="n">
        <v>32105.0</v>
      </c>
      <c r="G16" s="9">
        <f si="1" t="shared"/>
        <v>2.743000018384718E-2</v>
      </c>
    </row>
    <row r="17" spans="1:7" x14ac:dyDescent="0.45">
      <c r="A17">
        <v>6</v>
      </c>
      <c r="B17" s="6" t="n">
        <v>24614.126940139624</v>
      </c>
      <c r="C17" s="9">
        <f si="0" t="shared"/>
        <v>1.0276753032834146E-2</v>
      </c>
      <c r="E17" s="371">
        <v>6</v>
      </c>
      <c r="F17" s="371" t="n">
        <v>23032.0</v>
      </c>
      <c r="G17" s="9">
        <f si="1" t="shared"/>
        <v>2.2760281653889283E-2</v>
      </c>
    </row>
    <row r="18" spans="1:7" x14ac:dyDescent="0.45">
      <c r="A18">
        <v>7</v>
      </c>
      <c r="B18" s="6" t="n">
        <v>13865.757529363807</v>
      </c>
      <c r="C18" s="9">
        <f si="0" t="shared"/>
        <v>1.1161441329280724E-2</v>
      </c>
      <c r="E18" s="371">
        <v>7</v>
      </c>
      <c r="F18" s="371" t="n">
        <v>17434.0</v>
      </c>
      <c r="G18" s="9">
        <f si="1" t="shared"/>
        <v>1.5170019251426784E-2</v>
      </c>
    </row>
    <row r="19" spans="1:7" x14ac:dyDescent="0.45">
      <c r="A19">
        <v>8</v>
      </c>
      <c r="B19" s="6" t="n">
        <v>15585.41395602469</v>
      </c>
      <c r="C19" s="9">
        <f si="0" t="shared"/>
        <v>7.1300695213160868E-3</v>
      </c>
      <c r="E19" s="371">
        <v>8</v>
      </c>
      <c r="F19" s="371" t="n">
        <v>13580.0</v>
      </c>
      <c r="G19" s="9">
        <f si="1" t="shared"/>
        <v>1.2154925397438218E-2</v>
      </c>
    </row>
    <row r="20" spans="1:7" x14ac:dyDescent="0.45">
      <c r="A20">
        <v>9</v>
      </c>
      <c r="B20" s="6" t="n">
        <v>8145.436154180859</v>
      </c>
      <c r="C20" s="9">
        <f si="0" t="shared"/>
        <v>2.4978879094771835E-2</v>
      </c>
      <c r="E20" s="371">
        <v>9</v>
      </c>
      <c r="F20" s="371" t="n">
        <v>11208.0</v>
      </c>
      <c r="G20" s="9">
        <f si="1" t="shared"/>
        <v>1.0931028414895823E-2</v>
      </c>
    </row>
    <row r="21" spans="1:7" x14ac:dyDescent="0.45">
      <c r="A21">
        <v>10</v>
      </c>
      <c r="B21" s="6" t="n">
        <v>11382.499075621674</v>
      </c>
      <c r="C21" s="9">
        <f si="0" t="shared"/>
        <v>4.1088172248631904E-3</v>
      </c>
      <c r="E21" s="371">
        <v>10</v>
      </c>
      <c r="F21" s="371" t="n">
        <v>9242.0</v>
      </c>
      <c r="G21" s="9">
        <f si="1" t="shared"/>
        <v>8.1733206216135987E-3</v>
      </c>
    </row>
    <row r="22" spans="1:7" x14ac:dyDescent="0.45">
      <c r="A22">
        <v>11</v>
      </c>
      <c r="B22" s="6" t="n">
        <v>10562.994328570672</v>
      </c>
      <c r="C22" s="9">
        <f si="0" t="shared"/>
        <v>1.4683007178675133E-2</v>
      </c>
      <c r="E22" s="371">
        <v>11</v>
      </c>
      <c r="F22" s="371" t="n">
        <v>8107.0</v>
      </c>
      <c r="G22" s="9">
        <f si="1" t="shared"/>
        <v>6.3217168175526781E-3</v>
      </c>
    </row>
    <row r="23" spans="1:7" x14ac:dyDescent="0.45">
      <c r="A23">
        <v>12</v>
      </c>
      <c r="B23" s="6" t="n">
        <v>5664.78943840133</v>
      </c>
      <c r="C23" s="9">
        <f si="0" t="shared"/>
        <v>4.1733024969949307E-3</v>
      </c>
      <c r="E23" s="371">
        <v>12</v>
      </c>
      <c r="F23" s="371" t="n">
        <v>7258.0</v>
      </c>
      <c r="G23" s="9">
        <f si="1" t="shared"/>
        <v>5.2238864769888977E-3</v>
      </c>
    </row>
    <row r="24" spans="1:7" x14ac:dyDescent="0.45">
      <c r="A24">
        <v>13</v>
      </c>
      <c r="B24" s="6" t="n">
        <v>4838.068286845618</v>
      </c>
      <c r="C24" s="9">
        <f si="0" t="shared"/>
        <v>1.8329258596908877E-3</v>
      </c>
      <c r="E24" s="371">
        <v>13</v>
      </c>
      <c r="F24" s="371" t="n">
        <v>5791.0</v>
      </c>
      <c r="G24" s="9">
        <f si="1" t="shared"/>
        <v>4.4884977321136381E-3</v>
      </c>
    </row>
    <row r="25" spans="1:7" x14ac:dyDescent="0.45">
      <c r="A25">
        <v>14</v>
      </c>
      <c r="B25" s="6" t="n">
        <v>7601.572930022691</v>
      </c>
      <c r="C25" s="9">
        <f si="0" t="shared"/>
        <v>0</v>
      </c>
      <c r="E25" s="371">
        <v>14</v>
      </c>
      <c r="F25" s="371" t="n">
        <v>4952.0</v>
      </c>
      <c r="G25" s="9">
        <f si="1" t="shared"/>
        <v>3.6769437243762983E-3</v>
      </c>
    </row>
    <row r="26" spans="1:7" x14ac:dyDescent="0.45">
      <c r="A26">
        <v>15</v>
      </c>
      <c r="B26" s="6" t="n">
        <v>4959.447438320828</v>
      </c>
      <c r="C26" s="9">
        <f si="0" t="shared"/>
        <v>0</v>
      </c>
      <c r="E26" s="371">
        <v>15</v>
      </c>
      <c r="F26" s="371" t="n">
        <v>4196.0</v>
      </c>
      <c r="G26" s="9">
        <f si="1" t="shared"/>
        <v>3.1647979913381709E-3</v>
      </c>
    </row>
    <row r="27" spans="1:7" x14ac:dyDescent="0.45">
      <c r="A27">
        <v>16</v>
      </c>
      <c r="B27" s="6" t="n">
        <v>4920.896064168864</v>
      </c>
      <c r="C27" s="9">
        <f si="0" t="shared"/>
        <v>8.7852468046566538E-3</v>
      </c>
      <c r="E27" s="371">
        <v>16</v>
      </c>
      <c r="F27" s="371" t="n">
        <v>3393.0</v>
      </c>
      <c r="G27" s="9">
        <f si="1" t="shared"/>
        <v>2.7655869584058872E-3</v>
      </c>
    </row>
    <row r="28" spans="1:7" x14ac:dyDescent="0.45">
      <c r="A28">
        <v>17</v>
      </c>
      <c r="B28" s="6" t="n">
        <v>3138.9439744037386</v>
      </c>
      <c r="C28" s="9">
        <f si="0" t="shared"/>
        <v>0</v>
      </c>
      <c r="E28" s="371">
        <v>17</v>
      </c>
      <c r="F28" s="371" t="n">
        <v>2722.0</v>
      </c>
      <c r="G28" s="9">
        <f si="1" t="shared"/>
        <v>2.2061662346257792E-3</v>
      </c>
    </row>
    <row r="29" spans="1:7" x14ac:dyDescent="0.45">
      <c r="A29">
        <v>18</v>
      </c>
      <c r="B29" s="6" t="n">
        <v>2698.327412180919</v>
      </c>
      <c r="C29" s="9">
        <f si="0" t="shared"/>
        <v>0</v>
      </c>
      <c r="E29" s="371">
        <v>18</v>
      </c>
      <c r="F29" s="371" t="n">
        <v>2308.0</v>
      </c>
      <c r="G29" s="9">
        <f si="1" t="shared"/>
        <v>2.3217273231061768E-3</v>
      </c>
    </row>
    <row r="30" spans="1:7" x14ac:dyDescent="0.45">
      <c r="A30">
        <v>19</v>
      </c>
      <c r="B30" s="6" t="n">
        <v>3975.7990726607372</v>
      </c>
      <c r="C30" s="9">
        <f si="0" t="shared"/>
        <v>0</v>
      </c>
      <c r="E30" s="371">
        <v>19</v>
      </c>
      <c r="F30" s="371" t="n">
        <v>1919.0</v>
      </c>
      <c r="G30" s="9">
        <f si="1" t="shared"/>
        <v>1.8621093575591394E-3</v>
      </c>
    </row>
    <row r="31" spans="1:7" x14ac:dyDescent="0.45">
      <c r="A31">
        <v>20</v>
      </c>
      <c r="B31" s="6" t="n">
        <v>1418.1957936073904</v>
      </c>
      <c r="C31" s="9">
        <f si="0" t="shared"/>
        <v>0</v>
      </c>
      <c r="E31" s="371">
        <v>20</v>
      </c>
      <c r="F31" s="371" t="n">
        <v>1720.0</v>
      </c>
      <c r="G31" s="9">
        <f si="1" t="shared"/>
        <v>1.7911968714461682E-3</v>
      </c>
    </row>
    <row r="32" spans="1:7" x14ac:dyDescent="0.45">
      <c r="A32">
        <v>21</v>
      </c>
      <c r="B32" s="6" t="n">
        <v>824.6553641419725</v>
      </c>
      <c r="C32" s="9">
        <f si="0" t="shared"/>
        <v>0</v>
      </c>
      <c r="E32" s="371">
        <v>21</v>
      </c>
      <c r="F32" s="371" t="n">
        <v>1464.0</v>
      </c>
      <c r="G32" s="9">
        <f si="1" t="shared"/>
        <v>1.6309871805983435E-3</v>
      </c>
    </row>
    <row r="33" spans="1:7" x14ac:dyDescent="0.45">
      <c r="A33">
        <v>22</v>
      </c>
      <c r="B33" s="6" t="n">
        <v>1115.8773418026374</v>
      </c>
      <c r="C33" s="9">
        <f si="0" t="shared"/>
        <v>5.8283701678004604E-3</v>
      </c>
      <c r="E33" s="371">
        <v>22</v>
      </c>
      <c r="F33" s="371" t="n">
        <v>1273.0</v>
      </c>
      <c r="G33" s="9">
        <f si="1" t="shared"/>
        <v>1.3263261291500217E-3</v>
      </c>
    </row>
    <row r="34" spans="1:7" x14ac:dyDescent="0.45">
      <c r="A34">
        <v>23</v>
      </c>
      <c r="B34" s="6" t="n">
        <v>1983.3659315582804</v>
      </c>
      <c r="C34" s="9">
        <f si="0" t="shared"/>
        <v>0</v>
      </c>
      <c r="E34" s="371">
        <v>23</v>
      </c>
      <c r="F34" s="371" t="n">
        <v>1124.0</v>
      </c>
      <c r="G34" s="9">
        <f si="1" t="shared"/>
        <v>1.2186442057932874E-3</v>
      </c>
    </row>
    <row r="35" spans="1:7" x14ac:dyDescent="0.45">
      <c r="A35">
        <v>24</v>
      </c>
      <c r="B35" s="6" t="n">
        <v>410.32503282941667</v>
      </c>
      <c r="C35" s="9">
        <f si="0" t="shared"/>
        <v>0</v>
      </c>
      <c r="E35" s="371">
        <v>24</v>
      </c>
      <c r="F35" s="371" t="n">
        <v>1031.0</v>
      </c>
      <c r="G35" s="9">
        <f si="1" t="shared"/>
        <v>1.1004567289383349E-3</v>
      </c>
    </row>
    <row r="36" spans="1:7" x14ac:dyDescent="0.45">
      <c r="A36">
        <v>25</v>
      </c>
      <c r="B36" s="6" t="n">
        <v>697.8625709945837</v>
      </c>
      <c r="C36" s="9">
        <f si="0" t="shared"/>
        <v>0</v>
      </c>
      <c r="E36" s="371">
        <v>25</v>
      </c>
      <c r="F36" s="371" t="n">
        <v>913.0</v>
      </c>
      <c r="G36" s="9">
        <f si="1" t="shared"/>
        <v>7.931692891154585E-4</v>
      </c>
    </row>
    <row r="37" spans="1:7" x14ac:dyDescent="0.45">
      <c r="A37">
        <v>26</v>
      </c>
      <c r="B37" s="6" t="n">
        <v>1137.8528334753432</v>
      </c>
      <c r="C37" s="9">
        <f si="0" t="shared"/>
        <v>0</v>
      </c>
      <c r="E37" s="371">
        <v>26</v>
      </c>
      <c r="F37" s="371" t="n">
        <v>783.0</v>
      </c>
      <c r="G37" s="9">
        <f si="1" t="shared"/>
        <v>7.7215818211902256E-4</v>
      </c>
    </row>
    <row r="38" spans="1:7" x14ac:dyDescent="0.45">
      <c r="A38">
        <v>27</v>
      </c>
      <c r="B38" s="6" t="n">
        <v>464.4122890143214</v>
      </c>
      <c r="C38" s="9">
        <f si="0" t="shared"/>
        <v>0</v>
      </c>
      <c r="E38" s="371">
        <v>27</v>
      </c>
      <c r="F38" s="371" t="n">
        <v>730.0</v>
      </c>
      <c r="G38" s="9">
        <f si="1" t="shared"/>
        <v>6.5922348201317917E-4</v>
      </c>
    </row>
    <row r="39" spans="1:7" x14ac:dyDescent="0.45">
      <c r="A39">
        <v>28</v>
      </c>
      <c r="B39" s="6" t="n">
        <v>1173.9952197362693</v>
      </c>
      <c r="C39" s="9">
        <f si="0" t="shared"/>
        <v>0</v>
      </c>
      <c r="E39" s="371">
        <v>28</v>
      </c>
      <c r="F39" s="371" t="n">
        <v>727.0</v>
      </c>
      <c r="G39" s="9">
        <f si="1" t="shared"/>
        <v>7.1437763787882364E-4</v>
      </c>
    </row>
    <row r="40" spans="1:7" x14ac:dyDescent="0.45">
      <c r="A40">
        <v>29</v>
      </c>
      <c r="B40" s="6" t="n">
        <v>499.4341753732196</v>
      </c>
      <c r="C40" s="9">
        <f si="0" t="shared"/>
        <v>0</v>
      </c>
      <c r="E40" s="371">
        <v>29</v>
      </c>
      <c r="F40" s="371" t="n">
        <v>620.0</v>
      </c>
      <c r="G40" s="9">
        <f si="1" t="shared"/>
        <v>6.0669571452208915E-4</v>
      </c>
    </row>
    <row r="41" spans="1:7" x14ac:dyDescent="0.45">
      <c r="A41">
        <v>30</v>
      </c>
      <c r="B41" s="6" t="n">
        <v>212.2040745405007</v>
      </c>
      <c r="C41" s="9">
        <f si="0" t="shared"/>
        <v>0</v>
      </c>
      <c r="E41" s="371">
        <v>30</v>
      </c>
      <c r="F41" s="371" t="n">
        <v>512.0</v>
      </c>
      <c r="G41" s="9">
        <f si="1" t="shared"/>
        <v>4.6749713067070075E-4</v>
      </c>
    </row>
    <row r="42" spans="1:7" x14ac:dyDescent="0.45">
      <c r="A42">
        <v>31</v>
      </c>
      <c r="B42" s="6" t="n">
        <v>133.598432217548</v>
      </c>
      <c r="C42" s="9">
        <f si="0" t="shared"/>
        <v>0</v>
      </c>
      <c r="E42" s="371">
        <v>31</v>
      </c>
      <c r="F42" s="371" t="n">
        <v>411.0</v>
      </c>
      <c r="G42" s="9">
        <f si="1" t="shared"/>
        <v>4.3335408180149228E-4</v>
      </c>
    </row>
    <row r="43" spans="1:7" x14ac:dyDescent="0.45">
      <c r="A43">
        <v>32</v>
      </c>
      <c r="B43" s="6" t="n">
        <v>245.0051200390152</v>
      </c>
      <c r="C43" s="9">
        <f si="0" t="shared"/>
        <v>0</v>
      </c>
      <c r="E43" s="371">
        <v>32</v>
      </c>
      <c r="F43" s="371" t="n">
        <v>368.0</v>
      </c>
      <c r="G43" s="9">
        <f si="1" t="shared"/>
        <v>3.8870547943406578E-4</v>
      </c>
    </row>
    <row r="44" spans="1:7" x14ac:dyDescent="0.45">
      <c r="A44">
        <v>33</v>
      </c>
      <c r="B44" s="6" t="n">
        <v>318.7548590776437</v>
      </c>
      <c r="C44" s="9">
        <f si="0" t="shared"/>
        <v>0</v>
      </c>
      <c r="E44" s="371">
        <v>33</v>
      </c>
      <c r="F44" s="371" t="n">
        <v>281.0</v>
      </c>
      <c r="G44" s="9">
        <f si="1" t="shared"/>
        <v>3.5981520731396632E-4</v>
      </c>
    </row>
    <row r="45" spans="1:7" x14ac:dyDescent="0.4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206.0</v>
      </c>
      <c r="G45" s="9">
        <f si="1" t="shared"/>
        <v>3.3617771194297582E-4</v>
      </c>
    </row>
    <row r="46" spans="1:7" x14ac:dyDescent="0.45">
      <c r="A46">
        <v>35</v>
      </c>
      <c r="B46" s="6" t="n">
        <v>93.215326109027</v>
      </c>
      <c r="C46" s="9">
        <f si="0" t="shared"/>
        <v>0</v>
      </c>
      <c r="E46" s="371">
        <v>35</v>
      </c>
      <c r="F46" s="371" t="n">
        <v>210.0</v>
      </c>
      <c r="G46" s="9">
        <f si="1" t="shared"/>
        <v>1.4182497222594293E-4</v>
      </c>
    </row>
    <row r="47" spans="1:7" x14ac:dyDescent="0.45">
      <c r="A47">
        <v>36</v>
      </c>
      <c r="B47" s="6" t="n">
        <v>398.84792079816</v>
      </c>
      <c r="C47" s="9">
        <f si="0" t="shared"/>
        <v>0</v>
      </c>
      <c r="E47" s="371">
        <v>36</v>
      </c>
      <c r="F47" s="371" t="n">
        <v>193.0</v>
      </c>
      <c r="G47" s="9">
        <f si="1" t="shared"/>
        <v>1.4707774897505192E-4</v>
      </c>
    </row>
    <row r="48" spans="1:7" x14ac:dyDescent="0.45">
      <c r="A48">
        <v>37</v>
      </c>
      <c r="B48" s="6" t="n">
        <v>354.158006696798</v>
      </c>
      <c r="C48" s="9">
        <f si="0" t="shared"/>
        <v>0</v>
      </c>
      <c r="E48" s="371">
        <v>37</v>
      </c>
      <c r="F48" s="371" t="n">
        <v>240.0</v>
      </c>
      <c r="G48" s="9">
        <f si="1" t="shared"/>
        <v>9.7176369858516446E-5</v>
      </c>
    </row>
    <row r="49" spans="1:7" x14ac:dyDescent="0.45">
      <c r="A49">
        <v>38</v>
      </c>
      <c r="B49" s="6" t="n">
        <v>40.3603351609789</v>
      </c>
      <c r="C49" s="9">
        <f si="0" t="shared"/>
        <v>0</v>
      </c>
      <c r="E49" s="371">
        <v>38</v>
      </c>
      <c r="F49" s="371" t="n">
        <v>89.0</v>
      </c>
      <c r="G49" s="9">
        <f si="1" t="shared"/>
        <v>1.2344025360406141E-4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89.0</v>
      </c>
      <c r="G50" s="9">
        <f si="1" t="shared"/>
        <v>1.3394580710227941E-4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77.0</v>
      </c>
      <c r="G51" s="9">
        <f si="1" t="shared"/>
        <v>8.4044427985743956E-5</v>
      </c>
    </row>
    <row r="52" spans="1:7" x14ac:dyDescent="0.45">
      <c r="A52">
        <v>41</v>
      </c>
      <c r="B52" s="6" t="n">
        <v>856.3638162988229</v>
      </c>
      <c r="C52" s="9">
        <f si="0" t="shared"/>
        <v>0</v>
      </c>
      <c r="E52" s="371">
        <v>41</v>
      </c>
      <c r="F52" s="371" t="n">
        <v>85.0</v>
      </c>
      <c r="G52" s="9">
        <f si="1" t="shared"/>
        <v>7.3538874487525958E-5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42.0</v>
      </c>
      <c r="G53" s="9">
        <f si="1" t="shared"/>
        <v>5.2527767491089969E-5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43.0</v>
      </c>
      <c r="G54" s="9">
        <f si="1" t="shared"/>
        <v>5.7780544240198968E-5</v>
      </c>
    </row>
    <row r="55" spans="1:7" x14ac:dyDescent="0.45">
      <c r="A55">
        <v>44</v>
      </c>
      <c r="B55" s="6" t="n">
        <v>103.355173542079</v>
      </c>
      <c r="C55" s="9">
        <f si="0" t="shared"/>
        <v>0</v>
      </c>
      <c r="E55" s="371">
        <v>44</v>
      </c>
      <c r="F55" s="371" t="n">
        <v>34.0</v>
      </c>
      <c r="G55" s="9">
        <f si="1" t="shared"/>
        <v>4.9901379116535469E-5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41.0</v>
      </c>
      <c r="G56" s="9">
        <f si="1" t="shared"/>
        <v>7.0912486112971465E-5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20.0</v>
      </c>
      <c r="G57" s="9">
        <f si="1" t="shared"/>
        <v>2.8890272120099484E-5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19.0</v>
      </c>
      <c r="G58" s="9">
        <f si="1" t="shared"/>
        <v>2.1011106996435989E-5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53.0</v>
      </c>
      <c r="G59" s="9">
        <f si="1" t="shared"/>
        <v>2.8890272120099484E-5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8.0</v>
      </c>
      <c r="G60" s="9">
        <f si="1" t="shared"/>
        <v>1.8384718621881489E-5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7.0</v>
      </c>
      <c r="G61" s="9">
        <f si="1" t="shared"/>
        <v>2.8890272120099484E-5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7.0</v>
      </c>
      <c r="G62" s="9">
        <f si="1" t="shared"/>
        <v>7.8791651236634967E-6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40.0</v>
      </c>
      <c r="G63" s="9">
        <f si="1" t="shared"/>
        <v>7.8791651236634967E-6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21.0</v>
      </c>
      <c r="G64" s="9">
        <f si="1" t="shared"/>
        <v>2.3637495370990488E-5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1.0</v>
      </c>
      <c r="G65" s="9">
        <f si="1" t="shared"/>
        <v>0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2.0</v>
      </c>
      <c r="G66" s="9">
        <f si="1" t="shared"/>
        <v>7.8791651236634967E-6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7.0</v>
      </c>
      <c r="G67" s="9">
        <f si="1" t="shared"/>
        <v>7.8791651236634967E-6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16.0</v>
      </c>
      <c r="G68" s="9">
        <f si="1" t="shared"/>
        <v>5.2527767491089972E-6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2.6263883745544986E-6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5.2527767491089972E-6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2.6263883745544986E-6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7.8791651236634967E-6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5.2527767491089972E-6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11.0</v>
      </c>
      <c r="G79" s="9">
        <f si="3" t="shared"/>
        <v>5.2527767491089972E-6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2.6263883745544986E-6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2.1011106996435989E-5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1.0505553498217994E-5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2.0</v>
      </c>
      <c r="G101" s="9">
        <f si="3" t="shared"/>
        <v>0</v>
      </c>
    </row>
    <row r="102" spans="1:7" x14ac:dyDescent="0.45">
      <c r="B102" s="6">
        <f>SUM(B11:B101)</f>
        <v>101938.00338150136</v>
      </c>
      <c r="C102" s="9">
        <f si="2" t="shared"/>
        <v>1</v>
      </c>
      <c r="F102" s="6">
        <f>SUM(F11:F101)</f>
        <v>126916.99999987311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7.023294217603207E-2</v>
      </c>
      <c r="E11" s="371">
        <v>0</v>
      </c>
      <c r="F11" s="371" t="n">
        <v>4124.0</v>
      </c>
      <c r="G11" s="9">
        <f>F11/F$102</f>
        <v>4.5678146610251838E-2</v>
      </c>
      <c r="K11" s="6" t="n">
        <v>11.761398165581342</v>
      </c>
      <c r="L11" s="6" t="n">
        <v>13.86139311652608</v>
      </c>
    </row>
    <row r="12" spans="1:12" x14ac:dyDescent="0.45">
      <c r="A12">
        <v>1</v>
      </c>
      <c r="B12" s="6" t="n">
        <v>0.0</v>
      </c>
      <c r="C12" s="9">
        <f>B12/B$102</f>
        <v>0.10447892595112904</v>
      </c>
      <c r="E12" s="371">
        <v>1</v>
      </c>
      <c r="F12" s="371" t="n">
        <v>19566.0</v>
      </c>
      <c r="G12" s="9">
        <f>F12/F$102</f>
        <v>0.11980007931692888</v>
      </c>
      <c r="K12" s="6"/>
      <c r="L12" s="371"/>
    </row>
    <row r="13" spans="1:12" x14ac:dyDescent="0.45">
      <c r="A13">
        <v>2</v>
      </c>
      <c r="B13" s="6" t="n">
        <v>5756.340173373248</v>
      </c>
      <c r="C13" s="9">
        <f ref="C13:C76" si="0" t="shared">B13/B$102</f>
        <v>0.17407511221020333</v>
      </c>
      <c r="E13" s="371">
        <v>2</v>
      </c>
      <c r="F13" s="371" t="n">
        <v>13986.0</v>
      </c>
      <c r="G13" s="9">
        <f ref="G13:G76" si="1" t="shared">F13/F$102</f>
        <v>0.17061544158780931</v>
      </c>
    </row>
    <row r="14" spans="1:12" x14ac:dyDescent="0.45">
      <c r="A14">
        <v>3</v>
      </c>
      <c r="B14" s="6" t="n">
        <v>51838.5106061232</v>
      </c>
      <c r="C14" s="9">
        <f si="0" t="shared"/>
        <v>0.17413331862360157</v>
      </c>
      <c r="E14" s="371">
        <v>3</v>
      </c>
      <c r="F14" s="371" t="n">
        <v>19953.0</v>
      </c>
      <c r="G14" s="9">
        <f si="1" t="shared"/>
        <v>0.16350318186951573</v>
      </c>
    </row>
    <row r="15" spans="1:12" x14ac:dyDescent="0.45">
      <c r="A15">
        <v>4</v>
      </c>
      <c r="B15" s="6" t="n">
        <v>52033.8805802895</v>
      </c>
      <c r="C15" s="9">
        <f si="0" t="shared"/>
        <v>0.15600704558551526</v>
      </c>
      <c r="E15" s="371">
        <v>4</v>
      </c>
      <c r="F15" s="371" t="n">
        <v>27333.0</v>
      </c>
      <c r="G15" s="9">
        <f si="1" t="shared"/>
        <v>0.1169478215421627</v>
      </c>
    </row>
    <row r="16" spans="1:12" x14ac:dyDescent="0.45">
      <c r="A16">
        <v>5</v>
      </c>
      <c r="B16" s="6" t="n">
        <v>52371.57527995504</v>
      </c>
      <c r="C16" s="9">
        <f si="0" t="shared"/>
        <v>0.13137139092789929</v>
      </c>
      <c r="E16" s="371">
        <v>5</v>
      </c>
      <c r="F16" s="371" t="n">
        <v>30429.0</v>
      </c>
      <c r="G16" s="9">
        <f si="1" t="shared"/>
        <v>7.6188900357451433E-2</v>
      </c>
    </row>
    <row r="17" spans="1:7" x14ac:dyDescent="0.45">
      <c r="A17">
        <v>6</v>
      </c>
      <c r="B17" s="6" t="n">
        <v>46417.52877665162</v>
      </c>
      <c r="C17" s="9">
        <f si="0" t="shared"/>
        <v>4.1129683964349267E-2</v>
      </c>
      <c r="E17" s="371">
        <v>6</v>
      </c>
      <c r="F17" s="371" t="n">
        <v>33216.0</v>
      </c>
      <c r="G17" s="9">
        <f si="1" t="shared"/>
        <v>5.2393821683987686E-2</v>
      </c>
    </row>
    <row r="18" spans="1:7" x14ac:dyDescent="0.45">
      <c r="A18">
        <v>7</v>
      </c>
      <c r="B18" s="6" t="n">
        <v>51882.72955642688</v>
      </c>
      <c r="C18" s="9">
        <f si="0" t="shared"/>
        <v>2.8408318367799605E-2</v>
      </c>
      <c r="E18" s="371">
        <v>7</v>
      </c>
      <c r="F18" s="371" t="n">
        <v>33259.0</v>
      </c>
      <c r="G18" s="9">
        <f si="1" t="shared"/>
        <v>3.6845602506625053E-2</v>
      </c>
    </row>
    <row r="19" spans="1:7" x14ac:dyDescent="0.45">
      <c r="A19">
        <v>8</v>
      </c>
      <c r="B19" s="6" t="n">
        <v>33215.09722344228</v>
      </c>
      <c r="C19" s="9">
        <f si="0" t="shared"/>
        <v>1.7994487057175497E-2</v>
      </c>
      <c r="E19" s="371">
        <v>8</v>
      </c>
      <c r="F19" s="371" t="n">
        <v>31012.0</v>
      </c>
      <c r="G19" s="9">
        <f si="1" t="shared"/>
        <v>2.7548187660702134E-2</v>
      </c>
    </row>
    <row r="20" spans="1:7" x14ac:dyDescent="0.45">
      <c r="A20">
        <v>9</v>
      </c>
      <c r="B20" s="6" t="n">
        <v>28072.994960346805</v>
      </c>
      <c r="C20" s="9">
        <f si="0" t="shared"/>
        <v>9.4091085417030047E-3</v>
      </c>
      <c r="E20" s="371">
        <v>9</v>
      </c>
      <c r="F20" s="371" t="n">
        <v>28410.0</v>
      </c>
      <c r="G20" s="9">
        <f si="1" t="shared"/>
        <v>2.1688715197071048E-2</v>
      </c>
    </row>
    <row r="21" spans="1:7" x14ac:dyDescent="0.45">
      <c r="A21">
        <v>10</v>
      </c>
      <c r="B21" s="6" t="n">
        <v>23309.050236100305</v>
      </c>
      <c r="C21" s="9">
        <f si="0" t="shared"/>
        <v>6.547643394069034E-3</v>
      </c>
      <c r="E21" s="371">
        <v>10</v>
      </c>
      <c r="F21" s="371" t="n">
        <v>26352.0</v>
      </c>
      <c r="G21" s="9">
        <f si="1" t="shared"/>
        <v>1.9238294843611701E-2</v>
      </c>
    </row>
    <row r="22" spans="1:7" x14ac:dyDescent="0.45">
      <c r="A22">
        <v>11</v>
      </c>
      <c r="B22" s="6" t="n">
        <v>25099.297537356804</v>
      </c>
      <c r="C22" s="9">
        <f si="0" t="shared"/>
        <v>1.3697875257393119E-2</v>
      </c>
      <c r="E22" s="371">
        <v>11</v>
      </c>
      <c r="F22" s="371" t="n">
        <v>23086.0</v>
      </c>
      <c r="G22" s="9">
        <f si="1" t="shared"/>
        <v>1.598682603591323E-2</v>
      </c>
    </row>
    <row r="23" spans="1:7" x14ac:dyDescent="0.45">
      <c r="A23">
        <v>12</v>
      </c>
      <c r="B23" s="6" t="n">
        <v>18599.837786274355</v>
      </c>
      <c r="C23" s="9">
        <f si="0" t="shared"/>
        <v>6.6216953939841703E-3</v>
      </c>
      <c r="E23" s="371">
        <v>12</v>
      </c>
      <c r="F23" s="371" t="n">
        <v>21564.0</v>
      </c>
      <c r="G23" s="9">
        <f si="1" t="shared"/>
        <v>1.3570548731323094E-2</v>
      </c>
    </row>
    <row r="24" spans="1:7" x14ac:dyDescent="0.45">
      <c r="A24">
        <v>13</v>
      </c>
      <c r="B24" s="6" t="n">
        <v>18626.36092009178</v>
      </c>
      <c r="C24" s="9">
        <f si="0" t="shared"/>
        <v>4.6609959390327754E-3</v>
      </c>
      <c r="E24" s="371">
        <v>13</v>
      </c>
      <c r="F24" s="371" t="n">
        <v>18676.0</v>
      </c>
      <c r="G24" s="9">
        <f si="1" t="shared"/>
        <v>1.2614543362985255E-2</v>
      </c>
    </row>
    <row r="25" spans="1:7" x14ac:dyDescent="0.45">
      <c r="A25">
        <v>14</v>
      </c>
      <c r="B25" s="6" t="n">
        <v>16181.41445558458</v>
      </c>
      <c r="C25" s="9">
        <f si="0" t="shared"/>
        <v>7.1300695213160903E-3</v>
      </c>
      <c r="E25" s="371">
        <v>14</v>
      </c>
      <c r="F25" s="371" t="n">
        <v>16790.0</v>
      </c>
      <c r="G25" s="9">
        <f si="1" t="shared"/>
        <v>1.0710411791433245E-2</v>
      </c>
    </row>
    <row r="26" spans="1:7" x14ac:dyDescent="0.45">
      <c r="A26">
        <v>15</v>
      </c>
      <c r="B26" s="6" t="n">
        <v>16450.270687392163</v>
      </c>
      <c r="C26" s="9">
        <f si="0" t="shared"/>
        <v>1.4689717356115947E-2</v>
      </c>
      <c r="E26" s="371">
        <v>15</v>
      </c>
      <c r="F26" s="371" t="n">
        <v>14803.0</v>
      </c>
      <c r="G26" s="9">
        <f si="1" t="shared"/>
        <v>9.068919057336684E-3</v>
      </c>
    </row>
    <row r="27" spans="1:7" x14ac:dyDescent="0.45">
      <c r="A27">
        <v>16</v>
      </c>
      <c r="B27" s="6" t="n">
        <v>9297.296959149273</v>
      </c>
      <c r="C27" s="9">
        <f si="0" t="shared"/>
        <v>0</v>
      </c>
      <c r="E27" s="371">
        <v>16</v>
      </c>
      <c r="F27" s="371" t="n">
        <v>13351.0</v>
      </c>
      <c r="G27" s="9">
        <f si="1" t="shared"/>
        <v>7.2777221858905151E-3</v>
      </c>
    </row>
    <row r="28" spans="1:7" x14ac:dyDescent="0.45">
      <c r="A28">
        <v>17</v>
      </c>
      <c r="B28" s="6" t="n">
        <v>8390.535083957298</v>
      </c>
      <c r="C28" s="9">
        <f si="0" t="shared"/>
        <v>4.108817224863193E-3</v>
      </c>
      <c r="E28" s="371">
        <v>17</v>
      </c>
      <c r="F28" s="371" t="n">
        <v>11799.0</v>
      </c>
      <c r="G28" s="9">
        <f si="1" t="shared"/>
        <v>6.9310389204493214E-3</v>
      </c>
    </row>
    <row r="29" spans="1:7" x14ac:dyDescent="0.45">
      <c r="A29">
        <v>18</v>
      </c>
      <c r="B29" s="6" t="n">
        <v>5198.999275639427</v>
      </c>
      <c r="C29" s="9">
        <f si="0" t="shared"/>
        <v>1.468300717867514E-2</v>
      </c>
      <c r="E29" s="371">
        <v>18</v>
      </c>
      <c r="F29" s="371" t="n">
        <v>10260.0</v>
      </c>
      <c r="G29" s="9">
        <f si="1" t="shared"/>
        <v>5.9724071637369293E-3</v>
      </c>
    </row>
    <row r="30" spans="1:7" x14ac:dyDescent="0.45">
      <c r="A30">
        <v>19</v>
      </c>
      <c r="B30" s="6" t="n">
        <v>5340.373050003063</v>
      </c>
      <c r="C30" s="9">
        <f si="0" t="shared"/>
        <v>7.9915787015350415E-4</v>
      </c>
      <c r="E30" s="371">
        <v>19</v>
      </c>
      <c r="F30" s="371" t="n">
        <v>9242.0</v>
      </c>
      <c r="G30" s="9">
        <f si="1" t="shared"/>
        <v>5.4628878190733574E-3</v>
      </c>
    </row>
    <row r="31" spans="1:7" x14ac:dyDescent="0.45">
      <c r="A31">
        <v>20</v>
      </c>
      <c r="B31" s="6" t="n">
        <v>7457.808681952166</v>
      </c>
      <c r="C31" s="9">
        <f si="0" t="shared"/>
        <v>3.3741446268414281E-3</v>
      </c>
      <c r="E31" s="371">
        <v>20</v>
      </c>
      <c r="F31" s="371" t="n">
        <v>8325.0</v>
      </c>
      <c r="G31" s="9">
        <f si="1" t="shared"/>
        <v>5.0925670582611729E-3</v>
      </c>
    </row>
    <row r="32" spans="1:7" x14ac:dyDescent="0.45">
      <c r="A32">
        <v>21</v>
      </c>
      <c r="B32" s="6" t="n">
        <v>4640.5762890860315</v>
      </c>
      <c r="C32" s="9">
        <f si="0" t="shared"/>
        <v>1.8329258596908886E-3</v>
      </c>
      <c r="E32" s="371">
        <v>21</v>
      </c>
      <c r="F32" s="371" t="n">
        <v>7448.0</v>
      </c>
      <c r="G32" s="9">
        <f si="1" t="shared"/>
        <v>4.7931587835619597E-3</v>
      </c>
    </row>
    <row r="33" spans="1:7" x14ac:dyDescent="0.45">
      <c r="A33">
        <v>22</v>
      </c>
      <c r="B33" s="6" t="n">
        <v>4105.793351626445</v>
      </c>
      <c r="C33" s="9">
        <f si="0" t="shared"/>
        <v>0</v>
      </c>
      <c r="E33" s="371">
        <v>22</v>
      </c>
      <c r="F33" s="371" t="n">
        <v>6697.0</v>
      </c>
      <c r="G33" s="9">
        <f si="1" t="shared"/>
        <v>4.1838366806653165E-3</v>
      </c>
    </row>
    <row r="34" spans="1:7" x14ac:dyDescent="0.45">
      <c r="A34">
        <v>23</v>
      </c>
      <c r="B34" s="6" t="n">
        <v>6124.698270076776</v>
      </c>
      <c r="C34" s="9">
        <f si="0" t="shared"/>
        <v>0</v>
      </c>
      <c r="E34" s="371">
        <v>23</v>
      </c>
      <c r="F34" s="371" t="n">
        <v>6115.0</v>
      </c>
      <c r="G34" s="9">
        <f si="1" t="shared"/>
        <v>4.0236269898174916E-3</v>
      </c>
    </row>
    <row r="35" spans="1:7" x14ac:dyDescent="0.45">
      <c r="A35">
        <v>24</v>
      </c>
      <c r="B35" s="6" t="n">
        <v>4852.115795449157</v>
      </c>
      <c r="C35" s="9">
        <f si="0" t="shared"/>
        <v>1.8382259282243973E-3</v>
      </c>
      <c r="E35" s="371">
        <v>24</v>
      </c>
      <c r="F35" s="371" t="n">
        <v>5479.0</v>
      </c>
      <c r="G35" s="9">
        <f si="1" t="shared"/>
        <v>4.0183742130683832E-3</v>
      </c>
    </row>
    <row r="36" spans="1:7" x14ac:dyDescent="0.45">
      <c r="A36">
        <v>25</v>
      </c>
      <c r="B36" s="6" t="n">
        <v>2811.663648368857</v>
      </c>
      <c r="C36" s="9">
        <f si="0" t="shared"/>
        <v>6.94702087643226E-3</v>
      </c>
      <c r="E36" s="371">
        <v>25</v>
      </c>
      <c r="F36" s="371" t="n">
        <v>4890.0</v>
      </c>
      <c r="G36" s="9">
        <f si="1" t="shared"/>
        <v>3.3801618380516398E-3</v>
      </c>
    </row>
    <row r="37" spans="1:7" x14ac:dyDescent="0.45">
      <c r="A37">
        <v>26</v>
      </c>
      <c r="B37" s="6" t="n">
        <v>3461.530345210533</v>
      </c>
      <c r="C37" s="9">
        <f si="0" t="shared"/>
        <v>0</v>
      </c>
      <c r="E37" s="371">
        <v>26</v>
      </c>
      <c r="F37" s="371" t="n">
        <v>4496.0</v>
      </c>
      <c r="G37" s="9">
        <f si="1" t="shared"/>
        <v>2.944181367875593E-3</v>
      </c>
    </row>
    <row r="38" spans="1:7" x14ac:dyDescent="0.45">
      <c r="A38">
        <v>27</v>
      </c>
      <c r="B38" s="6" t="n">
        <v>5813.949482037516</v>
      </c>
      <c r="C38" s="9">
        <f si="0" t="shared"/>
        <v>0</v>
      </c>
      <c r="E38" s="371">
        <v>27</v>
      </c>
      <c r="F38" s="371" t="n">
        <v>4008.0</v>
      </c>
      <c r="G38" s="9">
        <f si="1" t="shared"/>
        <v>2.5187064511977639E-3</v>
      </c>
    </row>
    <row r="39" spans="1:7" x14ac:dyDescent="0.45">
      <c r="A39">
        <v>28</v>
      </c>
      <c r="B39" s="6" t="n">
        <v>5363.562776675681</v>
      </c>
      <c r="C39" s="9">
        <f si="0" t="shared"/>
        <v>0</v>
      </c>
      <c r="E39" s="371">
        <v>28</v>
      </c>
      <c r="F39" s="371" t="n">
        <v>3627.0</v>
      </c>
      <c r="G39" s="9">
        <f si="1" t="shared"/>
        <v>2.2061662346257792E-3</v>
      </c>
    </row>
    <row r="40" spans="1:7" x14ac:dyDescent="0.45">
      <c r="A40">
        <v>29</v>
      </c>
      <c r="B40" s="6" t="n">
        <v>9175.155369330856</v>
      </c>
      <c r="C40" s="9">
        <f si="0" t="shared"/>
        <v>0</v>
      </c>
      <c r="E40" s="371">
        <v>29</v>
      </c>
      <c r="F40" s="371" t="n">
        <v>3238.0</v>
      </c>
      <c r="G40" s="9">
        <f si="1" t="shared"/>
        <v>2.0590884856507268E-3</v>
      </c>
    </row>
    <row r="41" spans="1:7" x14ac:dyDescent="0.45">
      <c r="A41">
        <v>30</v>
      </c>
      <c r="B41" s="6" t="n">
        <v>1327.843983229308</v>
      </c>
      <c r="C41" s="9">
        <f si="0" t="shared"/>
        <v>0</v>
      </c>
      <c r="E41" s="371">
        <v>30</v>
      </c>
      <c r="F41" s="371" t="n">
        <v>3008.0</v>
      </c>
      <c r="G41" s="9">
        <f si="1" t="shared"/>
        <v>2.0301982135306272E-3</v>
      </c>
    </row>
    <row r="42" spans="1:7" x14ac:dyDescent="0.45">
      <c r="A42">
        <v>31</v>
      </c>
      <c r="B42" s="6" t="n">
        <v>2050.280762295388</v>
      </c>
      <c r="C42" s="9">
        <f si="0" t="shared"/>
        <v>0</v>
      </c>
      <c r="E42" s="371">
        <v>31</v>
      </c>
      <c r="F42" s="371" t="n">
        <v>2790.0</v>
      </c>
      <c r="G42" s="9">
        <f si="1" t="shared"/>
        <v>2.2245509532476605E-3</v>
      </c>
    </row>
    <row r="43" spans="1:7" x14ac:dyDescent="0.45">
      <c r="A43">
        <v>32</v>
      </c>
      <c r="B43" s="6" t="n">
        <v>2839.5891925971337</v>
      </c>
      <c r="C43" s="9">
        <f si="0" t="shared"/>
        <v>0</v>
      </c>
      <c r="E43" s="371">
        <v>32</v>
      </c>
      <c r="F43" s="371" t="n">
        <v>2402.0</v>
      </c>
      <c r="G43" s="9">
        <f si="1" t="shared"/>
        <v>2.1326273601382528E-3</v>
      </c>
    </row>
    <row r="44" spans="1:7" x14ac:dyDescent="0.45">
      <c r="A44">
        <v>33</v>
      </c>
      <c r="B44" s="6" t="n">
        <v>1402.015191240907</v>
      </c>
      <c r="C44" s="9">
        <f si="0" t="shared"/>
        <v>2.6094514713564756E-3</v>
      </c>
      <c r="E44" s="371">
        <v>33</v>
      </c>
      <c r="F44" s="371" t="n">
        <v>2215.0</v>
      </c>
      <c r="G44" s="9">
        <f si="1" t="shared"/>
        <v>1.8437246389372578E-3</v>
      </c>
    </row>
    <row r="45" spans="1:7" x14ac:dyDescent="0.45">
      <c r="A45">
        <v>34</v>
      </c>
      <c r="B45" s="6" t="n">
        <v>1191.1441051080071</v>
      </c>
      <c r="C45" s="9">
        <f si="0" t="shared"/>
        <v>3.218918696443987E-3</v>
      </c>
      <c r="E45" s="371">
        <v>34</v>
      </c>
      <c r="F45" s="371" t="n">
        <v>2091.0</v>
      </c>
      <c r="G45" s="9">
        <f si="1" t="shared"/>
        <v>1.6677566178421067E-3</v>
      </c>
    </row>
    <row r="46" spans="1:7" x14ac:dyDescent="0.45">
      <c r="A46">
        <v>35</v>
      </c>
      <c r="B46" s="6" t="n">
        <v>525.1873656734535</v>
      </c>
      <c r="C46" s="9">
        <f si="0" t="shared"/>
        <v>0</v>
      </c>
      <c r="E46" s="371">
        <v>35</v>
      </c>
      <c r="F46" s="371" t="n">
        <v>1862.0</v>
      </c>
      <c r="G46" s="9">
        <f si="1" t="shared"/>
        <v>1.3867330617647752E-3</v>
      </c>
    </row>
    <row r="47" spans="1:7" x14ac:dyDescent="0.45">
      <c r="A47">
        <v>36</v>
      </c>
      <c r="B47" s="6" t="n">
        <v>1450.4902054781587</v>
      </c>
      <c r="C47" s="9">
        <f si="0" t="shared"/>
        <v>0</v>
      </c>
      <c r="E47" s="371">
        <v>36</v>
      </c>
      <c r="F47" s="371" t="n">
        <v>1707.0</v>
      </c>
      <c r="G47" s="9">
        <f si="1" t="shared"/>
        <v>1.2186442057932874E-3</v>
      </c>
    </row>
    <row r="48" spans="1:7" x14ac:dyDescent="0.45">
      <c r="A48">
        <v>37</v>
      </c>
      <c r="B48" s="6" t="n">
        <v>1514.1688538486665</v>
      </c>
      <c r="C48" s="9">
        <f si="0" t="shared"/>
        <v>0</v>
      </c>
      <c r="E48" s="371">
        <v>37</v>
      </c>
      <c r="F48" s="371" t="n">
        <v>1549.0</v>
      </c>
      <c r="G48" s="9">
        <f si="1" t="shared"/>
        <v>1.1372261661820979E-3</v>
      </c>
    </row>
    <row r="49" spans="1:7" x14ac:dyDescent="0.45">
      <c r="A49">
        <v>38</v>
      </c>
      <c r="B49" s="6" t="n">
        <v>1139.1227647011303</v>
      </c>
      <c r="C49" s="9">
        <f si="0" t="shared"/>
        <v>0</v>
      </c>
      <c r="E49" s="371">
        <v>38</v>
      </c>
      <c r="F49" s="371" t="n">
        <v>1528.0</v>
      </c>
      <c r="G49" s="9">
        <f si="1" t="shared"/>
        <v>1.1345997778075434E-3</v>
      </c>
    </row>
    <row r="50" spans="1:7" x14ac:dyDescent="0.45">
      <c r="A50">
        <v>39</v>
      </c>
      <c r="B50" s="6" t="n">
        <v>990.528145923633</v>
      </c>
      <c r="C50" s="9">
        <f si="0" t="shared"/>
        <v>0</v>
      </c>
      <c r="E50" s="371">
        <v>39</v>
      </c>
      <c r="F50" s="371" t="n">
        <v>1397.0</v>
      </c>
      <c r="G50" s="9">
        <f si="1" t="shared"/>
        <v>1.0295442428253634E-3</v>
      </c>
    </row>
    <row r="51" spans="1:7" x14ac:dyDescent="0.45">
      <c r="A51">
        <v>40</v>
      </c>
      <c r="B51" s="6" t="n">
        <v>1616.619531207499</v>
      </c>
      <c r="C51" s="9">
        <f si="0" t="shared"/>
        <v>0</v>
      </c>
      <c r="E51" s="371">
        <v>40</v>
      </c>
      <c r="F51" s="371" t="n">
        <v>1314.0</v>
      </c>
      <c r="G51" s="9">
        <f si="1" t="shared"/>
        <v>9.4287342646506508E-4</v>
      </c>
    </row>
    <row r="52" spans="1:7" x14ac:dyDescent="0.45">
      <c r="A52">
        <v>41</v>
      </c>
      <c r="B52" s="6" t="n">
        <v>226.8422147689619</v>
      </c>
      <c r="C52" s="9">
        <f si="0" t="shared"/>
        <v>0</v>
      </c>
      <c r="E52" s="371">
        <v>41</v>
      </c>
      <c r="F52" s="371" t="n">
        <v>1180.0</v>
      </c>
      <c r="G52" s="9">
        <f si="1" t="shared"/>
        <v>8.5620261010476654E-4</v>
      </c>
    </row>
    <row r="53" spans="1:7" x14ac:dyDescent="0.45">
      <c r="A53">
        <v>42</v>
      </c>
      <c r="B53" s="6" t="n">
        <v>1474.8234499140449</v>
      </c>
      <c r="C53" s="9">
        <f si="0" t="shared"/>
        <v>0</v>
      </c>
      <c r="E53" s="371">
        <v>42</v>
      </c>
      <c r="F53" s="371" t="n">
        <v>1075.0</v>
      </c>
      <c r="G53" s="9">
        <f si="1" t="shared"/>
        <v>6.3821237501674323E-4</v>
      </c>
    </row>
    <row r="54" spans="1:7" x14ac:dyDescent="0.45">
      <c r="A54">
        <v>43</v>
      </c>
      <c r="B54" s="6" t="n">
        <v>2647.3805140223967</v>
      </c>
      <c r="C54" s="9">
        <f si="0" t="shared"/>
        <v>0</v>
      </c>
      <c r="E54" s="371">
        <v>43</v>
      </c>
      <c r="F54" s="371" t="n">
        <v>1020.0</v>
      </c>
      <c r="G54" s="9">
        <f si="1" t="shared"/>
        <v>6.6184987038773362E-4</v>
      </c>
    </row>
    <row r="55" spans="1:7" x14ac:dyDescent="0.45">
      <c r="A55">
        <v>44</v>
      </c>
      <c r="B55" s="6" t="n">
        <v>114.515308026415</v>
      </c>
      <c r="C55" s="9">
        <f si="0" t="shared"/>
        <v>0</v>
      </c>
      <c r="E55" s="371">
        <v>44</v>
      </c>
      <c r="F55" s="371" t="n">
        <v>921.0</v>
      </c>
      <c r="G55" s="9">
        <f si="1" t="shared"/>
        <v>5.8568460752565321E-4</v>
      </c>
    </row>
    <row r="56" spans="1:7" x14ac:dyDescent="0.45">
      <c r="A56">
        <v>45</v>
      </c>
      <c r="B56" s="6" t="n">
        <v>638.6822185755705</v>
      </c>
      <c r="C56" s="9">
        <f si="0" t="shared"/>
        <v>0</v>
      </c>
      <c r="E56" s="371">
        <v>45</v>
      </c>
      <c r="F56" s="371" t="n">
        <v>825.0</v>
      </c>
      <c r="G56" s="9">
        <f si="1" t="shared"/>
        <v>4.8588184929258224E-4</v>
      </c>
    </row>
    <row r="57" spans="1:7" x14ac:dyDescent="0.45">
      <c r="A57">
        <v>46</v>
      </c>
      <c r="B57" s="6" t="n">
        <v>179.7535781929201</v>
      </c>
      <c r="C57" s="9">
        <f si="0" t="shared"/>
        <v>0</v>
      </c>
      <c r="E57" s="371">
        <v>46</v>
      </c>
      <c r="F57" s="371" t="n">
        <v>830.0</v>
      </c>
      <c r="G57" s="9">
        <f si="1" t="shared"/>
        <v>5.095193446635728E-4</v>
      </c>
    </row>
    <row r="58" spans="1:7" x14ac:dyDescent="0.45">
      <c r="A58">
        <v>47</v>
      </c>
      <c r="B58" s="6" t="n">
        <v>402.03914523666197</v>
      </c>
      <c r="C58" s="9">
        <f si="0" t="shared"/>
        <v>0</v>
      </c>
      <c r="E58" s="371">
        <v>47</v>
      </c>
      <c r="F58" s="371" t="n">
        <v>719.0</v>
      </c>
      <c r="G58" s="9">
        <f si="1" t="shared"/>
        <v>4.7537629579436422E-4</v>
      </c>
    </row>
    <row r="59" spans="1:7" x14ac:dyDescent="0.45">
      <c r="A59">
        <v>48</v>
      </c>
      <c r="B59" s="6" t="n">
        <v>59.0430030892725</v>
      </c>
      <c r="C59" s="9">
        <f si="0" t="shared"/>
        <v>0</v>
      </c>
      <c r="E59" s="371">
        <v>48</v>
      </c>
      <c r="F59" s="371" t="n">
        <v>639.0</v>
      </c>
      <c r="G59" s="9">
        <f si="1" t="shared"/>
        <v>4.4123324692515575E-4</v>
      </c>
    </row>
    <row r="60" spans="1:7" x14ac:dyDescent="0.45">
      <c r="A60">
        <v>49</v>
      </c>
      <c r="B60" s="6" t="n">
        <v>172.1849508666404</v>
      </c>
      <c r="C60" s="9">
        <f si="0" t="shared"/>
        <v>0</v>
      </c>
      <c r="E60" s="371">
        <v>49</v>
      </c>
      <c r="F60" s="371" t="n">
        <v>640.0</v>
      </c>
      <c r="G60" s="9">
        <f si="1" t="shared"/>
        <v>4.0446380968139282E-4</v>
      </c>
    </row>
    <row r="61" spans="1:7" x14ac:dyDescent="0.45">
      <c r="A61">
        <v>50</v>
      </c>
      <c r="B61" s="6" t="n">
        <v>636.0157795251308</v>
      </c>
      <c r="C61" s="9">
        <f si="0" t="shared"/>
        <v>0</v>
      </c>
      <c r="E61" s="371">
        <v>50</v>
      </c>
      <c r="F61" s="371" t="n">
        <v>610.0</v>
      </c>
      <c r="G61" s="9">
        <f si="1" t="shared"/>
        <v>5.095193446635728E-4</v>
      </c>
    </row>
    <row r="62" spans="1:7" x14ac:dyDescent="0.45">
      <c r="A62">
        <v>51</v>
      </c>
      <c r="B62" s="6" t="n">
        <v>420.7642518377809</v>
      </c>
      <c r="C62" s="9">
        <f si="0" t="shared"/>
        <v>0</v>
      </c>
      <c r="E62" s="371">
        <v>51</v>
      </c>
      <c r="F62" s="371" t="n">
        <v>485.0</v>
      </c>
      <c r="G62" s="9">
        <f si="1" t="shared"/>
        <v>3.5981520731396632E-4</v>
      </c>
    </row>
    <row r="63" spans="1:7" x14ac:dyDescent="0.45">
      <c r="A63">
        <v>52</v>
      </c>
      <c r="B63" s="6" t="n">
        <v>381.5923239371844</v>
      </c>
      <c r="C63" s="9">
        <f si="0" t="shared"/>
        <v>0</v>
      </c>
      <c r="E63" s="371">
        <v>52</v>
      </c>
      <c r="F63" s="371" t="n">
        <v>530.0</v>
      </c>
      <c r="G63" s="9">
        <f si="1" t="shared"/>
        <v>3.0991382819743081E-4</v>
      </c>
    </row>
    <row r="64" spans="1:7" x14ac:dyDescent="0.45">
      <c r="A64">
        <v>53</v>
      </c>
      <c r="B64" s="6" t="n">
        <v>203.5873533460759</v>
      </c>
      <c r="C64" s="9">
        <f si="0" t="shared"/>
        <v>0</v>
      </c>
      <c r="E64" s="371">
        <v>53</v>
      </c>
      <c r="F64" s="371" t="n">
        <v>448.0</v>
      </c>
      <c r="G64" s="9">
        <f si="1" t="shared"/>
        <v>2.6789161420455882E-4</v>
      </c>
    </row>
    <row r="65" spans="1:7" x14ac:dyDescent="0.45">
      <c r="A65">
        <v>54</v>
      </c>
      <c r="B65" s="6" t="n">
        <v>251.8745158002879</v>
      </c>
      <c r="C65" s="9">
        <f si="0" t="shared"/>
        <v>0</v>
      </c>
      <c r="E65" s="371">
        <v>54</v>
      </c>
      <c r="F65" s="371" t="n">
        <v>432.0</v>
      </c>
      <c r="G65" s="9">
        <f si="1" t="shared"/>
        <v>2.2061662346257787E-4</v>
      </c>
    </row>
    <row r="66" spans="1:7" x14ac:dyDescent="0.45">
      <c r="A66">
        <v>55</v>
      </c>
      <c r="B66" s="6" t="n">
        <v>271.9502810275154</v>
      </c>
      <c r="C66" s="9">
        <f si="0" t="shared"/>
        <v>0</v>
      </c>
      <c r="E66" s="371">
        <v>55</v>
      </c>
      <c r="F66" s="371" t="n">
        <v>397.0</v>
      </c>
      <c r="G66" s="9">
        <f si="1" t="shared"/>
        <v>2.2324301183713238E-4</v>
      </c>
    </row>
    <row r="67" spans="1:7" x14ac:dyDescent="0.45">
      <c r="A67">
        <v>56</v>
      </c>
      <c r="B67" s="6" t="n">
        <v>134.6990551342307</v>
      </c>
      <c r="C67" s="9">
        <f si="0" t="shared"/>
        <v>0</v>
      </c>
      <c r="E67" s="371">
        <v>56</v>
      </c>
      <c r="F67" s="371" t="n">
        <v>431.0</v>
      </c>
      <c r="G67" s="9">
        <f si="1" t="shared"/>
        <v>1.5758330247326991E-4</v>
      </c>
    </row>
    <row r="68" spans="1:7" x14ac:dyDescent="0.45">
      <c r="A68">
        <v>57</v>
      </c>
      <c r="B68" s="6" t="n">
        <v>950.1869897160801</v>
      </c>
      <c r="C68" s="9">
        <f si="0" t="shared"/>
        <v>0</v>
      </c>
      <c r="E68" s="371">
        <v>57</v>
      </c>
      <c r="F68" s="371" t="n">
        <v>341.0</v>
      </c>
      <c r="G68" s="9">
        <f si="1" t="shared"/>
        <v>1.5495691409871541E-4</v>
      </c>
    </row>
    <row r="69" spans="1:7" x14ac:dyDescent="0.45">
      <c r="A69">
        <v>58</v>
      </c>
      <c r="B69" s="6" t="n">
        <v>551.3385051336021</v>
      </c>
      <c r="C69" s="9">
        <f si="0" t="shared"/>
        <v>0</v>
      </c>
      <c r="E69" s="371">
        <v>58</v>
      </c>
      <c r="F69" s="371" t="n">
        <v>292.0</v>
      </c>
      <c r="G69" s="9">
        <f si="1" t="shared"/>
        <v>1.864735745933694E-4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359.0</v>
      </c>
      <c r="G70" s="9">
        <f si="1" t="shared"/>
        <v>2.0223190484069641E-4</v>
      </c>
    </row>
    <row r="71" spans="1:7" x14ac:dyDescent="0.45">
      <c r="A71">
        <v>60</v>
      </c>
      <c r="B71" s="6" t="n">
        <v>67.2162287415091</v>
      </c>
      <c r="C71" s="9">
        <f si="0" t="shared"/>
        <v>0</v>
      </c>
      <c r="E71" s="371">
        <v>60</v>
      </c>
      <c r="F71" s="371" t="n">
        <v>293.0</v>
      </c>
      <c r="G71" s="9">
        <f si="1" t="shared"/>
        <v>1.733416327205969E-4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322.0</v>
      </c>
      <c r="G72" s="9">
        <f si="1" t="shared"/>
        <v>1.2081386522950693E-4</v>
      </c>
    </row>
    <row r="73" spans="1:7" x14ac:dyDescent="0.45">
      <c r="A73">
        <v>62</v>
      </c>
      <c r="B73" s="6" t="n">
        <v>93.215326109027</v>
      </c>
      <c r="C73" s="9">
        <f si="0" t="shared"/>
        <v>0</v>
      </c>
      <c r="E73" s="371">
        <v>62</v>
      </c>
      <c r="F73" s="371" t="n">
        <v>286.0</v>
      </c>
      <c r="G73" s="9">
        <f si="1" t="shared"/>
        <v>8.4044427985743956E-5</v>
      </c>
    </row>
    <row r="74" spans="1:7" x14ac:dyDescent="0.45">
      <c r="A74">
        <v>63</v>
      </c>
      <c r="B74" s="6" t="n">
        <v>101.389128120239</v>
      </c>
      <c r="C74" s="9">
        <f si="0" t="shared"/>
        <v>0</v>
      </c>
      <c r="E74" s="371">
        <v>63</v>
      </c>
      <c r="F74" s="371" t="n">
        <v>238.0</v>
      </c>
      <c r="G74" s="9">
        <f si="1" t="shared"/>
        <v>7.0912486112971465E-5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238.0</v>
      </c>
      <c r="G75" s="9">
        <f si="1" t="shared"/>
        <v>1.1293470010584343E-4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199.0</v>
      </c>
      <c r="G76" s="9">
        <f si="1" t="shared"/>
        <v>9.7176369858516446E-5</v>
      </c>
    </row>
    <row r="77" spans="1:7" x14ac:dyDescent="0.45">
      <c r="A77">
        <v>66</v>
      </c>
      <c r="B77" s="6" t="n">
        <v>145.42136337538312</v>
      </c>
      <c r="C77" s="9">
        <f ref="C77:C102" si="2" t="shared">B77/B$102</f>
        <v>0</v>
      </c>
      <c r="E77" s="371">
        <v>66</v>
      </c>
      <c r="F77" s="371" t="n">
        <v>207.0</v>
      </c>
      <c r="G77" s="9">
        <f ref="G77:G102" si="3" t="shared">F77/F$102</f>
        <v>8.4044427985743956E-5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169.0</v>
      </c>
      <c r="G78" s="9">
        <f si="3" t="shared"/>
        <v>1.0242914660762544E-4</v>
      </c>
    </row>
    <row r="79" spans="1:7" x14ac:dyDescent="0.45">
      <c r="A79">
        <v>68</v>
      </c>
      <c r="B79" s="6" t="n">
        <v>56.9111172682417</v>
      </c>
      <c r="C79" s="9">
        <f si="2" t="shared"/>
        <v>0</v>
      </c>
      <c r="E79" s="371">
        <v>68</v>
      </c>
      <c r="F79" s="371" t="n">
        <v>178.0</v>
      </c>
      <c r="G79" s="9">
        <f si="3" t="shared"/>
        <v>7.3538874487525958E-5</v>
      </c>
    </row>
    <row r="80" spans="1:7" x14ac:dyDescent="0.45">
      <c r="A80">
        <v>69</v>
      </c>
      <c r="B80" s="6" t="n">
        <v>47.9440098216709</v>
      </c>
      <c r="C80" s="9">
        <f si="2" t="shared"/>
        <v>0</v>
      </c>
      <c r="E80" s="371">
        <v>69</v>
      </c>
      <c r="F80" s="371" t="n">
        <v>160.0</v>
      </c>
      <c r="G80" s="9">
        <f si="3" t="shared"/>
        <v>7.6165262862080464E-5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134.0</v>
      </c>
      <c r="G81" s="9">
        <f si="3" t="shared"/>
        <v>7.3538874487525958E-5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122.0</v>
      </c>
      <c r="G82" s="9">
        <f si="3" t="shared"/>
        <v>5.7780544240198968E-5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141.0</v>
      </c>
      <c r="G83" s="9">
        <f si="3" t="shared"/>
        <v>4.2022213992871978E-5</v>
      </c>
    </row>
    <row r="84" spans="1:7" x14ac:dyDescent="0.45">
      <c r="A84">
        <v>73</v>
      </c>
      <c r="B84" s="6" t="n">
        <v>64.46400332419</v>
      </c>
      <c r="C84" s="9">
        <f si="2" t="shared"/>
        <v>0</v>
      </c>
      <c r="E84" s="371">
        <v>73</v>
      </c>
      <c r="F84" s="371" t="n">
        <v>136.0</v>
      </c>
      <c r="G84" s="9">
        <f si="3" t="shared"/>
        <v>8.1418039611189463E-5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121.0</v>
      </c>
      <c r="G85" s="9">
        <f si="3" t="shared"/>
        <v>4.9901379116535469E-5</v>
      </c>
    </row>
    <row r="86" spans="1:7" x14ac:dyDescent="0.45">
      <c r="A86">
        <v>75</v>
      </c>
      <c r="B86" s="6" t="n">
        <v>103.355173542079</v>
      </c>
      <c r="C86" s="9">
        <f si="2" t="shared"/>
        <v>0</v>
      </c>
      <c r="E86" s="371">
        <v>75</v>
      </c>
      <c r="F86" s="371" t="n">
        <v>100.0</v>
      </c>
      <c r="G86" s="9">
        <f si="3" t="shared"/>
        <v>3.9395825618317478E-5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99.0</v>
      </c>
      <c r="G87" s="9">
        <f si="3" t="shared"/>
        <v>5.5154155865644468E-5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122.0</v>
      </c>
      <c r="G88" s="9">
        <f si="3" t="shared"/>
        <v>3.6769437243762979E-5</v>
      </c>
    </row>
    <row r="89" spans="1:7" x14ac:dyDescent="0.45">
      <c r="A89">
        <v>78</v>
      </c>
      <c r="B89" s="6" t="n">
        <v>398.84792079816</v>
      </c>
      <c r="C89" s="9">
        <f si="2" t="shared"/>
        <v>0</v>
      </c>
      <c r="E89" s="371">
        <v>78</v>
      </c>
      <c r="F89" s="371" t="n">
        <v>92.0</v>
      </c>
      <c r="G89" s="9">
        <f si="3" t="shared"/>
        <v>3.4143048869208479E-5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94.0</v>
      </c>
      <c r="G90" s="9">
        <f si="3" t="shared"/>
        <v>2.8890272120099484E-5</v>
      </c>
    </row>
    <row r="91" spans="1:7" x14ac:dyDescent="0.45">
      <c r="A91">
        <v>80</v>
      </c>
      <c r="B91" s="6" t="n">
        <v>394.5183418577769</v>
      </c>
      <c r="C91" s="9">
        <f si="2" t="shared"/>
        <v>0</v>
      </c>
      <c r="E91" s="371">
        <v>80</v>
      </c>
      <c r="F91" s="371" t="n">
        <v>108.0</v>
      </c>
      <c r="G91" s="9">
        <f si="3" t="shared"/>
        <v>3.1516660494653987E-5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119.0</v>
      </c>
      <c r="G92" s="9">
        <f si="3" t="shared"/>
        <v>2.3637495370990488E-5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68.0</v>
      </c>
      <c r="G93" s="9">
        <f si="3" t="shared"/>
        <v>2.3637495370990488E-5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71.0</v>
      </c>
      <c r="G94" s="9">
        <f si="3" t="shared"/>
        <v>2.3637495370990488E-5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67.0</v>
      </c>
      <c r="G95" s="9">
        <f si="3" t="shared"/>
        <v>3.1516660494653987E-5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62.0</v>
      </c>
      <c r="G96" s="9">
        <f si="3" t="shared"/>
        <v>2.3637495370990488E-5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59.0</v>
      </c>
      <c r="G97" s="9">
        <f si="3" t="shared"/>
        <v>3.1516660494653987E-5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52.0</v>
      </c>
      <c r="G98" s="9">
        <f si="3" t="shared"/>
        <v>2.1011106996435989E-5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61.0</v>
      </c>
      <c r="G99" s="9">
        <f si="3" t="shared"/>
        <v>4.4648602367426477E-5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40.0</v>
      </c>
      <c r="G100" s="9">
        <f si="3" t="shared"/>
        <v>1.8384718621881489E-5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2033.0</v>
      </c>
      <c r="G101" s="9">
        <f si="3" t="shared"/>
        <v>5.6992627727832617E-4</v>
      </c>
    </row>
    <row r="102" spans="1:7" x14ac:dyDescent="0.45">
      <c r="B102" s="6">
        <f>SUM(B11:B101)</f>
        <v>101938.00338150132</v>
      </c>
      <c r="C102" s="9">
        <f si="2" t="shared"/>
        <v>1</v>
      </c>
      <c r="F102" s="6">
        <f>SUM(F11:F101)</f>
        <v>126916.99999987311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F11" sqref="F11:F10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49104.342359286</v>
      </c>
      <c r="C11" s="9">
        <f>B11/B$102</f>
        <v>0.33132319126963744</v>
      </c>
      <c r="E11" s="371">
        <v>0</v>
      </c>
      <c r="F11" s="371" t="n">
        <v>46547.0</v>
      </c>
      <c r="G11" s="9">
        <f>F11/F$102</f>
        <v>0.31268409275280251</v>
      </c>
      <c r="K11" s="6" t="n">
        <v>4.918880236470215</v>
      </c>
      <c r="L11" s="6" t="n">
        <v>5.173854115638558</v>
      </c>
    </row>
    <row r="12" spans="1:12" x14ac:dyDescent="0.45">
      <c r="A12">
        <v>1</v>
      </c>
      <c r="B12" s="6" t="n">
        <v>63284.7564112503</v>
      </c>
      <c r="C12" s="9">
        <f>B12/B$102</f>
        <v>0.27513605005411645</v>
      </c>
      <c r="E12" s="371">
        <v>1</v>
      </c>
      <c r="F12" s="371" t="n">
        <v>42594.0</v>
      </c>
      <c r="G12" s="9">
        <f>F12/F$102</f>
        <v>0.2315662243903501</v>
      </c>
      <c r="K12" s="6"/>
      <c r="L12" s="371"/>
    </row>
    <row r="13" spans="1:12" x14ac:dyDescent="0.45">
      <c r="A13">
        <v>2</v>
      </c>
      <c r="B13" s="6" t="n">
        <v>45356.53478464467</v>
      </c>
      <c r="C13" s="9">
        <f ref="C13:C76" si="0" t="shared">B13/B$102</f>
        <v>0.12352049372132885</v>
      </c>
      <c r="E13" s="371">
        <v>2</v>
      </c>
      <c r="F13" s="371" t="n">
        <v>40824.0</v>
      </c>
      <c r="G13" s="9">
        <f ref="G13:G76" si="1" t="shared">F13/F$102</f>
        <v>0.13122376423060797</v>
      </c>
    </row>
    <row r="14" spans="1:12" x14ac:dyDescent="0.45">
      <c r="A14">
        <v>3</v>
      </c>
      <c r="B14" s="6" t="n">
        <v>29797.733305264974</v>
      </c>
      <c r="C14" s="9">
        <f si="0" t="shared"/>
        <v>4.8771536290582104E-2</v>
      </c>
      <c r="E14" s="371">
        <v>3</v>
      </c>
      <c r="F14" s="371" t="n">
        <v>36759.0</v>
      </c>
      <c r="G14" s="9">
        <f si="1" t="shared"/>
        <v>7.120884625226627E-2</v>
      </c>
    </row>
    <row r="15" spans="1:12" x14ac:dyDescent="0.45">
      <c r="A15">
        <v>4</v>
      </c>
      <c r="B15" s="6" t="n">
        <v>20551.703670109207</v>
      </c>
      <c r="C15" s="9">
        <f si="0" t="shared"/>
        <v>5.0963551963415905E-2</v>
      </c>
      <c r="E15" s="371">
        <v>4</v>
      </c>
      <c r="F15" s="371" t="n">
        <v>27933.0</v>
      </c>
      <c r="G15" s="9">
        <f si="1" t="shared"/>
        <v>4.1329333427704971E-2</v>
      </c>
    </row>
    <row r="16" spans="1:12" x14ac:dyDescent="0.45">
      <c r="A16">
        <v>5</v>
      </c>
      <c r="B16" s="6" t="n">
        <v>17274.49344830065</v>
      </c>
      <c r="C16" s="9">
        <f si="0" t="shared"/>
        <v>7.2473051825670473E-2</v>
      </c>
      <c r="E16" s="371">
        <v>5</v>
      </c>
      <c r="F16" s="371" t="n">
        <v>22171.0</v>
      </c>
      <c r="G16" s="9">
        <f si="1" t="shared"/>
        <v>2.9966625106848659E-2</v>
      </c>
    </row>
    <row r="17" spans="1:7" x14ac:dyDescent="0.45">
      <c r="A17">
        <v>6</v>
      </c>
      <c r="B17" s="6" t="n">
        <v>21808.989554968826</v>
      </c>
      <c r="C17" s="9">
        <f si="0" t="shared"/>
        <v>0</v>
      </c>
      <c r="E17" s="371">
        <v>6</v>
      </c>
      <c r="F17" s="371" t="n">
        <v>16401.0</v>
      </c>
      <c r="G17" s="9">
        <f si="1" t="shared"/>
        <v>2.7908597437809997E-2</v>
      </c>
    </row>
    <row r="18" spans="1:7" x14ac:dyDescent="0.45">
      <c r="A18">
        <v>7</v>
      </c>
      <c r="B18" s="6" t="n">
        <v>9207.493334871902</v>
      </c>
      <c r="C18" s="9">
        <f si="0" t="shared"/>
        <v>2.8000196801396496E-2</v>
      </c>
      <c r="E18" s="371">
        <v>7</v>
      </c>
      <c r="F18" s="371" t="n">
        <v>12361.0</v>
      </c>
      <c r="G18" s="9">
        <f si="1" t="shared"/>
        <v>2.4042989911308807E-2</v>
      </c>
    </row>
    <row r="19" spans="1:7" x14ac:dyDescent="0.45">
      <c r="A19">
        <v>8</v>
      </c>
      <c r="B19" s="6" t="n">
        <v>8156.107680966723</v>
      </c>
      <c r="C19" s="9">
        <f si="0" t="shared"/>
        <v>2.3365958609129593E-2</v>
      </c>
      <c r="E19" s="371">
        <v>8</v>
      </c>
      <c r="F19" s="371" t="n">
        <v>9791.0</v>
      </c>
      <c r="G19" s="9">
        <f si="1" t="shared"/>
        <v>2.0923281301893058E-2</v>
      </c>
    </row>
    <row r="20" spans="1:7" x14ac:dyDescent="0.45">
      <c r="A20">
        <v>9</v>
      </c>
      <c r="B20" s="6" t="n">
        <v>5374.986499657125</v>
      </c>
      <c r="C20" s="9">
        <f si="0" t="shared"/>
        <v>1.5572070268272606E-2</v>
      </c>
      <c r="E20" s="371">
        <v>9</v>
      </c>
      <c r="F20" s="371" t="n">
        <v>7988.0</v>
      </c>
      <c r="G20" s="9">
        <f si="1" t="shared"/>
        <v>2.1827071230624322E-2</v>
      </c>
    </row>
    <row r="21" spans="1:7" x14ac:dyDescent="0.45">
      <c r="A21">
        <v>10</v>
      </c>
      <c r="B21" s="6" t="n">
        <v>3876.6807688868685</v>
      </c>
      <c r="C21" s="9">
        <f si="0" t="shared"/>
        <v>5.5881581066943731E-3</v>
      </c>
      <c r="E21" s="371">
        <v>10</v>
      </c>
      <c r="F21" s="371" t="n">
        <v>6661.0</v>
      </c>
      <c r="G21" s="9">
        <f si="1" t="shared"/>
        <v>1.7749127516047718E-2</v>
      </c>
    </row>
    <row r="22" spans="1:7" x14ac:dyDescent="0.45">
      <c r="A22">
        <v>11</v>
      </c>
      <c r="B22" s="6" t="n">
        <v>1643.0784196615662</v>
      </c>
      <c r="C22" s="9">
        <f si="0" t="shared"/>
        <v>5.4645820248503708E-3</v>
      </c>
      <c r="E22" s="371">
        <v>11</v>
      </c>
      <c r="F22" s="371" t="n">
        <v>5857.0</v>
      </c>
      <c r="G22" s="9">
        <f si="1" t="shared"/>
        <v>1.2304609873088295E-2</v>
      </c>
    </row>
    <row r="23" spans="1:7" x14ac:dyDescent="0.45">
      <c r="A23">
        <v>12</v>
      </c>
      <c r="B23" s="6" t="n">
        <v>1790.7967228589443</v>
      </c>
      <c r="C23" s="9">
        <f si="0" t="shared"/>
        <v>1.3800710458744756E-2</v>
      </c>
      <c r="E23" s="371">
        <v>12</v>
      </c>
      <c r="F23" s="371" t="n">
        <v>4982.0</v>
      </c>
      <c r="G23" s="9">
        <f si="1" t="shared"/>
        <v>1.0535141639126482E-2</v>
      </c>
    </row>
    <row r="24" spans="1:7" x14ac:dyDescent="0.45">
      <c r="A24">
        <v>13</v>
      </c>
      <c r="B24" s="6" t="n">
        <v>2651.1065733229193</v>
      </c>
      <c r="C24" s="9">
        <f si="0" t="shared"/>
        <v>0</v>
      </c>
      <c r="E24" s="371">
        <v>13</v>
      </c>
      <c r="F24" s="371" t="n">
        <v>3901.0</v>
      </c>
      <c r="G24" s="9">
        <f si="1" t="shared"/>
        <v>7.4753227237832872E-3</v>
      </c>
    </row>
    <row r="25" spans="1:7" x14ac:dyDescent="0.45">
      <c r="A25">
        <v>14</v>
      </c>
      <c r="B25" s="6" t="n">
        <v>5461.1446666222</v>
      </c>
      <c r="C25" s="9">
        <f si="0" t="shared"/>
        <v>0</v>
      </c>
      <c r="E25" s="371">
        <v>14</v>
      </c>
      <c r="F25" s="371" t="n">
        <v>3312.0</v>
      </c>
      <c r="G25" s="9">
        <f si="1" t="shared"/>
        <v>6.2230836659026194E-3</v>
      </c>
    </row>
    <row r="26" spans="1:7" x14ac:dyDescent="0.45">
      <c r="A26">
        <v>15</v>
      </c>
      <c r="B26" s="6" t="n">
        <v>3393.0327369364286</v>
      </c>
      <c r="C26" s="9">
        <f si="0" t="shared"/>
        <v>0</v>
      </c>
      <c r="E26" s="371">
        <v>15</v>
      </c>
      <c r="F26" s="371" t="n">
        <v>2729.0</v>
      </c>
      <c r="G26" s="9">
        <f si="1" t="shared"/>
        <v>5.0634014079522626E-3</v>
      </c>
    </row>
    <row r="27" spans="1:7" x14ac:dyDescent="0.45">
      <c r="A27">
        <v>16</v>
      </c>
      <c r="B27" s="6" t="n">
        <v>1557.7486267136749</v>
      </c>
      <c r="C27" s="9">
        <f si="0" t="shared"/>
        <v>0</v>
      </c>
      <c r="E27" s="371">
        <v>16</v>
      </c>
      <c r="F27" s="371" t="n">
        <v>2173.0</v>
      </c>
      <c r="G27" s="9">
        <f si="1" t="shared"/>
        <v>3.7567171736420011E-3</v>
      </c>
    </row>
    <row r="28" spans="1:7" x14ac:dyDescent="0.45">
      <c r="A28">
        <v>17</v>
      </c>
      <c r="B28" s="6" t="n">
        <v>1225.4969327681795</v>
      </c>
      <c r="C28" s="9">
        <f si="0" t="shared"/>
        <v>0</v>
      </c>
      <c r="E28" s="371">
        <v>17</v>
      </c>
      <c r="F28" s="371" t="n">
        <v>1684.0</v>
      </c>
      <c r="G28" s="9">
        <f si="1" t="shared"/>
        <v>3.2503770328467753E-3</v>
      </c>
    </row>
    <row r="29" spans="1:7" x14ac:dyDescent="0.45">
      <c r="A29">
        <v>18</v>
      </c>
      <c r="B29" s="6" t="n">
        <v>2296.156169065295</v>
      </c>
      <c r="C29" s="9">
        <f si="0" t="shared"/>
        <v>6.0204486061605222E-3</v>
      </c>
      <c r="E29" s="371">
        <v>18</v>
      </c>
      <c r="F29" s="371" t="n">
        <v>1371.0</v>
      </c>
      <c r="G29" s="9">
        <f si="1" t="shared"/>
        <v>3.0217072918424792E-3</v>
      </c>
    </row>
    <row r="30" spans="1:7" x14ac:dyDescent="0.45">
      <c r="A30">
        <v>19</v>
      </c>
      <c r="B30" s="6" t="n">
        <v>120.46030609523419</v>
      </c>
      <c r="C30" s="9">
        <f si="0" t="shared"/>
        <v>0</v>
      </c>
      <c r="E30" s="371">
        <v>19</v>
      </c>
      <c r="F30" s="371" t="n">
        <v>1128.0</v>
      </c>
      <c r="G30" s="9">
        <f si="1" t="shared"/>
        <v>2.3901432452591862E-3</v>
      </c>
    </row>
    <row r="31" spans="1:7" x14ac:dyDescent="0.45">
      <c r="A31">
        <v>20</v>
      </c>
      <c r="B31" s="6" t="n">
        <v>1199.74819208108</v>
      </c>
      <c r="C31" s="9">
        <f si="0" t="shared"/>
        <v>0</v>
      </c>
      <c r="E31" s="371">
        <v>20</v>
      </c>
      <c r="F31" s="371" t="n">
        <v>957.0</v>
      </c>
      <c r="G31" s="9">
        <f si="1" t="shared"/>
        <v>1.932803763250595E-3</v>
      </c>
    </row>
    <row r="32" spans="1:7" x14ac:dyDescent="0.45">
      <c r="A32">
        <v>21</v>
      </c>
      <c r="B32" s="6" t="n">
        <v>772.1819055710735</v>
      </c>
      <c r="C32" s="9">
        <f si="0" t="shared"/>
        <v>0</v>
      </c>
      <c r="E32" s="371">
        <v>21</v>
      </c>
      <c r="F32" s="371" t="n">
        <v>792.0</v>
      </c>
      <c r="G32" s="9">
        <f si="1" t="shared"/>
        <v>2.1179173631112151E-3</v>
      </c>
    </row>
    <row r="33" spans="1:7" x14ac:dyDescent="0.45">
      <c r="A33">
        <v>22</v>
      </c>
      <c r="B33" s="6" t="n">
        <v>534.5879036102011</v>
      </c>
      <c r="C33" s="9">
        <f si="0" t="shared"/>
        <v>0</v>
      </c>
      <c r="E33" s="371">
        <v>22</v>
      </c>
      <c r="F33" s="371" t="n">
        <v>749.0</v>
      </c>
      <c r="G33" s="9">
        <f si="1" t="shared"/>
        <v>1.6170217399589485E-3</v>
      </c>
    </row>
    <row r="34" spans="1:7" x14ac:dyDescent="0.45">
      <c r="A34">
        <v>23</v>
      </c>
      <c r="B34" s="6" t="n">
        <v>489.6891179935572</v>
      </c>
      <c r="C34" s="9">
        <f si="0" t="shared"/>
        <v>0</v>
      </c>
      <c r="E34" s="371">
        <v>23</v>
      </c>
      <c r="F34" s="371" t="n">
        <v>640.0</v>
      </c>
      <c r="G34" s="9">
        <f si="1" t="shared"/>
        <v>1.2685726108095454E-3</v>
      </c>
    </row>
    <row r="35" spans="1:7" x14ac:dyDescent="0.45">
      <c r="A35">
        <v>24</v>
      </c>
      <c r="B35" s="6" t="n">
        <v>336.1776601094162</v>
      </c>
      <c r="C35" s="9">
        <f si="0" t="shared"/>
        <v>0</v>
      </c>
      <c r="E35" s="371">
        <v>24</v>
      </c>
      <c r="F35" s="371" t="n">
        <v>571.0</v>
      </c>
      <c r="G35" s="9">
        <f si="1" t="shared"/>
        <v>1.2195719520229106E-3</v>
      </c>
    </row>
    <row r="36" spans="1:7" x14ac:dyDescent="0.45">
      <c r="A36">
        <v>25</v>
      </c>
      <c r="B36" s="6" t="n">
        <v>266.8525999446422</v>
      </c>
      <c r="C36" s="9">
        <f si="0" t="shared"/>
        <v>0</v>
      </c>
      <c r="E36" s="371">
        <v>25</v>
      </c>
      <c r="F36" s="371" t="n">
        <v>524.0</v>
      </c>
      <c r="G36" s="9">
        <f si="1" t="shared"/>
        <v>9.0923444637422358E-4</v>
      </c>
    </row>
    <row r="37" spans="1:7" x14ac:dyDescent="0.45">
      <c r="A37">
        <v>26</v>
      </c>
      <c r="B37" s="6" t="n">
        <v>1226.806248614243</v>
      </c>
      <c r="C37" s="9">
        <f si="0" t="shared"/>
        <v>0</v>
      </c>
      <c r="E37" s="371">
        <v>26</v>
      </c>
      <c r="F37" s="371" t="n">
        <v>437.0</v>
      </c>
      <c r="G37" s="9">
        <f si="1" t="shared"/>
        <v>6.2611952894033355E-4</v>
      </c>
    </row>
    <row r="38" spans="1:7" x14ac:dyDescent="0.45">
      <c r="A38">
        <v>27</v>
      </c>
      <c r="B38" s="6" t="n">
        <v>553.7251551064509</v>
      </c>
      <c r="C38" s="9">
        <f si="0" t="shared"/>
        <v>0</v>
      </c>
      <c r="E38" s="371">
        <v>27</v>
      </c>
      <c r="F38" s="371" t="n">
        <v>449.0</v>
      </c>
      <c r="G38" s="9">
        <f si="1" t="shared"/>
        <v>8.2212216408687267E-4</v>
      </c>
    </row>
    <row r="39" spans="1:7" x14ac:dyDescent="0.45">
      <c r="A39">
        <v>28</v>
      </c>
      <c r="B39" s="6" t="n">
        <v>112.348719524292</v>
      </c>
      <c r="C39" s="9">
        <f si="0" t="shared"/>
        <v>0</v>
      </c>
      <c r="E39" s="371">
        <v>28</v>
      </c>
      <c r="F39" s="371" t="n">
        <v>386.0</v>
      </c>
      <c r="G39" s="9">
        <f si="1" t="shared"/>
        <v>6.5334211715513066E-4</v>
      </c>
    </row>
    <row r="40" spans="1:7" x14ac:dyDescent="0.45">
      <c r="A40">
        <v>29</v>
      </c>
      <c r="B40" s="6" t="n">
        <v>1780.096263156827</v>
      </c>
      <c r="C40" s="9">
        <f si="0" t="shared"/>
        <v>0</v>
      </c>
      <c r="E40" s="371">
        <v>29</v>
      </c>
      <c r="F40" s="371" t="n">
        <v>336.0</v>
      </c>
      <c r="G40" s="9">
        <f si="1" t="shared"/>
        <v>6.7512018772696838E-4</v>
      </c>
    </row>
    <row r="41" spans="1:7" x14ac:dyDescent="0.45">
      <c r="A41">
        <v>30</v>
      </c>
      <c r="B41" s="6" t="n">
        <v>406.3008411872077</v>
      </c>
      <c r="C41" s="9">
        <f si="0" t="shared"/>
        <v>0</v>
      </c>
      <c r="E41" s="371">
        <v>30</v>
      </c>
      <c r="F41" s="371" t="n">
        <v>291.0</v>
      </c>
      <c r="G41" s="9">
        <f si="1" t="shared"/>
        <v>4.4100592907971324E-4</v>
      </c>
    </row>
    <row r="42" spans="1:7" x14ac:dyDescent="0.45">
      <c r="A42">
        <v>31</v>
      </c>
      <c r="B42" s="6" t="n">
        <v>284.240144369291</v>
      </c>
      <c r="C42" s="9">
        <f si="0" t="shared"/>
        <v>0</v>
      </c>
      <c r="E42" s="371">
        <v>31</v>
      </c>
      <c r="F42" s="371" t="n">
        <v>271.0</v>
      </c>
      <c r="G42" s="9">
        <f si="1" t="shared"/>
        <v>5.1722917608114513E-4</v>
      </c>
    </row>
    <row r="43" spans="1:7" x14ac:dyDescent="0.45">
      <c r="A43">
        <v>32</v>
      </c>
      <c r="B43" s="6" t="n">
        <v>600.5335598761752</v>
      </c>
      <c r="C43" s="9">
        <f si="0" t="shared"/>
        <v>0</v>
      </c>
      <c r="E43" s="371">
        <v>32</v>
      </c>
      <c r="F43" s="371" t="n">
        <v>231.0</v>
      </c>
      <c r="G43" s="9">
        <f si="1" t="shared"/>
        <v>4.9000658786634802E-4</v>
      </c>
    </row>
    <row r="44" spans="1:7" x14ac:dyDescent="0.45">
      <c r="A44">
        <v>33</v>
      </c>
      <c r="B44" s="6" t="n">
        <v>729.7543801861891</v>
      </c>
      <c r="C44" s="9">
        <f si="0" t="shared"/>
        <v>0</v>
      </c>
      <c r="E44" s="371">
        <v>33</v>
      </c>
      <c r="F44" s="371" t="n">
        <v>188.0</v>
      </c>
      <c r="G44" s="9">
        <f si="1" t="shared"/>
        <v>4.3011689379379437E-4</v>
      </c>
    </row>
    <row r="45" spans="1:7" x14ac:dyDescent="0.45">
      <c r="A45">
        <v>34</v>
      </c>
      <c r="B45" s="6" t="n">
        <v>269.683131101451</v>
      </c>
      <c r="C45" s="9">
        <f si="0" t="shared"/>
        <v>0</v>
      </c>
      <c r="E45" s="371">
        <v>34</v>
      </c>
      <c r="F45" s="371" t="n">
        <v>138.0</v>
      </c>
      <c r="G45" s="9">
        <f si="1" t="shared"/>
        <v>3.212265409346059E-4</v>
      </c>
    </row>
    <row r="46" spans="1:7" x14ac:dyDescent="0.4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111.0</v>
      </c>
      <c r="G46" s="9">
        <f si="1" t="shared"/>
        <v>2.3955877629021458E-4</v>
      </c>
    </row>
    <row r="47" spans="1:7" x14ac:dyDescent="0.45">
      <c r="A47">
        <v>36</v>
      </c>
      <c r="B47" s="6" t="n">
        <v>41.9475743598527</v>
      </c>
      <c r="C47" s="9">
        <f si="0" t="shared"/>
        <v>0</v>
      </c>
      <c r="E47" s="371">
        <v>36</v>
      </c>
      <c r="F47" s="371" t="n">
        <v>88.0</v>
      </c>
      <c r="G47" s="9">
        <f si="1" t="shared"/>
        <v>1.9055811750357977E-4</v>
      </c>
    </row>
    <row r="48" spans="1:7" x14ac:dyDescent="0.4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80.0</v>
      </c>
      <c r="G48" s="9">
        <f si="1" t="shared"/>
        <v>1.5244649400286383E-4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46.0</v>
      </c>
      <c r="G49" s="9">
        <f si="1" t="shared"/>
        <v>1.3611294107398556E-4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50.0</v>
      </c>
      <c r="G50" s="9">
        <f si="1" t="shared"/>
        <v>1.0889035285918844E-4</v>
      </c>
    </row>
    <row r="51" spans="1:7" x14ac:dyDescent="0.45">
      <c r="A51">
        <v>40</v>
      </c>
      <c r="B51" s="6" t="n">
        <v>598.440905435721</v>
      </c>
      <c r="C51" s="9">
        <f si="0" t="shared"/>
        <v>0</v>
      </c>
      <c r="E51" s="371">
        <v>40</v>
      </c>
      <c r="F51" s="371" t="n">
        <v>46.0</v>
      </c>
      <c r="G51" s="9">
        <f si="1" t="shared"/>
        <v>1.3066842343102615E-4</v>
      </c>
    </row>
    <row r="52" spans="1:7" x14ac:dyDescent="0.4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37.0</v>
      </c>
      <c r="G52" s="9">
        <f si="1" t="shared"/>
        <v>9.2556799930310183E-5</v>
      </c>
    </row>
    <row r="53" spans="1:7" x14ac:dyDescent="0.45">
      <c r="A53">
        <v>42</v>
      </c>
      <c r="B53" s="6" t="n">
        <v>389.967913947736</v>
      </c>
      <c r="C53" s="9">
        <f si="0" t="shared"/>
        <v>0</v>
      </c>
      <c r="E53" s="371">
        <v>42</v>
      </c>
      <c r="F53" s="371" t="n">
        <v>27.0</v>
      </c>
      <c r="G53" s="9">
        <f si="1" t="shared"/>
        <v>3.2667105857756538E-5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25.0</v>
      </c>
      <c r="G54" s="9">
        <f si="1" t="shared"/>
        <v>5.4445176429594219E-5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20.0</v>
      </c>
      <c r="G55" s="9">
        <f si="1" t="shared"/>
        <v>5.4445176429594219E-5</v>
      </c>
    </row>
    <row r="56" spans="1:7" x14ac:dyDescent="0.45">
      <c r="A56">
        <v>45</v>
      </c>
      <c r="B56" s="6" t="n">
        <v>77.0825385235236</v>
      </c>
      <c r="C56" s="9">
        <f si="0" t="shared"/>
        <v>0</v>
      </c>
      <c r="E56" s="371">
        <v>45</v>
      </c>
      <c r="F56" s="371" t="n">
        <v>20.0</v>
      </c>
      <c r="G56" s="9">
        <f si="1" t="shared"/>
        <v>6.5334211715513076E-5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11.0</v>
      </c>
      <c r="G57" s="9">
        <f si="1" t="shared"/>
        <v>3.2667105857756538E-5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12.0</v>
      </c>
      <c r="G58" s="9">
        <f si="1" t="shared"/>
        <v>3.2667105857756538E-5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12.0</v>
      </c>
      <c r="G59" s="9">
        <f si="1" t="shared"/>
        <v>2.1778070571837688E-5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9.0</v>
      </c>
      <c r="G60" s="9">
        <f si="1" t="shared"/>
        <v>1.0889035285918844E-5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7.0</v>
      </c>
      <c r="G61" s="9">
        <f si="1" t="shared"/>
        <v>2.722258821479711E-5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4.0</v>
      </c>
      <c r="G62" s="9">
        <f si="1" t="shared"/>
        <v>5.4445176429594219E-6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1.0889035285918844E-5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3.0</v>
      </c>
      <c r="G64" s="9">
        <f si="1" t="shared"/>
        <v>2.722258821479711E-5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5.0</v>
      </c>
      <c r="G65" s="9">
        <f si="1" t="shared"/>
        <v>5.4445176429594219E-6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2.0</v>
      </c>
      <c r="G66" s="9">
        <f si="1" t="shared"/>
        <v>1.0889035285918844E-5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3.0</v>
      </c>
      <c r="G67" s="9">
        <f si="1" t="shared"/>
        <v>1.0889035285918844E-5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4.0</v>
      </c>
      <c r="G68" s="9">
        <f si="1" t="shared"/>
        <v>2.1778070571837688E-5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0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0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5.4445176429594219E-6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0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5.4445176429594219E-6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5.4445176429594219E-6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5.4445176429594219E-6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1.0889035285918844E-5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45">
      <c r="B102" s="6">
        <f>SUM(B11:B101)</f>
        <v>50361.78635529241</v>
      </c>
      <c r="C102" s="9">
        <f si="2" t="shared"/>
        <v>1</v>
      </c>
      <c r="F102" s="6">
        <f>SUM(F11:F101)</f>
        <v>61223.666666605444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1.3518916072288773E-2</v>
      </c>
      <c r="E11" s="371">
        <v>0</v>
      </c>
      <c r="F11" s="371" t="n">
        <v>2093.0</v>
      </c>
      <c r="G11" s="9">
        <f>F11/F$102</f>
        <v>4.8047868199116897E-2</v>
      </c>
      <c r="K11" s="6" t="n">
        <v>12.259566525001627</v>
      </c>
      <c r="L11" s="6" t="n">
        <v>14.194406788355995</v>
      </c>
    </row>
    <row r="12" spans="1:12" x14ac:dyDescent="0.45">
      <c r="A12">
        <v>1</v>
      </c>
      <c r="B12" s="6" t="n">
        <v>0.0</v>
      </c>
      <c r="C12" s="9">
        <f>B12/B$102</f>
        <v>0.16873962465439854</v>
      </c>
      <c r="E12" s="371">
        <v>1</v>
      </c>
      <c r="F12" s="371" t="n">
        <v>10954.0</v>
      </c>
      <c r="G12" s="9">
        <f>F12/F$102</f>
        <v>0.12272487218994833</v>
      </c>
      <c r="K12" s="6"/>
      <c r="L12" s="371"/>
    </row>
    <row r="13" spans="1:12" x14ac:dyDescent="0.45">
      <c r="A13">
        <v>2</v>
      </c>
      <c r="B13" s="6" t="n">
        <v>1362.9405511941247</v>
      </c>
      <c r="C13" s="9">
        <f ref="C13:C76" si="0" t="shared">B13/B$102</f>
        <v>0.23977986572526974</v>
      </c>
      <c r="E13" s="371">
        <v>2</v>
      </c>
      <c r="F13" s="371" t="n">
        <v>7106.0</v>
      </c>
      <c r="G13" s="9">
        <f ref="G13:G76" si="1" t="shared">F13/F$102</f>
        <v>0.15881657964512635</v>
      </c>
    </row>
    <row r="14" spans="1:12" x14ac:dyDescent="0.45">
      <c r="A14">
        <v>3</v>
      </c>
      <c r="B14" s="6" t="n">
        <v>19735.05716206991</v>
      </c>
      <c r="C14" s="9">
        <f si="0" t="shared"/>
        <v>0.18442083487179672</v>
      </c>
      <c r="E14" s="371">
        <v>3</v>
      </c>
      <c r="F14" s="371" t="n">
        <v>9946.0</v>
      </c>
      <c r="G14" s="9">
        <f si="1" t="shared"/>
        <v>0.14254836092796358</v>
      </c>
    </row>
    <row r="15" spans="1:12" x14ac:dyDescent="0.45">
      <c r="A15">
        <v>4</v>
      </c>
      <c r="B15" s="6" t="n">
        <v>27779.22938403852</v>
      </c>
      <c r="C15" s="9">
        <f si="0" t="shared"/>
        <v>3.3759260425278881E-2</v>
      </c>
      <c r="E15" s="371">
        <v>4</v>
      </c>
      <c r="F15" s="371" t="n">
        <v>13734.0</v>
      </c>
      <c r="G15" s="9">
        <f si="1" t="shared"/>
        <v>0.10482874269754072</v>
      </c>
    </row>
    <row r="16" spans="1:12" x14ac:dyDescent="0.45">
      <c r="A16">
        <v>5</v>
      </c>
      <c r="B16" s="6" t="n">
        <v>35448.201864271075</v>
      </c>
      <c r="C16" s="9">
        <f si="0" t="shared"/>
        <v>0.11345338512958839</v>
      </c>
      <c r="E16" s="371">
        <v>5</v>
      </c>
      <c r="F16" s="371" t="n">
        <v>15761.0</v>
      </c>
      <c r="G16" s="9">
        <f si="1" t="shared"/>
        <v>7.1285069499267703E-2</v>
      </c>
    </row>
    <row r="17" spans="1:7" x14ac:dyDescent="0.45">
      <c r="A17">
        <v>6</v>
      </c>
      <c r="B17" s="6" t="n">
        <v>24560.87392696408</v>
      </c>
      <c r="C17" s="9">
        <f si="0" t="shared"/>
        <v>2.9489871497958751E-2</v>
      </c>
      <c r="E17" s="371">
        <v>6</v>
      </c>
      <c r="F17" s="371" t="n">
        <v>17898.0</v>
      </c>
      <c r="G17" s="9">
        <f si="1" t="shared"/>
        <v>5.0966129655743153E-2</v>
      </c>
    </row>
    <row r="18" spans="1:7" x14ac:dyDescent="0.45">
      <c r="A18">
        <v>7</v>
      </c>
      <c r="B18" s="6" t="n">
        <v>31797.436752480313</v>
      </c>
      <c r="C18" s="9">
        <f si="0" t="shared"/>
        <v>3.7414388954626419E-2</v>
      </c>
      <c r="E18" s="371">
        <v>7</v>
      </c>
      <c r="F18" s="371" t="n">
        <v>18620.0</v>
      </c>
      <c r="G18" s="9">
        <f si="1" t="shared"/>
        <v>3.6712382466475388E-2</v>
      </c>
    </row>
    <row r="19" spans="1:7" x14ac:dyDescent="0.45">
      <c r="A19">
        <v>8</v>
      </c>
      <c r="B19" s="6" t="n">
        <v>21370.281066221058</v>
      </c>
      <c r="C19" s="9">
        <f si="0" t="shared"/>
        <v>2.9306191160749843E-2</v>
      </c>
      <c r="E19" s="371">
        <v>8</v>
      </c>
      <c r="F19" s="371" t="n">
        <v>18550.0</v>
      </c>
      <c r="G19" s="9">
        <f si="1" t="shared"/>
        <v>2.7494814096945083E-2</v>
      </c>
    </row>
    <row r="20" spans="1:7" x14ac:dyDescent="0.45">
      <c r="A20">
        <v>9</v>
      </c>
      <c r="B20" s="6" t="n">
        <v>16273.991432281236</v>
      </c>
      <c r="C20" s="9">
        <f si="0" t="shared"/>
        <v>4.5822654457157108E-2</v>
      </c>
      <c r="E20" s="371">
        <v>9</v>
      </c>
      <c r="F20" s="371" t="n">
        <v>17475.0</v>
      </c>
      <c r="G20" s="9">
        <f si="1" t="shared"/>
        <v>2.338420327651072E-2</v>
      </c>
    </row>
    <row r="21" spans="1:7" x14ac:dyDescent="0.45">
      <c r="A21">
        <v>10</v>
      </c>
      <c r="B21" s="6" t="n">
        <v>11949.950960309869</v>
      </c>
      <c r="C21" s="9">
        <f si="0" t="shared"/>
        <v>6.4828821756378954E-3</v>
      </c>
      <c r="E21" s="371">
        <v>10</v>
      </c>
      <c r="F21" s="371" t="n">
        <v>16401.0</v>
      </c>
      <c r="G21" s="9">
        <f si="1" t="shared"/>
        <v>2.2251743606775162E-2</v>
      </c>
    </row>
    <row r="22" spans="1:7" x14ac:dyDescent="0.45">
      <c r="A22">
        <v>11</v>
      </c>
      <c r="B22" s="6" t="n">
        <v>8590.484798097175</v>
      </c>
      <c r="C22" s="9">
        <f si="0" t="shared"/>
        <v>1.9746715412256186E-2</v>
      </c>
      <c r="E22" s="371">
        <v>11</v>
      </c>
      <c r="F22" s="371" t="n">
        <v>15059.0</v>
      </c>
      <c r="G22" s="9">
        <f si="1" t="shared"/>
        <v>1.9453261538294016E-2</v>
      </c>
    </row>
    <row r="23" spans="1:7" x14ac:dyDescent="0.45">
      <c r="A23">
        <v>12</v>
      </c>
      <c r="B23" s="6" t="n">
        <v>12816.375905921544</v>
      </c>
      <c r="C23" s="9">
        <f si="0" t="shared"/>
        <v>4.1655593319054338E-3</v>
      </c>
      <c r="E23" s="371">
        <v>12</v>
      </c>
      <c r="F23" s="371" t="n">
        <v>14157.0</v>
      </c>
      <c r="G23" s="9">
        <f si="1" t="shared"/>
        <v>1.962204158522576E-2</v>
      </c>
    </row>
    <row r="24" spans="1:7" x14ac:dyDescent="0.45">
      <c r="A24">
        <v>13</v>
      </c>
      <c r="B24" s="6" t="n">
        <v>10077.905060193121</v>
      </c>
      <c r="C24" s="9">
        <f si="0" t="shared"/>
        <v>2.8548682477955889E-2</v>
      </c>
      <c r="E24" s="371">
        <v>13</v>
      </c>
      <c r="F24" s="371" t="n">
        <v>12994.0</v>
      </c>
      <c r="G24" s="9">
        <f si="1" t="shared"/>
        <v>1.942059443243626E-2</v>
      </c>
    </row>
    <row r="25" spans="1:7" x14ac:dyDescent="0.45">
      <c r="A25">
        <v>14</v>
      </c>
      <c r="B25" s="6" t="n">
        <v>7832.767356006455</v>
      </c>
      <c r="C25" s="9">
        <f si="0" t="shared"/>
        <v>8.9654999574116153E-3</v>
      </c>
      <c r="E25" s="371">
        <v>14</v>
      </c>
      <c r="F25" s="371" t="n">
        <v>11986.0</v>
      </c>
      <c r="G25" s="9">
        <f si="1" t="shared"/>
        <v>1.8386136080273969E-2</v>
      </c>
    </row>
    <row r="26" spans="1:7" x14ac:dyDescent="0.45">
      <c r="A26">
        <v>15</v>
      </c>
      <c r="B26" s="6" t="n">
        <v>10810.019716008519</v>
      </c>
      <c r="C26" s="9">
        <f si="0" t="shared"/>
        <v>7.7013721224524177E-3</v>
      </c>
      <c r="E26" s="371">
        <v>15</v>
      </c>
      <c r="F26" s="371" t="n">
        <v>9975.0</v>
      </c>
      <c r="G26" s="9">
        <f si="1" t="shared"/>
        <v>1.4743753777134118E-2</v>
      </c>
    </row>
    <row r="27" spans="1:7" x14ac:dyDescent="0.45">
      <c r="A27">
        <v>16</v>
      </c>
      <c r="B27" s="6" t="n">
        <v>4790.7409907345955</v>
      </c>
      <c r="C27" s="9">
        <f si="0" t="shared"/>
        <v>2.7843178552188353E-4</v>
      </c>
      <c r="E27" s="371">
        <v>16</v>
      </c>
      <c r="F27" s="371" t="n">
        <v>9251.0</v>
      </c>
      <c r="G27" s="9">
        <f si="1" t="shared"/>
        <v>1.2059606579155122E-2</v>
      </c>
    </row>
    <row r="28" spans="1:7" x14ac:dyDescent="0.45">
      <c r="A28">
        <v>17</v>
      </c>
      <c r="B28" s="6" t="n">
        <v>7356.984459658836</v>
      </c>
      <c r="C28" s="9">
        <f si="0" t="shared"/>
        <v>1.8015634968325814E-2</v>
      </c>
      <c r="E28" s="371">
        <v>17</v>
      </c>
      <c r="F28" s="371" t="n">
        <v>8493.0</v>
      </c>
      <c r="G28" s="9">
        <f si="1" t="shared"/>
        <v>9.2937916165317346E-3</v>
      </c>
    </row>
    <row r="29" spans="1:7" x14ac:dyDescent="0.45">
      <c r="A29">
        <v>18</v>
      </c>
      <c r="B29" s="6" t="n">
        <v>5940.821051141081</v>
      </c>
      <c r="C29" s="9">
        <f si="0" t="shared"/>
        <v>4.3697802132589428E-3</v>
      </c>
      <c r="E29" s="371">
        <v>18</v>
      </c>
      <c r="F29" s="371" t="n">
        <v>7116.0</v>
      </c>
      <c r="G29" s="9">
        <f si="1" t="shared"/>
        <v>7.8183273352897317E-3</v>
      </c>
    </row>
    <row r="30" spans="1:7" x14ac:dyDescent="0.45">
      <c r="A30">
        <v>19</v>
      </c>
      <c r="B30" s="6" t="n">
        <v>4777.110925515691</v>
      </c>
      <c r="C30" s="9">
        <f si="0" t="shared"/>
        <v>0</v>
      </c>
      <c r="E30" s="371">
        <v>19</v>
      </c>
      <c r="F30" s="371" t="n">
        <v>6420.0</v>
      </c>
      <c r="G30" s="9">
        <f si="1" t="shared"/>
        <v>7.023427759417656E-3</v>
      </c>
    </row>
    <row r="31" spans="1:7" x14ac:dyDescent="0.45">
      <c r="A31">
        <v>20</v>
      </c>
      <c r="B31" s="6" t="n">
        <v>4236.688027816551</v>
      </c>
      <c r="C31" s="9">
        <f si="0" t="shared"/>
        <v>0</v>
      </c>
      <c r="E31" s="371">
        <v>20</v>
      </c>
      <c r="F31" s="371" t="n">
        <v>5889.0</v>
      </c>
      <c r="G31" s="9">
        <f si="1" t="shared"/>
        <v>6.2285281835455794E-3</v>
      </c>
    </row>
    <row r="32" spans="1:7" x14ac:dyDescent="0.45">
      <c r="A32">
        <v>21</v>
      </c>
      <c r="B32" s="6" t="n">
        <v>2491.8660873491312</v>
      </c>
      <c r="C32" s="9">
        <f si="0" t="shared"/>
        <v>0</v>
      </c>
      <c r="E32" s="371">
        <v>21</v>
      </c>
      <c r="F32" s="371" t="n">
        <v>5146.0</v>
      </c>
      <c r="G32" s="9">
        <f si="1" t="shared"/>
        <v>5.9563023013976093E-3</v>
      </c>
    </row>
    <row r="33" spans="1:7" x14ac:dyDescent="0.45">
      <c r="A33">
        <v>22</v>
      </c>
      <c r="B33" s="6" t="n">
        <v>3428.0016211518378</v>
      </c>
      <c r="C33" s="9">
        <f si="0" t="shared"/>
        <v>0</v>
      </c>
      <c r="E33" s="371">
        <v>22</v>
      </c>
      <c r="F33" s="371" t="n">
        <v>4503.0</v>
      </c>
      <c r="G33" s="9">
        <f si="1" t="shared"/>
        <v>5.357405360672072E-3</v>
      </c>
    </row>
    <row r="34" spans="1:7" x14ac:dyDescent="0.45">
      <c r="A34">
        <v>23</v>
      </c>
      <c r="B34" s="6" t="n">
        <v>563.3632223871895</v>
      </c>
      <c r="C34" s="9">
        <f si="0" t="shared"/>
        <v>0</v>
      </c>
      <c r="E34" s="371">
        <v>23</v>
      </c>
      <c r="F34" s="371" t="n">
        <v>4109.0</v>
      </c>
      <c r="G34" s="9">
        <f si="1" t="shared"/>
        <v>4.6115064435866314E-3</v>
      </c>
    </row>
    <row r="35" spans="1:7" x14ac:dyDescent="0.45">
      <c r="A35">
        <v>24</v>
      </c>
      <c r="B35" s="6" t="n">
        <v>2199.6070810209044</v>
      </c>
      <c r="C35" s="9">
        <f si="0" t="shared"/>
        <v>0</v>
      </c>
      <c r="E35" s="371">
        <v>24</v>
      </c>
      <c r="F35" s="371" t="n">
        <v>3764.0</v>
      </c>
      <c r="G35" s="9">
        <f si="1" t="shared"/>
        <v>4.6332845141584689E-3</v>
      </c>
    </row>
    <row r="36" spans="1:7" x14ac:dyDescent="0.45">
      <c r="A36">
        <v>25</v>
      </c>
      <c r="B36" s="6" t="n">
        <v>1161.4246476897965</v>
      </c>
      <c r="C36" s="9">
        <f si="0" t="shared"/>
        <v>0</v>
      </c>
      <c r="E36" s="371">
        <v>25</v>
      </c>
      <c r="F36" s="371" t="n">
        <v>3463.0</v>
      </c>
      <c r="G36" s="9">
        <f si="1" t="shared"/>
        <v>3.5280474326377063E-3</v>
      </c>
    </row>
    <row r="37" spans="1:7" x14ac:dyDescent="0.45">
      <c r="A37">
        <v>26</v>
      </c>
      <c r="B37" s="6" t="n">
        <v>1439.9758882347328</v>
      </c>
      <c r="C37" s="9">
        <f si="0" t="shared"/>
        <v>0</v>
      </c>
      <c r="E37" s="371">
        <v>26</v>
      </c>
      <c r="F37" s="371" t="n">
        <v>3109.0</v>
      </c>
      <c r="G37" s="9">
        <f si="1" t="shared"/>
        <v>2.9618175977699263E-3</v>
      </c>
    </row>
    <row r="38" spans="1:7" x14ac:dyDescent="0.45">
      <c r="A38">
        <v>27</v>
      </c>
      <c r="B38" s="6" t="n">
        <v>1746.7657466628716</v>
      </c>
      <c r="C38" s="9">
        <f si="0" t="shared"/>
        <v>0</v>
      </c>
      <c r="E38" s="371">
        <v>27</v>
      </c>
      <c r="F38" s="371" t="n">
        <v>2567.0</v>
      </c>
      <c r="G38" s="9">
        <f si="1" t="shared"/>
        <v>2.2485857865422415E-3</v>
      </c>
    </row>
    <row r="39" spans="1:7" x14ac:dyDescent="0.45">
      <c r="A39">
        <v>28</v>
      </c>
      <c r="B39" s="6" t="n">
        <v>2564.2777971082014</v>
      </c>
      <c r="C39" s="9">
        <f si="0" t="shared"/>
        <v>0</v>
      </c>
      <c r="E39" s="371">
        <v>28</v>
      </c>
      <c r="F39" s="371" t="n">
        <v>2419.0</v>
      </c>
      <c r="G39" s="9">
        <f si="1" t="shared"/>
        <v>2.3302535511866328E-3</v>
      </c>
    </row>
    <row r="40" spans="1:7" x14ac:dyDescent="0.45">
      <c r="A40">
        <v>29</v>
      </c>
      <c r="B40" s="6" t="n">
        <v>141.5729381933176</v>
      </c>
      <c r="C40" s="9">
        <f si="0" t="shared"/>
        <v>6.0204486061605214E-3</v>
      </c>
      <c r="E40" s="371">
        <v>29</v>
      </c>
      <c r="F40" s="371" t="n">
        <v>2132.0</v>
      </c>
      <c r="G40" s="9">
        <f si="1" t="shared"/>
        <v>1.9055811750357981E-3</v>
      </c>
    </row>
    <row r="41" spans="1:7" x14ac:dyDescent="0.45">
      <c r="A41">
        <v>30</v>
      </c>
      <c r="B41" s="6" t="n">
        <v>822.0193288690181</v>
      </c>
      <c r="C41" s="9">
        <f si="0" t="shared"/>
        <v>0</v>
      </c>
      <c r="E41" s="371">
        <v>30</v>
      </c>
      <c r="F41" s="371" t="n">
        <v>1919.0</v>
      </c>
      <c r="G41" s="9">
        <f si="1" t="shared"/>
        <v>1.7585791986758936E-3</v>
      </c>
    </row>
    <row r="42" spans="1:7" x14ac:dyDescent="0.45">
      <c r="A42">
        <v>31</v>
      </c>
      <c r="B42" s="6" t="n">
        <v>1219.4345928015744</v>
      </c>
      <c r="C42" s="9">
        <f si="0" t="shared"/>
        <v>0</v>
      </c>
      <c r="E42" s="371">
        <v>31</v>
      </c>
      <c r="F42" s="371" t="n">
        <v>1736.0</v>
      </c>
      <c r="G42" s="9">
        <f si="1" t="shared"/>
        <v>1.802135339819569E-3</v>
      </c>
    </row>
    <row r="43" spans="1:7" x14ac:dyDescent="0.45">
      <c r="A43">
        <v>32</v>
      </c>
      <c r="B43" s="6" t="n">
        <v>303.5067610727191</v>
      </c>
      <c r="C43" s="9">
        <f si="0" t="shared"/>
        <v>0</v>
      </c>
      <c r="E43" s="371">
        <v>32</v>
      </c>
      <c r="F43" s="371" t="n">
        <v>1518.0</v>
      </c>
      <c r="G43" s="9">
        <f si="1" t="shared"/>
        <v>2.0308050808238646E-3</v>
      </c>
    </row>
    <row r="44" spans="1:7" x14ac:dyDescent="0.45">
      <c r="A44">
        <v>33</v>
      </c>
      <c r="B44" s="6" t="n">
        <v>2303.170420639859</v>
      </c>
      <c r="C44" s="9">
        <f si="0" t="shared"/>
        <v>0</v>
      </c>
      <c r="E44" s="371">
        <v>33</v>
      </c>
      <c r="F44" s="371" t="n">
        <v>1427.0</v>
      </c>
      <c r="G44" s="9">
        <f si="1" t="shared"/>
        <v>1.6932449869603804E-3</v>
      </c>
    </row>
    <row r="45" spans="1:7" x14ac:dyDescent="0.45">
      <c r="A45">
        <v>34</v>
      </c>
      <c r="B45" s="6" t="n">
        <v>3761.3698683587995</v>
      </c>
      <c r="C45" s="9">
        <f si="0" t="shared"/>
        <v>0</v>
      </c>
      <c r="E45" s="371">
        <v>34</v>
      </c>
      <c r="F45" s="371" t="n">
        <v>1286.0</v>
      </c>
      <c r="G45" s="9">
        <f si="1" t="shared"/>
        <v>1.6115772223159891E-3</v>
      </c>
    </row>
    <row r="46" spans="1:7" x14ac:dyDescent="0.45">
      <c r="A46">
        <v>35</v>
      </c>
      <c r="B46" s="6" t="n">
        <v>547.5963641611737</v>
      </c>
      <c r="C46" s="9">
        <f si="0" t="shared"/>
        <v>0</v>
      </c>
      <c r="E46" s="371">
        <v>35</v>
      </c>
      <c r="F46" s="371" t="n">
        <v>1163.0</v>
      </c>
      <c r="G46" s="9">
        <f si="1" t="shared"/>
        <v>1.2903506813813832E-3</v>
      </c>
    </row>
    <row r="47" spans="1:7" x14ac:dyDescent="0.45">
      <c r="A47">
        <v>36</v>
      </c>
      <c r="B47" s="6" t="n">
        <v>562.4897559960775</v>
      </c>
      <c r="C47" s="9">
        <f si="0" t="shared"/>
        <v>0</v>
      </c>
      <c r="E47" s="371">
        <v>36</v>
      </c>
      <c r="F47" s="371" t="n">
        <v>1120.0</v>
      </c>
      <c r="G47" s="9">
        <f si="1" t="shared"/>
        <v>1.1433487050214789E-3</v>
      </c>
    </row>
    <row r="48" spans="1:7" x14ac:dyDescent="0.45">
      <c r="A48">
        <v>37</v>
      </c>
      <c r="B48" s="6" t="n">
        <v>988.638367859647</v>
      </c>
      <c r="C48" s="9">
        <f si="0" t="shared"/>
        <v>0</v>
      </c>
      <c r="E48" s="371">
        <v>37</v>
      </c>
      <c r="F48" s="371" t="n">
        <v>1041.0</v>
      </c>
      <c r="G48" s="9">
        <f si="1" t="shared"/>
        <v>1.1433487050214789E-3</v>
      </c>
    </row>
    <row r="49" spans="1:7" x14ac:dyDescent="0.4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897.0</v>
      </c>
      <c r="G49" s="9">
        <f si="1" t="shared"/>
        <v>7.7312150530023805E-4</v>
      </c>
    </row>
    <row r="50" spans="1:7" x14ac:dyDescent="0.45">
      <c r="A50">
        <v>39</v>
      </c>
      <c r="B50" s="6" t="n">
        <v>96.53388467215561</v>
      </c>
      <c r="C50" s="9">
        <f si="0" t="shared"/>
        <v>0</v>
      </c>
      <c r="E50" s="371">
        <v>39</v>
      </c>
      <c r="F50" s="371" t="n">
        <v>877.0</v>
      </c>
      <c r="G50" s="9">
        <f si="1" t="shared"/>
        <v>7.9489957587207578E-4</v>
      </c>
    </row>
    <row r="51" spans="1:7" x14ac:dyDescent="0.45">
      <c r="A51">
        <v>40</v>
      </c>
      <c r="B51" s="6" t="n">
        <v>889.1334323207562</v>
      </c>
      <c r="C51" s="9">
        <f si="0" t="shared"/>
        <v>0</v>
      </c>
      <c r="E51" s="371">
        <v>40</v>
      </c>
      <c r="F51" s="371" t="n">
        <v>780.0</v>
      </c>
      <c r="G51" s="9">
        <f si="1" t="shared"/>
        <v>7.2412084651360333E-4</v>
      </c>
    </row>
    <row r="52" spans="1:7" x14ac:dyDescent="0.45">
      <c r="A52">
        <v>41</v>
      </c>
      <c r="B52" s="6" t="n">
        <v>511.895684753001</v>
      </c>
      <c r="C52" s="9">
        <f si="0" t="shared"/>
        <v>0</v>
      </c>
      <c r="E52" s="371">
        <v>41</v>
      </c>
      <c r="F52" s="371" t="n">
        <v>648.0</v>
      </c>
      <c r="G52" s="9">
        <f si="1" t="shared"/>
        <v>7.8945505822911629E-4</v>
      </c>
    </row>
    <row r="53" spans="1:7" x14ac:dyDescent="0.45">
      <c r="A53">
        <v>42</v>
      </c>
      <c r="B53" s="6" t="n">
        <v>74.5939346412808</v>
      </c>
      <c r="C53" s="9">
        <f si="0" t="shared"/>
        <v>0</v>
      </c>
      <c r="E53" s="371">
        <v>42</v>
      </c>
      <c r="F53" s="371" t="n">
        <v>659.0</v>
      </c>
      <c r="G53" s="9">
        <f si="1" t="shared"/>
        <v>4.4645044672267267E-4</v>
      </c>
    </row>
    <row r="54" spans="1:7" x14ac:dyDescent="0.45">
      <c r="A54">
        <v>43</v>
      </c>
      <c r="B54" s="6" t="n">
        <v>1729.0168891554163</v>
      </c>
      <c r="C54" s="9">
        <f si="0" t="shared"/>
        <v>0</v>
      </c>
      <c r="E54" s="371">
        <v>43</v>
      </c>
      <c r="F54" s="371" t="n">
        <v>564.0</v>
      </c>
      <c r="G54" s="9">
        <f si="1" t="shared"/>
        <v>5.3356272901002337E-4</v>
      </c>
    </row>
    <row r="55" spans="1:7" x14ac:dyDescent="0.45">
      <c r="A55">
        <v>44</v>
      </c>
      <c r="B55" s="6" t="n">
        <v>331.6396343563108</v>
      </c>
      <c r="C55" s="9">
        <f si="0" t="shared"/>
        <v>0</v>
      </c>
      <c r="E55" s="371">
        <v>44</v>
      </c>
      <c r="F55" s="371" t="n">
        <v>539.0</v>
      </c>
      <c r="G55" s="9">
        <f si="1" t="shared"/>
        <v>5.4989628193890183E-4</v>
      </c>
    </row>
    <row r="56" spans="1:7" x14ac:dyDescent="0.45">
      <c r="A56">
        <v>45</v>
      </c>
      <c r="B56" s="6" t="n">
        <v>551.274965219924</v>
      </c>
      <c r="C56" s="9">
        <f si="0" t="shared"/>
        <v>0</v>
      </c>
      <c r="E56" s="371">
        <v>45</v>
      </c>
      <c r="F56" s="371" t="n">
        <v>455.0</v>
      </c>
      <c r="G56" s="9">
        <f si="1" t="shared"/>
        <v>5.3900724665298285E-4</v>
      </c>
    </row>
    <row r="57" spans="1:7" x14ac:dyDescent="0.45">
      <c r="A57">
        <v>46</v>
      </c>
      <c r="B57" s="6" t="n">
        <v>45.8663714539534</v>
      </c>
      <c r="C57" s="9">
        <f si="0" t="shared"/>
        <v>0</v>
      </c>
      <c r="E57" s="371">
        <v>46</v>
      </c>
      <c r="F57" s="371" t="n">
        <v>446.0</v>
      </c>
      <c r="G57" s="9">
        <f si="1" t="shared"/>
        <v>4.8456207022338864E-4</v>
      </c>
    </row>
    <row r="58" spans="1:7" x14ac:dyDescent="0.45">
      <c r="A58">
        <v>47</v>
      </c>
      <c r="B58" s="6" t="n">
        <v>1169.1102698743607</v>
      </c>
      <c r="C58" s="9">
        <f si="0" t="shared"/>
        <v>0</v>
      </c>
      <c r="E58" s="371">
        <v>47</v>
      </c>
      <c r="F58" s="371" t="n">
        <v>426.0</v>
      </c>
      <c r="G58" s="9">
        <f si="1" t="shared"/>
        <v>4.518949643656321E-4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388.0</v>
      </c>
      <c r="G59" s="9">
        <f si="1" t="shared"/>
        <v>3.3756009386348425E-4</v>
      </c>
    </row>
    <row r="60" spans="1:7" x14ac:dyDescent="0.45">
      <c r="A60">
        <v>49</v>
      </c>
      <c r="B60" s="6" t="n">
        <v>396.7878481827754</v>
      </c>
      <c r="C60" s="9">
        <f si="0" t="shared"/>
        <v>0</v>
      </c>
      <c r="E60" s="371">
        <v>49</v>
      </c>
      <c r="F60" s="371" t="n">
        <v>337.0</v>
      </c>
      <c r="G60" s="9">
        <f si="1" t="shared"/>
        <v>3.5389364679236254E-4</v>
      </c>
    </row>
    <row r="61" spans="1:7" x14ac:dyDescent="0.45">
      <c r="A61">
        <v>50</v>
      </c>
      <c r="B61" s="6" t="n">
        <v>375.6628691365866</v>
      </c>
      <c r="C61" s="9">
        <f si="0" t="shared"/>
        <v>0</v>
      </c>
      <c r="E61" s="371">
        <v>50</v>
      </c>
      <c r="F61" s="371" t="n">
        <v>318.0</v>
      </c>
      <c r="G61" s="9">
        <f si="1" t="shared"/>
        <v>4.24672376150835E-4</v>
      </c>
    </row>
    <row r="62" spans="1:7" x14ac:dyDescent="0.45">
      <c r="A62">
        <v>51</v>
      </c>
      <c r="B62" s="6" t="n">
        <v>372.0026594737221</v>
      </c>
      <c r="C62" s="9">
        <f si="0" t="shared"/>
        <v>0</v>
      </c>
      <c r="E62" s="371">
        <v>51</v>
      </c>
      <c r="F62" s="371" t="n">
        <v>266.0</v>
      </c>
      <c r="G62" s="9">
        <f si="1" t="shared"/>
        <v>2.3411425864725517E-4</v>
      </c>
    </row>
    <row r="63" spans="1:7" x14ac:dyDescent="0.45">
      <c r="A63">
        <v>52</v>
      </c>
      <c r="B63" s="6" t="n">
        <v>651.0391546114812</v>
      </c>
      <c r="C63" s="9">
        <f si="0" t="shared"/>
        <v>0</v>
      </c>
      <c r="E63" s="371">
        <v>52</v>
      </c>
      <c r="F63" s="371" t="n">
        <v>288.0</v>
      </c>
      <c r="G63" s="9">
        <f si="1" t="shared"/>
        <v>2.0144715278949863E-4</v>
      </c>
    </row>
    <row r="64" spans="1:7" x14ac:dyDescent="0.45">
      <c r="A64">
        <v>53</v>
      </c>
      <c r="B64" s="6" t="n">
        <v>83.6736626407767</v>
      </c>
      <c r="C64" s="9">
        <f si="0" t="shared"/>
        <v>0</v>
      </c>
      <c r="E64" s="371">
        <v>53</v>
      </c>
      <c r="F64" s="371" t="n">
        <v>252.0</v>
      </c>
      <c r="G64" s="9">
        <f si="1" t="shared"/>
        <v>2.123361880754175E-4</v>
      </c>
    </row>
    <row r="65" spans="1:7" x14ac:dyDescent="0.45">
      <c r="A65">
        <v>54</v>
      </c>
      <c r="B65" s="6" t="n">
        <v>109.1638031013618</v>
      </c>
      <c r="C65" s="9">
        <f si="0" t="shared"/>
        <v>0</v>
      </c>
      <c r="E65" s="371">
        <v>54</v>
      </c>
      <c r="F65" s="371" t="n">
        <v>272.0</v>
      </c>
      <c r="G65" s="9">
        <f si="1" t="shared"/>
        <v>1.3611294107398558E-4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262.0</v>
      </c>
      <c r="G66" s="9">
        <f si="1" t="shared"/>
        <v>2.177807057183769E-4</v>
      </c>
    </row>
    <row r="67" spans="1:7" x14ac:dyDescent="0.45">
      <c r="A67">
        <v>56</v>
      </c>
      <c r="B67" s="6" t="n">
        <v>753.7621536443106</v>
      </c>
      <c r="C67" s="9">
        <f si="0" t="shared"/>
        <v>0</v>
      </c>
      <c r="E67" s="371">
        <v>56</v>
      </c>
      <c r="F67" s="371" t="n">
        <v>281.0</v>
      </c>
      <c r="G67" s="9">
        <f si="1" t="shared"/>
        <v>1.6333552928878269E-4</v>
      </c>
    </row>
    <row r="68" spans="1:7" x14ac:dyDescent="0.45">
      <c r="A68">
        <v>57</v>
      </c>
      <c r="B68" s="6" t="n">
        <v>416.536164306088</v>
      </c>
      <c r="C68" s="9">
        <f si="0" t="shared"/>
        <v>0</v>
      </c>
      <c r="E68" s="371">
        <v>57</v>
      </c>
      <c r="F68" s="371" t="n">
        <v>219.0</v>
      </c>
      <c r="G68" s="9">
        <f si="1" t="shared"/>
        <v>1.2522390578806672E-4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180.0</v>
      </c>
      <c r="G69" s="9">
        <f si="1" t="shared"/>
        <v>1.4155745871694499E-4</v>
      </c>
    </row>
    <row r="70" spans="1:7" x14ac:dyDescent="0.45">
      <c r="A70">
        <v>59</v>
      </c>
      <c r="B70" s="6" t="n">
        <v>598.440905435721</v>
      </c>
      <c r="C70" s="9">
        <f si="0" t="shared"/>
        <v>0</v>
      </c>
      <c r="E70" s="371">
        <v>59</v>
      </c>
      <c r="F70" s="371" t="n">
        <v>218.0</v>
      </c>
      <c r="G70" s="9">
        <f si="1" t="shared"/>
        <v>1.2522390578806672E-4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190.0</v>
      </c>
      <c r="G71" s="9">
        <f si="1" t="shared"/>
        <v>1.0889035285918845E-4</v>
      </c>
    </row>
    <row r="72" spans="1:7" x14ac:dyDescent="0.45">
      <c r="A72">
        <v>61</v>
      </c>
      <c r="B72" s="6" t="n">
        <v>308.718317243292</v>
      </c>
      <c r="C72" s="9">
        <f si="0" t="shared"/>
        <v>0</v>
      </c>
      <c r="E72" s="371">
        <v>61</v>
      </c>
      <c r="F72" s="371" t="n">
        <v>206.0</v>
      </c>
      <c r="G72" s="9">
        <f si="1" t="shared"/>
        <v>9.8001317573269615E-5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186.0</v>
      </c>
      <c r="G73" s="9">
        <f si="1" t="shared"/>
        <v>1.0889035285918845E-4</v>
      </c>
    </row>
    <row r="74" spans="1:7" x14ac:dyDescent="0.45">
      <c r="A74">
        <v>63</v>
      </c>
      <c r="B74" s="6" t="n">
        <v>276.843729943977</v>
      </c>
      <c r="C74" s="9">
        <f si="0" t="shared"/>
        <v>0</v>
      </c>
      <c r="E74" s="371">
        <v>63</v>
      </c>
      <c r="F74" s="371" t="n">
        <v>131.0</v>
      </c>
      <c r="G74" s="9">
        <f si="1" t="shared"/>
        <v>1.197793881451073E-4</v>
      </c>
    </row>
    <row r="75" spans="1:7" x14ac:dyDescent="0.45">
      <c r="A75">
        <v>64</v>
      </c>
      <c r="B75" s="6" t="n">
        <v>190.7729278969857</v>
      </c>
      <c r="C75" s="9">
        <f si="0" t="shared"/>
        <v>0</v>
      </c>
      <c r="E75" s="371">
        <v>64</v>
      </c>
      <c r="F75" s="371" t="n">
        <v>133.0</v>
      </c>
      <c r="G75" s="9">
        <f si="1" t="shared"/>
        <v>1.1433487050214788E-4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106.0</v>
      </c>
      <c r="G76" s="9">
        <f si="1" t="shared"/>
        <v>4.9000658786634807E-5</v>
      </c>
    </row>
    <row r="77" spans="1:7" x14ac:dyDescent="0.45">
      <c r="A77">
        <v>66</v>
      </c>
      <c r="B77" s="6" t="n">
        <v>270.83325006028633</v>
      </c>
      <c r="C77" s="9">
        <f ref="C77:C102" si="2" t="shared">B77/B$102</f>
        <v>0</v>
      </c>
      <c r="E77" s="371">
        <v>66</v>
      </c>
      <c r="F77" s="371" t="n">
        <v>121.0</v>
      </c>
      <c r="G77" s="9">
        <f ref="G77:G102" si="3" t="shared">F77/F$102</f>
        <v>9.8001317573269615E-5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102.0</v>
      </c>
      <c r="G78" s="9">
        <f si="3" t="shared"/>
        <v>9.2556799930310196E-5</v>
      </c>
    </row>
    <row r="79" spans="1:7" x14ac:dyDescent="0.45">
      <c r="A79">
        <v>68</v>
      </c>
      <c r="B79" s="6" t="n">
        <v>389.967913947736</v>
      </c>
      <c r="C79" s="9">
        <f si="2" t="shared"/>
        <v>0</v>
      </c>
      <c r="E79" s="371">
        <v>68</v>
      </c>
      <c r="F79" s="371" t="n">
        <v>95.0</v>
      </c>
      <c r="G79" s="9">
        <f si="3" t="shared"/>
        <v>7.0778729358472495E-5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75.0</v>
      </c>
      <c r="G80" s="9">
        <f si="3" t="shared"/>
        <v>3.8111623500715964E-5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69.0</v>
      </c>
      <c r="G81" s="9">
        <f si="3" t="shared"/>
        <v>4.3556141143675382E-5</v>
      </c>
    </row>
    <row r="82" spans="1:7" x14ac:dyDescent="0.45">
      <c r="A82">
        <v>71</v>
      </c>
      <c r="B82" s="6" t="n">
        <v>110.6912816761092</v>
      </c>
      <c r="C82" s="9">
        <f si="2" t="shared"/>
        <v>0</v>
      </c>
      <c r="E82" s="371">
        <v>71</v>
      </c>
      <c r="F82" s="371" t="n">
        <v>69.0</v>
      </c>
      <c r="G82" s="9">
        <f si="3" t="shared"/>
        <v>3.2667105857756538E-5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67.0</v>
      </c>
      <c r="G83" s="9">
        <f si="3" t="shared"/>
        <v>2.1778070571837691E-5</v>
      </c>
    </row>
    <row r="84" spans="1:7" x14ac:dyDescent="0.45">
      <c r="A84">
        <v>73</v>
      </c>
      <c r="B84" s="6" t="n">
        <v>69.021600198116</v>
      </c>
      <c r="C84" s="9">
        <f si="2" t="shared"/>
        <v>0</v>
      </c>
      <c r="E84" s="371">
        <v>73</v>
      </c>
      <c r="F84" s="371" t="n">
        <v>71.0</v>
      </c>
      <c r="G84" s="9">
        <f si="3" t="shared"/>
        <v>2.7222588214797113E-5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64.0</v>
      </c>
      <c r="G85" s="9">
        <f si="3" t="shared"/>
        <v>4.3556141143675382E-5</v>
      </c>
    </row>
    <row r="86" spans="1:7" x14ac:dyDescent="0.45">
      <c r="A86">
        <v>75</v>
      </c>
      <c r="B86" s="6" t="n">
        <v>77.0825385235236</v>
      </c>
      <c r="C86" s="9">
        <f si="2" t="shared"/>
        <v>0</v>
      </c>
      <c r="E86" s="371">
        <v>75</v>
      </c>
      <c r="F86" s="371" t="n">
        <v>48.0</v>
      </c>
      <c r="G86" s="9">
        <f si="3" t="shared"/>
        <v>2.7222588214797113E-5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50.0</v>
      </c>
      <c r="G87" s="9">
        <f si="3" t="shared"/>
        <v>3.2667105857756538E-5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59.0</v>
      </c>
      <c r="G88" s="9">
        <f si="3" t="shared"/>
        <v>2.1778070571837691E-5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36.0</v>
      </c>
      <c r="G89" s="9">
        <f si="3" t="shared"/>
        <v>2.1778070571837691E-5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54.0</v>
      </c>
      <c r="G90" s="9">
        <f si="3" t="shared"/>
        <v>5.4445176429594226E-5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47.0</v>
      </c>
      <c r="G91" s="9">
        <f si="3" t="shared"/>
        <v>3.8111623500715964E-5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43.0</v>
      </c>
      <c r="G92" s="9">
        <f si="3" t="shared"/>
        <v>2.7222588214797113E-5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43.0</v>
      </c>
      <c r="G93" s="9">
        <f si="3" t="shared"/>
        <v>3.2667105857756538E-5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38.0</v>
      </c>
      <c r="G94" s="9">
        <f si="3" t="shared"/>
        <v>5.4445176429594228E-6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24.0</v>
      </c>
      <c r="G95" s="9">
        <f si="3" t="shared"/>
        <v>2.7222588214797113E-5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28.0</v>
      </c>
      <c r="G96" s="9">
        <f si="3" t="shared"/>
        <v>2.1778070571837691E-5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25.0</v>
      </c>
      <c r="G97" s="9">
        <f si="3" t="shared"/>
        <v>5.4445176429594228E-6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19.0</v>
      </c>
      <c r="G98" s="9">
        <f si="3" t="shared"/>
        <v>1.0889035285918846E-5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23.0</v>
      </c>
      <c r="G99" s="9">
        <f si="3" t="shared"/>
        <v>4.3556141143675382E-5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16.0</v>
      </c>
      <c r="G100" s="9">
        <f si="3" t="shared"/>
        <v>3.2667105857756538E-5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653.0</v>
      </c>
      <c r="G101" s="9">
        <f si="3" t="shared"/>
        <v>6.5334211715513076E-4</v>
      </c>
    </row>
    <row r="102" spans="1:7" x14ac:dyDescent="0.45">
      <c r="B102" s="6">
        <f>SUM(B11:B101)</f>
        <v>50361.786355292417</v>
      </c>
      <c r="C102" s="9">
        <f si="2" t="shared"/>
        <v>1</v>
      </c>
      <c r="F102" s="6">
        <f>SUM(F11:F101)</f>
        <v>61223.666666605437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L11" sqref="K11:L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12.0" collapsed="true"/>
  </cols>
  <sheetData>
    <row r="1" spans="1:12" x14ac:dyDescent="0.45">
      <c r="A1" t="s">
        <v>1</v>
      </c>
    </row>
    <row r="2" spans="1:12" x14ac:dyDescent="0.45">
      <c r="A2" t="s">
        <v>19</v>
      </c>
    </row>
    <row r="3" spans="1:12" x14ac:dyDescent="0.45">
      <c r="A3" t="s">
        <v>20</v>
      </c>
    </row>
    <row r="4" spans="1:12" x14ac:dyDescent="0.45">
      <c r="A4" t="s">
        <v>4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45">
      <c r="A10" s="2" t="s">
        <v>2</v>
      </c>
      <c r="B10" s="4" t="s">
        <v>17</v>
      </c>
      <c r="C10" s="4" t="s">
        <v>49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19701.114631501387</v>
      </c>
      <c r="C11" s="9">
        <f>B11/B$102</f>
        <v>0.28782969789552348</v>
      </c>
      <c r="E11" s="371">
        <v>0</v>
      </c>
      <c r="F11" s="371" t="n">
        <v>64520.0</v>
      </c>
      <c r="G11" s="9">
        <f>F11/F$102</f>
        <v>0.29346674348993107</v>
      </c>
      <c r="K11" s="6" t="n">
        <v>6.475925108432946</v>
      </c>
      <c r="L11" s="6" t="n">
        <v>5.73885938046717</v>
      </c>
    </row>
    <row r="12" spans="1:12" x14ac:dyDescent="0.45">
      <c r="A12">
        <v>1</v>
      </c>
      <c r="B12" s="6" t="n">
        <v>30113.089998340503</v>
      </c>
      <c r="C12" s="9">
        <f>B12/B$102</f>
        <v>0.29806462030726355</v>
      </c>
      <c r="E12" s="371">
        <v>1</v>
      </c>
      <c r="F12" s="371" t="n">
        <v>61502.0</v>
      </c>
      <c r="G12" s="9">
        <f>F12/F$102</f>
        <v>0.21781081802723476</v>
      </c>
      <c r="K12" s="6"/>
      <c r="L12" s="371"/>
    </row>
    <row r="13" spans="1:12" x14ac:dyDescent="0.45">
      <c r="A13">
        <v>2</v>
      </c>
      <c r="B13" s="6" t="n">
        <v>20762.844435855746</v>
      </c>
      <c r="C13" s="9">
        <f ref="C13:C76" si="0" t="shared">B13/B$102</f>
        <v>9.7204454549691469E-2</v>
      </c>
      <c r="E13" s="371">
        <v>2</v>
      </c>
      <c r="F13" s="371" t="n">
        <v>57497.0</v>
      </c>
      <c r="G13" s="9">
        <f ref="G13:G76" si="1" t="shared">F13/F$102</f>
        <v>0.13320310853159822</v>
      </c>
    </row>
    <row r="14" spans="1:12" x14ac:dyDescent="0.45">
      <c r="A14">
        <v>3</v>
      </c>
      <c r="B14" s="6" t="n">
        <v>18383.118091289016</v>
      </c>
      <c r="C14" s="9">
        <f si="0" t="shared"/>
        <v>9.0564996128081859E-2</v>
      </c>
      <c r="E14" s="371">
        <v>3</v>
      </c>
      <c r="F14" s="371" t="n">
        <v>50114.0</v>
      </c>
      <c r="G14" s="9">
        <f si="1" t="shared"/>
        <v>7.5939796793097133E-2</v>
      </c>
    </row>
    <row r="15" spans="1:12" x14ac:dyDescent="0.45">
      <c r="A15">
        <v>4</v>
      </c>
      <c r="B15" s="6" t="n">
        <v>9969.519917680596</v>
      </c>
      <c r="C15" s="9">
        <f si="0" t="shared"/>
        <v>3.3826768953904379E-2</v>
      </c>
      <c r="E15" s="371">
        <v>4</v>
      </c>
      <c r="F15" s="371" t="n">
        <v>38636.0</v>
      </c>
      <c r="G15" s="9">
        <f si="1" t="shared"/>
        <v>4.6363776893997941E-2</v>
      </c>
    </row>
    <row r="16" spans="1:12" x14ac:dyDescent="0.45">
      <c r="A16">
        <v>5</v>
      </c>
      <c r="B16" s="6" t="n">
        <v>8631.238571781714</v>
      </c>
      <c r="C16" s="9">
        <f si="0" t="shared"/>
        <v>7.0238692174051376E-2</v>
      </c>
      <c r="E16" s="371">
        <v>5</v>
      </c>
      <c r="F16" s="371" t="n">
        <v>29195.0</v>
      </c>
      <c r="G16" s="9">
        <f si="1" t="shared"/>
        <v>3.2400680166950066E-2</v>
      </c>
    </row>
    <row r="17" spans="1:7" x14ac:dyDescent="0.45">
      <c r="A17">
        <v>6</v>
      </c>
      <c r="B17" s="6" t="n">
        <v>8716.90788404469</v>
      </c>
      <c r="C17" s="9">
        <f si="0" t="shared"/>
        <v>4.1290775593937831E-3</v>
      </c>
      <c r="E17" s="371">
        <v>6</v>
      </c>
      <c r="F17" s="371" t="n">
        <v>21864.0</v>
      </c>
      <c r="G17" s="9">
        <f si="1" t="shared"/>
        <v>2.8319678466532688E-2</v>
      </c>
    </row>
    <row r="18" spans="1:7" x14ac:dyDescent="0.45">
      <c r="A18">
        <v>7</v>
      </c>
      <c r="B18" s="6" t="n">
        <v>8376.716206312007</v>
      </c>
      <c r="C18" s="9">
        <f si="0" t="shared"/>
        <v>2.2892251022468137E-2</v>
      </c>
      <c r="E18" s="371">
        <v>7</v>
      </c>
      <c r="F18" s="371" t="n">
        <v>16356.0</v>
      </c>
      <c r="G18" s="9">
        <f si="1" t="shared"/>
        <v>2.3493865849716827E-2</v>
      </c>
    </row>
    <row r="19" spans="1:7" x14ac:dyDescent="0.45">
      <c r="A19">
        <v>8</v>
      </c>
      <c r="B19" s="6" t="n">
        <v>7356.204318699799</v>
      </c>
      <c r="C19" s="9">
        <f si="0" t="shared"/>
        <v>0</v>
      </c>
      <c r="E19" s="371">
        <v>8</v>
      </c>
      <c r="F19" s="371" t="n">
        <v>11595.0</v>
      </c>
      <c r="G19" s="9">
        <f si="1" t="shared"/>
        <v>2.0877190517011198E-2</v>
      </c>
    </row>
    <row r="20" spans="1:7" x14ac:dyDescent="0.45">
      <c r="A20">
        <v>9</v>
      </c>
      <c r="B20" s="6" t="n">
        <v>7657.209739448127</v>
      </c>
      <c r="C20" s="9">
        <f si="0" t="shared"/>
        <v>6.8589273555502853E-3</v>
      </c>
      <c r="E20" s="371">
        <v>9</v>
      </c>
      <c r="F20" s="371" t="n">
        <v>9504.0</v>
      </c>
      <c r="G20" s="9">
        <f si="1" t="shared"/>
        <v>1.9381947469750836E-2</v>
      </c>
    </row>
    <row r="21" spans="1:7" x14ac:dyDescent="0.45">
      <c r="A21">
        <v>10</v>
      </c>
      <c r="B21" s="6" t="n">
        <v>6909.2525359065685</v>
      </c>
      <c r="C21" s="9">
        <f si="0" t="shared"/>
        <v>1.3838335043651059E-2</v>
      </c>
      <c r="E21" s="371">
        <v>10</v>
      </c>
      <c r="F21" s="371" t="n">
        <v>8255.0</v>
      </c>
      <c r="G21" s="9">
        <f si="1" t="shared"/>
        <v>1.7462302730504926E-2</v>
      </c>
    </row>
    <row r="22" spans="1:7" x14ac:dyDescent="0.45">
      <c r="A22">
        <v>11</v>
      </c>
      <c r="B22" s="6" t="n">
        <v>4261.320019245909</v>
      </c>
      <c r="C22" s="9">
        <f si="0" t="shared"/>
        <v>1.1913569317207695E-2</v>
      </c>
      <c r="E22" s="371">
        <v>11</v>
      </c>
      <c r="F22" s="371" t="n">
        <v>7639.0</v>
      </c>
      <c r="G22" s="9">
        <f si="1" t="shared"/>
        <v>1.4081142230778958E-2</v>
      </c>
    </row>
    <row r="23" spans="1:7" x14ac:dyDescent="0.45">
      <c r="A23">
        <v>12</v>
      </c>
      <c r="B23" s="6" t="n">
        <v>2966.8137182027936</v>
      </c>
      <c r="C23" s="9">
        <f si="0" t="shared"/>
        <v>0</v>
      </c>
      <c r="E23" s="371">
        <v>12</v>
      </c>
      <c r="F23" s="371" t="n">
        <v>6924.0</v>
      </c>
      <c r="G23" s="9">
        <f si="1" t="shared"/>
        <v>1.105692884947793E-2</v>
      </c>
    </row>
    <row r="24" spans="1:7" x14ac:dyDescent="0.45">
      <c r="A24">
        <v>13</v>
      </c>
      <c r="B24" s="6" t="n">
        <v>3947.253367377235</v>
      </c>
      <c r="C24" s="9">
        <f si="0" t="shared"/>
        <v>0</v>
      </c>
      <c r="E24" s="371">
        <v>13</v>
      </c>
      <c r="F24" s="371" t="n">
        <v>6102.0</v>
      </c>
      <c r="G24" s="9">
        <f si="1" t="shared"/>
        <v>9.3677539032307935E-3</v>
      </c>
    </row>
    <row r="25" spans="1:7" x14ac:dyDescent="0.45">
      <c r="A25">
        <v>14</v>
      </c>
      <c r="B25" s="6" t="n">
        <v>1978.2730890430134</v>
      </c>
      <c r="C25" s="9">
        <f si="0" t="shared"/>
        <v>0</v>
      </c>
      <c r="E25" s="371">
        <v>14</v>
      </c>
      <c r="F25" s="371" t="n">
        <v>5178.0</v>
      </c>
      <c r="G25" s="9">
        <f si="1" t="shared"/>
        <v>7.98774575246982E-3</v>
      </c>
    </row>
    <row r="26" spans="1:7" x14ac:dyDescent="0.45">
      <c r="A26">
        <v>15</v>
      </c>
      <c r="B26" s="6" t="n">
        <v>3094.92751180312</v>
      </c>
      <c r="C26" s="9">
        <f si="0" t="shared"/>
        <v>0</v>
      </c>
      <c r="E26" s="371">
        <v>15</v>
      </c>
      <c r="F26" s="371" t="n">
        <v>4621.0</v>
      </c>
      <c r="G26" s="9">
        <f si="1" t="shared"/>
        <v>7.0012226141457868E-3</v>
      </c>
    </row>
    <row r="27" spans="1:7" x14ac:dyDescent="0.45">
      <c r="A27">
        <v>16</v>
      </c>
      <c r="B27" s="6" t="n">
        <v>850.0045640486453</v>
      </c>
      <c r="C27" s="9">
        <f si="0" t="shared"/>
        <v>0</v>
      </c>
      <c r="E27" s="371">
        <v>16</v>
      </c>
      <c r="F27" s="371" t="n">
        <v>4045.0</v>
      </c>
      <c r="G27" s="9">
        <f si="1" t="shared"/>
        <v>6.1692828735648332E-3</v>
      </c>
    </row>
    <row r="28" spans="1:7" x14ac:dyDescent="0.45">
      <c r="A28">
        <v>17</v>
      </c>
      <c r="B28" s="6" t="n">
        <v>810.2400697779559</v>
      </c>
      <c r="C28" s="9">
        <f si="0" t="shared"/>
        <v>0</v>
      </c>
      <c r="E28" s="371">
        <v>17</v>
      </c>
      <c r="F28" s="371" t="n">
        <v>3306.0</v>
      </c>
      <c r="G28" s="9">
        <f si="1" t="shared"/>
        <v>5.1658960918506448E-3</v>
      </c>
    </row>
    <row r="29" spans="1:7" x14ac:dyDescent="0.45">
      <c r="A29">
        <v>18</v>
      </c>
      <c r="B29" s="6" t="n">
        <v>1078.7071451066051</v>
      </c>
      <c r="C29" s="9">
        <f si="0" t="shared"/>
        <v>3.203022794004988E-2</v>
      </c>
      <c r="E29" s="371">
        <v>18</v>
      </c>
      <c r="F29" s="371" t="n">
        <v>2898.0</v>
      </c>
      <c r="G29" s="9">
        <f si="1" t="shared"/>
        <v>4.5250776430247755E-3</v>
      </c>
    </row>
    <row r="30" spans="1:7" x14ac:dyDescent="0.45">
      <c r="A30">
        <v>19</v>
      </c>
      <c r="B30" s="6" t="n">
        <v>295.2192363619937</v>
      </c>
      <c r="C30" s="9">
        <f si="0" t="shared"/>
        <v>4.6505909574830022E-3</v>
      </c>
      <c r="E30" s="371">
        <v>19</v>
      </c>
      <c r="F30" s="371" t="n">
        <v>2609.0</v>
      </c>
      <c r="G30" s="9">
        <f si="1" t="shared"/>
        <v>3.7577818687727482E-3</v>
      </c>
    </row>
    <row r="31" spans="1:7" x14ac:dyDescent="0.45">
      <c r="A31">
        <v>20</v>
      </c>
      <c r="B31" s="6" t="n">
        <v>558.4485905389076</v>
      </c>
      <c r="C31" s="9">
        <f si="0" t="shared"/>
        <v>1.1480429567451078E-3</v>
      </c>
      <c r="E31" s="371">
        <v>20</v>
      </c>
      <c r="F31" s="371" t="n">
        <v>2306.0</v>
      </c>
      <c r="G31" s="9">
        <f si="1" t="shared"/>
        <v>3.5863348276395112E-3</v>
      </c>
    </row>
    <row r="32" spans="1:7" x14ac:dyDescent="0.45">
      <c r="A32">
        <v>21</v>
      </c>
      <c r="B32" s="6" t="n">
        <v>1325.197248950996</v>
      </c>
      <c r="C32" s="9">
        <f si="0" t="shared"/>
        <v>0</v>
      </c>
      <c r="E32" s="371">
        <v>21</v>
      </c>
      <c r="F32" s="371" t="n">
        <v>2186.0</v>
      </c>
      <c r="G32" s="9">
        <f si="1" t="shared"/>
        <v>3.0551300608496466E-3</v>
      </c>
    </row>
    <row r="33" spans="1:7" x14ac:dyDescent="0.45">
      <c r="A33">
        <v>22</v>
      </c>
      <c r="B33" s="6" t="n">
        <v>968.8525774608881</v>
      </c>
      <c r="C33" s="9">
        <f si="0" t="shared"/>
        <v>0</v>
      </c>
      <c r="E33" s="371">
        <v>22</v>
      </c>
      <c r="F33" s="371" t="n">
        <v>1803.0</v>
      </c>
      <c r="G33" s="9">
        <f si="1" t="shared"/>
        <v>2.3580994673899295E-3</v>
      </c>
    </row>
    <row r="34" spans="1:7" x14ac:dyDescent="0.45">
      <c r="A34">
        <v>23</v>
      </c>
      <c r="B34" s="6" t="n">
        <v>1326.54693156268</v>
      </c>
      <c r="C34" s="9">
        <f si="0" t="shared"/>
        <v>1.4731880432089516E-2</v>
      </c>
      <c r="E34" s="371">
        <v>23</v>
      </c>
      <c r="F34" s="371" t="n">
        <v>1637.0</v>
      </c>
      <c r="G34" s="9">
        <f si="1" t="shared"/>
        <v>2.001152348964994E-3</v>
      </c>
    </row>
    <row r="35" spans="1:7" x14ac:dyDescent="0.45">
      <c r="A35">
        <v>24</v>
      </c>
      <c r="B35" s="6" t="n">
        <v>1520.293885135174</v>
      </c>
      <c r="C35" s="9">
        <f si="0" t="shared"/>
        <v>0</v>
      </c>
      <c r="E35" s="371">
        <v>24</v>
      </c>
      <c r="F35" s="371" t="n">
        <v>1453.0</v>
      </c>
      <c r="G35" s="9">
        <f si="1" t="shared"/>
        <v>1.7032279824055986E-3</v>
      </c>
    </row>
    <row r="36" spans="1:7" x14ac:dyDescent="0.45">
      <c r="A36">
        <v>25</v>
      </c>
      <c r="B36" s="6" t="n">
        <v>701.4550845896982</v>
      </c>
      <c r="C36" s="9">
        <f si="0" t="shared"/>
        <v>1.007786740684522E-2</v>
      </c>
      <c r="E36" s="371">
        <v>25</v>
      </c>
      <c r="F36" s="371" t="n">
        <v>1283.0</v>
      </c>
      <c r="G36" s="9">
        <f si="1" t="shared"/>
        <v>1.4587051532483593E-3</v>
      </c>
    </row>
    <row r="37" spans="1:7" x14ac:dyDescent="0.45">
      <c r="A37">
        <v>26</v>
      </c>
      <c r="B37" s="6" t="n">
        <v>386.836836107081</v>
      </c>
      <c r="C37" s="9">
        <f si="0" t="shared"/>
        <v>0</v>
      </c>
      <c r="E37" s="371">
        <v>26</v>
      </c>
      <c r="F37" s="371" t="n">
        <v>1122.0</v>
      </c>
      <c r="G37" s="9">
        <f si="1" t="shared"/>
        <v>1.2479096108714287E-3</v>
      </c>
    </row>
    <row r="38" spans="1:7" x14ac:dyDescent="0.45">
      <c r="A38">
        <v>27</v>
      </c>
      <c r="B38" s="6" t="n">
        <v>238.6984454199972</v>
      </c>
      <c r="C38" s="9">
        <f si="0" t="shared"/>
        <v>0</v>
      </c>
      <c r="E38" s="371">
        <v>27</v>
      </c>
      <c r="F38" s="371" t="n">
        <v>1068.0</v>
      </c>
      <c r="G38" s="9">
        <f si="1" t="shared"/>
        <v>1.1214322854452704E-3</v>
      </c>
    </row>
    <row r="39" spans="1:7" x14ac:dyDescent="0.45">
      <c r="A39">
        <v>28</v>
      </c>
      <c r="B39" s="6" t="n">
        <v>144.8967605028922</v>
      </c>
      <c r="C39" s="9">
        <f si="0" t="shared"/>
        <v>0</v>
      </c>
      <c r="E39" s="371">
        <v>28</v>
      </c>
      <c r="F39" s="371" t="n">
        <v>1044.0</v>
      </c>
      <c r="G39" s="9">
        <f si="1" t="shared"/>
        <v>8.8534127798310831E-4</v>
      </c>
    </row>
    <row r="40" spans="1:7" x14ac:dyDescent="0.45">
      <c r="A40">
        <v>29</v>
      </c>
      <c r="B40" s="6" t="n">
        <v>70.4307490241258</v>
      </c>
      <c r="C40" s="9">
        <f si="0" t="shared"/>
        <v>0</v>
      </c>
      <c r="E40" s="371">
        <v>29</v>
      </c>
      <c r="F40" s="371" t="n">
        <v>832.0</v>
      </c>
      <c r="G40" s="9">
        <f si="1" t="shared"/>
        <v>7.7291698871541196E-4</v>
      </c>
    </row>
    <row r="41" spans="1:7" x14ac:dyDescent="0.45">
      <c r="A41">
        <v>30</v>
      </c>
      <c r="B41" s="6" t="n">
        <v>36.2495340768783</v>
      </c>
      <c r="C41" s="9">
        <f si="0" t="shared"/>
        <v>0</v>
      </c>
      <c r="E41" s="371">
        <v>30</v>
      </c>
      <c r="F41" s="371" t="n">
        <v>768.0</v>
      </c>
      <c r="G41" s="9">
        <f si="1" t="shared"/>
        <v>6.6892452114279287E-4</v>
      </c>
    </row>
    <row r="42" spans="1:7" x14ac:dyDescent="0.45">
      <c r="A42">
        <v>31</v>
      </c>
      <c r="B42" s="6" t="n">
        <v>454.2706266550908</v>
      </c>
      <c r="C42" s="9">
        <f si="0" t="shared"/>
        <v>0</v>
      </c>
      <c r="E42" s="371">
        <v>31</v>
      </c>
      <c r="F42" s="371" t="n">
        <v>627.0</v>
      </c>
      <c r="G42" s="9">
        <f si="1" t="shared"/>
        <v>5.2839415955817251E-4</v>
      </c>
    </row>
    <row r="43" spans="1:7" x14ac:dyDescent="0.45">
      <c r="A43">
        <v>32</v>
      </c>
      <c r="B43" s="6" t="n">
        <v>489.14120032638</v>
      </c>
      <c r="C43" s="9">
        <f si="0" t="shared"/>
        <v>0</v>
      </c>
      <c r="E43" s="371">
        <v>32</v>
      </c>
      <c r="F43" s="371" t="n">
        <v>509.0</v>
      </c>
      <c r="G43" s="9">
        <f si="1" t="shared"/>
        <v>5.2558355232648016E-4</v>
      </c>
    </row>
    <row r="44" spans="1:7" x14ac:dyDescent="0.45">
      <c r="A44">
        <v>33</v>
      </c>
      <c r="B44" s="6" t="n">
        <v>51.8565918077306</v>
      </c>
      <c r="C44" s="9">
        <f si="0" t="shared"/>
        <v>0</v>
      </c>
      <c r="E44" s="371">
        <v>33</v>
      </c>
      <c r="F44" s="371" t="n">
        <v>486.0</v>
      </c>
      <c r="G44" s="9">
        <f si="1" t="shared"/>
        <v>4.3283351368063073E-4</v>
      </c>
    </row>
    <row r="45" spans="1:7" x14ac:dyDescent="0.4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360.0</v>
      </c>
      <c r="G45" s="9">
        <f si="1" t="shared"/>
        <v>3.7943197627847495E-4</v>
      </c>
    </row>
    <row r="46" spans="1:7" x14ac:dyDescent="0.4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331.0</v>
      </c>
      <c r="G46" s="9">
        <f si="1" t="shared"/>
        <v>2.3328040023046979E-4</v>
      </c>
    </row>
    <row r="47" spans="1:7" x14ac:dyDescent="0.45">
      <c r="A47">
        <v>36</v>
      </c>
      <c r="B47" s="6" t="n">
        <v>286.0554722257088</v>
      </c>
      <c r="C47" s="9">
        <f si="0" t="shared"/>
        <v>0</v>
      </c>
      <c r="E47" s="371">
        <v>36</v>
      </c>
      <c r="F47" s="371" t="n">
        <v>318.0</v>
      </c>
      <c r="G47" s="9">
        <f si="1" t="shared"/>
        <v>1.6301521943815962E-4</v>
      </c>
    </row>
    <row r="48" spans="1:7" x14ac:dyDescent="0.45">
      <c r="A48">
        <v>37</v>
      </c>
      <c r="B48" s="6" t="n">
        <v>724.451516786041</v>
      </c>
      <c r="C48" s="9">
        <f si="0" t="shared"/>
        <v>0</v>
      </c>
      <c r="E48" s="371">
        <v>37</v>
      </c>
      <c r="F48" s="371" t="n">
        <v>368.0</v>
      </c>
      <c r="G48" s="9">
        <f si="1" t="shared"/>
        <v>2.2203797130370016E-4</v>
      </c>
    </row>
    <row r="49" spans="1:7" x14ac:dyDescent="0.45">
      <c r="A49">
        <v>38</v>
      </c>
      <c r="B49" s="6" t="n">
        <v>37.2777370518172</v>
      </c>
      <c r="C49" s="9">
        <f si="0" t="shared"/>
        <v>0</v>
      </c>
      <c r="E49" s="371">
        <v>38</v>
      </c>
      <c r="F49" s="371" t="n">
        <v>231.0</v>
      </c>
      <c r="G49" s="9">
        <f si="1" t="shared"/>
        <v>1.5177279051138999E-4</v>
      </c>
    </row>
    <row r="50" spans="1:7" x14ac:dyDescent="0.4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167.0</v>
      </c>
      <c r="G50" s="9">
        <f si="1" t="shared"/>
        <v>9.2750038645849438E-5</v>
      </c>
    </row>
    <row r="51" spans="1:7" x14ac:dyDescent="0.4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118.0</v>
      </c>
      <c r="G51" s="9">
        <f si="1" t="shared"/>
        <v>7.5886395255694993E-5</v>
      </c>
    </row>
    <row r="52" spans="1:7" x14ac:dyDescent="0.45">
      <c r="A52">
        <v>41</v>
      </c>
      <c r="B52" s="6" t="n">
        <v>896.555066469939</v>
      </c>
      <c r="C52" s="9">
        <f si="0" t="shared"/>
        <v>0</v>
      </c>
      <c r="E52" s="371">
        <v>41</v>
      </c>
      <c r="F52" s="371" t="n">
        <v>135.0</v>
      </c>
      <c r="G52" s="9">
        <f si="1" t="shared"/>
        <v>5.3401537402155734E-5</v>
      </c>
    </row>
    <row r="53" spans="1:7" x14ac:dyDescent="0.45">
      <c r="A53">
        <v>42</v>
      </c>
      <c r="B53" s="6" t="n">
        <v>118.5227411219067</v>
      </c>
      <c r="C53" s="9">
        <f si="0" t="shared"/>
        <v>0</v>
      </c>
      <c r="E53" s="371">
        <v>42</v>
      </c>
      <c r="F53" s="371" t="n">
        <v>115.0</v>
      </c>
      <c r="G53" s="9">
        <f si="1" t="shared"/>
        <v>6.4643966328925364E-5</v>
      </c>
    </row>
    <row r="54" spans="1:7" x14ac:dyDescent="0.4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90.0</v>
      </c>
      <c r="G54" s="9">
        <f si="1" t="shared"/>
        <v>6.7454573560617778E-5</v>
      </c>
    </row>
    <row r="55" spans="1:7" x14ac:dyDescent="0.4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76.0</v>
      </c>
      <c r="G55" s="9">
        <f si="1" t="shared"/>
        <v>6.1833359097232949E-5</v>
      </c>
    </row>
    <row r="56" spans="1:7" x14ac:dyDescent="0.4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68.0</v>
      </c>
      <c r="G56" s="9">
        <f si="1" t="shared"/>
        <v>5.0590930170463327E-5</v>
      </c>
    </row>
    <row r="57" spans="1:7" x14ac:dyDescent="0.4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50.0</v>
      </c>
      <c r="G57" s="9">
        <f si="1" t="shared"/>
        <v>3.9348501243693704E-5</v>
      </c>
    </row>
    <row r="58" spans="1:7" x14ac:dyDescent="0.4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47.0</v>
      </c>
      <c r="G58" s="9">
        <f si="1" t="shared"/>
        <v>3.0916679548616475E-5</v>
      </c>
    </row>
    <row r="59" spans="1:7" x14ac:dyDescent="0.4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39.0</v>
      </c>
      <c r="G59" s="9">
        <f si="1" t="shared"/>
        <v>1.4053036158462035E-5</v>
      </c>
    </row>
    <row r="60" spans="1:7" x14ac:dyDescent="0.4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18.0</v>
      </c>
      <c r="G60" s="9">
        <f si="1" t="shared"/>
        <v>2.2484857853539256E-5</v>
      </c>
    </row>
    <row r="61" spans="1:7" x14ac:dyDescent="0.4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30.0</v>
      </c>
      <c r="G61" s="9">
        <f si="1" t="shared"/>
        <v>8.4318216950772222E-6</v>
      </c>
    </row>
    <row r="62" spans="1:7" x14ac:dyDescent="0.4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15.0</v>
      </c>
      <c r="G62" s="9">
        <f si="1" t="shared"/>
        <v>2.5295465085231663E-5</v>
      </c>
    </row>
    <row r="63" spans="1:7" x14ac:dyDescent="0.4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14.0</v>
      </c>
      <c r="G63" s="9">
        <f si="1" t="shared"/>
        <v>0</v>
      </c>
    </row>
    <row r="64" spans="1:7" x14ac:dyDescent="0.4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18.0</v>
      </c>
      <c r="G64" s="9">
        <f si="1" t="shared"/>
        <v>8.4318216950772222E-6</v>
      </c>
    </row>
    <row r="65" spans="1:7" x14ac:dyDescent="0.4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10.0</v>
      </c>
      <c r="G65" s="9">
        <f si="1" t="shared"/>
        <v>5.621214463384814E-6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11.0</v>
      </c>
      <c r="G66" s="9">
        <f si="1" t="shared"/>
        <v>5.621214463384814E-6</v>
      </c>
    </row>
    <row r="67" spans="1:7" x14ac:dyDescent="0.4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11.0</v>
      </c>
      <c r="G67" s="9">
        <f si="1" t="shared"/>
        <v>5.621214463384814E-6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19.0</v>
      </c>
      <c r="G68" s="9">
        <f si="1" t="shared"/>
        <v>1.1242428926769628E-5</v>
      </c>
    </row>
    <row r="69" spans="1:7" x14ac:dyDescent="0.4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2.810607231692407E-6</v>
      </c>
    </row>
    <row r="70" spans="1:7" x14ac:dyDescent="0.4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9.0</v>
      </c>
      <c r="G70" s="9">
        <f si="1" t="shared"/>
        <v>2.810607231692407E-6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4.0</v>
      </c>
      <c r="G71" s="9">
        <f si="1" t="shared"/>
        <v>5.621214463384814E-6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2.810607231692407E-6</v>
      </c>
    </row>
    <row r="73" spans="1:7" x14ac:dyDescent="0.4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0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0</v>
      </c>
    </row>
    <row r="75" spans="1:7" x14ac:dyDescent="0.4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5.621214463384814E-6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4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0</v>
      </c>
    </row>
    <row r="79" spans="1:7" x14ac:dyDescent="0.4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0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0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2.810607231692407E-6</v>
      </c>
    </row>
    <row r="84" spans="1:7" x14ac:dyDescent="0.4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4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4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4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4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5.621214463384814E-6</v>
      </c>
    </row>
    <row r="102" spans="1:7" x14ac:dyDescent="0.45">
      <c r="B102" s="6">
        <f>SUM(B11:B101)</f>
        <v>68623.514607982739</v>
      </c>
      <c r="C102" s="9">
        <f si="2" t="shared"/>
        <v>1</v>
      </c>
      <c r="F102" s="6">
        <f>SUM(F11:F101)</f>
        <v>118598.33333321474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I9" sqref="I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19</v>
      </c>
    </row>
    <row r="3" spans="1:12" x14ac:dyDescent="0.45">
      <c r="A3" t="s">
        <v>21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4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45">
      <c r="A11">
        <v>0</v>
      </c>
      <c r="B11" s="6" t="n">
        <v>0.0</v>
      </c>
      <c r="C11" s="9">
        <f>B11/B$102</f>
        <v>2.3316458001184731E-2</v>
      </c>
      <c r="E11" s="371">
        <v>0</v>
      </c>
      <c r="F11" s="371" t="n">
        <v>2801.0</v>
      </c>
      <c r="G11" s="9">
        <f>F11/F$102</f>
        <v>3.0051012521255218E-2</v>
      </c>
      <c r="K11" s="6" t="n">
        <v>14.551916659510049</v>
      </c>
      <c r="L11" s="6" t="n">
        <v>15.185797543389654</v>
      </c>
    </row>
    <row r="12" spans="1:12" x14ac:dyDescent="0.45">
      <c r="A12">
        <v>1</v>
      </c>
      <c r="B12" s="6" t="n">
        <v>0.0</v>
      </c>
      <c r="C12" s="9">
        <f>B12/B$102</f>
        <v>0.21640646337271907</v>
      </c>
      <c r="E12" s="371">
        <v>1</v>
      </c>
      <c r="F12" s="371" t="n">
        <v>19591.0</v>
      </c>
      <c r="G12" s="9">
        <f>F12/F$102</f>
        <v>9.7379108756446828E-2</v>
      </c>
      <c r="K12" s="6"/>
      <c r="L12" s="371"/>
    </row>
    <row r="13" spans="1:12" x14ac:dyDescent="0.45">
      <c r="A13">
        <v>2</v>
      </c>
      <c r="B13" s="6" t="n">
        <v>3313.199775066983</v>
      </c>
      <c r="C13" s="9">
        <f ref="C13:C76" si="0" t="shared">B13/B$102</f>
        <v>0.19938195393714594</v>
      </c>
      <c r="E13" s="371">
        <v>2</v>
      </c>
      <c r="F13" s="371" t="n">
        <v>9049.0</v>
      </c>
      <c r="G13" s="9">
        <f ref="G13:G76" si="1" t="shared">F13/F$102</f>
        <v>0.1323824112199441</v>
      </c>
    </row>
    <row r="14" spans="1:12" x14ac:dyDescent="0.45">
      <c r="A14">
        <v>3</v>
      </c>
      <c r="B14" s="6" t="n">
        <v>15849.071781562872</v>
      </c>
      <c r="C14" s="9">
        <f si="0" t="shared"/>
        <v>0.15613236625491633</v>
      </c>
      <c r="E14" s="371">
        <v>3</v>
      </c>
      <c r="F14" s="371" t="n">
        <v>12816.0</v>
      </c>
      <c r="G14" s="9">
        <f si="1" t="shared"/>
        <v>0.12499332480782474</v>
      </c>
    </row>
    <row r="15" spans="1:12" x14ac:dyDescent="0.45">
      <c r="A15">
        <v>4</v>
      </c>
      <c r="B15" s="6" t="n">
        <v>14283.905339373629</v>
      </c>
      <c r="C15" s="9">
        <f si="0" t="shared"/>
        <v>5.793431845699152E-2</v>
      </c>
      <c r="E15" s="371">
        <v>4</v>
      </c>
      <c r="F15" s="371" t="n">
        <v>18851.0</v>
      </c>
      <c r="G15" s="9">
        <f si="1" t="shared"/>
        <v>9.9262215601680748E-2</v>
      </c>
    </row>
    <row r="16" spans="1:12" x14ac:dyDescent="0.45">
      <c r="A16">
        <v>5</v>
      </c>
      <c r="B16" s="6" t="n">
        <v>11149.308233002317</v>
      </c>
      <c r="C16" s="9">
        <f si="0" t="shared"/>
        <v>3.9542268332611215E-2</v>
      </c>
      <c r="E16" s="371">
        <v>5</v>
      </c>
      <c r="F16" s="371" t="n">
        <v>22970.0</v>
      </c>
      <c r="G16" s="9">
        <f si="1" t="shared"/>
        <v>7.6279880268131942E-2</v>
      </c>
    </row>
    <row r="17" spans="1:7" x14ac:dyDescent="0.45">
      <c r="A17">
        <v>6</v>
      </c>
      <c r="B17" s="6" t="n">
        <v>8576.7799082048</v>
      </c>
      <c r="C17" s="9">
        <f si="0" t="shared"/>
        <v>7.1717891700609576E-2</v>
      </c>
      <c r="E17" s="371">
        <v>6</v>
      </c>
      <c r="F17" s="371" t="n">
        <v>25606.0</v>
      </c>
      <c r="G17" s="9">
        <f si="1" t="shared"/>
        <v>5.6771455472954944E-2</v>
      </c>
    </row>
    <row r="18" spans="1:7" x14ac:dyDescent="0.45">
      <c r="A18">
        <v>7</v>
      </c>
      <c r="B18" s="6" t="n">
        <v>10473.809478394363</v>
      </c>
      <c r="C18" s="9">
        <f si="0" t="shared"/>
        <v>7.6045645686600549E-2</v>
      </c>
      <c r="E18" s="371">
        <v>7</v>
      </c>
      <c r="F18" s="371" t="n">
        <v>26557.0</v>
      </c>
      <c r="G18" s="9">
        <f si="1" t="shared"/>
        <v>4.2853328461614139E-2</v>
      </c>
    </row>
    <row r="19" spans="1:7" x14ac:dyDescent="0.45">
      <c r="A19">
        <v>8</v>
      </c>
      <c r="B19" s="6" t="n">
        <v>13226.90120373354</v>
      </c>
      <c r="C19" s="9">
        <f si="0" t="shared"/>
        <v>1.4063096277367329E-2</v>
      </c>
      <c r="E19" s="371">
        <v>8</v>
      </c>
      <c r="F19" s="371" t="n">
        <v>25198.0</v>
      </c>
      <c r="G19" s="9">
        <f si="1" t="shared"/>
        <v>3.4682893239084307E-2</v>
      </c>
    </row>
    <row r="20" spans="1:7" x14ac:dyDescent="0.45">
      <c r="A20">
        <v>9</v>
      </c>
      <c r="B20" s="6" t="n">
        <v>10350.857719952484</v>
      </c>
      <c r="C20" s="9">
        <f si="0" t="shared"/>
        <v>1.8383997889073925E-2</v>
      </c>
      <c r="E20" s="371">
        <v>9</v>
      </c>
      <c r="F20" s="371" t="n">
        <v>23275.0</v>
      </c>
      <c r="G20" s="9">
        <f si="1" t="shared"/>
        <v>2.8300004215910852E-2</v>
      </c>
    </row>
    <row r="21" spans="1:7" x14ac:dyDescent="0.45">
      <c r="A21">
        <v>10</v>
      </c>
      <c r="B21" s="6" t="n">
        <v>7533.008837490955</v>
      </c>
      <c r="C21" s="9">
        <f si="0" t="shared"/>
        <v>2.0882946616964194E-2</v>
      </c>
      <c r="E21" s="371">
        <v>10</v>
      </c>
      <c r="F21" s="371" t="n">
        <v>22030.0</v>
      </c>
      <c r="G21" s="9">
        <f si="1" t="shared"/>
        <v>2.5503450020376905E-2</v>
      </c>
    </row>
    <row r="22" spans="1:7" x14ac:dyDescent="0.45">
      <c r="A22">
        <v>11</v>
      </c>
      <c r="B22" s="6" t="n">
        <v>4415.975389771917</v>
      </c>
      <c r="C22" s="9">
        <f si="0" t="shared"/>
        <v>1.8892360853767862E-3</v>
      </c>
      <c r="E22" s="371">
        <v>11</v>
      </c>
      <c r="F22" s="371" t="n">
        <v>19652.0</v>
      </c>
      <c r="G22" s="9">
        <f si="1" t="shared"/>
        <v>2.2678789752526039E-2</v>
      </c>
    </row>
    <row r="23" spans="1:7" x14ac:dyDescent="0.45">
      <c r="A23">
        <v>12</v>
      </c>
      <c r="B23" s="6" t="n">
        <v>4595.941509521834</v>
      </c>
      <c r="C23" s="9">
        <f si="0" t="shared"/>
        <v>2.4341205935983247E-2</v>
      </c>
      <c r="E23" s="371">
        <v>12</v>
      </c>
      <c r="F23" s="371" t="n">
        <v>18540.0</v>
      </c>
      <c r="G23" s="9">
        <f si="1" t="shared"/>
        <v>2.0860326873621049E-2</v>
      </c>
    </row>
    <row r="24" spans="1:7" x14ac:dyDescent="0.45">
      <c r="A24">
        <v>13</v>
      </c>
      <c r="B24" s="6" t="n">
        <v>6755.648413214237</v>
      </c>
      <c r="C24" s="9">
        <f si="0" t="shared"/>
        <v>0</v>
      </c>
      <c r="E24" s="371">
        <v>13</v>
      </c>
      <c r="F24" s="371" t="n">
        <v>16657.0</v>
      </c>
      <c r="G24" s="9">
        <f si="1" t="shared"/>
        <v>2.0660773760170888E-2</v>
      </c>
    </row>
    <row r="25" spans="1:7" x14ac:dyDescent="0.45">
      <c r="A25">
        <v>14</v>
      </c>
      <c r="B25" s="6" t="n">
        <v>3400.132999594482</v>
      </c>
      <c r="C25" s="9">
        <f si="0" t="shared"/>
        <v>0</v>
      </c>
      <c r="E25" s="371">
        <v>14</v>
      </c>
      <c r="F25" s="371" t="n">
        <v>14765.0</v>
      </c>
      <c r="G25" s="9">
        <f si="1" t="shared"/>
        <v>1.9901909807613936E-2</v>
      </c>
    </row>
    <row r="26" spans="1:7" x14ac:dyDescent="0.45">
      <c r="A26">
        <v>15</v>
      </c>
      <c r="B26" s="6" t="n">
        <v>6182.1341564173645</v>
      </c>
      <c r="C26" s="9">
        <f si="0" t="shared"/>
        <v>3.2419210067929929E-3</v>
      </c>
      <c r="E26" s="371">
        <v>15</v>
      </c>
      <c r="F26" s="371" t="n">
        <v>13166.0</v>
      </c>
      <c r="G26" s="9">
        <f si="1" t="shared"/>
        <v>1.657696145252182E-2</v>
      </c>
    </row>
    <row r="27" spans="1:7" x14ac:dyDescent="0.45">
      <c r="A27">
        <v>16</v>
      </c>
      <c r="B27" s="6" t="n">
        <v>2204.129390529718</v>
      </c>
      <c r="C27" s="9">
        <f si="0" t="shared"/>
        <v>5.4099724420351783E-3</v>
      </c>
      <c r="E27" s="371">
        <v>16</v>
      </c>
      <c r="F27" s="371" t="n">
        <v>11769.0</v>
      </c>
      <c r="G27" s="9">
        <f si="1" t="shared"/>
        <v>1.4401551455191897E-2</v>
      </c>
    </row>
    <row r="28" spans="1:7" x14ac:dyDescent="0.45">
      <c r="A28">
        <v>17</v>
      </c>
      <c r="B28" s="6" t="n">
        <v>8031.457114476066</v>
      </c>
      <c r="C28" s="9">
        <f si="0" t="shared"/>
        <v>7.9618743100423415E-3</v>
      </c>
      <c r="E28" s="371">
        <v>17</v>
      </c>
      <c r="F28" s="371" t="n">
        <v>10693.0</v>
      </c>
      <c r="G28" s="9">
        <f si="1" t="shared"/>
        <v>1.2147444455374587E-2</v>
      </c>
    </row>
    <row r="29" spans="1:7" x14ac:dyDescent="0.45">
      <c r="A29">
        <v>18</v>
      </c>
      <c r="B29" s="6" t="n">
        <v>5303.832069320245</v>
      </c>
      <c r="C29" s="9">
        <f si="0" t="shared"/>
        <v>7.0977400037236309E-4</v>
      </c>
      <c r="E29" s="371">
        <v>18</v>
      </c>
      <c r="F29" s="371" t="n">
        <v>9143.0</v>
      </c>
      <c r="G29" s="9">
        <f si="1" t="shared"/>
        <v>9.9158223134108141E-3</v>
      </c>
    </row>
    <row r="30" spans="1:7" x14ac:dyDescent="0.45">
      <c r="A30">
        <v>19</v>
      </c>
      <c r="B30" s="6" t="n">
        <v>3448.8963621813036</v>
      </c>
      <c r="C30" s="9">
        <f si="0" t="shared"/>
        <v>0</v>
      </c>
      <c r="E30" s="371">
        <v>19</v>
      </c>
      <c r="F30" s="371" t="n">
        <v>8737.0</v>
      </c>
      <c r="G30" s="9">
        <f si="1" t="shared"/>
        <v>9.0557765005129381E-3</v>
      </c>
    </row>
    <row r="31" spans="1:7" x14ac:dyDescent="0.45">
      <c r="A31">
        <v>20</v>
      </c>
      <c r="B31" s="6" t="n">
        <v>2759.2769419300294</v>
      </c>
      <c r="C31" s="9">
        <f si="0" t="shared"/>
        <v>0</v>
      </c>
      <c r="E31" s="371">
        <v>20</v>
      </c>
      <c r="F31" s="371" t="n">
        <v>7729.0</v>
      </c>
      <c r="G31" s="9">
        <f si="1" t="shared"/>
        <v>8.2266473671636781E-3</v>
      </c>
    </row>
    <row r="32" spans="1:7" x14ac:dyDescent="0.45">
      <c r="A32">
        <v>21</v>
      </c>
      <c r="B32" s="6" t="n">
        <v>2340.1607290672428</v>
      </c>
      <c r="C32" s="9">
        <f si="0" t="shared"/>
        <v>0</v>
      </c>
      <c r="E32" s="371">
        <v>21</v>
      </c>
      <c r="F32" s="371" t="n">
        <v>7064.0</v>
      </c>
      <c r="G32" s="9">
        <f si="1" t="shared"/>
        <v>8.3418822636630672E-3</v>
      </c>
    </row>
    <row r="33" spans="1:7" x14ac:dyDescent="0.45">
      <c r="A33">
        <v>22</v>
      </c>
      <c r="B33" s="6" t="n">
        <v>1587.1985512541821</v>
      </c>
      <c r="C33" s="9">
        <f si="0" t="shared"/>
        <v>0</v>
      </c>
      <c r="E33" s="371">
        <v>22</v>
      </c>
      <c r="F33" s="371" t="n">
        <v>6236.0</v>
      </c>
      <c r="G33" s="9">
        <f si="1" t="shared"/>
        <v>7.6111243834230402E-3</v>
      </c>
    </row>
    <row r="34" spans="1:7" x14ac:dyDescent="0.45">
      <c r="A34">
        <v>23</v>
      </c>
      <c r="B34" s="6" t="n">
        <v>927.6651704248804</v>
      </c>
      <c r="C34" s="9">
        <f si="0" t="shared"/>
        <v>0</v>
      </c>
      <c r="E34" s="371">
        <v>23</v>
      </c>
      <c r="F34" s="371" t="n">
        <v>5855.0</v>
      </c>
      <c r="G34" s="9">
        <f si="1" t="shared"/>
        <v>7.2204499782177961E-3</v>
      </c>
    </row>
    <row r="35" spans="1:7" x14ac:dyDescent="0.45">
      <c r="A35">
        <v>24</v>
      </c>
      <c r="B35" s="6" t="n">
        <v>2229.0584500875625</v>
      </c>
      <c r="C35" s="9">
        <f si="0" t="shared"/>
        <v>0</v>
      </c>
      <c r="E35" s="371">
        <v>24</v>
      </c>
      <c r="F35" s="371" t="n">
        <v>5510.0</v>
      </c>
      <c r="G35" s="9">
        <f si="1" t="shared"/>
        <v>6.6386542812574677E-3</v>
      </c>
    </row>
    <row r="36" spans="1:7" x14ac:dyDescent="0.45">
      <c r="A36">
        <v>25</v>
      </c>
      <c r="B36" s="6" t="n">
        <v>2403.8422952409783</v>
      </c>
      <c r="C36" s="9">
        <f si="0" t="shared"/>
        <v>3.8840593167779641E-3</v>
      </c>
      <c r="E36" s="371">
        <v>25</v>
      </c>
      <c r="F36" s="371" t="n">
        <v>4942.0</v>
      </c>
      <c r="G36" s="9">
        <f si="1" t="shared"/>
        <v>6.2788965556008396E-3</v>
      </c>
    </row>
    <row r="37" spans="1:7" x14ac:dyDescent="0.45">
      <c r="A37">
        <v>26</v>
      </c>
      <c r="B37" s="6" t="n">
        <v>1855.6512133215945</v>
      </c>
      <c r="C37" s="9">
        <f si="0" t="shared"/>
        <v>2.3363073668397318E-2</v>
      </c>
      <c r="E37" s="371">
        <v>26</v>
      </c>
      <c r="F37" s="371" t="n">
        <v>4641.0</v>
      </c>
      <c r="G37" s="9">
        <f si="1" t="shared"/>
        <v>5.4413356005565015E-3</v>
      </c>
    </row>
    <row r="38" spans="1:7" x14ac:dyDescent="0.45">
      <c r="A38">
        <v>27</v>
      </c>
      <c r="B38" s="6" t="n">
        <v>1622.9954848337131</v>
      </c>
      <c r="C38" s="9">
        <f si="0" t="shared"/>
        <v>8.6671542716525701E-3</v>
      </c>
      <c r="E38" s="371">
        <v>27</v>
      </c>
      <c r="F38" s="371" t="n">
        <v>4058.0</v>
      </c>
      <c r="G38" s="9">
        <f si="1" t="shared"/>
        <v>4.7920853300355551E-3</v>
      </c>
    </row>
    <row r="39" spans="1:7" x14ac:dyDescent="0.45">
      <c r="A39">
        <v>28</v>
      </c>
      <c r="B39" s="6" t="n">
        <v>2162.2155408832555</v>
      </c>
      <c r="C39" s="9">
        <f si="0" t="shared"/>
        <v>0</v>
      </c>
      <c r="E39" s="371">
        <v>28</v>
      </c>
      <c r="F39" s="371" t="n">
        <v>3822.0</v>
      </c>
      <c r="G39" s="9">
        <f si="1" t="shared"/>
        <v>4.235585098160459E-3</v>
      </c>
    </row>
    <row r="40" spans="1:7" x14ac:dyDescent="0.45">
      <c r="A40">
        <v>29</v>
      </c>
      <c r="B40" s="6" t="n">
        <v>987.9779599488743</v>
      </c>
      <c r="C40" s="9">
        <f si="0" t="shared"/>
        <v>1.9145745974501469E-3</v>
      </c>
      <c r="E40" s="371">
        <v>29</v>
      </c>
      <c r="F40" s="371" t="n">
        <v>3486.0</v>
      </c>
      <c r="G40" s="9">
        <f si="1" t="shared"/>
        <v>3.679084866285362E-3</v>
      </c>
    </row>
    <row r="41" spans="1:7" x14ac:dyDescent="0.45">
      <c r="A41">
        <v>30</v>
      </c>
      <c r="B41" s="6" t="n">
        <v>1668.609795040807</v>
      </c>
      <c r="C41" s="9">
        <f si="0" t="shared"/>
        <v>1.473188043208952E-2</v>
      </c>
      <c r="E41" s="371">
        <v>30</v>
      </c>
      <c r="F41" s="371" t="n">
        <v>3408.0</v>
      </c>
      <c r="G41" s="9">
        <f si="1" t="shared"/>
        <v>3.2855998538484248E-3</v>
      </c>
    </row>
    <row r="42" spans="1:7" x14ac:dyDescent="0.45">
      <c r="A42">
        <v>31</v>
      </c>
      <c r="B42" s="6" t="n">
        <v>841.2014788604441</v>
      </c>
      <c r="C42" s="9">
        <f si="0" t="shared"/>
        <v>0</v>
      </c>
      <c r="E42" s="371">
        <v>31</v>
      </c>
      <c r="F42" s="371" t="n">
        <v>3005.0</v>
      </c>
      <c r="G42" s="9">
        <f si="1" t="shared"/>
        <v>3.3108953189336563E-3</v>
      </c>
    </row>
    <row r="43" spans="1:7" x14ac:dyDescent="0.45">
      <c r="A43">
        <v>32</v>
      </c>
      <c r="B43" s="6" t="n">
        <v>232.6773495541938</v>
      </c>
      <c r="C43" s="9">
        <f si="0" t="shared"/>
        <v>0</v>
      </c>
      <c r="E43" s="371">
        <v>32</v>
      </c>
      <c r="F43" s="371" t="n">
        <v>2795.0</v>
      </c>
      <c r="G43" s="9">
        <f si="1" t="shared"/>
        <v>3.0691830970081095E-3</v>
      </c>
    </row>
    <row r="44" spans="1:7" x14ac:dyDescent="0.45">
      <c r="A44">
        <v>33</v>
      </c>
      <c r="B44" s="6" t="n">
        <v>2119.6191523828857</v>
      </c>
      <c r="C44" s="9">
        <f si="0" t="shared"/>
        <v>0</v>
      </c>
      <c r="E44" s="371">
        <v>33</v>
      </c>
      <c r="F44" s="371" t="n">
        <v>2649.0</v>
      </c>
      <c r="G44" s="9">
        <f si="1" t="shared"/>
        <v>2.8359026967776394E-3</v>
      </c>
    </row>
    <row r="45" spans="1:7" x14ac:dyDescent="0.45">
      <c r="A45">
        <v>34</v>
      </c>
      <c r="B45" s="6" t="n">
        <v>1368.2425578920836</v>
      </c>
      <c r="C45" s="9">
        <f si="0" t="shared"/>
        <v>0</v>
      </c>
      <c r="E45" s="371">
        <v>34</v>
      </c>
      <c r="F45" s="371" t="n">
        <v>2400.0</v>
      </c>
      <c r="G45" s="9">
        <f si="1" t="shared"/>
        <v>2.5885692603887078E-3</v>
      </c>
    </row>
    <row r="46" spans="1:7" x14ac:dyDescent="0.45">
      <c r="A46">
        <v>35</v>
      </c>
      <c r="B46" s="6" t="n">
        <v>1630.3683956348625</v>
      </c>
      <c r="C46" s="9">
        <f si="0" t="shared"/>
        <v>1.0077867406845221E-2</v>
      </c>
      <c r="E46" s="371">
        <v>35</v>
      </c>
      <c r="F46" s="371" t="n">
        <v>2258.0</v>
      </c>
      <c r="G46" s="9">
        <f si="1" t="shared"/>
        <v>2.2850236793659274E-3</v>
      </c>
    </row>
    <row r="47" spans="1:7" x14ac:dyDescent="0.45">
      <c r="A47">
        <v>36</v>
      </c>
      <c r="B47" s="6" t="n">
        <v>828.8329949215719</v>
      </c>
      <c r="C47" s="9">
        <f si="0" t="shared"/>
        <v>0</v>
      </c>
      <c r="E47" s="371">
        <v>36</v>
      </c>
      <c r="F47" s="371" t="n">
        <v>2196.0</v>
      </c>
      <c r="G47" s="9">
        <f si="1" t="shared"/>
        <v>2.0461220646720729E-3</v>
      </c>
    </row>
    <row r="48" spans="1:7" x14ac:dyDescent="0.45">
      <c r="A48">
        <v>37</v>
      </c>
      <c r="B48" s="6" t="n">
        <v>201.3833018451447</v>
      </c>
      <c r="C48" s="9">
        <f si="0" t="shared"/>
        <v>0</v>
      </c>
      <c r="E48" s="371">
        <v>37</v>
      </c>
      <c r="F48" s="371" t="n">
        <v>1970.0</v>
      </c>
      <c r="G48" s="9">
        <f si="1" t="shared"/>
        <v>1.7847355921246791E-3</v>
      </c>
    </row>
    <row r="49" spans="1:7" x14ac:dyDescent="0.45">
      <c r="A49">
        <v>38</v>
      </c>
      <c r="B49" s="6" t="n">
        <v>892.8791322083072</v>
      </c>
      <c r="C49" s="9">
        <f si="0" t="shared"/>
        <v>0</v>
      </c>
      <c r="E49" s="371">
        <v>38</v>
      </c>
      <c r="F49" s="371" t="n">
        <v>1797.0</v>
      </c>
      <c r="G49" s="9">
        <f si="1" t="shared"/>
        <v>1.4868112255652837E-3</v>
      </c>
    </row>
    <row r="50" spans="1:7" x14ac:dyDescent="0.45">
      <c r="A50">
        <v>39</v>
      </c>
      <c r="B50" s="6" t="n">
        <v>212.86179572434858</v>
      </c>
      <c r="C50" s="9">
        <f si="0" t="shared"/>
        <v>0</v>
      </c>
      <c r="E50" s="371">
        <v>39</v>
      </c>
      <c r="F50" s="371" t="n">
        <v>1763.0</v>
      </c>
      <c r="G50" s="9">
        <f si="1" t="shared"/>
        <v>1.4671369749434367E-3</v>
      </c>
    </row>
    <row r="51" spans="1:7" x14ac:dyDescent="0.45">
      <c r="A51">
        <v>40</v>
      </c>
      <c r="B51" s="6" t="n">
        <v>440.462503637659</v>
      </c>
      <c r="C51" s="9">
        <f si="0" t="shared"/>
        <v>0</v>
      </c>
      <c r="E51" s="371">
        <v>40</v>
      </c>
      <c r="F51" s="371" t="n">
        <v>1558.0</v>
      </c>
      <c r="G51" s="9">
        <f si="1" t="shared"/>
        <v>1.3547126856757407E-3</v>
      </c>
    </row>
    <row r="52" spans="1:7" x14ac:dyDescent="0.45">
      <c r="A52">
        <v>41</v>
      </c>
      <c r="B52" s="6" t="n">
        <v>566.611157781104</v>
      </c>
      <c r="C52" s="9">
        <f si="0" t="shared"/>
        <v>0</v>
      </c>
      <c r="E52" s="371">
        <v>41</v>
      </c>
      <c r="F52" s="371" t="n">
        <v>1524.0</v>
      </c>
      <c r="G52" s="9">
        <f si="1" t="shared"/>
        <v>1.1945080734692734E-3</v>
      </c>
    </row>
    <row r="53" spans="1:7" x14ac:dyDescent="0.4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1335.0</v>
      </c>
      <c r="G53" s="9">
        <f si="1" t="shared"/>
        <v>1.0118186034092668E-3</v>
      </c>
    </row>
    <row r="54" spans="1:7" x14ac:dyDescent="0.45">
      <c r="A54">
        <v>43</v>
      </c>
      <c r="B54" s="6" t="n">
        <v>234.70372969002102</v>
      </c>
      <c r="C54" s="9">
        <f si="0" t="shared"/>
        <v>0</v>
      </c>
      <c r="E54" s="371">
        <v>43</v>
      </c>
      <c r="F54" s="371" t="n">
        <v>1262.0</v>
      </c>
      <c r="G54" s="9">
        <f si="1" t="shared"/>
        <v>9.1625795753172499E-4</v>
      </c>
    </row>
    <row r="55" spans="1:7" x14ac:dyDescent="0.45">
      <c r="A55">
        <v>44</v>
      </c>
      <c r="B55" s="6" t="n">
        <v>38.7229467628712</v>
      </c>
      <c r="C55" s="9">
        <f si="0" t="shared"/>
        <v>0</v>
      </c>
      <c r="E55" s="371">
        <v>44</v>
      </c>
      <c r="F55" s="371" t="n">
        <v>1181.0</v>
      </c>
      <c r="G55" s="9">
        <f si="1" t="shared"/>
        <v>8.347503478126451E-4</v>
      </c>
    </row>
    <row r="56" spans="1:7" x14ac:dyDescent="0.45">
      <c r="A56">
        <v>45</v>
      </c>
      <c r="B56" s="6" t="n">
        <v>211.87636851841</v>
      </c>
      <c r="C56" s="9">
        <f si="0" t="shared"/>
        <v>0</v>
      </c>
      <c r="E56" s="371">
        <v>45</v>
      </c>
      <c r="F56" s="371" t="n">
        <v>972.0</v>
      </c>
      <c r="G56" s="9">
        <f si="1" t="shared"/>
        <v>9.0501552860495528E-4</v>
      </c>
    </row>
    <row r="57" spans="1:7" x14ac:dyDescent="0.45">
      <c r="A57">
        <v>46</v>
      </c>
      <c r="B57" s="6" t="n">
        <v>453.0771187359374</v>
      </c>
      <c r="C57" s="9">
        <f si="0" t="shared"/>
        <v>0</v>
      </c>
      <c r="E57" s="371">
        <v>46</v>
      </c>
      <c r="F57" s="371" t="n">
        <v>1081.0</v>
      </c>
      <c r="G57" s="9">
        <f si="1" t="shared"/>
        <v>7.7853820317879687E-4</v>
      </c>
    </row>
    <row r="58" spans="1:7" x14ac:dyDescent="0.45">
      <c r="A58">
        <v>47</v>
      </c>
      <c r="B58" s="6" t="n">
        <v>643.9336112910355</v>
      </c>
      <c r="C58" s="9">
        <f si="0" t="shared"/>
        <v>0</v>
      </c>
      <c r="E58" s="371">
        <v>47</v>
      </c>
      <c r="F58" s="371" t="n">
        <v>892.0</v>
      </c>
      <c r="G58" s="9">
        <f si="1" t="shared"/>
        <v>7.3637909470341081E-4</v>
      </c>
    </row>
    <row r="59" spans="1:7" x14ac:dyDescent="0.45">
      <c r="A59">
        <v>48</v>
      </c>
      <c r="B59" s="6" t="n">
        <v>455.41061494789824</v>
      </c>
      <c r="C59" s="9">
        <f si="0" t="shared"/>
        <v>0</v>
      </c>
      <c r="E59" s="371">
        <v>48</v>
      </c>
      <c r="F59" s="371" t="n">
        <v>821.0</v>
      </c>
      <c r="G59" s="9">
        <f si="1" t="shared"/>
        <v>6.8016695006956269E-4</v>
      </c>
    </row>
    <row r="60" spans="1:7" x14ac:dyDescent="0.45">
      <c r="A60">
        <v>49</v>
      </c>
      <c r="B60" s="6" t="n">
        <v>1039.47485935635</v>
      </c>
      <c r="C60" s="9">
        <f si="0" t="shared"/>
        <v>0</v>
      </c>
      <c r="E60" s="371">
        <v>49</v>
      </c>
      <c r="F60" s="371" t="n">
        <v>755.0</v>
      </c>
      <c r="G60" s="9">
        <f si="1" t="shared"/>
        <v>6.9703059345971709E-4</v>
      </c>
    </row>
    <row r="61" spans="1:7" x14ac:dyDescent="0.45">
      <c r="A61">
        <v>50</v>
      </c>
      <c r="B61" s="6" t="n">
        <v>735.387612721342</v>
      </c>
      <c r="C61" s="9">
        <f si="0" t="shared"/>
        <v>0</v>
      </c>
      <c r="E61" s="371">
        <v>50</v>
      </c>
      <c r="F61" s="371" t="n">
        <v>717.0</v>
      </c>
      <c r="G61" s="9">
        <f si="1" t="shared"/>
        <v>6.2395480543571457E-4</v>
      </c>
    </row>
    <row r="62" spans="1:7" x14ac:dyDescent="0.45">
      <c r="A62">
        <v>51</v>
      </c>
      <c r="B62" s="6" t="n">
        <v>97.6130279869572</v>
      </c>
      <c r="C62" s="9">
        <f si="0" t="shared"/>
        <v>0</v>
      </c>
      <c r="E62" s="371">
        <v>51</v>
      </c>
      <c r="F62" s="371" t="n">
        <v>647.0</v>
      </c>
      <c r="G62" s="9">
        <f si="1" t="shared"/>
        <v>6.5487148498433103E-4</v>
      </c>
    </row>
    <row r="63" spans="1:7" x14ac:dyDescent="0.45">
      <c r="A63">
        <v>52</v>
      </c>
      <c r="B63" s="6" t="n">
        <v>36.2495340768783</v>
      </c>
      <c r="C63" s="9">
        <f si="0" t="shared"/>
        <v>0</v>
      </c>
      <c r="E63" s="371">
        <v>52</v>
      </c>
      <c r="F63" s="371" t="n">
        <v>615.0</v>
      </c>
      <c r="G63" s="9">
        <f si="1" t="shared"/>
        <v>4.9747748000955616E-4</v>
      </c>
    </row>
    <row r="64" spans="1:7" x14ac:dyDescent="0.45">
      <c r="A64">
        <v>53</v>
      </c>
      <c r="B64" s="6" t="n">
        <v>40.0221492826555</v>
      </c>
      <c r="C64" s="9">
        <f si="0" t="shared"/>
        <v>0</v>
      </c>
      <c r="E64" s="371">
        <v>53</v>
      </c>
      <c r="F64" s="371" t="n">
        <v>591.0</v>
      </c>
      <c r="G64" s="9">
        <f si="1" t="shared"/>
        <v>5.2839415955817262E-4</v>
      </c>
    </row>
    <row r="65" spans="1:7" x14ac:dyDescent="0.45">
      <c r="A65">
        <v>54</v>
      </c>
      <c r="B65" s="6" t="n">
        <v>151.5995139980236</v>
      </c>
      <c r="C65" s="9">
        <f si="0" t="shared"/>
        <v>0</v>
      </c>
      <c r="E65" s="371">
        <v>54</v>
      </c>
      <c r="F65" s="371" t="n">
        <v>512.0</v>
      </c>
      <c r="G65" s="9">
        <f si="1" t="shared"/>
        <v>4.7780322938770935E-4</v>
      </c>
    </row>
    <row r="66" spans="1:7" x14ac:dyDescent="0.4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483.0</v>
      </c>
      <c r="G66" s="9">
        <f si="1" t="shared"/>
        <v>3.5413651119324335E-4</v>
      </c>
    </row>
    <row r="67" spans="1:7" x14ac:dyDescent="0.45">
      <c r="A67">
        <v>56</v>
      </c>
      <c r="B67" s="6" t="n">
        <v>206.31420815221662</v>
      </c>
      <c r="C67" s="9">
        <f si="0" t="shared"/>
        <v>0</v>
      </c>
      <c r="E67" s="371">
        <v>56</v>
      </c>
      <c r="F67" s="371" t="n">
        <v>459.0</v>
      </c>
      <c r="G67" s="9">
        <f si="1" t="shared"/>
        <v>3.710001545833978E-4</v>
      </c>
    </row>
    <row r="68" spans="1:7" x14ac:dyDescent="0.4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408.0</v>
      </c>
      <c r="G68" s="9">
        <f si="1" t="shared"/>
        <v>3.0635618825447248E-4</v>
      </c>
    </row>
    <row r="69" spans="1:7" x14ac:dyDescent="0.45">
      <c r="A69">
        <v>58</v>
      </c>
      <c r="B69" s="6" t="n">
        <v>70.4307490241258</v>
      </c>
      <c r="C69" s="9">
        <f si="0" t="shared"/>
        <v>0</v>
      </c>
      <c r="E69" s="371">
        <v>58</v>
      </c>
      <c r="F69" s="371" t="n">
        <v>383.0</v>
      </c>
      <c r="G69" s="9">
        <f si="1" t="shared"/>
        <v>3.710001545833978E-4</v>
      </c>
    </row>
    <row r="70" spans="1:7" x14ac:dyDescent="0.45">
      <c r="A70">
        <v>59</v>
      </c>
      <c r="B70" s="6" t="n">
        <v>768.6936584538691</v>
      </c>
      <c r="C70" s="9">
        <f si="0" t="shared"/>
        <v>0</v>
      </c>
      <c r="E70" s="371">
        <v>59</v>
      </c>
      <c r="F70" s="371" t="n">
        <v>387.0</v>
      </c>
      <c r="G70" s="9">
        <f si="1" t="shared"/>
        <v>3.3727286780308894E-4</v>
      </c>
    </row>
    <row r="71" spans="1:7" x14ac:dyDescent="0.4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339.0</v>
      </c>
      <c r="G71" s="9">
        <f si="1" t="shared"/>
        <v>2.6981829424247117E-4</v>
      </c>
    </row>
    <row r="72" spans="1:7" x14ac:dyDescent="0.4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341.0</v>
      </c>
      <c r="G72" s="9">
        <f si="1" t="shared"/>
        <v>2.4452282915723951E-4</v>
      </c>
    </row>
    <row r="73" spans="1:7" x14ac:dyDescent="0.45">
      <c r="A73">
        <v>62</v>
      </c>
      <c r="B73" s="6" t="n">
        <v>84.6019937960529</v>
      </c>
      <c r="C73" s="9">
        <f si="0" t="shared"/>
        <v>0</v>
      </c>
      <c r="E73" s="371">
        <v>62</v>
      </c>
      <c r="F73" s="371" t="n">
        <v>322.0</v>
      </c>
      <c r="G73" s="9">
        <f si="1" t="shared"/>
        <v>2.2484857853539262E-4</v>
      </c>
    </row>
    <row r="74" spans="1:7" x14ac:dyDescent="0.4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287.0</v>
      </c>
      <c r="G74" s="9">
        <f si="1" t="shared"/>
        <v>1.8268947006000653E-4</v>
      </c>
    </row>
    <row r="75" spans="1:7" x14ac:dyDescent="0.45">
      <c r="A75">
        <v>64</v>
      </c>
      <c r="B75" s="6" t="n">
        <v>562.8517078847779</v>
      </c>
      <c r="C75" s="9">
        <f si="0" t="shared"/>
        <v>0</v>
      </c>
      <c r="E75" s="371">
        <v>64</v>
      </c>
      <c r="F75" s="371" t="n">
        <v>269.0</v>
      </c>
      <c r="G75" s="9">
        <f si="1" t="shared"/>
        <v>1.8268947006000653E-4</v>
      </c>
    </row>
    <row r="76" spans="1:7" x14ac:dyDescent="0.4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271.0</v>
      </c>
      <c r="G76" s="9">
        <f si="1" t="shared"/>
        <v>1.9674250621846853E-4</v>
      </c>
    </row>
    <row r="77" spans="1:7" x14ac:dyDescent="0.4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254.0</v>
      </c>
      <c r="G77" s="9">
        <f ref="G77:G102" si="3" t="shared">F77/F$102</f>
        <v>1.4896218327969761E-4</v>
      </c>
    </row>
    <row r="78" spans="1:7" x14ac:dyDescent="0.45">
      <c r="A78">
        <v>67</v>
      </c>
      <c r="B78" s="6" t="n">
        <v>38.9402566310838</v>
      </c>
      <c r="C78" s="9">
        <f si="2" t="shared"/>
        <v>0</v>
      </c>
      <c r="E78" s="371">
        <v>67</v>
      </c>
      <c r="F78" s="371" t="n">
        <v>203.0</v>
      </c>
      <c r="G78" s="9">
        <f si="3" t="shared"/>
        <v>1.6582582666985204E-4</v>
      </c>
    </row>
    <row r="79" spans="1:7" x14ac:dyDescent="0.45">
      <c r="A79">
        <v>68</v>
      </c>
      <c r="B79" s="6" t="n">
        <v>37.2777370518172</v>
      </c>
      <c r="C79" s="9">
        <f si="2" t="shared"/>
        <v>0</v>
      </c>
      <c r="E79" s="371">
        <v>68</v>
      </c>
      <c r="F79" s="371" t="n">
        <v>219.0</v>
      </c>
      <c r="G79" s="9">
        <f si="3" t="shared"/>
        <v>1.4334096881631278E-4</v>
      </c>
    </row>
    <row r="80" spans="1:7" x14ac:dyDescent="0.4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182.0</v>
      </c>
      <c r="G80" s="9">
        <f si="3" t="shared"/>
        <v>1.2647732542615835E-4</v>
      </c>
    </row>
    <row r="81" spans="1:7" x14ac:dyDescent="0.4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188.0</v>
      </c>
      <c r="G81" s="9">
        <f si="3" t="shared"/>
        <v>1.1523489649938871E-4</v>
      </c>
    </row>
    <row r="82" spans="1:7" x14ac:dyDescent="0.4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184.0</v>
      </c>
      <c r="G82" s="9">
        <f si="3" t="shared"/>
        <v>1.2366671819446593E-4</v>
      </c>
    </row>
    <row r="83" spans="1:7" x14ac:dyDescent="0.4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142.0</v>
      </c>
      <c r="G83" s="9">
        <f si="3" t="shared"/>
        <v>1.2647732542615835E-4</v>
      </c>
    </row>
    <row r="84" spans="1:7" x14ac:dyDescent="0.45">
      <c r="A84">
        <v>73</v>
      </c>
      <c r="B84" s="6" t="n">
        <v>51.8565918077306</v>
      </c>
      <c r="C84" s="9">
        <f si="2" t="shared"/>
        <v>0</v>
      </c>
      <c r="E84" s="371">
        <v>73</v>
      </c>
      <c r="F84" s="371" t="n">
        <v>147.0</v>
      </c>
      <c r="G84" s="9">
        <f si="3" t="shared"/>
        <v>9.2750038645849451E-5</v>
      </c>
    </row>
    <row r="85" spans="1:7" x14ac:dyDescent="0.4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171.0</v>
      </c>
      <c r="G85" s="9">
        <f si="3" t="shared"/>
        <v>1.096136820360039E-4</v>
      </c>
    </row>
    <row r="86" spans="1:7" x14ac:dyDescent="0.45">
      <c r="A86">
        <v>75</v>
      </c>
      <c r="B86" s="6" t="n">
        <v>386.066401633487</v>
      </c>
      <c r="C86" s="9">
        <f si="2" t="shared"/>
        <v>0</v>
      </c>
      <c r="E86" s="371">
        <v>75</v>
      </c>
      <c r="F86" s="371" t="n">
        <v>121.0</v>
      </c>
      <c r="G86" s="9">
        <f si="3" t="shared"/>
        <v>9.8371253109234266E-5</v>
      </c>
    </row>
    <row r="87" spans="1:7" x14ac:dyDescent="0.45">
      <c r="A87">
        <v>76</v>
      </c>
      <c r="B87" s="6" t="n">
        <v>225.6347275876197</v>
      </c>
      <c r="C87" s="9">
        <f si="2" t="shared"/>
        <v>0</v>
      </c>
      <c r="E87" s="371">
        <v>76</v>
      </c>
      <c r="F87" s="371" t="n">
        <v>127.0</v>
      </c>
      <c r="G87" s="9">
        <f si="3" t="shared"/>
        <v>7.3075788024002606E-5</v>
      </c>
    </row>
    <row r="88" spans="1:7" x14ac:dyDescent="0.4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103.0</v>
      </c>
      <c r="G88" s="9">
        <f si="3" t="shared"/>
        <v>8.7128824182464636E-5</v>
      </c>
    </row>
    <row r="89" spans="1:7" x14ac:dyDescent="0.45">
      <c r="A89">
        <v>78</v>
      </c>
      <c r="B89" s="6" t="n">
        <v>247.115215594625</v>
      </c>
      <c r="C89" s="9">
        <f si="2" t="shared"/>
        <v>0</v>
      </c>
      <c r="E89" s="371">
        <v>78</v>
      </c>
      <c r="F89" s="371" t="n">
        <v>115.0</v>
      </c>
      <c r="G89" s="9">
        <f si="3" t="shared"/>
        <v>7.8697002487387421E-5</v>
      </c>
    </row>
    <row r="90" spans="1:7" x14ac:dyDescent="0.4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103.0</v>
      </c>
      <c r="G90" s="9">
        <f si="3" t="shared"/>
        <v>6.4643966328925377E-5</v>
      </c>
    </row>
    <row r="91" spans="1:7" x14ac:dyDescent="0.4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108.0</v>
      </c>
      <c r="G91" s="9">
        <f si="3" t="shared"/>
        <v>9.2750038645849451E-5</v>
      </c>
    </row>
    <row r="92" spans="1:7" x14ac:dyDescent="0.4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98.0</v>
      </c>
      <c r="G92" s="9">
        <f si="3" t="shared"/>
        <v>7.5886395255695007E-5</v>
      </c>
    </row>
    <row r="93" spans="1:7" x14ac:dyDescent="0.45">
      <c r="A93">
        <v>82</v>
      </c>
      <c r="B93" s="6" t="n">
        <v>403.376678370739</v>
      </c>
      <c r="C93" s="9">
        <f si="2" t="shared"/>
        <v>0</v>
      </c>
      <c r="E93" s="371">
        <v>82</v>
      </c>
      <c r="F93" s="371" t="n">
        <v>77.0</v>
      </c>
      <c r="G93" s="9">
        <f si="3" t="shared"/>
        <v>6.4643966328925377E-5</v>
      </c>
    </row>
    <row r="94" spans="1:7" x14ac:dyDescent="0.4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106.0</v>
      </c>
      <c r="G94" s="9">
        <f si="3" t="shared"/>
        <v>5.6212144633848155E-5</v>
      </c>
    </row>
    <row r="95" spans="1:7" x14ac:dyDescent="0.4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70.0</v>
      </c>
      <c r="G95" s="9">
        <f si="3" t="shared"/>
        <v>7.8697002487387421E-5</v>
      </c>
    </row>
    <row r="96" spans="1:7" x14ac:dyDescent="0.4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69.0</v>
      </c>
      <c r="G96" s="9">
        <f si="3" t="shared"/>
        <v>7.3075788024002606E-5</v>
      </c>
    </row>
    <row r="97" spans="1:7" x14ac:dyDescent="0.4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57.0</v>
      </c>
      <c r="G97" s="9">
        <f si="3" t="shared"/>
        <v>4.7780322938770933E-5</v>
      </c>
    </row>
    <row r="98" spans="1:7" x14ac:dyDescent="0.4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45.0</v>
      </c>
      <c r="G98" s="9">
        <f si="3" t="shared"/>
        <v>6.7454573560617791E-5</v>
      </c>
    </row>
    <row r="99" spans="1:7" x14ac:dyDescent="0.4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69.0</v>
      </c>
      <c r="G99" s="9">
        <f si="3" t="shared"/>
        <v>5.059093017046334E-5</v>
      </c>
    </row>
    <row r="100" spans="1:7" x14ac:dyDescent="0.4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68.0</v>
      </c>
      <c r="G100" s="9">
        <f si="3" t="shared"/>
        <v>4.4969715707078525E-5</v>
      </c>
    </row>
    <row ht="14.65" r="101" spans="1:7" thickBot="1" x14ac:dyDescent="0.5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1296.0</v>
      </c>
      <c r="G101" s="9">
        <f si="3" t="shared"/>
        <v>1.5767506569794407E-3</v>
      </c>
    </row>
    <row r="102" spans="1:7" x14ac:dyDescent="0.45">
      <c r="B102" s="6">
        <f>SUM(B11:B101)</f>
        <v>68623.514607982725</v>
      </c>
      <c r="C102" s="9">
        <f si="2" t="shared"/>
        <v>1</v>
      </c>
      <c r="F102" s="6">
        <f>SUM(F11:F101)</f>
        <v>118598.33333321472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20</vt:i4>
      </vt:variant>
    </vt:vector>
  </HeadingPairs>
  <TitlesOfParts>
    <vt:vector baseType="lpstr" size="38">
      <vt:lpstr>IntermediateStopLocation</vt:lpstr>
      <vt:lpstr>calibration</vt:lpstr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2023-08-23T13:54:19Z</dcterms:modified>
</cp:coreProperties>
</file>