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ms-office.chartcolorstyle+xml" PartName="/xl/charts/colors1.xml"/>
  <Override ContentType="application/vnd.ms-office.chartstyle+xml" PartName="/xl/charts/style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+xml" PartName="/xl/drawings/drawing7.xml"/>
  <Override ContentType="application/vnd.openxmlformats-officedocument.drawing+xml" PartName="/xl/drawings/drawing8.xml"/>
  <Override ContentType="application/vnd.openxmlformats-officedocument.drawing+xml" PartName="/xl/drawings/drawing9.xml"/>
  <Override ContentType="application/vnd.openxmlformats-officedocument.drawing+xml" PartName="/xl/drawings/drawing10.xml"/>
  <Override ContentType="application/vnd.openxmlformats-officedocument.drawing+xml" PartName="/xl/drawings/drawing1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  <Override ContentType="application/vnd.openxmlformats-officedocument.spreadsheetml.worksheet+xml" PartName="/xl/worksheets/sheet18.xml"/>
</Types>
</file>

<file path=_rels/.rels><?xml version="1.0" encoding="UTF-8" standalone="no"?>
<Relationships xmlns="http://schemas.openxmlformats.org/package/2006/relationships">
    <Relationship Id="rId1" Target="xl/workbook.xml" Type="http://schemas.openxmlformats.org/officeDocument/2006/relationships/officeDocument"/>
    <Relationship Id="rId2" Target="docProps/core.xml" Type="http://schemas.openxmlformats.org/package/2006/relationships/metadata/core-properties"/>
    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4" rupBuild="14420"/>
  <workbookPr codeName="ThisWorkbook" defaultThemeVersion="124226"/>
  <mc:AlternateContent>
    <mc:Choice Requires="x15">
      <x15ac:absPath xmlns:x15ac="http://schemas.microsoft.com/office/spreadsheetml/2010/11/ac" url="E:\Projects\Clients\SACOG\Tasks\calibration\daysim_summaries\output\"/>
    </mc:Choice>
  </mc:AlternateContent>
  <bookViews>
    <workbookView windowHeight="15690" windowWidth="28950" xWindow="0" yWindow="0"/>
  </bookViews>
  <sheets>
    <sheet name="Arrival_Time" r:id="rId1" sheetId="12"/>
    <sheet name="Departure_Time" r:id="rId2" sheetId="3"/>
    <sheet name="Duration" r:id="rId3" sheetId="13"/>
    <sheet name="Arrival_Time_Work" r:id="rId4" sheetId="15"/>
    <sheet name="Arrival_Time_School" r:id="rId5" sheetId="16"/>
    <sheet name="Arrival_Time_Other" r:id="rId6" sheetId="17"/>
    <sheet name="Arrival_Time_Workbased" r:id="rId7" sheetId="18"/>
    <sheet name="Depart_Time_Work" r:id="rId8" sheetId="19"/>
    <sheet name="Depart_Time_School" r:id="rId9" sheetId="20"/>
    <sheet name="Depart_Time_Other" r:id="rId10" sheetId="21"/>
    <sheet name="Depart_Time_Workbased" r:id="rId11" sheetId="22"/>
    <sheet name="Documentation" r:id="rId12" sheetId="7"/>
    <sheet name="SchoolTourTime" r:id="rId13" sheetId="24"/>
    <sheet name="WorkTourTime" r:id="rId14" sheetId="26"/>
    <sheet name="WorkBasedSubtourTime" r:id="rId15" sheetId="25"/>
    <sheet name="Calibration_Work" r:id="rId16" sheetId="27"/>
    <sheet name="Calibration_School" r:id="rId17" sheetId="23"/>
    <sheet name="Calibration_WorkBased" r:id="rId18" sheetId="28"/>
  </sheets>
  <definedNames>
    <definedName name="DURDEST">Duration!$I$8:$L$57</definedName>
    <definedName name="Other_Arrival">Arrival_Time_Other!$M$8:$T$59</definedName>
    <definedName name="out1">Arrival_Time!$B$8:$E$58</definedName>
    <definedName name="out10">Arrival_Time_School!$M$8:$T$58</definedName>
    <definedName name="out11">Arrival_Time_Other!$B$8:$I$58</definedName>
    <definedName name="out12">Arrival_Time_Other!$M$8:$T$58</definedName>
    <definedName name="out13">Arrival_Time_Workbased!$B$8:$I$58</definedName>
    <definedName name="out14">Arrival_Time_Workbased!$M$8:$T$58</definedName>
    <definedName name="out15">Depart_Time_Work!$B$8:$I$58</definedName>
    <definedName name="out16">Depart_Time_Work!$M$8:$T$58</definedName>
    <definedName name="out17">Depart_Time_School!$B$8:$I$58</definedName>
    <definedName name="out18">Depart_Time_School!$M$8:$T$58</definedName>
    <definedName name="out19">Depart_Time_Other!$B$8:$I$58</definedName>
    <definedName name="out2">Arrival_Time!$I$8:$L$58</definedName>
    <definedName name="out20">Depart_Time_Other!$M$8:$T$58</definedName>
    <definedName name="out21">Depart_Time_Workbased!$B$8:$I$58</definedName>
    <definedName name="out22">Depart_Time_Workbased!$M$8:$T$58</definedName>
    <definedName name="out3">Departure_Time!$B$8:$E$58</definedName>
    <definedName name="out4">Departure_Time!$I$8:$L$58</definedName>
    <definedName name="out5">Duration!$B$8:$E$56</definedName>
    <definedName name="out6">Duration!$I$8:$L$56</definedName>
    <definedName name="out7">Arrival_Time_Work!$B$8:$I$58</definedName>
    <definedName name="out8">Arrival_Time_Work!$M$8:$T$58</definedName>
    <definedName name="out9">Arrival_Time_School!$B$8:$I$58</definedName>
    <definedName name="School_Arrival">Arrival_Time_School!$M$8:$T$59</definedName>
    <definedName name="TIMARRPD">Arrival_Time!$I$8:$L$59</definedName>
    <definedName name="TIMDEPPD">Departure_Time!$I$8:$L$59</definedName>
    <definedName name="Work_Arrival">Arrival_Time_Work!$M$8:$T$59</definedName>
    <definedName name="Workbased_Arrival">Arrival_Time_Workbased!$M$8:$T$59</definedName>
    <definedName name="out_1">Arrival_Time!$B$8:$E$58</definedName>
    <definedName name="out_3">Departure_Time!$B$8:$E$58</definedName>
    <definedName name="out_5">Duration!$B$8:$E$56</definedName>
    <definedName name="out_7">Arrival_Time_Work!$B$8:$I$58</definedName>
    <definedName name="out_9">Arrival_Time_School!$B$8:$I$58</definedName>
    <definedName name="out_11">Arrival_Time_Other!$B$8:$I$58</definedName>
    <definedName name="out_13">Arrival_Time_Workbased!$B$8:$I$58</definedName>
    <definedName name="out_15">Depart_Time_Work!$B$8:$I$58</definedName>
    <definedName name="out_17">Depart_Time_School!$B$8:$I$58</definedName>
    <definedName name="out_19">Depart_Time_Other!$B$8:$I$58</definedName>
    <definedName name="out_21">Depart_Time_Workbased!$B$8:$I$58</definedName>
    <definedName name="out_2">Arrival_Time!$I$8:$L$58</definedName>
    <definedName name="out_4">Departure_Time!$I$8:$L$58</definedName>
    <definedName name="out_6">Duration!$I$8:$L$56</definedName>
    <definedName name="out_8">Arrival_Time_Work!$M$8:$T$58</definedName>
    <definedName name="out_10">Arrival_Time_School!$M$8:$T$58</definedName>
    <definedName name="out_12">Arrival_Time_Other!$M$8:$T$58</definedName>
    <definedName name="out_14">Arrival_Time_Workbased!$M$8:$T$58</definedName>
    <definedName name="out_16">Depart_Time_Work!$M$8:$T$58</definedName>
    <definedName name="out_18">Depart_Time_School!$M$8:$T$58</definedName>
    <definedName name="out_20">Depart_Time_Other!$M$8:$T$58</definedName>
    <definedName name="out_22">Depart_Time_Workbased!$M$8:$T$58</definedName>
  </definedNames>
  <calcPr calcId="162913"/>
</workbook>
</file>

<file path=xl/calcChain.xml><?xml version="1.0" encoding="utf-8"?>
<calcChain xmlns="http://schemas.openxmlformats.org/spreadsheetml/2006/main">
  <c i="28" l="1" r="D29"/>
  <c i="28" r="D28"/>
  <c i="28" r="D27"/>
  <c i="28" r="D26"/>
  <c i="28" r="D25"/>
  <c i="28" r="D24"/>
  <c i="28" r="D23"/>
  <c i="28" r="D22"/>
  <c i="28" r="D21"/>
  <c i="28" r="D20"/>
  <c i="28" r="C29"/>
  <c i="28" r="C28"/>
  <c i="28" r="C27"/>
  <c i="28" r="C26"/>
  <c i="28" r="C25"/>
  <c i="28" r="C24"/>
  <c i="28" r="C23"/>
  <c i="28" r="C22"/>
  <c i="28" r="C21"/>
  <c i="28" r="C20"/>
  <c i="28" r="O29"/>
  <c i="28" r="O28"/>
  <c i="28" r="H28"/>
  <c i="28" r="O27"/>
  <c i="28" r="H27"/>
  <c i="28" r="O26"/>
  <c i="28" r="H26"/>
  <c i="28" r="O25"/>
  <c i="28" r="H25"/>
  <c i="28" r="O24"/>
  <c i="28" r="H24"/>
  <c i="28" r="O23"/>
  <c i="28" r="H23"/>
  <c i="28" r="O22"/>
  <c i="28" r="H22"/>
  <c i="28" r="O21"/>
  <c i="28" r="H21"/>
  <c i="28" r="O20"/>
  <c i="28" l="1" r="D30"/>
  <c i="28" r="C30"/>
  <c i="23" r="O38"/>
  <c i="23" r="O39"/>
  <c i="23" r="O40"/>
  <c i="23" r="O41"/>
  <c i="23" r="O42"/>
  <c i="23" r="O43"/>
  <c i="23" r="O44"/>
  <c i="23" r="O45"/>
  <c i="23" r="O46"/>
  <c i="23" r="O37"/>
  <c i="27" r="O37"/>
  <c i="27" r="O38"/>
  <c i="27" r="O39"/>
  <c i="27" r="O40"/>
  <c i="27" r="O41"/>
  <c i="27" r="O42"/>
  <c i="27" r="O43"/>
  <c i="27" r="O44"/>
  <c i="27" r="O45"/>
  <c i="27" r="O36"/>
  <c i="27" r="D29"/>
  <c i="27" r="D28"/>
  <c i="27" r="D27"/>
  <c i="27" r="D26"/>
  <c i="27" r="D25"/>
  <c i="27" r="D24"/>
  <c i="27" r="D23"/>
  <c i="27" r="D22"/>
  <c i="27" r="D21"/>
  <c i="27" r="D20"/>
  <c i="27" r="C29"/>
  <c i="27" r="C28"/>
  <c i="27" r="C27"/>
  <c i="27" r="C26"/>
  <c i="27" r="C25"/>
  <c i="27" r="C24"/>
  <c i="27" r="C23"/>
  <c i="27" r="C22"/>
  <c i="27" r="C21"/>
  <c i="27" r="C20"/>
  <c i="27" r="O21"/>
  <c i="27" r="O22"/>
  <c i="27" r="O23"/>
  <c i="27" r="O24"/>
  <c i="27" r="O25"/>
  <c i="27" r="O26"/>
  <c i="27" r="O27"/>
  <c i="27" r="O28"/>
  <c i="27" r="O29"/>
  <c i="27" r="O20"/>
  <c i="27" r="H29"/>
  <c i="27" r="H28"/>
  <c i="27" r="H27"/>
  <c i="27" r="H26"/>
  <c i="27" r="H25"/>
  <c i="27" r="H24"/>
  <c i="27" r="H23"/>
  <c i="27" r="H22"/>
  <c i="27" r="H21"/>
  <c i="27" r="H20"/>
  <c i="23" r="O21"/>
  <c i="23" r="O22"/>
  <c i="23" r="O23"/>
  <c i="23" r="O24"/>
  <c i="23" r="O25"/>
  <c i="23" r="O26"/>
  <c i="23" r="O27"/>
  <c i="23" r="O28"/>
  <c i="23" r="O29"/>
  <c i="23" r="O20"/>
  <c i="23" r="D29"/>
  <c i="23" r="D28"/>
  <c i="23" r="D27"/>
  <c i="23" r="D26"/>
  <c i="23" r="D25"/>
  <c i="23" r="D24"/>
  <c i="23" r="D23"/>
  <c i="23" r="D22"/>
  <c i="23" r="D21"/>
  <c i="23" r="D20"/>
  <c i="23" r="C29"/>
  <c i="23" r="C28"/>
  <c i="23" r="C27"/>
  <c i="23" r="C26"/>
  <c i="23" r="C25"/>
  <c i="23" r="C24"/>
  <c i="23" r="C23"/>
  <c i="23" r="C22"/>
  <c i="23" r="C21"/>
  <c i="23" r="C20"/>
  <c i="23" r="H28"/>
  <c i="23" r="H27"/>
  <c i="23" r="H26"/>
  <c i="23" r="H25"/>
  <c i="23" r="H24"/>
  <c i="23" r="H23"/>
  <c i="23" r="H22"/>
  <c i="23" r="H21"/>
  <c i="28" r="D45"/>
  <c i="28" r="C45"/>
  <c i="28" r="D44"/>
  <c i="28" r="C44"/>
  <c i="28" r="D43"/>
  <c i="28" r="C43"/>
  <c i="28" r="D42"/>
  <c i="28" r="C42"/>
  <c i="28" r="D41"/>
  <c i="28" r="C41"/>
  <c i="28" r="D40"/>
  <c i="28" r="C40"/>
  <c i="28" r="H39"/>
  <c i="28" r="D39"/>
  <c i="28" r="C39"/>
  <c i="28" r="H38"/>
  <c i="28" r="D38"/>
  <c i="28" r="C38"/>
  <c i="28" r="H37"/>
  <c i="28" r="D37"/>
  <c i="28" r="C37"/>
  <c i="28" r="R52"/>
  <c i="28" r="Q52"/>
  <c i="28" r="H36"/>
  <c i="28" r="D36"/>
  <c i="28" r="C36"/>
  <c i="28" r="R51"/>
  <c i="28" r="Q51"/>
  <c i="28" r="S51" s="1"/>
  <c i="28" r="T51" s="1"/>
  <c i="28" r="R50"/>
  <c i="28" r="Q50"/>
  <c i="28" r="R49"/>
  <c i="28" r="Q49"/>
  <c i="28" r="R48"/>
  <c i="28" r="Q48"/>
  <c i="28" r="S48" s="1"/>
  <c i="28" r="T48" s="1"/>
  <c i="28" r="R47"/>
  <c i="28" r="Q47"/>
  <c i="28" r="R46"/>
  <c i="28" r="Q46"/>
  <c i="28" r="R45"/>
  <c i="28" r="Q45"/>
  <c i="28" r="D13"/>
  <c i="28" r="C13"/>
  <c i="28" r="R44"/>
  <c i="28" r="Q44"/>
  <c i="28" r="H12"/>
  <c i="28" r="D12"/>
  <c i="28" r="C12"/>
  <c i="28" r="R43"/>
  <c i="28" r="Q43"/>
  <c i="28" r="S43" s="1"/>
  <c i="28" r="T43" s="1"/>
  <c i="28" r="H11"/>
  <c i="28" r="D11"/>
  <c i="28" r="C11"/>
  <c i="28" r="R42"/>
  <c i="28" r="Q42"/>
  <c i="28" r="H10"/>
  <c i="28" r="D10"/>
  <c i="28" r="C10"/>
  <c i="28" r="R41"/>
  <c i="28" r="Q41"/>
  <c i="28" r="S41" s="1"/>
  <c i="28" r="T41" s="1"/>
  <c i="28" r="H9"/>
  <c i="28" r="D9"/>
  <c i="28" r="C9"/>
  <c i="28" r="R40"/>
  <c i="28" r="Q40"/>
  <c i="28" r="H8"/>
  <c i="28" r="D8"/>
  <c i="28" r="C8"/>
  <c i="28" r="R39"/>
  <c i="28" r="Q39"/>
  <c i="28" r="S39" s="1"/>
  <c i="28" r="T39" s="1"/>
  <c i="28" r="H7"/>
  <c i="28" r="D7"/>
  <c i="28" r="C7"/>
  <c i="28" r="R38"/>
  <c i="28" r="Q38"/>
  <c i="28" r="H6"/>
  <c i="28" r="D6"/>
  <c i="28" r="C6"/>
  <c i="28" r="R37"/>
  <c i="28" r="Q37"/>
  <c i="28" r="H5"/>
  <c i="28" r="D5"/>
  <c i="28" r="C5"/>
  <c i="28" r="R36"/>
  <c i="28" r="Q36"/>
  <c i="28" r="D4"/>
  <c i="28" r="C4"/>
  <c i="28" r="R35"/>
  <c i="28" r="Q35"/>
  <c i="28" r="S35" s="1"/>
  <c i="28" r="T35" s="1"/>
  <c i="28" r="R34"/>
  <c i="28" r="Q34"/>
  <c i="28" r="R33"/>
  <c i="28" r="Q33"/>
  <c i="28" r="S33" s="1"/>
  <c i="28" r="R32"/>
  <c i="28" r="Q32"/>
  <c i="28" r="S32" s="1"/>
  <c i="28" r="T32" s="1"/>
  <c i="28" r="R31"/>
  <c i="28" r="Q31"/>
  <c i="28" r="R30"/>
  <c i="28" r="Q30"/>
  <c i="28" r="S30" s="1"/>
  <c i="28" r="R29"/>
  <c i="28" r="Q29"/>
  <c i="28" r="S29" s="1"/>
  <c i="28" r="R28"/>
  <c i="28" r="Q28"/>
  <c i="28" r="S28" s="1"/>
  <c i="28" r="R27"/>
  <c i="28" r="Q27"/>
  <c i="28" r="R26"/>
  <c i="28" r="Q26"/>
  <c i="28" r="R25"/>
  <c i="28" r="Q25"/>
  <c i="28" r="S25" s="1"/>
  <c i="28" r="R24"/>
  <c i="28" r="Q24"/>
  <c i="28" r="S24" s="1"/>
  <c i="28" r="R23"/>
  <c i="28" r="Q23"/>
  <c i="28" r="S23" s="1"/>
  <c i="28" r="R22"/>
  <c i="28" r="Q22"/>
  <c i="28" r="S22" s="1"/>
  <c i="28" r="R21"/>
  <c i="28" r="Q21"/>
  <c i="28" r="S21" s="1"/>
  <c i="28" r="R20"/>
  <c i="28" r="Q20"/>
  <c i="28" r="S20" s="1"/>
  <c i="28" r="R19"/>
  <c i="28" r="Q19"/>
  <c i="28" r="R18"/>
  <c i="28" r="Q18"/>
  <c i="28" r="R17"/>
  <c i="28" r="Q17"/>
  <c i="28" r="R16"/>
  <c i="28" r="Q16"/>
  <c i="28" r="R15"/>
  <c i="28" r="Q15"/>
  <c i="28" r="R14"/>
  <c i="28" r="Q14"/>
  <c i="28" r="R13"/>
  <c i="28" r="Q13"/>
  <c i="28" r="R12"/>
  <c i="28" r="Q12"/>
  <c i="28" r="S12" s="1"/>
  <c i="28" r="R11"/>
  <c i="28" r="Q11"/>
  <c i="28" r="R10"/>
  <c i="28" r="Q10"/>
  <c i="28" r="S10" s="1"/>
  <c i="28" r="R9"/>
  <c i="28" r="Q9"/>
  <c i="28" r="S9" s="1"/>
  <c i="28" r="R8"/>
  <c i="28" r="Q8"/>
  <c i="28" r="S8" s="1"/>
  <c i="28" r="R7"/>
  <c i="28" r="Q7"/>
  <c i="28" r="R6"/>
  <c i="28" r="Q6"/>
  <c i="28" r="R5"/>
  <c i="28" r="Q5"/>
  <c i="28" r="S5" s="1"/>
  <c i="28" r="R4"/>
  <c i="28" r="Q4"/>
  <c i="28" r="S4" s="1"/>
  <c i="28" r="R3"/>
  <c i="28" r="Q3"/>
  <c i="27" l="1" r="C30"/>
  <c i="27" r="D30"/>
  <c i="28" r="M25"/>
  <c i="28" r="M27"/>
  <c i="28" r="M29"/>
  <c i="28" r="M26"/>
  <c i="28" r="M21"/>
  <c i="28" r="M22"/>
  <c i="23" r="D30"/>
  <c i="23" r="C30"/>
  <c i="28" r="C14"/>
  <c i="28" r="E9" s="1"/>
  <c i="28" r="S45"/>
  <c i="28" r="T45" s="1"/>
  <c i="28" r="E13"/>
  <c i="28" r="M37"/>
  <c i="28" r="S47"/>
  <c i="28" r="T47" s="1"/>
  <c i="28" r="S50"/>
  <c i="28" r="T50" s="1"/>
  <c i="28" r="C46"/>
  <c i="28" r="E46" s="1"/>
  <c i="28" r="T33"/>
  <c i="28" r="D46"/>
  <c i="28" r="F37" s="1"/>
  <c i="28" r="S44"/>
  <c i="28" r="T44" s="1"/>
  <c i="28" r="S37"/>
  <c i="28" r="T37" s="1"/>
  <c i="28" r="M41"/>
  <c i="28" r="M43"/>
  <c i="28" r="S15"/>
  <c i="28" r="M6" s="1"/>
  <c i="28" r="S18"/>
  <c i="28" r="M9" s="1"/>
  <c i="28" r="S27"/>
  <c i="28" r="M40" s="1"/>
  <c i="28" r="M11"/>
  <c i="28" r="S40"/>
  <c i="28" r="T40" s="1"/>
  <c i="28" r="S6"/>
  <c i="28" r="S13"/>
  <c i="28" r="M4" s="1"/>
  <c i="28" r="S46"/>
  <c i="28" r="T46" s="1"/>
  <c i="28" r="S49"/>
  <c i="28" r="T49" s="1"/>
  <c i="28" r="M36"/>
  <c i="28" r="S31"/>
  <c i="28" r="M44" s="1"/>
  <c i="28" r="S34"/>
  <c i="28" r="T34" s="1"/>
  <c i="28" r="S36"/>
  <c i="28" r="T36" s="1"/>
  <c i="28" r="M13"/>
  <c i="28" r="S26"/>
  <c i="28" r="M39" s="1"/>
  <c i="28" r="S16"/>
  <c i="28" r="M7" s="1"/>
  <c i="28" r="S19"/>
  <c i="28" r="M10" s="1"/>
  <c i="28" r="M38"/>
  <c i="28" r="M42"/>
  <c i="28" r="S42"/>
  <c i="28" r="T42" s="1"/>
  <c i="28" r="S52"/>
  <c i="28" r="T52" s="1"/>
  <c i="28" r="M12"/>
  <c i="28" r="S7"/>
  <c i="28" r="S11"/>
  <c i="28" r="S14"/>
  <c i="28" r="M5" s="1"/>
  <c i="28" r="S17"/>
  <c i="28" r="M8" s="1"/>
  <c i="28" r="S38"/>
  <c i="28" r="T38" s="1"/>
  <c i="28" r="S3"/>
  <c i="28" r="D14"/>
  <c i="27" r="H13"/>
  <c i="27" r="H4"/>
  <c i="27" r="R73"/>
  <c i="27" r="S73"/>
  <c i="27" r="R74"/>
  <c i="27" r="S74"/>
  <c i="27" r="R75"/>
  <c i="27" r="S75"/>
  <c i="27" r="R76"/>
  <c i="27" r="S76"/>
  <c i="27" r="R68"/>
  <c i="27" r="S68"/>
  <c i="27" r="R69"/>
  <c i="27" r="S69"/>
  <c i="27" r="R70"/>
  <c i="27" r="T70" s="1"/>
  <c i="27" r="S70"/>
  <c i="27" r="R71"/>
  <c i="27" r="S71"/>
  <c i="27" r="R72"/>
  <c i="27" r="S72"/>
  <c i="27" r="R65"/>
  <c i="27" r="S65"/>
  <c i="27" r="R66"/>
  <c i="27" r="S66"/>
  <c i="27" r="R67"/>
  <c i="27" r="S67"/>
  <c i="27" r="R4"/>
  <c i="27" r="T4" s="1"/>
  <c i="27" r="S4"/>
  <c i="27" r="R5"/>
  <c i="27" r="T5" s="1"/>
  <c i="27" r="S5"/>
  <c i="27" r="R6"/>
  <c i="27" r="T6" s="1"/>
  <c i="27" r="S6"/>
  <c i="27" r="R7"/>
  <c i="27" r="T7" s="1"/>
  <c i="27" r="S7"/>
  <c i="27" r="R8"/>
  <c i="27" r="T8" s="1"/>
  <c i="27" r="S8"/>
  <c i="27" r="R9"/>
  <c i="27" r="T9" s="1"/>
  <c i="27" r="S9"/>
  <c i="27" r="R10"/>
  <c i="27" r="T10" s="1"/>
  <c i="27" r="S10"/>
  <c i="27" r="R11"/>
  <c i="27" r="T11" s="1"/>
  <c i="27" r="S11"/>
  <c i="27" r="R12"/>
  <c i="27" r="T12" s="1"/>
  <c i="27" r="S12"/>
  <c i="27" r="R13"/>
  <c i="27" r="T13" s="1"/>
  <c i="27" r="S13"/>
  <c i="27" r="R14"/>
  <c i="27" r="T14" s="1"/>
  <c i="27" r="S14"/>
  <c i="27" r="R15"/>
  <c i="27" r="T15" s="1"/>
  <c i="27" r="S15"/>
  <c i="27" r="R16"/>
  <c i="27" r="T16" s="1"/>
  <c i="27" r="S16"/>
  <c i="27" r="R17"/>
  <c i="27" r="T17" s="1"/>
  <c i="27" r="S17"/>
  <c i="27" r="R18"/>
  <c i="27" r="T18" s="1"/>
  <c i="27" r="S18"/>
  <c i="27" r="R19"/>
  <c i="27" r="T19" s="1"/>
  <c i="27" r="S19"/>
  <c i="27" r="R20"/>
  <c i="27" r="T20" s="1"/>
  <c i="27" r="S20"/>
  <c i="27" r="R21"/>
  <c i="27" r="T21" s="1"/>
  <c i="27" r="S21"/>
  <c i="27" r="R22"/>
  <c i="27" r="T22" s="1"/>
  <c i="27" r="S22"/>
  <c i="27" r="R23"/>
  <c i="27" r="T23" s="1"/>
  <c i="27" r="S23"/>
  <c i="27" r="R24"/>
  <c i="27" r="T24" s="1"/>
  <c i="27" r="S24"/>
  <c i="27" r="R25"/>
  <c i="27" r="T25" s="1"/>
  <c i="27" r="S25"/>
  <c i="27" r="R26"/>
  <c i="27" r="T26" s="1"/>
  <c i="27" r="S26"/>
  <c i="27" r="R27"/>
  <c i="27" r="T27" s="1"/>
  <c i="27" r="S27"/>
  <c i="27" r="R28"/>
  <c i="27" r="T28" s="1"/>
  <c i="27" r="S28"/>
  <c i="27" r="R29"/>
  <c i="27" r="T29" s="1"/>
  <c i="27" r="S29"/>
  <c i="27" r="R30"/>
  <c i="27" r="T30" s="1"/>
  <c i="27" r="S30"/>
  <c i="27" r="R31"/>
  <c i="27" r="T31" s="1"/>
  <c i="27" r="S31"/>
  <c i="27" r="R32"/>
  <c i="27" r="T32" s="1"/>
  <c i="27" r="S32"/>
  <c i="27" r="R33"/>
  <c i="27" r="S33"/>
  <c i="27" r="R34"/>
  <c i="27" r="S34"/>
  <c i="27" r="R35"/>
  <c i="27" r="S35"/>
  <c i="27" r="R36"/>
  <c i="27" r="S36"/>
  <c i="27" r="R37"/>
  <c i="27" r="S37"/>
  <c i="27" r="R38"/>
  <c i="27" r="S38"/>
  <c i="27" r="R39"/>
  <c i="27" r="S39"/>
  <c i="27" r="R40"/>
  <c i="27" r="S40"/>
  <c i="27" r="R41"/>
  <c i="27" r="S41"/>
  <c i="27" r="R42"/>
  <c i="27" r="S42"/>
  <c i="27" r="R43"/>
  <c i="27" r="S43"/>
  <c i="27" r="R44"/>
  <c i="27" r="S44"/>
  <c i="27" r="R45"/>
  <c i="27" r="S45"/>
  <c i="27" r="R46"/>
  <c i="27" r="S46"/>
  <c i="27" r="R47"/>
  <c i="27" r="S47"/>
  <c i="27" r="R48"/>
  <c i="27" r="S48"/>
  <c i="27" r="R49"/>
  <c i="27" r="S49"/>
  <c i="27" r="R50"/>
  <c i="27" r="S50"/>
  <c i="27" r="R51"/>
  <c i="27" r="S51"/>
  <c i="27" r="R52"/>
  <c i="27" r="S52"/>
  <c i="27" r="R53"/>
  <c i="27" r="S53"/>
  <c i="27" r="R54"/>
  <c i="27" r="S54"/>
  <c i="27" r="R55"/>
  <c i="27" r="S55"/>
  <c i="27" r="R56"/>
  <c i="27" r="S56"/>
  <c i="27" r="R57"/>
  <c i="27" r="S57"/>
  <c i="27" r="R58"/>
  <c i="27" r="S58"/>
  <c i="27" r="R59"/>
  <c i="27" r="S59"/>
  <c i="27" r="R60"/>
  <c i="27" r="S60"/>
  <c i="27" r="R61"/>
  <c i="27" r="S61"/>
  <c i="27" r="R62"/>
  <c i="27" r="S62"/>
  <c i="27" r="R63"/>
  <c i="27" r="S63"/>
  <c i="27" r="R64"/>
  <c i="27" r="S64"/>
  <c i="27" r="S3"/>
  <c i="27" r="R3"/>
  <c i="27" r="C45"/>
  <c i="27" r="C44"/>
  <c i="27" r="C43"/>
  <c i="27" r="C42"/>
  <c i="27" r="C41"/>
  <c i="27" r="C40"/>
  <c i="27" r="C39"/>
  <c i="27" r="C38"/>
  <c i="27" r="C37"/>
  <c i="27" r="C36"/>
  <c i="27" r="D45"/>
  <c i="27" r="D44"/>
  <c i="27" r="D43"/>
  <c i="27" r="D42"/>
  <c i="27" r="D41"/>
  <c i="27" r="D40"/>
  <c i="27" r="D39"/>
  <c i="27" r="D38"/>
  <c i="27" r="D37"/>
  <c i="27" r="D36"/>
  <c i="27" r="D13"/>
  <c i="27" r="D12"/>
  <c i="27" r="D11"/>
  <c i="27" r="D10"/>
  <c i="27" r="D9"/>
  <c i="27" r="D8"/>
  <c i="27" r="D7"/>
  <c i="27" r="D6"/>
  <c i="27" r="D5"/>
  <c i="27" r="D4"/>
  <c i="27" r="C13"/>
  <c i="27" r="C12"/>
  <c i="27" r="C11"/>
  <c i="27" r="C10"/>
  <c i="27" r="C9"/>
  <c i="27" r="C8"/>
  <c i="27" r="C7"/>
  <c i="27" r="C6"/>
  <c i="27" r="C5"/>
  <c i="27" r="C4"/>
  <c i="27" r="H44"/>
  <c i="27" r="H43"/>
  <c i="27" r="H42"/>
  <c i="27" r="H41"/>
  <c i="27" r="H40"/>
  <c i="27" r="H39"/>
  <c i="27" r="H38"/>
  <c i="27" r="H37"/>
  <c i="27" r="H36"/>
  <c i="27" r="O13"/>
  <c i="27" r="O12"/>
  <c i="27" r="H12"/>
  <c i="27" r="O11"/>
  <c i="27" r="H11"/>
  <c i="27" r="O10"/>
  <c i="27" r="H10"/>
  <c i="27" r="O9"/>
  <c i="27" r="H9"/>
  <c i="27" r="O8"/>
  <c i="27" r="H8"/>
  <c i="27" r="O7"/>
  <c i="27" r="H7"/>
  <c i="27" r="O6"/>
  <c i="27" r="H6"/>
  <c i="27" r="O5"/>
  <c i="27" r="H5"/>
  <c i="27" r="O4"/>
  <c i="28" l="1" r="E4"/>
  <c i="28" r="E25"/>
  <c i="28" r="E24"/>
  <c i="28" r="E23"/>
  <c i="28" r="E27"/>
  <c i="28" r="E26"/>
  <c i="28" r="E29"/>
  <c i="28" r="E28"/>
  <c i="28" r="E21"/>
  <c i="28" r="E22"/>
  <c i="28" r="E20"/>
  <c i="28" r="F9"/>
  <c i="28" r="G9" s="1"/>
  <c i="28" r="F28"/>
  <c i="28" r="F25"/>
  <c i="28" r="F29"/>
  <c i="28" r="F26"/>
  <c i="28" r="F23"/>
  <c i="28" r="F24"/>
  <c i="28" r="F21"/>
  <c i="28" r="F22"/>
  <c i="28" r="F27"/>
  <c i="28" r="F20"/>
  <c i="28" r="G20" s="1"/>
  <c i="28" r="E30"/>
  <c i="28" r="F30"/>
  <c i="28" r="E14"/>
  <c i="28" r="M23"/>
  <c i="28" r="M24"/>
  <c i="28" r="M20"/>
  <c i="28" r="M28"/>
  <c i="28" r="E12"/>
  <c i="28" r="E6"/>
  <c i="28" r="E10"/>
  <c i="28" r="E8"/>
  <c i="28" r="F40"/>
  <c i="28" r="E11"/>
  <c i="28" r="E7"/>
  <c i="28" r="E5"/>
  <c i="27" r="T44"/>
  <c i="27" r="U44" s="1"/>
  <c i="27" r="T68"/>
  <c i="27" r="U68" s="1"/>
  <c i="27" r="T33"/>
  <c i="27" r="U33"/>
  <c i="27" r="T56"/>
  <c i="27" r="U56" s="1"/>
  <c i="27" r="T54"/>
  <c i="27" r="U54" s="1"/>
  <c i="27" r="T42"/>
  <c i="27" r="U42" s="1"/>
  <c i="27" r="T75"/>
  <c i="27" r="U75" s="1"/>
  <c i="27" r="T3"/>
  <c i="27" r="M20" s="1"/>
  <c i="27" r="M26"/>
  <c i="27" r="M23"/>
  <c i="27" r="M25"/>
  <c i="27" r="M24"/>
  <c i="27" r="M28"/>
  <c i="27" r="M45"/>
  <c i="27" r="M22"/>
  <c i="27" r="M44"/>
  <c i="27" r="M43"/>
  <c i="27" r="M42"/>
  <c i="27" r="M41"/>
  <c i="27" r="M29"/>
  <c i="27" r="M21"/>
  <c i="27" r="M40"/>
  <c i="27" r="M39"/>
  <c i="27" r="M38"/>
  <c i="27" r="M27"/>
  <c i="27" r="M37"/>
  <c i="27" r="M36"/>
  <c i="27" r="T69"/>
  <c i="27" r="U69" s="1"/>
  <c i="27" r="T64"/>
  <c i="27" r="U64" s="1"/>
  <c i="27" r="T52"/>
  <c i="27" r="U52" s="1"/>
  <c i="27" r="T40"/>
  <c i="27" r="U40" s="1"/>
  <c i="27" r="T73"/>
  <c i="27" r="U73" s="1"/>
  <c i="27" r="T55"/>
  <c i="27" r="U55" s="1"/>
  <c i="27" r="T63"/>
  <c i="27" r="U63" s="1"/>
  <c i="27" r="T51"/>
  <c i="27" r="U51"/>
  <c i="27" r="T39"/>
  <c i="27" r="U39" s="1"/>
  <c i="27" r="T50"/>
  <c i="27" r="U50" s="1"/>
  <c i="27" r="T38"/>
  <c i="27" r="U38" s="1"/>
  <c i="27" r="T62"/>
  <c i="27" r="U62" s="1"/>
  <c i="27" r="C14"/>
  <c i="27" r="E7" s="1"/>
  <c i="27" r="T61"/>
  <c i="27" r="U61" s="1"/>
  <c i="27" r="T49"/>
  <c i="27" r="U49" s="1"/>
  <c i="27" r="T37"/>
  <c i="27" r="U37" s="1"/>
  <c i="27" r="T41"/>
  <c i="27" r="U41" s="1"/>
  <c i="27" r="T60"/>
  <c i="27" r="U60" s="1"/>
  <c i="27" r="T48"/>
  <c i="27" r="U48" s="1"/>
  <c i="27" r="T36"/>
  <c i="27" r="U36" s="1"/>
  <c i="27" r="T53"/>
  <c i="27" r="U53" s="1"/>
  <c i="27" r="T57"/>
  <c i="27" r="U57" s="1"/>
  <c i="27" r="T59"/>
  <c i="27" r="U59" s="1"/>
  <c i="27" r="T47"/>
  <c i="27" r="U47" s="1"/>
  <c i="27" r="T35"/>
  <c i="27" r="U35" s="1"/>
  <c i="27" r="T43"/>
  <c i="27" r="U43" s="1"/>
  <c i="27" r="C46"/>
  <c i="27" r="E46" s="1"/>
  <c i="27" r="T58"/>
  <c i="27" r="U58" s="1"/>
  <c i="27" r="T46"/>
  <c i="27" r="U46" s="1"/>
  <c i="27" r="T34"/>
  <c i="27" r="U34" s="1"/>
  <c i="27" r="U70"/>
  <c i="28" r="F36"/>
  <c i="28" r="F44"/>
  <c i="28" r="F42"/>
  <c i="28" r="F39"/>
  <c i="28" r="F41"/>
  <c i="28" r="F43"/>
  <c i="28" r="F38"/>
  <c i="28" r="F45"/>
  <c i="28" r="F46"/>
  <c i="28" r="G46" s="1"/>
  <c i="28" r="E41"/>
  <c i="28" r="E44"/>
  <c i="28" r="E43"/>
  <c i="28" r="E42"/>
  <c i="28" r="E39"/>
  <c i="28" r="E40"/>
  <c i="28" r="E38"/>
  <c i="28" r="E36"/>
  <c i="28" r="E45"/>
  <c i="28" r="E37"/>
  <c i="28" r="G37" s="1"/>
  <c i="28" r="F13"/>
  <c i="28" r="G13" s="1"/>
  <c i="28" r="F14"/>
  <c i="28" r="F11"/>
  <c i="28" r="F7"/>
  <c i="28" r="F8"/>
  <c i="28" r="F5"/>
  <c i="28" r="F12"/>
  <c i="28" r="F6"/>
  <c i="28" r="F10"/>
  <c i="28" r="F4"/>
  <c i="28" r="G4" s="1"/>
  <c i="27" r="T76"/>
  <c i="27" r="U76" s="1"/>
  <c i="27" r="T45"/>
  <c i="27" r="U45" s="1"/>
  <c i="27" r="T74"/>
  <c i="27" r="U74" s="1"/>
  <c i="27" r="T72"/>
  <c i="27" r="U72" s="1"/>
  <c i="27" r="T71"/>
  <c i="27" r="U71" s="1"/>
  <c i="27" r="T67"/>
  <c i="27" r="U67" s="1"/>
  <c i="27" r="T66"/>
  <c i="27" r="U66" s="1"/>
  <c i="27" r="T65"/>
  <c i="27" r="U65" s="1"/>
  <c i="27" r="M9"/>
  <c i="27" r="M4"/>
  <c i="27" r="M7"/>
  <c i="27" r="M10"/>
  <c i="27" r="D14"/>
  <c i="27" r="M11"/>
  <c i="27" r="M12"/>
  <c i="27" r="M8"/>
  <c i="27" r="D46"/>
  <c i="27" r="F36" s="1"/>
  <c i="27" r="M6"/>
  <c i="27" r="M13"/>
  <c i="27" r="M5"/>
  <c i="23" r="O5"/>
  <c i="23" r="O6"/>
  <c i="23" r="O7"/>
  <c i="23" r="O8"/>
  <c i="23" r="O9"/>
  <c i="23" r="O10"/>
  <c i="23" r="O11"/>
  <c i="23" r="O12"/>
  <c i="23" r="O13"/>
  <c i="23" r="O4"/>
  <c i="28" l="1" r="G40"/>
  <c i="28" r="G12"/>
  <c i="28" r="G5"/>
  <c i="28" r="G8"/>
  <c i="28" r="I8" s="1"/>
  <c i="28" r="N8" s="1"/>
  <c i="28" r="T17" s="1"/>
  <c i="28" r="G14"/>
  <c i="28" r="G11"/>
  <c i="28" r="G7"/>
  <c i="28" r="I7" s="1"/>
  <c i="28" r="N7" s="1"/>
  <c i="28" r="T16" s="1"/>
  <c i="28" r="G10"/>
  <c i="28" r="I10" s="1"/>
  <c i="28" r="N10" s="1"/>
  <c i="28" r="T19" s="1"/>
  <c i="28" r="G6"/>
  <c i="28" r="I6" s="1"/>
  <c i="28" r="N6" s="1"/>
  <c i="28" r="T15" s="1"/>
  <c i="28" r="G45"/>
  <c i="28" r="G22"/>
  <c i="28" r="G41"/>
  <c i="28" r="G21"/>
  <c i="28" r="G28"/>
  <c i="28" r="G29"/>
  <c i="28" r="G26"/>
  <c i="28" r="G27"/>
  <c i="28" r="G23"/>
  <c i="28" r="I23" s="1"/>
  <c i="28" r="N23" s="1"/>
  <c i="28" r="T6" s="1"/>
  <c i="28" r="G24"/>
  <c i="28" r="I24" s="1"/>
  <c i="28" r="N24" s="1"/>
  <c i="28" r="T7" s="1"/>
  <c i="28" r="G25"/>
  <c i="28" r="I25" s="1"/>
  <c i="28" r="N25" s="1"/>
  <c i="28" r="T8" s="1"/>
  <c i="28" r="G30"/>
  <c i="28" r="G39"/>
  <c i="28" r="G42"/>
  <c i="28" r="G38"/>
  <c i="28" r="G44"/>
  <c i="28" r="G36"/>
  <c i="28" r="G43"/>
  <c i="28" r="I5"/>
  <c i="28" r="N5" s="1"/>
  <c i="28" r="T14" s="1"/>
  <c i="27" r="E11"/>
  <c i="27" r="E29"/>
  <c i="27" r="E28"/>
  <c i="27" r="E25"/>
  <c i="27" r="E27"/>
  <c i="27" r="E30"/>
  <c i="27" r="E26"/>
  <c i="27" r="E21"/>
  <c i="27" r="E20"/>
  <c i="27" r="E22"/>
  <c i="27" r="E23"/>
  <c i="27" r="E24"/>
  <c i="27" r="E41"/>
  <c i="27" r="E38"/>
  <c i="27" r="E44"/>
  <c i="27" r="E40"/>
  <c i="27" r="E45"/>
  <c i="27" r="E42"/>
  <c i="27" r="E6"/>
  <c i="27" r="E8"/>
  <c i="27" r="E37"/>
  <c i="27" r="E43"/>
  <c i="27" r="E4"/>
  <c i="27" r="E9"/>
  <c i="27" r="E14"/>
  <c i="27" r="E13"/>
  <c i="27" r="E12"/>
  <c i="27" r="E36"/>
  <c i="27" r="G36" s="1"/>
  <c i="27" r="E5"/>
  <c i="27" r="E39"/>
  <c i="27" r="G39" s="1"/>
  <c i="27" r="I39" s="1"/>
  <c i="27" r="N39" s="1"/>
  <c i="27" r="U26" s="1"/>
  <c i="27" r="E10"/>
  <c i="27" r="F25"/>
  <c i="27" r="F26"/>
  <c i="27" r="F28"/>
  <c i="27" r="F29"/>
  <c i="27" r="F21"/>
  <c i="27" r="F27"/>
  <c i="27" r="F24"/>
  <c i="27" r="F20"/>
  <c i="27" r="F30"/>
  <c i="27" r="F22"/>
  <c i="27" r="F23"/>
  <c i="28" r="I4"/>
  <c i="28" r="N4" s="1"/>
  <c i="28" r="T13" s="1"/>
  <c i="28" r="I11"/>
  <c i="28" r="N11" s="1"/>
  <c i="28" r="T20" s="1"/>
  <c i="28" r="I9"/>
  <c i="28" r="N9" s="1"/>
  <c i="28" r="T18" s="1"/>
  <c i="27" r="F39"/>
  <c i="27" r="F42"/>
  <c i="27" r="F45"/>
  <c i="27" r="F46"/>
  <c i="27" r="G46" s="1"/>
  <c i="27" r="F40"/>
  <c i="27" r="F8"/>
  <c i="27" r="F5"/>
  <c i="27" r="G5" s="1"/>
  <c i="27" r="F13"/>
  <c i="27" r="F9"/>
  <c i="27" r="F10"/>
  <c i="27" r="F6"/>
  <c i="27" r="F14"/>
  <c i="27" r="F12"/>
  <c i="27" r="F43"/>
  <c i="27" r="F44"/>
  <c i="27" r="F37"/>
  <c i="27" r="F11"/>
  <c i="27" r="F41"/>
  <c i="27" r="F7"/>
  <c i="27" r="G7" s="1"/>
  <c i="27" r="F38"/>
  <c i="27" r="F4"/>
  <c i="28" l="1" r="I43"/>
  <c i="28" r="N43" s="1"/>
  <c i="28" r="T30" s="1"/>
  <c i="28" r="I36"/>
  <c i="28" r="N36" s="1"/>
  <c i="28" r="T23" s="1"/>
  <c i="28" r="I12"/>
  <c i="28" r="N12" s="1"/>
  <c i="28" r="T21" s="1"/>
  <c i="28" r="I44"/>
  <c i="28" r="N44" s="1"/>
  <c i="28" r="T31" s="1"/>
  <c i="28" r="I41"/>
  <c i="28" r="N41" s="1"/>
  <c i="28" r="T28" s="1"/>
  <c i="28" r="I13"/>
  <c i="28" r="N13" s="1"/>
  <c i="28" r="T22" s="1"/>
  <c i="28" r="I38"/>
  <c i="28" r="N38" s="1"/>
  <c i="28" r="T25" s="1"/>
  <c i="28" r="I40"/>
  <c i="28" r="N40" s="1"/>
  <c i="28" r="T27" s="1"/>
  <c i="28" r="I45"/>
  <c i="28" r="I39"/>
  <c i="28" r="N39" s="1"/>
  <c i="28" r="T26" s="1"/>
  <c i="27" r="G43"/>
  <c i="28" r="I27"/>
  <c i="28" r="N27" s="1"/>
  <c i="28" r="T10" s="1"/>
  <c i="28" r="I26"/>
  <c i="28" r="N26" s="1"/>
  <c i="28" r="T9" s="1"/>
  <c i="27" r="G38"/>
  <c i="27" r="I38" s="1"/>
  <c i="27" r="N38" s="1"/>
  <c i="27" r="U25" s="1"/>
  <c i="28" r="I29"/>
  <c i="28" r="N29" s="1"/>
  <c i="28" r="T12" s="1"/>
  <c i="28" r="I28"/>
  <c i="28" r="N28" s="1"/>
  <c i="28" r="T11" s="1"/>
  <c i="28" r="I21"/>
  <c i="28" r="N21" s="1"/>
  <c i="28" r="T4" s="1"/>
  <c i="27" r="G11"/>
  <c i="27" r="I11" s="1"/>
  <c i="27" r="N11" s="1"/>
  <c i="27" r="U20" s="1"/>
  <c i="28" r="I22"/>
  <c i="28" r="N22" s="1"/>
  <c i="28" r="T5" s="1"/>
  <c i="27" r="G4"/>
  <c i="27" r="I4" s="1"/>
  <c i="27" r="N4" s="1"/>
  <c i="27" r="U13" s="1"/>
  <c i="28" r="I20"/>
  <c i="28" r="N20" s="1"/>
  <c i="28" r="T3" s="1"/>
  <c i="28" r="I37"/>
  <c i="28" r="N37" s="1"/>
  <c i="28" r="T24" s="1"/>
  <c i="28" r="I42"/>
  <c i="28" r="N42" s="1"/>
  <c i="28" r="T29" s="1"/>
  <c i="27" r="G8"/>
  <c i="27" r="I8" s="1"/>
  <c i="27" r="N8" s="1"/>
  <c i="27" r="U17" s="1"/>
  <c i="27" r="G40"/>
  <c i="27" r="I40" s="1"/>
  <c i="27" r="N40" s="1"/>
  <c i="27" r="U27" s="1"/>
  <c i="27" r="G22"/>
  <c i="27" r="G23"/>
  <c i="27" r="I23" s="1"/>
  <c i="27" r="N23" s="1"/>
  <c i="27" r="U6" s="1"/>
  <c i="27" r="G37"/>
  <c i="27" r="I37" s="1"/>
  <c i="27" r="N37" s="1"/>
  <c i="27" r="U24" s="1"/>
  <c i="27" r="G45"/>
  <c i="27" r="I45" s="1"/>
  <c i="27" r="N45" s="1"/>
  <c i="27" r="U32" s="1"/>
  <c i="27" r="G42"/>
  <c i="27" r="I42" s="1"/>
  <c i="27" r="N42" s="1"/>
  <c i="27" r="U29" s="1"/>
  <c i="27" r="G26"/>
  <c i="27" r="G41"/>
  <c i="27" r="I41" s="1"/>
  <c i="27" r="N41" s="1"/>
  <c i="27" r="U28" s="1"/>
  <c i="27" r="G30"/>
  <c i="27" r="G12"/>
  <c i="27" r="G27"/>
  <c i="27" r="G24"/>
  <c i="27" r="G44"/>
  <c i="27" r="I44" s="1"/>
  <c i="27" r="N44" s="1"/>
  <c i="27" r="U31" s="1"/>
  <c i="27" r="G25"/>
  <c i="27" r="G20"/>
  <c i="27" r="G28"/>
  <c i="27" r="G10"/>
  <c i="27" r="G29"/>
  <c i="27" r="G9"/>
  <c i="27" r="G21"/>
  <c i="27" r="G14"/>
  <c i="27" r="G6"/>
  <c i="27" r="G13"/>
  <c i="27" r="I43"/>
  <c i="27" r="N43" s="1"/>
  <c i="27" r="U30" s="1"/>
  <c i="27" r="I36"/>
  <c i="27" r="N36" s="1"/>
  <c i="27" r="U23" s="1"/>
  <c i="27" l="1" r="I7"/>
  <c i="27" r="N7" s="1"/>
  <c i="27" r="U16" s="1"/>
  <c i="27" r="I26"/>
  <c i="27" r="N26" s="1"/>
  <c i="27" r="U9" s="1"/>
  <c i="27" r="I12"/>
  <c i="27" r="N12" s="1"/>
  <c i="27" r="U21" s="1"/>
  <c i="27" r="I5"/>
  <c i="27" r="N5" s="1"/>
  <c i="27" r="U14" s="1"/>
  <c i="27" r="I13"/>
  <c i="27" r="N13" s="1"/>
  <c i="27" r="U22" s="1"/>
  <c i="27" r="I10"/>
  <c i="27" r="N10" s="1"/>
  <c i="27" r="U19" s="1"/>
  <c i="27" r="I25"/>
  <c i="27" r="N25" s="1"/>
  <c i="27" r="U8" s="1"/>
  <c i="27" r="I21"/>
  <c i="27" r="N21" s="1"/>
  <c i="27" r="U4" s="1"/>
  <c i="27" r="I6"/>
  <c i="27" r="N6" s="1"/>
  <c i="27" r="U15" s="1"/>
  <c i="27" r="I29"/>
  <c i="27" r="N29" s="1"/>
  <c i="27" r="U12" s="1"/>
  <c i="27" r="I28"/>
  <c i="27" r="N28" s="1"/>
  <c i="27" r="U11" s="1"/>
  <c i="27" r="I9"/>
  <c i="27" r="N9" s="1"/>
  <c i="27" r="U18" s="1"/>
  <c i="27" r="I24"/>
  <c i="27" r="N24" s="1"/>
  <c i="27" r="U7" s="1"/>
  <c i="27" r="I27"/>
  <c i="27" r="N27" s="1"/>
  <c i="27" r="U10" s="1"/>
  <c i="27" r="I22"/>
  <c i="27" r="N22" s="1"/>
  <c i="27" r="U5" s="1"/>
  <c i="27" r="I20"/>
  <c i="27" r="N20" s="1"/>
  <c i="27" r="U3" s="1"/>
  <c i="23" r="C46"/>
  <c i="23" l="1" r="H8"/>
  <c i="23" r="R4"/>
  <c i="23" r="T4" s="1"/>
  <c i="23" r="S4"/>
  <c i="23" r="R5"/>
  <c i="23" r="T5" s="1"/>
  <c i="23" r="S5"/>
  <c i="23" r="R6"/>
  <c i="23" r="T6" s="1"/>
  <c i="23" r="S6"/>
  <c i="23" r="R7"/>
  <c i="23" r="T7" s="1"/>
  <c i="23" r="S7"/>
  <c i="23" r="R8"/>
  <c i="23" r="S8"/>
  <c i="23" r="R9"/>
  <c i="23" r="T9" s="1"/>
  <c i="23" r="S9"/>
  <c i="23" r="R10"/>
  <c i="23" r="T10" s="1"/>
  <c i="23" r="S10"/>
  <c i="23" r="R11"/>
  <c i="23" r="T11" s="1"/>
  <c i="23" r="S11"/>
  <c i="23" r="R12"/>
  <c i="23" r="T12" s="1"/>
  <c i="23" r="S12"/>
  <c i="23" r="R13"/>
  <c i="23" r="T13" s="1"/>
  <c i="23" r="S13"/>
  <c i="23" r="R14"/>
  <c i="23" r="T14" s="1"/>
  <c i="23" r="S14"/>
  <c i="23" r="R15"/>
  <c i="23" r="T15" s="1"/>
  <c i="23" r="S15"/>
  <c i="23" r="R16"/>
  <c i="23" r="T16" s="1"/>
  <c i="23" r="S16"/>
  <c i="23" r="R17"/>
  <c i="23" r="T17" s="1"/>
  <c i="23" r="S17"/>
  <c i="23" r="R18"/>
  <c i="23" r="T18" s="1"/>
  <c i="23" r="S18"/>
  <c i="23" r="R19"/>
  <c i="23" r="T19" s="1"/>
  <c i="23" r="S19"/>
  <c i="23" r="R20"/>
  <c i="23" r="T20" s="1"/>
  <c i="23" r="S20"/>
  <c i="23" r="R21"/>
  <c i="23" r="T21" s="1"/>
  <c i="23" r="S21"/>
  <c i="23" r="R22"/>
  <c i="23" r="T22" s="1"/>
  <c i="23" r="S22"/>
  <c i="23" r="R23"/>
  <c i="23" r="T23" s="1"/>
  <c i="23" r="S23"/>
  <c i="23" r="R24"/>
  <c i="23" r="T24" s="1"/>
  <c i="23" r="S24"/>
  <c i="23" r="R25"/>
  <c i="23" r="T25" s="1"/>
  <c i="23" r="S25"/>
  <c i="23" r="R26"/>
  <c i="23" r="T26" s="1"/>
  <c i="23" r="S26"/>
  <c i="23" r="R27"/>
  <c i="23" r="T27" s="1"/>
  <c i="23" r="S27"/>
  <c i="23" r="R28"/>
  <c i="23" r="T28" s="1"/>
  <c i="23" r="S28"/>
  <c i="23" r="R29"/>
  <c i="23" r="T29" s="1"/>
  <c i="23" r="S29"/>
  <c i="23" r="R30"/>
  <c i="23" r="T30" s="1"/>
  <c i="23" r="S30"/>
  <c i="23" r="R31"/>
  <c i="23" r="T31" s="1"/>
  <c i="23" r="S31"/>
  <c i="23" r="R32"/>
  <c i="23" r="T32" s="1"/>
  <c i="23" r="S32"/>
  <c i="23" r="R33"/>
  <c i="23" r="T33" s="1"/>
  <c i="23" r="U33" s="1"/>
  <c i="23" r="S33"/>
  <c i="23" r="R34"/>
  <c i="23" r="S34"/>
  <c i="23" r="R35"/>
  <c i="23" r="T35" s="1"/>
  <c i="23" r="U35" s="1"/>
  <c i="23" r="S35"/>
  <c i="23" r="R36"/>
  <c i="23" r="T36" s="1"/>
  <c i="23" r="S36"/>
  <c i="23" r="R37"/>
  <c i="23" r="T37" s="1"/>
  <c i="23" r="U37" s="1"/>
  <c i="23" r="S37"/>
  <c i="23" r="R38"/>
  <c i="23" r="T38" s="1"/>
  <c i="23" r="U38" s="1"/>
  <c i="23" r="S38"/>
  <c i="23" r="R39"/>
  <c i="23" r="T39" s="1"/>
  <c i="23" r="U39" s="1"/>
  <c i="23" r="S39"/>
  <c i="23" r="R40"/>
  <c i="23" r="S40"/>
  <c i="23" r="R41"/>
  <c i="23" r="S41"/>
  <c i="23" r="R42"/>
  <c i="23" r="S42"/>
  <c i="23" r="R43"/>
  <c i="23" r="S43"/>
  <c i="23" r="R44"/>
  <c i="23" r="T44" s="1"/>
  <c i="23" r="S44"/>
  <c i="23" r="R45"/>
  <c i="23" r="T45" s="1"/>
  <c i="23" r="S45"/>
  <c i="23" r="R46"/>
  <c i="23" r="T46" s="1"/>
  <c i="23" r="S46"/>
  <c i="23" r="R47"/>
  <c i="23" r="T47" s="1"/>
  <c i="23" r="S47"/>
  <c i="23" r="R48"/>
  <c i="23" r="T48" s="1"/>
  <c i="23" r="S48"/>
  <c i="23" r="R49"/>
  <c i="23" r="T49" s="1"/>
  <c i="23" r="U49" s="1"/>
  <c i="23" r="S49"/>
  <c i="23" r="R50"/>
  <c i="23" r="T50" s="1"/>
  <c i="23" r="S50"/>
  <c i="23" r="R51"/>
  <c i="23" r="T51" s="1"/>
  <c i="23" r="S51"/>
  <c i="23" r="R52"/>
  <c i="23" r="T52" s="1"/>
  <c i="23" r="S52"/>
  <c i="23" r="R53"/>
  <c i="23" r="T53" s="1"/>
  <c i="23" r="S53"/>
  <c i="23" r="R54"/>
  <c i="23" r="T54" s="1"/>
  <c i="23" r="S54"/>
  <c i="23" r="R55"/>
  <c i="23" r="T55" s="1"/>
  <c i="23" r="S55"/>
  <c i="23" r="R56"/>
  <c i="23" r="T56" s="1"/>
  <c i="23" r="S56"/>
  <c i="23" r="R57"/>
  <c i="23" r="T57" s="1"/>
  <c i="23" r="U57" s="1"/>
  <c i="23" r="S57"/>
  <c i="23" r="R58"/>
  <c i="23" r="S58"/>
  <c i="23" r="R59"/>
  <c i="23" r="T59" s="1"/>
  <c i="23" r="U59" s="1"/>
  <c i="23" r="S59"/>
  <c i="23" r="R60"/>
  <c i="23" r="T60" s="1"/>
  <c i="23" r="S60"/>
  <c i="23" r="R61"/>
  <c i="23" r="T61" s="1"/>
  <c i="23" r="U61" s="1"/>
  <c i="23" r="S61"/>
  <c i="23" r="R62"/>
  <c i="23" r="T62" s="1"/>
  <c i="23" r="U62" s="1"/>
  <c i="23" r="S62"/>
  <c i="23" r="R63"/>
  <c i="23" r="T63" s="1"/>
  <c i="23" r="U63" s="1"/>
  <c i="23" r="S63"/>
  <c i="23" r="R64"/>
  <c i="23" r="T64" s="1"/>
  <c i="23" r="S64"/>
  <c i="23" r="S3"/>
  <c i="23" r="R3"/>
  <c i="23" l="1" r="M29"/>
  <c i="23" r="M27"/>
  <c i="23" r="M26"/>
  <c i="23" r="M46"/>
  <c i="23" r="M45"/>
  <c i="23" r="M44"/>
  <c i="23" r="M43"/>
  <c i="23" r="M42"/>
  <c i="23" r="M41"/>
  <c i="23" r="M40"/>
  <c i="23" r="M39"/>
  <c i="23" r="M24"/>
  <c i="23" r="M38"/>
  <c i="23" r="M37"/>
  <c i="23" r="M23"/>
  <c i="23" r="M22"/>
  <c i="23" r="M21"/>
  <c i="23" r="M28"/>
  <c i="23" r="T58"/>
  <c i="23" r="U58" s="1"/>
  <c i="23" r="U47"/>
  <c i="23" r="T40"/>
  <c i="23" r="U40" s="1"/>
  <c i="23" r="U48"/>
  <c i="23" r="U46"/>
  <c i="23" r="T34"/>
  <c i="23" r="U34" s="1"/>
  <c i="23" r="U45"/>
  <c i="23" r="M6"/>
  <c i="23" r="U50"/>
  <c i="23" r="U64"/>
  <c i="23" r="M8"/>
  <c i="23" r="M5"/>
  <c i="23" r="M7"/>
  <c i="23" r="U60"/>
  <c i="23" r="U36"/>
  <c i="23" r="T43"/>
  <c i="23" r="U43" s="1"/>
  <c i="23" r="T42"/>
  <c i="23" r="U42" s="1"/>
  <c i="23" r="U56"/>
  <c i="23" r="T3"/>
  <c i="23" r="M20" s="1"/>
  <c i="23" r="T41"/>
  <c i="23" r="U41" s="1"/>
  <c i="23" r="U55"/>
  <c i="23" r="U53"/>
  <c i="23" r="U52"/>
  <c i="23" r="U54"/>
  <c i="23" r="U51"/>
  <c i="23" r="M4"/>
  <c i="23" r="T8"/>
  <c i="23" r="M25" s="1"/>
  <c i="23" r="M13"/>
  <c i="23" r="U44"/>
  <c i="23" r="M12"/>
  <c i="23" r="M11"/>
  <c i="23" r="M10"/>
  <c i="23" r="M9"/>
  <c i="23" r="D46"/>
  <c i="23" r="D45"/>
  <c i="23" r="D44"/>
  <c i="23" r="D43"/>
  <c i="23" r="D42"/>
  <c i="23" r="D41"/>
  <c i="23" r="D40"/>
  <c i="23" r="D39"/>
  <c i="23" r="D38"/>
  <c i="23" r="D37"/>
  <c i="23" r="C45"/>
  <c i="23" r="C44"/>
  <c i="23" r="C43"/>
  <c i="23" r="C42"/>
  <c i="23" r="C41"/>
  <c i="23" r="C40"/>
  <c i="23" r="C39"/>
  <c i="23" r="C38"/>
  <c i="23" r="C37"/>
  <c i="23" r="H45"/>
  <c i="23" r="H44"/>
  <c i="23" r="H43"/>
  <c i="23" r="H42"/>
  <c i="23" r="H41"/>
  <c i="23" r="H40"/>
  <c i="23" r="H39"/>
  <c i="23" r="H38"/>
  <c i="23" r="H37"/>
  <c i="23" r="H5"/>
  <c i="23" r="H6"/>
  <c i="23" r="H7"/>
  <c i="23" r="H9"/>
  <c i="23" r="H10"/>
  <c i="23" r="H11"/>
  <c i="23" r="H12"/>
  <c i="23" r="D13"/>
  <c i="23" r="D12"/>
  <c i="23" r="D11"/>
  <c i="23" r="D10"/>
  <c i="23" r="D9"/>
  <c i="23" r="D8"/>
  <c i="23" r="D7"/>
  <c i="23" r="D6"/>
  <c i="23" r="D5"/>
  <c i="23" r="D4"/>
  <c i="23" r="C13"/>
  <c i="23" r="C12"/>
  <c i="23" r="C11"/>
  <c i="23" r="C10"/>
  <c i="23" r="C9"/>
  <c i="23" r="C8"/>
  <c i="23" r="C7"/>
  <c i="23" r="C6"/>
  <c i="23" r="C5"/>
  <c i="23" r="C4"/>
  <c i="23" l="1" r="D47"/>
  <c i="23" r="F39" s="1"/>
  <c i="23" r="F44"/>
  <c i="23" r="F46"/>
  <c i="23" r="F37"/>
  <c i="23" r="F41"/>
  <c i="23" r="F38"/>
  <c i="23" r="F42"/>
  <c i="23" r="F47"/>
  <c i="23" r="F43"/>
  <c i="23" r="C14"/>
  <c i="23" r="E10" s="1"/>
  <c i="23" r="C47"/>
  <c i="23" r="D14"/>
  <c i="22" r="U58"/>
  <c i="22" r="J58"/>
  <c i="22" r="U57"/>
  <c i="22" r="J57"/>
  <c i="22" r="U56"/>
  <c i="22" r="J56"/>
  <c i="22" r="U55"/>
  <c i="22" r="J55"/>
  <c i="22" r="U54"/>
  <c i="22" r="J54"/>
  <c i="22" r="U53"/>
  <c i="22" r="J53"/>
  <c i="22" r="U52"/>
  <c i="22" r="J52"/>
  <c i="22" r="U51"/>
  <c i="22" r="J51"/>
  <c i="22" r="U50"/>
  <c i="22" r="J50"/>
  <c i="22" r="U49"/>
  <c i="22" r="J49"/>
  <c i="22" r="U48"/>
  <c i="22" r="J48"/>
  <c i="22" r="U47"/>
  <c i="22" r="J47"/>
  <c i="22" r="U46"/>
  <c i="22" r="J46"/>
  <c i="22" r="U45"/>
  <c i="22" r="J45"/>
  <c i="22" r="U44"/>
  <c i="22" r="J44"/>
  <c i="22" r="U43"/>
  <c i="22" r="J43"/>
  <c i="22" r="U42"/>
  <c i="22" r="J42"/>
  <c i="22" r="U41"/>
  <c i="22" r="J41"/>
  <c i="22" r="U40"/>
  <c i="22" r="J40"/>
  <c i="22" r="U39"/>
  <c i="22" r="J39"/>
  <c i="22" r="U38"/>
  <c i="22" r="J38"/>
  <c i="22" r="U37"/>
  <c i="22" r="J37"/>
  <c i="22" r="U36"/>
  <c i="22" r="J36"/>
  <c i="22" r="U35"/>
  <c i="22" r="J35"/>
  <c i="22" r="U34"/>
  <c i="22" r="J34"/>
  <c i="22" r="U33"/>
  <c i="22" r="J33"/>
  <c i="22" r="U32"/>
  <c i="22" r="J32"/>
  <c i="22" r="U31"/>
  <c i="22" r="J31"/>
  <c i="22" r="U30"/>
  <c i="22" r="J30"/>
  <c i="22" r="U29"/>
  <c i="22" r="J29"/>
  <c i="22" r="U28"/>
  <c i="22" r="J28"/>
  <c i="22" r="U27"/>
  <c i="22" r="J27"/>
  <c i="22" r="U26"/>
  <c i="22" r="J26"/>
  <c i="22" r="U25"/>
  <c i="22" r="J25"/>
  <c i="22" r="U24"/>
  <c i="22" r="J24"/>
  <c i="22" r="U23"/>
  <c i="22" r="J23"/>
  <c i="22" r="U22"/>
  <c i="22" r="J22"/>
  <c i="22" r="U21"/>
  <c i="22" r="J21"/>
  <c i="22" r="U20"/>
  <c i="22" r="J20"/>
  <c i="22" r="U19"/>
  <c i="22" r="J19"/>
  <c i="22" r="U18"/>
  <c i="22" r="J18"/>
  <c i="22" r="U17"/>
  <c i="22" r="J17"/>
  <c i="22" r="U16"/>
  <c i="22" r="J16"/>
  <c i="22" r="U15"/>
  <c i="22" r="J15"/>
  <c i="22" r="U14"/>
  <c i="22" r="J14"/>
  <c i="22" r="U13"/>
  <c i="22" r="J13"/>
  <c i="22" r="U12"/>
  <c i="22" r="J12"/>
  <c i="22" r="U11"/>
  <c i="22" r="J11"/>
  <c i="22" r="U10"/>
  <c i="22" r="J10"/>
  <c i="22" r="U9"/>
  <c i="22" r="J9"/>
  <c i="22" r="U8"/>
  <c i="22" r="J8"/>
  <c i="21" r="U58"/>
  <c i="21" r="J58"/>
  <c i="21" r="U57"/>
  <c i="21" r="J57"/>
  <c i="21" r="U56"/>
  <c i="21" r="J56"/>
  <c i="21" r="U55"/>
  <c i="21" r="J55"/>
  <c i="21" r="U54"/>
  <c i="21" r="J54"/>
  <c i="21" r="U53"/>
  <c i="21" r="J53"/>
  <c i="21" r="U52"/>
  <c i="21" r="J52"/>
  <c i="21" r="U51"/>
  <c i="21" r="J51"/>
  <c i="21" r="U50"/>
  <c i="21" r="J50"/>
  <c i="21" r="U49"/>
  <c i="21" r="J49"/>
  <c i="21" r="U48"/>
  <c i="21" r="J48"/>
  <c i="21" r="U47"/>
  <c i="21" r="J47"/>
  <c i="21" r="U46"/>
  <c i="21" r="J46"/>
  <c i="21" r="U45"/>
  <c i="21" r="J45"/>
  <c i="21" r="U44"/>
  <c i="21" r="J44"/>
  <c i="21" r="U43"/>
  <c i="21" r="J43"/>
  <c i="21" r="U42"/>
  <c i="21" r="J42"/>
  <c i="21" r="U41"/>
  <c i="21" r="J41"/>
  <c i="21" r="U40"/>
  <c i="21" r="J40"/>
  <c i="21" r="U39"/>
  <c i="21" r="J39"/>
  <c i="21" r="U38"/>
  <c i="21" r="J38"/>
  <c i="21" r="U37"/>
  <c i="21" r="J37"/>
  <c i="21" r="U36"/>
  <c i="21" r="J36"/>
  <c i="21" r="U35"/>
  <c i="21" r="J35"/>
  <c i="21" r="U34"/>
  <c i="21" r="J34"/>
  <c i="21" r="U33"/>
  <c i="21" r="J33"/>
  <c i="21" r="U32"/>
  <c i="21" r="J32"/>
  <c i="21" r="U31"/>
  <c i="21" r="J31"/>
  <c i="21" r="U30"/>
  <c i="21" r="J30"/>
  <c i="21" r="U29"/>
  <c i="21" r="J29"/>
  <c i="21" r="U28"/>
  <c i="21" r="J28"/>
  <c i="21" r="U27"/>
  <c i="21" r="J27"/>
  <c i="21" r="U26"/>
  <c i="21" r="J26"/>
  <c i="21" r="U25"/>
  <c i="21" r="J25"/>
  <c i="21" r="U24"/>
  <c i="21" r="J24"/>
  <c i="21" r="U23"/>
  <c i="21" r="J23"/>
  <c i="21" r="U22"/>
  <c i="21" r="J22"/>
  <c i="21" r="U21"/>
  <c i="21" r="J21"/>
  <c i="21" r="U20"/>
  <c i="21" r="J20"/>
  <c i="21" r="U19"/>
  <c i="21" r="J19"/>
  <c i="21" r="U18"/>
  <c i="21" r="J18"/>
  <c i="21" r="U17"/>
  <c i="21" r="J17"/>
  <c i="21" r="U16"/>
  <c i="21" r="J16"/>
  <c i="21" r="U15"/>
  <c i="21" r="J15"/>
  <c i="21" r="U14"/>
  <c i="21" r="J14"/>
  <c i="21" r="U13"/>
  <c i="21" r="J13"/>
  <c i="21" r="U12"/>
  <c i="21" r="J12"/>
  <c i="21" r="U11"/>
  <c i="21" r="J11"/>
  <c i="21" r="U10"/>
  <c i="21" r="J10"/>
  <c i="21" r="U9"/>
  <c i="21" r="J9"/>
  <c i="21" r="U8"/>
  <c i="21" r="J8"/>
  <c i="20" r="U58"/>
  <c i="20" r="J58"/>
  <c i="20" r="U57"/>
  <c i="20" r="J57"/>
  <c i="20" r="U56"/>
  <c i="20" r="J56"/>
  <c i="20" r="U55"/>
  <c i="20" r="J55"/>
  <c i="20" r="U54"/>
  <c i="20" r="J54"/>
  <c i="20" r="U53"/>
  <c i="20" r="J53"/>
  <c i="20" r="U52"/>
  <c i="20" r="J52"/>
  <c i="20" r="U51"/>
  <c i="20" r="J51"/>
  <c i="20" r="U50"/>
  <c i="20" r="J50"/>
  <c i="20" r="U49"/>
  <c i="20" r="J49"/>
  <c i="20" r="U48"/>
  <c i="20" r="J48"/>
  <c i="20" r="U47"/>
  <c i="20" r="J47"/>
  <c i="20" r="U46"/>
  <c i="20" r="J46"/>
  <c i="20" r="U45"/>
  <c i="20" r="J45"/>
  <c i="20" r="U44"/>
  <c i="20" r="J44"/>
  <c i="20" r="U43"/>
  <c i="20" r="J43"/>
  <c i="20" r="U42"/>
  <c i="20" r="J42"/>
  <c i="20" r="U41"/>
  <c i="20" r="J41"/>
  <c i="20" r="U40"/>
  <c i="20" r="J40"/>
  <c i="20" r="U39"/>
  <c i="20" r="J39"/>
  <c i="20" r="U38"/>
  <c i="20" r="J38"/>
  <c i="20" r="U37"/>
  <c i="20" r="J37"/>
  <c i="20" r="U36"/>
  <c i="20" r="J36"/>
  <c i="20" r="U35"/>
  <c i="20" r="J35"/>
  <c i="20" r="U34"/>
  <c i="20" r="J34"/>
  <c i="20" r="U33"/>
  <c i="20" r="J33"/>
  <c i="20" r="U32"/>
  <c i="20" r="J32"/>
  <c i="20" r="U31"/>
  <c i="20" r="J31"/>
  <c i="20" r="U30"/>
  <c i="20" r="J30"/>
  <c i="20" r="U29"/>
  <c i="20" r="J29"/>
  <c i="20" r="U28"/>
  <c i="20" r="J28"/>
  <c i="20" r="U27"/>
  <c i="20" r="J27"/>
  <c i="20" r="U26"/>
  <c i="20" r="J26"/>
  <c i="20" r="U25"/>
  <c i="20" r="J25"/>
  <c i="20" r="U24"/>
  <c i="20" r="J24"/>
  <c i="20" r="U23"/>
  <c i="20" r="J23"/>
  <c i="20" r="U22"/>
  <c i="20" r="J22"/>
  <c i="20" r="U21"/>
  <c i="20" r="J21"/>
  <c i="20" r="U20"/>
  <c i="20" r="J20"/>
  <c i="20" r="U19"/>
  <c i="20" r="J19"/>
  <c i="20" r="U18"/>
  <c i="20" r="J18"/>
  <c i="20" r="U17"/>
  <c i="20" r="J17"/>
  <c i="20" r="U16"/>
  <c i="20" r="J16"/>
  <c i="20" r="U15"/>
  <c i="20" r="J15"/>
  <c i="20" r="U14"/>
  <c i="20" r="J14"/>
  <c i="20" r="U13"/>
  <c i="20" r="J13"/>
  <c i="20" r="U12"/>
  <c i="20" r="J12"/>
  <c i="20" r="U11"/>
  <c i="20" r="J11"/>
  <c i="20" r="U10"/>
  <c i="20" r="J10"/>
  <c i="20" r="U9"/>
  <c i="20" r="J9"/>
  <c i="20" r="U8"/>
  <c i="20" r="J8"/>
  <c i="23" l="1" r="F21"/>
  <c i="23" r="F26"/>
  <c i="23" r="F25"/>
  <c i="23" r="F23"/>
  <c i="23" r="F24"/>
  <c i="23" r="F27"/>
  <c i="23" r="F29"/>
  <c i="23" r="F30"/>
  <c i="23" r="F20"/>
  <c i="23" r="F28"/>
  <c i="23" r="F22"/>
  <c i="23" r="E12"/>
  <c i="23" r="E26"/>
  <c i="23" r="G26" s="1"/>
  <c i="23" r="E29"/>
  <c i="23" r="G29" s="1"/>
  <c i="23" r="E22"/>
  <c i="23" r="G22" s="1"/>
  <c i="23" r="E27"/>
  <c i="23" r="G27" s="1"/>
  <c i="23" r="E24"/>
  <c i="23" r="G24" s="1"/>
  <c i="23" r="E28"/>
  <c i="23" r="G28" s="1"/>
  <c i="23" r="E21"/>
  <c i="23" r="G21" s="1"/>
  <c i="23" r="E23"/>
  <c i="23" r="G23" s="1"/>
  <c i="23" r="I23" s="1"/>
  <c i="23" r="N23" s="1"/>
  <c i="23" r="U6" s="1"/>
  <c i="23" r="E20"/>
  <c i="23" r="G20" s="1"/>
  <c i="23" r="E25"/>
  <c i="23" r="G25" s="1"/>
  <c i="23" r="I25" s="1"/>
  <c i="23" r="N25" s="1"/>
  <c i="23" r="U8" s="1"/>
  <c i="23" r="E30"/>
  <c i="23" r="G30" s="1"/>
  <c i="23" r="F45"/>
  <c i="23" r="F40"/>
  <c i="23" r="E41"/>
  <c i="23" r="G41" s="1"/>
  <c i="23" r="E11"/>
  <c i="23" r="E7"/>
  <c i="23" r="E14"/>
  <c i="23" r="E9"/>
  <c i="23" r="E6"/>
  <c i="23" r="G6" s="1"/>
  <c i="23" r="E8"/>
  <c i="23" r="E5"/>
  <c i="23" r="G5" s="1"/>
  <c i="23" r="E4"/>
  <c i="23" r="E13"/>
  <c i="23" r="E44"/>
  <c i="23" r="G44" s="1"/>
  <c i="23" r="E46"/>
  <c i="23" r="G46" s="1"/>
  <c i="23" r="E37"/>
  <c i="23" r="G37" s="1"/>
  <c i="23" r="E45"/>
  <c i="23" r="E38"/>
  <c i="23" r="G38" s="1"/>
  <c i="23" r="E39"/>
  <c i="23" r="G39" s="1"/>
  <c i="23" r="E47"/>
  <c i="23" r="G47" s="1"/>
  <c i="23" r="E43"/>
  <c i="23" r="G43" s="1"/>
  <c i="23" r="E42"/>
  <c i="23" r="G42" s="1"/>
  <c i="23" r="E40"/>
  <c i="23" r="G40" s="1"/>
  <c i="23" r="F9"/>
  <c i="23" r="F14"/>
  <c i="23" r="F10"/>
  <c i="23" r="G10" s="1"/>
  <c i="23" r="F13"/>
  <c i="23" r="F11"/>
  <c i="23" r="F8"/>
  <c i="23" r="F6"/>
  <c i="23" r="F4"/>
  <c i="23" r="F12"/>
  <c i="23" r="F7"/>
  <c i="23" r="F5"/>
  <c i="19" r="U58"/>
  <c i="19" r="J58"/>
  <c i="19" r="U57"/>
  <c i="19" r="J57"/>
  <c i="19" r="U56"/>
  <c i="19" r="J56"/>
  <c i="19" r="U55"/>
  <c i="19" r="J55"/>
  <c i="19" r="U54"/>
  <c i="19" r="J54"/>
  <c i="19" r="U53"/>
  <c i="19" r="J53"/>
  <c i="19" r="U52"/>
  <c i="19" r="J52"/>
  <c i="19" r="U51"/>
  <c i="19" r="J51"/>
  <c i="19" r="U50"/>
  <c i="19" r="J50"/>
  <c i="19" r="U49"/>
  <c i="19" r="J49"/>
  <c i="19" r="U48"/>
  <c i="19" r="J48"/>
  <c i="19" r="U47"/>
  <c i="19" r="J47"/>
  <c i="19" r="U46"/>
  <c i="19" r="J46"/>
  <c i="19" r="U45"/>
  <c i="19" r="J45"/>
  <c i="19" r="U44"/>
  <c i="19" r="J44"/>
  <c i="19" r="U43"/>
  <c i="19" r="J43"/>
  <c i="19" r="U42"/>
  <c i="19" r="J42"/>
  <c i="19" r="U41"/>
  <c i="19" r="J41"/>
  <c i="19" r="U40"/>
  <c i="19" r="J40"/>
  <c i="19" r="U39"/>
  <c i="19" r="J39"/>
  <c i="19" r="U38"/>
  <c i="19" r="J38"/>
  <c i="19" r="U37"/>
  <c i="19" r="J37"/>
  <c i="19" r="U36"/>
  <c i="19" r="J36"/>
  <c i="19" r="U35"/>
  <c i="19" r="J35"/>
  <c i="19" r="U34"/>
  <c i="19" r="J34"/>
  <c i="19" r="U33"/>
  <c i="19" r="J33"/>
  <c i="19" r="U32"/>
  <c i="19" r="J32"/>
  <c i="19" r="U31"/>
  <c i="19" r="J31"/>
  <c i="19" r="U30"/>
  <c i="19" r="J30"/>
  <c i="19" r="U29"/>
  <c i="19" r="J29"/>
  <c i="19" r="U28"/>
  <c i="19" r="J28"/>
  <c i="19" r="U27"/>
  <c i="19" r="J27"/>
  <c i="19" r="U26"/>
  <c i="19" r="J26"/>
  <c i="19" r="U25"/>
  <c i="19" r="J25"/>
  <c i="19" r="U24"/>
  <c i="19" r="J24"/>
  <c i="19" r="U23"/>
  <c i="19" r="J23"/>
  <c i="19" r="U22"/>
  <c i="19" r="J22"/>
  <c i="19" r="U21"/>
  <c i="19" r="J21"/>
  <c i="19" r="U20"/>
  <c i="19" r="J20"/>
  <c i="19" r="U19"/>
  <c i="19" r="J19"/>
  <c i="19" r="U18"/>
  <c i="19" r="J18"/>
  <c i="19" r="U17"/>
  <c i="19" r="J17"/>
  <c i="19" r="U16"/>
  <c i="19" r="J16"/>
  <c i="19" r="U15"/>
  <c i="19" r="J15"/>
  <c i="19" r="U14"/>
  <c i="19" r="J14"/>
  <c i="19" r="U13"/>
  <c i="19" r="J13"/>
  <c i="19" r="U12"/>
  <c i="19" r="J12"/>
  <c i="19" r="U11"/>
  <c i="19" r="J11"/>
  <c i="19" r="U10"/>
  <c i="19" r="J10"/>
  <c i="19" r="U9"/>
  <c i="19" r="J9"/>
  <c i="19" r="U8"/>
  <c i="19" r="J8"/>
  <c i="23" l="1" r="G7"/>
  <c i="23" r="I20"/>
  <c i="23" r="N20" s="1"/>
  <c i="23" r="U3" s="1"/>
  <c i="23" r="I21"/>
  <c i="23" r="N21" s="1"/>
  <c i="23" r="U4" s="1"/>
  <c i="23" r="I28"/>
  <c i="23" r="N28" s="1"/>
  <c i="23" r="U11" s="1"/>
  <c i="23" r="I24"/>
  <c i="23" r="N24" s="1"/>
  <c i="23" r="U7" s="1"/>
  <c i="23" r="I27"/>
  <c i="23" r="N27" s="1"/>
  <c i="23" r="U10" s="1"/>
  <c i="23" r="G45"/>
  <c i="23" r="I22"/>
  <c i="23" r="N22" s="1"/>
  <c i="23" r="U5" s="1"/>
  <c i="23" r="I29"/>
  <c i="23" r="N29" s="1"/>
  <c i="23" r="U12" s="1"/>
  <c i="23" r="I26"/>
  <c i="23" r="N26" s="1"/>
  <c i="23" r="U9" s="1"/>
  <c i="23" r="G12"/>
  <c i="23" r="G11"/>
  <c i="23" r="G14"/>
  <c i="23" r="G9"/>
  <c i="23" r="I43"/>
  <c i="23" r="I39"/>
  <c i="23" r="I38"/>
  <c i="23" r="I45"/>
  <c i="23" r="I37"/>
  <c i="23" r="I42"/>
  <c i="23" r="I46"/>
  <c i="23" r="I44"/>
  <c i="23" r="I40"/>
  <c i="23" r="G8"/>
  <c i="23" r="I11" s="1"/>
  <c i="23" r="N11" s="1"/>
  <c i="23" r="U20" s="1"/>
  <c i="23" r="I41"/>
  <c i="23" r="G13"/>
  <c i="23" r="G4"/>
  <c i="13" r="L57"/>
  <c i="13" r="L111" s="1"/>
  <c i="13" r="K57"/>
  <c i="13" r="K112" s="1"/>
  <c i="13" r="J57"/>
  <c i="13" r="J113" s="1"/>
  <c i="13" r="I57"/>
  <c i="13" r="I110" s="1"/>
  <c i="13" r="E57"/>
  <c i="13" r="E112" s="1"/>
  <c i="13" r="D57"/>
  <c i="13" r="D113" s="1"/>
  <c i="13" r="C57"/>
  <c i="13" r="C110" s="1"/>
  <c i="13" r="B57"/>
  <c i="13" r="B111" s="1"/>
  <c i="3" r="L59"/>
  <c i="3" r="L115" s="1"/>
  <c i="3" r="K59"/>
  <c i="3" r="K106" s="1"/>
  <c i="3" r="J59"/>
  <c i="3" r="J115" s="1"/>
  <c i="3" r="I59"/>
  <c i="3" r="I115" s="1"/>
  <c i="3" r="E59"/>
  <c i="3" r="E115" s="1"/>
  <c i="3" r="D59"/>
  <c i="3" r="D112" s="1"/>
  <c i="3" r="C59"/>
  <c i="3" r="C114" s="1"/>
  <c i="3" r="B59"/>
  <c i="3" r="B113" s="1"/>
  <c i="12" r="L59"/>
  <c i="12" r="L115" s="1"/>
  <c i="12" r="K59"/>
  <c i="12" r="K112" s="1"/>
  <c i="12" r="J59"/>
  <c i="12" r="J113" s="1"/>
  <c i="12" r="I59"/>
  <c i="12" r="I113" s="1"/>
  <c i="12" r="E59"/>
  <c i="12" r="E110" s="1"/>
  <c i="12" r="D59"/>
  <c i="12" r="D115" s="1"/>
  <c i="12" r="C59"/>
  <c i="12" r="C114" s="1"/>
  <c i="12" r="B59"/>
  <c i="12" r="B115" s="1"/>
  <c i="18" r="U9"/>
  <c i="18" r="U10"/>
  <c i="18" r="U11"/>
  <c i="18" r="U12"/>
  <c i="18" r="U13"/>
  <c i="18" r="U14"/>
  <c i="18" r="U15"/>
  <c i="18" r="U16"/>
  <c i="18" r="U17"/>
  <c i="18" r="U18"/>
  <c i="18" r="U19"/>
  <c i="18" r="U20"/>
  <c i="18" r="U21"/>
  <c i="18" r="U22"/>
  <c i="18" r="U23"/>
  <c i="18" r="U24"/>
  <c i="18" r="U25"/>
  <c i="18" r="U26"/>
  <c i="18" r="U27"/>
  <c i="18" r="U28"/>
  <c i="18" r="U29"/>
  <c i="18" r="U30"/>
  <c i="18" r="U31"/>
  <c i="18" r="U32"/>
  <c i="18" r="U33"/>
  <c i="18" r="U34"/>
  <c i="18" r="U35"/>
  <c i="18" r="U36"/>
  <c i="18" r="U37"/>
  <c i="18" r="U38"/>
  <c i="18" r="U39"/>
  <c i="18" r="U40"/>
  <c i="18" r="U41"/>
  <c i="18" r="U42"/>
  <c i="18" r="U43"/>
  <c i="18" r="U44"/>
  <c i="18" r="U45"/>
  <c i="18" r="U46"/>
  <c i="18" r="U47"/>
  <c i="18" r="U48"/>
  <c i="18" r="U49"/>
  <c i="18" r="U50"/>
  <c i="18" r="U51"/>
  <c i="18" r="U52"/>
  <c i="18" r="U53"/>
  <c i="18" r="U54"/>
  <c i="18" r="U55"/>
  <c i="18" r="U56"/>
  <c i="18" r="U57"/>
  <c i="18" r="U58"/>
  <c i="18" r="U8"/>
  <c i="17" r="U9"/>
  <c i="17" r="U10"/>
  <c i="17" r="U11"/>
  <c i="17" r="U12"/>
  <c i="17" r="U13"/>
  <c i="17" r="U14"/>
  <c i="17" r="U15"/>
  <c i="17" r="U16"/>
  <c i="17" r="U17"/>
  <c i="17" r="U18"/>
  <c i="17" r="U19"/>
  <c i="17" r="U20"/>
  <c i="17" r="U21"/>
  <c i="17" r="U22"/>
  <c i="17" r="U23"/>
  <c i="17" r="U24"/>
  <c i="17" r="U25"/>
  <c i="17" r="U26"/>
  <c i="17" r="U27"/>
  <c i="17" r="U28"/>
  <c i="17" r="U29"/>
  <c i="17" r="U30"/>
  <c i="17" r="U31"/>
  <c i="17" r="U32"/>
  <c i="17" r="U33"/>
  <c i="17" r="U34"/>
  <c i="17" r="U35"/>
  <c i="17" r="U36"/>
  <c i="17" r="U37"/>
  <c i="17" r="U38"/>
  <c i="17" r="U39"/>
  <c i="17" r="U40"/>
  <c i="17" r="U41"/>
  <c i="17" r="U42"/>
  <c i="17" r="U43"/>
  <c i="17" r="U44"/>
  <c i="17" r="U45"/>
  <c i="17" r="U46"/>
  <c i="17" r="U47"/>
  <c i="17" r="U48"/>
  <c i="17" r="U49"/>
  <c i="17" r="U50"/>
  <c i="17" r="U51"/>
  <c i="17" r="U52"/>
  <c i="17" r="U53"/>
  <c i="17" r="U54"/>
  <c i="17" r="U55"/>
  <c i="17" r="U56"/>
  <c i="17" r="U57"/>
  <c i="17" r="U58"/>
  <c i="17" r="U8"/>
  <c i="16" r="U9"/>
  <c i="16" r="U10"/>
  <c i="16" r="U11"/>
  <c i="16" r="U12"/>
  <c i="16" r="U13"/>
  <c i="16" r="U14"/>
  <c i="16" r="U15"/>
  <c i="16" r="U16"/>
  <c i="16" r="U17"/>
  <c i="16" r="U18"/>
  <c i="16" r="U19"/>
  <c i="16" r="U20"/>
  <c i="16" r="U21"/>
  <c i="16" r="U22"/>
  <c i="16" r="U23"/>
  <c i="16" r="U24"/>
  <c i="16" r="U25"/>
  <c i="16" r="U26"/>
  <c i="16" r="U27"/>
  <c i="16" r="U28"/>
  <c i="16" r="U29"/>
  <c i="16" r="U30"/>
  <c i="16" r="U31"/>
  <c i="16" r="U32"/>
  <c i="16" r="U33"/>
  <c i="16" r="U34"/>
  <c i="16" r="U35"/>
  <c i="16" r="U36"/>
  <c i="16" r="U37"/>
  <c i="16" r="U38"/>
  <c i="16" r="U39"/>
  <c i="16" r="U40"/>
  <c i="16" r="U41"/>
  <c i="16" r="U42"/>
  <c i="16" r="U43"/>
  <c i="16" r="U44"/>
  <c i="16" r="U45"/>
  <c i="16" r="U46"/>
  <c i="16" r="U47"/>
  <c i="16" r="U48"/>
  <c i="16" r="U49"/>
  <c i="16" r="U50"/>
  <c i="16" r="U51"/>
  <c i="16" r="U52"/>
  <c i="16" r="U53"/>
  <c i="16" r="U54"/>
  <c i="16" r="U55"/>
  <c i="16" r="U56"/>
  <c i="16" r="U57"/>
  <c i="16" r="U58"/>
  <c i="16" r="U8"/>
  <c i="15" r="U9"/>
  <c i="15" r="U10"/>
  <c i="15" r="U11"/>
  <c i="15" r="U12"/>
  <c i="15" r="U13"/>
  <c i="15" r="U14"/>
  <c i="15" r="U15"/>
  <c i="15" r="U16"/>
  <c i="15" r="U17"/>
  <c i="15" r="U18"/>
  <c i="15" r="U19"/>
  <c i="15" r="U20"/>
  <c i="15" r="U21"/>
  <c i="15" r="U22"/>
  <c i="15" r="U23"/>
  <c i="15" r="U24"/>
  <c i="15" r="U25"/>
  <c i="15" r="U26"/>
  <c i="15" r="U27"/>
  <c i="15" r="U28"/>
  <c i="15" r="U29"/>
  <c i="15" r="U30"/>
  <c i="15" r="U31"/>
  <c i="15" r="U32"/>
  <c i="15" r="U33"/>
  <c i="15" r="U34"/>
  <c i="15" r="U35"/>
  <c i="15" r="U36"/>
  <c i="15" r="U37"/>
  <c i="15" r="U38"/>
  <c i="15" r="U39"/>
  <c i="15" r="U40"/>
  <c i="15" r="U41"/>
  <c i="15" r="U42"/>
  <c i="15" r="U43"/>
  <c i="15" r="U44"/>
  <c i="15" r="U45"/>
  <c i="15" r="U46"/>
  <c i="15" r="U47"/>
  <c i="15" r="U48"/>
  <c i="15" r="U49"/>
  <c i="15" r="U50"/>
  <c i="15" r="U51"/>
  <c i="15" r="U52"/>
  <c i="15" r="U53"/>
  <c i="15" r="U54"/>
  <c i="15" r="U55"/>
  <c i="15" r="U56"/>
  <c i="15" r="U57"/>
  <c i="15" r="U58"/>
  <c i="15" r="U8"/>
  <c i="13" r="M9"/>
  <c i="13" r="M10"/>
  <c i="13" r="M11"/>
  <c i="13" r="M12"/>
  <c i="13" r="M13"/>
  <c i="13" r="M14"/>
  <c i="13" r="M15"/>
  <c i="13" r="M16"/>
  <c i="13" r="M17"/>
  <c i="13" r="M18"/>
  <c i="13" r="M19"/>
  <c i="13" r="M20"/>
  <c i="13" r="M21"/>
  <c i="13" r="M22"/>
  <c i="13" r="M23"/>
  <c i="13" r="M24"/>
  <c i="13" r="M25"/>
  <c i="13" r="M26"/>
  <c i="13" r="M27"/>
  <c i="13" r="M28"/>
  <c i="13" r="M29"/>
  <c i="13" r="M30"/>
  <c i="13" r="M31"/>
  <c i="13" r="M32"/>
  <c i="13" r="M33"/>
  <c i="13" r="M34"/>
  <c i="13" r="M35"/>
  <c i="13" r="M36"/>
  <c i="13" r="M37"/>
  <c i="13" r="M38"/>
  <c i="13" r="M39"/>
  <c i="13" r="M40"/>
  <c i="13" r="M41"/>
  <c i="13" r="M42"/>
  <c i="13" r="M43"/>
  <c i="13" r="M44"/>
  <c i="13" r="M45"/>
  <c i="13" r="M46"/>
  <c i="13" r="M47"/>
  <c i="13" r="M48"/>
  <c i="13" r="M49"/>
  <c i="13" r="M50"/>
  <c i="13" r="M51"/>
  <c i="13" r="M52"/>
  <c i="13" r="M53"/>
  <c i="13" r="M54"/>
  <c i="13" r="M55"/>
  <c i="13" r="M56"/>
  <c i="13" r="M8"/>
  <c i="3" r="M9"/>
  <c i="3" r="M10"/>
  <c i="3" r="M11"/>
  <c i="3" r="M12"/>
  <c i="3" r="M13"/>
  <c i="3" r="M14"/>
  <c i="3" r="M15"/>
  <c i="3" r="M16"/>
  <c i="3" r="M17"/>
  <c i="3" r="M18"/>
  <c i="3" r="M19"/>
  <c i="3" r="M20"/>
  <c i="3" r="M21"/>
  <c i="3" r="M22"/>
  <c i="3" r="M23"/>
  <c i="3" r="M24"/>
  <c i="3" r="M25"/>
  <c i="3" r="M26"/>
  <c i="3" r="M27"/>
  <c i="3" r="M28"/>
  <c i="3" r="M29"/>
  <c i="3" r="M30"/>
  <c i="3" r="M31"/>
  <c i="3" r="M32"/>
  <c i="3" r="M33"/>
  <c i="3" r="M34"/>
  <c i="3" r="M35"/>
  <c i="3" r="M36"/>
  <c i="3" r="M37"/>
  <c i="3" r="M38"/>
  <c i="3" r="M39"/>
  <c i="3" r="M40"/>
  <c i="3" r="M41"/>
  <c i="3" r="M42"/>
  <c i="3" r="M43"/>
  <c i="3" r="M44"/>
  <c i="3" r="M45"/>
  <c i="3" r="M46"/>
  <c i="3" r="M47"/>
  <c i="3" r="M48"/>
  <c i="3" r="M49"/>
  <c i="3" r="M50"/>
  <c i="3" r="M51"/>
  <c i="3" r="M52"/>
  <c i="3" r="M53"/>
  <c i="3" r="M54"/>
  <c i="3" r="M55"/>
  <c i="3" r="M56"/>
  <c i="3" r="M57"/>
  <c i="3" r="M58"/>
  <c i="3" r="M8"/>
  <c i="12" r="M9"/>
  <c i="12" r="M10"/>
  <c i="12" r="M11"/>
  <c i="12" r="M12"/>
  <c i="12" r="M13"/>
  <c i="12" r="M14"/>
  <c i="12" r="M15"/>
  <c i="12" r="M16"/>
  <c i="12" r="M17"/>
  <c i="12" r="M18"/>
  <c i="12" r="M19"/>
  <c i="12" r="M20"/>
  <c i="12" r="M21"/>
  <c i="12" r="M22"/>
  <c i="12" r="M23"/>
  <c i="12" r="M24"/>
  <c i="12" r="M25"/>
  <c i="12" r="M26"/>
  <c i="12" r="M27"/>
  <c i="12" r="M28"/>
  <c i="12" r="M29"/>
  <c i="12" r="M30"/>
  <c i="12" r="M31"/>
  <c i="12" r="M32"/>
  <c i="12" r="M33"/>
  <c i="12" r="M34"/>
  <c i="12" r="M35"/>
  <c i="12" r="M36"/>
  <c i="12" r="M37"/>
  <c i="12" r="M38"/>
  <c i="12" r="M39"/>
  <c i="12" r="M40"/>
  <c i="12" r="M41"/>
  <c i="12" r="M42"/>
  <c i="12" r="M43"/>
  <c i="12" r="M44"/>
  <c i="12" r="M45"/>
  <c i="12" r="M46"/>
  <c i="12" r="M47"/>
  <c i="12" r="M48"/>
  <c i="12" r="M49"/>
  <c i="12" r="M50"/>
  <c i="12" r="M51"/>
  <c i="12" r="M52"/>
  <c i="12" r="M53"/>
  <c i="12" r="M54"/>
  <c i="12" r="M55"/>
  <c i="12" r="M56"/>
  <c i="12" r="M57"/>
  <c i="12" r="M58"/>
  <c i="12" r="M8"/>
  <c i="18" r="J58"/>
  <c i="18" r="J57"/>
  <c i="18" r="J56"/>
  <c i="18" r="J55"/>
  <c i="18" r="J54"/>
  <c i="18" r="J53"/>
  <c i="18" r="J52"/>
  <c i="18" r="J51"/>
  <c i="18" r="J50"/>
  <c i="18" r="J49"/>
  <c i="18" r="J48"/>
  <c i="18" r="J47"/>
  <c i="18" r="J46"/>
  <c i="18" r="J45"/>
  <c i="18" r="J44"/>
  <c i="18" r="J43"/>
  <c i="18" r="J42"/>
  <c i="18" r="J41"/>
  <c i="18" r="J40"/>
  <c i="18" r="J39"/>
  <c i="18" r="J38"/>
  <c i="18" r="J37"/>
  <c i="18" r="J36"/>
  <c i="18" r="J35"/>
  <c i="18" r="J34"/>
  <c i="18" r="J33"/>
  <c i="18" r="J32"/>
  <c i="18" r="J31"/>
  <c i="18" r="J30"/>
  <c i="18" r="J29"/>
  <c i="18" r="J28"/>
  <c i="18" r="J27"/>
  <c i="18" r="J26"/>
  <c i="18" r="J25"/>
  <c i="18" r="J24"/>
  <c i="18" r="J23"/>
  <c i="18" r="J22"/>
  <c i="18" r="J21"/>
  <c i="18" r="J20"/>
  <c i="18" r="J19"/>
  <c i="18" r="J18"/>
  <c i="18" r="J17"/>
  <c i="18" r="J16"/>
  <c i="18" r="J15"/>
  <c i="18" r="J14"/>
  <c i="18" r="J13"/>
  <c i="18" r="J12"/>
  <c i="18" r="J11"/>
  <c i="18" r="J10"/>
  <c i="18" r="J9"/>
  <c i="18" r="J8"/>
  <c i="17" r="J58"/>
  <c i="17" r="J57"/>
  <c i="17" r="J56"/>
  <c i="17" r="J55"/>
  <c i="17" r="J54"/>
  <c i="17" r="J53"/>
  <c i="17" r="J52"/>
  <c i="17" r="J51"/>
  <c i="17" r="J50"/>
  <c i="17" r="J49"/>
  <c i="17" r="J48"/>
  <c i="17" r="J47"/>
  <c i="17" r="J46"/>
  <c i="17" r="J45"/>
  <c i="17" r="J44"/>
  <c i="17" r="J43"/>
  <c i="17" r="J42"/>
  <c i="17" r="J41"/>
  <c i="17" r="J40"/>
  <c i="17" r="J39"/>
  <c i="17" r="J38"/>
  <c i="17" r="J37"/>
  <c i="17" r="J36"/>
  <c i="17" r="J35"/>
  <c i="17" r="J34"/>
  <c i="17" r="J33"/>
  <c i="17" r="J32"/>
  <c i="17" r="J31"/>
  <c i="17" r="J30"/>
  <c i="17" r="J29"/>
  <c i="17" r="J28"/>
  <c i="17" r="J27"/>
  <c i="17" r="J26"/>
  <c i="17" r="J25"/>
  <c i="17" r="J24"/>
  <c i="17" r="J23"/>
  <c i="17" r="J22"/>
  <c i="17" r="J21"/>
  <c i="17" r="J20"/>
  <c i="17" r="J19"/>
  <c i="17" r="J18"/>
  <c i="17" r="J17"/>
  <c i="17" r="J16"/>
  <c i="17" r="J15"/>
  <c i="17" r="J14"/>
  <c i="17" r="J13"/>
  <c i="17" r="J12"/>
  <c i="17" r="J11"/>
  <c i="17" r="J10"/>
  <c i="17" r="J9"/>
  <c i="17" r="J8"/>
  <c i="16" r="J58"/>
  <c i="16" r="J57"/>
  <c i="16" r="J56"/>
  <c i="16" r="J55"/>
  <c i="16" r="J54"/>
  <c i="16" r="J53"/>
  <c i="16" r="J52"/>
  <c i="16" r="J51"/>
  <c i="16" r="J50"/>
  <c i="16" r="J49"/>
  <c i="16" r="J48"/>
  <c i="16" r="J47"/>
  <c i="16" r="J46"/>
  <c i="16" r="J45"/>
  <c i="16" r="J44"/>
  <c i="16" r="J43"/>
  <c i="16" r="J42"/>
  <c i="16" r="J41"/>
  <c i="16" r="J40"/>
  <c i="16" r="J39"/>
  <c i="16" r="J38"/>
  <c i="16" r="J37"/>
  <c i="16" r="J36"/>
  <c i="16" r="J35"/>
  <c i="16" r="J34"/>
  <c i="16" r="J33"/>
  <c i="16" r="J32"/>
  <c i="16" r="J31"/>
  <c i="16" r="J30"/>
  <c i="16" r="J29"/>
  <c i="16" r="J28"/>
  <c i="16" r="J27"/>
  <c i="16" r="J26"/>
  <c i="16" r="J25"/>
  <c i="16" r="J24"/>
  <c i="16" r="J23"/>
  <c i="16" r="J22"/>
  <c i="16" r="J21"/>
  <c i="16" r="J20"/>
  <c i="16" r="J19"/>
  <c i="16" r="J18"/>
  <c i="16" r="J17"/>
  <c i="16" r="J16"/>
  <c i="16" r="J15"/>
  <c i="16" r="J14"/>
  <c i="16" r="J13"/>
  <c i="16" r="J12"/>
  <c i="16" r="J11"/>
  <c i="16" r="J10"/>
  <c i="16" r="J9"/>
  <c i="16" r="J8"/>
  <c i="15" r="J9"/>
  <c i="15" r="J10"/>
  <c i="15" r="J11"/>
  <c i="15" r="J12"/>
  <c i="15" r="J13"/>
  <c i="15" r="J14"/>
  <c i="15" r="J15"/>
  <c i="15" r="J16"/>
  <c i="15" r="J17"/>
  <c i="15" r="J18"/>
  <c i="15" r="J19"/>
  <c i="15" r="J20"/>
  <c i="15" r="J21"/>
  <c i="15" r="J22"/>
  <c i="15" r="J23"/>
  <c i="15" r="J24"/>
  <c i="15" r="J25"/>
  <c i="15" r="J26"/>
  <c i="15" r="J27"/>
  <c i="15" r="J28"/>
  <c i="15" r="J29"/>
  <c i="15" r="J30"/>
  <c i="15" r="J31"/>
  <c i="15" r="J32"/>
  <c i="15" r="J33"/>
  <c i="15" r="J34"/>
  <c i="15" r="J35"/>
  <c i="15" r="J36"/>
  <c i="15" r="J37"/>
  <c i="15" r="J38"/>
  <c i="15" r="J39"/>
  <c i="15" r="J40"/>
  <c i="15" r="J41"/>
  <c i="15" r="J42"/>
  <c i="15" r="J43"/>
  <c i="15" r="J44"/>
  <c i="15" r="J45"/>
  <c i="15" r="J46"/>
  <c i="15" r="J47"/>
  <c i="15" r="J48"/>
  <c i="15" r="J49"/>
  <c i="15" r="J50"/>
  <c i="15" r="J51"/>
  <c i="15" r="J52"/>
  <c i="15" r="J53"/>
  <c i="15" r="J54"/>
  <c i="15" r="J55"/>
  <c i="15" r="J56"/>
  <c i="15" r="J57"/>
  <c i="15" r="J58"/>
  <c i="15" r="J8"/>
  <c i="13" r="F9"/>
  <c i="13" r="F10"/>
  <c i="13" r="F11"/>
  <c i="13" r="F12"/>
  <c i="13" r="F13"/>
  <c i="13" r="F14"/>
  <c i="13" r="F15"/>
  <c i="13" r="F16"/>
  <c i="13" r="F17"/>
  <c i="13" r="F18"/>
  <c i="13" r="F19"/>
  <c i="13" r="F20"/>
  <c i="13" r="F21"/>
  <c i="13" r="F22"/>
  <c i="13" r="F23"/>
  <c i="13" r="F24"/>
  <c i="13" r="F25"/>
  <c i="13" r="F26"/>
  <c i="13" r="F27"/>
  <c i="13" r="F28"/>
  <c i="13" r="F29"/>
  <c i="13" r="F30"/>
  <c i="13" r="F31"/>
  <c i="13" r="F32"/>
  <c i="13" r="F33"/>
  <c i="13" r="F34"/>
  <c i="13" r="F35"/>
  <c i="13" r="F36"/>
  <c i="13" r="F37"/>
  <c i="13" r="F38"/>
  <c i="13" r="F39"/>
  <c i="13" r="F40"/>
  <c i="13" r="F41"/>
  <c i="13" r="F42"/>
  <c i="13" r="F43"/>
  <c i="13" r="F44"/>
  <c i="13" r="F45"/>
  <c i="13" r="F46"/>
  <c i="13" r="F47"/>
  <c i="13" r="F48"/>
  <c i="13" r="F49"/>
  <c i="13" r="F50"/>
  <c i="13" r="F51"/>
  <c i="13" r="F52"/>
  <c i="13" r="F53"/>
  <c i="13" r="F54"/>
  <c i="13" r="F55"/>
  <c i="13" r="F56"/>
  <c i="13" r="F8"/>
  <c i="3" r="F58"/>
  <c i="3" r="F57"/>
  <c i="3" r="F56"/>
  <c i="3" r="F55"/>
  <c i="3" r="F54"/>
  <c i="3" r="F53"/>
  <c i="3" r="F52"/>
  <c i="3" r="F51"/>
  <c i="3" r="F50"/>
  <c i="3" r="F49"/>
  <c i="3" r="F48"/>
  <c i="3" r="F47"/>
  <c i="3" r="F46"/>
  <c i="3" r="F45"/>
  <c i="3" r="F44"/>
  <c i="3" r="F43"/>
  <c i="3" r="F42"/>
  <c i="3" r="F41"/>
  <c i="3" r="F40"/>
  <c i="3" r="F39"/>
  <c i="3" r="F38"/>
  <c i="3" r="F37"/>
  <c i="3" r="F36"/>
  <c i="3" r="F35"/>
  <c i="3" r="F34"/>
  <c i="3" r="F33"/>
  <c i="3" r="F32"/>
  <c i="3" r="F31"/>
  <c i="3" r="F30"/>
  <c i="3" r="F29"/>
  <c i="3" r="F28"/>
  <c i="3" r="F27"/>
  <c i="3" r="F26"/>
  <c i="3" r="F25"/>
  <c i="3" r="F24"/>
  <c i="3" r="F23"/>
  <c i="3" r="F22"/>
  <c i="3" r="F21"/>
  <c i="3" r="F20"/>
  <c i="3" r="F19"/>
  <c i="3" r="F18"/>
  <c i="3" r="F17"/>
  <c i="3" r="F16"/>
  <c i="3" r="F15"/>
  <c i="3" r="F14"/>
  <c i="3" r="F13"/>
  <c i="3" r="F12"/>
  <c i="3" r="F11"/>
  <c i="3" r="F10"/>
  <c i="3" r="F9"/>
  <c i="3" r="F8"/>
  <c i="12" r="F9"/>
  <c i="12" r="F10"/>
  <c i="12" r="F11"/>
  <c i="12" r="F12"/>
  <c i="12" r="F13"/>
  <c i="12" r="F14"/>
  <c i="12" r="F15"/>
  <c i="12" r="F16"/>
  <c i="12" r="F17"/>
  <c i="12" r="F18"/>
  <c i="12" r="F19"/>
  <c i="12" r="F20"/>
  <c i="12" r="F21"/>
  <c i="12" r="F22"/>
  <c i="12" r="F23"/>
  <c i="12" r="F24"/>
  <c i="12" r="F25"/>
  <c i="12" r="F26"/>
  <c i="12" r="F27"/>
  <c i="12" r="F28"/>
  <c i="12" r="F29"/>
  <c i="12" r="F30"/>
  <c i="12" r="F31"/>
  <c i="12" r="F32"/>
  <c i="12" r="F33"/>
  <c i="12" r="F34"/>
  <c i="12" r="F35"/>
  <c i="12" r="F36"/>
  <c i="12" r="F37"/>
  <c i="12" r="F38"/>
  <c i="12" r="F39"/>
  <c i="12" r="F40"/>
  <c i="12" r="F41"/>
  <c i="12" r="F42"/>
  <c i="12" r="F43"/>
  <c i="12" r="F44"/>
  <c i="12" r="F45"/>
  <c i="12" r="F46"/>
  <c i="12" r="F47"/>
  <c i="12" r="F48"/>
  <c i="12" r="F49"/>
  <c i="12" r="F50"/>
  <c i="12" r="F51"/>
  <c i="12" r="F52"/>
  <c i="12" r="F53"/>
  <c i="12" r="F54"/>
  <c i="12" r="F55"/>
  <c i="12" r="F56"/>
  <c i="12" r="F57"/>
  <c i="12" r="F58"/>
  <c i="12" r="F8"/>
  <c i="23" l="1" r="U26"/>
  <c i="23" r="N40"/>
  <c i="23" r="U30"/>
  <c i="23" r="N44"/>
  <c i="23" r="U32"/>
  <c i="23" r="N46"/>
  <c i="23" r="U28"/>
  <c i="23" r="N42"/>
  <c i="23" r="U23"/>
  <c i="23" r="N37"/>
  <c i="23" r="U31"/>
  <c i="23" r="N45"/>
  <c i="23" r="U24"/>
  <c i="23" r="N38"/>
  <c i="23" r="U25"/>
  <c i="23" r="N39"/>
  <c i="23" r="U29"/>
  <c i="23" r="N43"/>
  <c i="23" r="U27"/>
  <c i="23" r="N41"/>
  <c i="23" r="I9"/>
  <c i="23" r="N9" s="1"/>
  <c i="23" r="U18" s="1"/>
  <c i="23" r="I13"/>
  <c i="23" r="N13" s="1"/>
  <c i="23" r="U22" s="1"/>
  <c i="23" r="I8"/>
  <c i="23" r="N8" s="1"/>
  <c i="23" r="U17" s="1"/>
  <c i="23" r="I6"/>
  <c i="23" r="N6" s="1"/>
  <c i="23" r="U15" s="1"/>
  <c i="3" r="K110"/>
  <c i="3" r="K89"/>
  <c i="23" r="I10"/>
  <c i="23" r="N10" s="1"/>
  <c i="23" r="U19" s="1"/>
  <c i="3" r="L89"/>
  <c i="3" r="L91"/>
  <c i="23" r="I12"/>
  <c i="23" r="N12" s="1"/>
  <c i="23" r="U21" s="1"/>
  <c i="3" r="L94"/>
  <c i="23" r="I5"/>
  <c i="23" r="N5" s="1"/>
  <c i="23" r="U14" s="1"/>
  <c i="3" r="K100"/>
  <c i="23" r="I7"/>
  <c i="23" r="N7" s="1"/>
  <c i="23" r="U16" s="1"/>
  <c i="3" r="K103"/>
  <c i="23" r="I4"/>
  <c i="23" r="N4" s="1"/>
  <c i="23" r="U13" s="1"/>
  <c i="3" r="L114"/>
  <c i="3" r="D78"/>
  <c i="3" r="L80"/>
  <c i="3" r="L82"/>
  <c i="3" r="D85"/>
  <c i="3" r="E94"/>
  <c i="3" r="D106"/>
  <c i="3" r="E112"/>
  <c i="3" r="B112"/>
  <c i="3" r="D66"/>
  <c i="3" r="D71"/>
  <c i="3" r="L73"/>
  <c i="3" r="K75"/>
  <c i="3" r="L75"/>
  <c i="3" r="K77"/>
  <c i="3" r="J66"/>
  <c i="3" r="J68"/>
  <c i="3" r="C90"/>
  <c i="3" r="C91"/>
  <c i="3" r="C98"/>
  <c i="3" r="C100"/>
  <c i="3" r="B108"/>
  <c i="3" r="B110"/>
  <c i="3" r="B76"/>
  <c i="3" r="C77"/>
  <c i="3" r="B78"/>
  <c i="3" r="L78"/>
  <c i="3" r="B80"/>
  <c i="3" r="C82"/>
  <c i="3" r="C83"/>
  <c i="3" r="C87"/>
  <c i="3" r="L105"/>
  <c i="3" r="L67"/>
  <c i="3" r="L70"/>
  <c i="3" r="L72"/>
  <c i="3" r="L84"/>
  <c i="3" r="L86"/>
  <c i="3" r="L97"/>
  <c i="3" r="L102"/>
  <c i="3" r="L107"/>
  <c i="3" r="L111"/>
  <c i="3" r="L113"/>
  <c i="3" r="L65"/>
  <c i="3" r="K67"/>
  <c i="3" r="L69"/>
  <c i="3" r="K72"/>
  <c i="3" r="L74"/>
  <c i="3" r="L76"/>
  <c i="3" r="L79"/>
  <c i="3" r="L81"/>
  <c i="3" r="L83"/>
  <c i="3" r="K86"/>
  <c i="3" r="L88"/>
  <c i="3" r="L90"/>
  <c i="3" r="L93"/>
  <c i="3" r="L96"/>
  <c i="3" r="L99"/>
  <c i="3" r="L101"/>
  <c i="3" r="L104"/>
  <c i="3" r="K107"/>
  <c i="3" r="L109"/>
  <c i="3" r="K111"/>
  <c i="3" r="L112"/>
  <c i="3" r="L66"/>
  <c i="3" r="L68"/>
  <c i="3" r="L71"/>
  <c i="3" r="J74"/>
  <c i="3" r="L77"/>
  <c i="3" r="K79"/>
  <c i="3" r="K81"/>
  <c i="3" r="L85"/>
  <c i="3" r="L87"/>
  <c i="3" r="L92"/>
  <c i="3" r="L95"/>
  <c i="3" r="L98"/>
  <c i="3" r="L100"/>
  <c i="3" r="L103"/>
  <c i="3" r="L106"/>
  <c i="3" r="L108"/>
  <c i="3" r="L110"/>
  <c i="3" r="D102"/>
  <c i="3" r="E74"/>
  <c i="3" r="E80"/>
  <c i="3" r="E88"/>
  <c i="3" r="E96"/>
  <c i="3" r="E98"/>
  <c i="3" r="E102"/>
  <c i="3" r="E104"/>
  <c i="3" r="E114"/>
  <c i="3" r="E68"/>
  <c i="3" r="E70"/>
  <c i="3" r="E72"/>
  <c i="3" r="D74"/>
  <c i="3" r="E76"/>
  <c i="3" r="D80"/>
  <c i="3" r="D88"/>
  <c i="3" r="D99"/>
  <c i="3" r="D105"/>
  <c i="3" r="E108"/>
  <c i="3" r="E110"/>
  <c i="3" r="E66"/>
  <c i="3" r="D76"/>
  <c i="3" r="E78"/>
  <c i="3" r="C81"/>
  <c i="3" r="E82"/>
  <c i="3" r="E84"/>
  <c i="3" r="E86"/>
  <c i="3" r="C89"/>
  <c i="3" r="E90"/>
  <c i="3" r="E92"/>
  <c i="3" r="C99"/>
  <c i="3" r="E100"/>
  <c i="3" r="C102"/>
  <c i="3" r="C105"/>
  <c i="3" r="E106"/>
  <c i="3" r="C65"/>
  <c i="3" r="C67"/>
  <c i="3" r="C68"/>
  <c i="3" r="C69"/>
  <c i="3" r="C73"/>
  <c i="3" r="C75"/>
  <c i="3" r="J76"/>
  <c i="3" r="C79"/>
  <c i="3" r="J80"/>
  <c i="3" r="J82"/>
  <c i="3" r="J88"/>
  <c i="3" r="J90"/>
  <c i="3" r="C94"/>
  <c i="3" r="C95"/>
  <c i="3" r="J97"/>
  <c i="3" r="J98"/>
  <c i="3" r="J99"/>
  <c i="3" r="J100"/>
  <c i="3" r="J101"/>
  <c i="3" r="J103"/>
  <c i="3" r="J104"/>
  <c i="3" r="J105"/>
  <c i="3" r="J106"/>
  <c i="3" r="C111"/>
  <c i="3" r="D115"/>
  <c i="3" r="C66"/>
  <c i="3" r="C70"/>
  <c i="3" r="C71"/>
  <c i="3" r="C72"/>
  <c i="3" r="C74"/>
  <c i="3" r="J77"/>
  <c i="3" r="C78"/>
  <c i="3" r="J81"/>
  <c i="3" r="J83"/>
  <c i="3" r="J84"/>
  <c i="3" r="J85"/>
  <c i="3" r="J86"/>
  <c i="3" r="J87"/>
  <c i="3" r="J89"/>
  <c i="3" r="J91"/>
  <c i="3" r="J92"/>
  <c i="3" r="C96"/>
  <c i="3" r="C97"/>
  <c i="3" r="C101"/>
  <c i="3" r="C103"/>
  <c i="3" r="J108"/>
  <c i="3" r="J113"/>
  <c i="3" r="C115"/>
  <c i="3" r="J78"/>
  <c i="3" r="J93"/>
  <c i="3" r="J94"/>
  <c i="3" r="J107"/>
  <c i="3" r="J65"/>
  <c i="3" r="J67"/>
  <c i="3" r="J69"/>
  <c i="3" r="J70"/>
  <c i="3" r="J71"/>
  <c i="3" r="J72"/>
  <c i="3" r="J73"/>
  <c i="3" r="J75"/>
  <c i="3" r="C76"/>
  <c i="3" r="J79"/>
  <c i="3" r="C80"/>
  <c i="3" r="C84"/>
  <c i="3" r="C85"/>
  <c i="3" r="C86"/>
  <c i="3" r="C88"/>
  <c i="3" r="C92"/>
  <c i="3" r="C93"/>
  <c i="3" r="J95"/>
  <c i="3" r="J96"/>
  <c i="3" r="J102"/>
  <c i="3" r="C109"/>
  <c i="3" r="J110"/>
  <c i="3" r="J112"/>
  <c i="3" r="D67"/>
  <c i="3" r="K68"/>
  <c i="3" r="D70"/>
  <c i="3" r="K71"/>
  <c i="3" r="D75"/>
  <c i="3" r="D77"/>
  <c i="3" r="D79"/>
  <c i="3" r="D81"/>
  <c i="3" r="K82"/>
  <c i="3" r="D84"/>
  <c i="3" r="K85"/>
  <c i="3" r="D89"/>
  <c i="3" r="K90"/>
  <c i="3" r="K92"/>
  <c i="3" r="K94"/>
  <c i="3" r="K96"/>
  <c i="3" r="D98"/>
  <c i="3" r="K99"/>
  <c i="3" r="D103"/>
  <c i="3" r="D104"/>
  <c i="3" r="K105"/>
  <c i="3" r="D107"/>
  <c i="3" r="K108"/>
  <c i="3" r="K109"/>
  <c i="13" r="D73"/>
  <c i="3" r="K65"/>
  <c i="3" r="D69"/>
  <c i="3" r="K70"/>
  <c i="3" r="D72"/>
  <c i="3" r="K73"/>
  <c i="3" r="D83"/>
  <c i="3" r="K84"/>
  <c i="3" r="D86"/>
  <c i="3" r="K87"/>
  <c i="3" r="D91"/>
  <c i="3" r="B92"/>
  <c i="3" r="D93"/>
  <c i="3" r="B94"/>
  <c i="3" r="D95"/>
  <c i="3" r="B96"/>
  <c i="3" r="D97"/>
  <c i="3" r="K98"/>
  <c i="3" r="D100"/>
  <c i="3" r="K101"/>
  <c i="3" r="K104"/>
  <c i="3" r="C107"/>
  <c i="3" r="D109"/>
  <c i="3" r="D110"/>
  <c i="3" r="K112"/>
  <c i="3" r="K113"/>
  <c i="3" r="K114"/>
  <c i="3" r="K115"/>
  <c i="3" r="D65"/>
  <c i="3" r="K66"/>
  <c i="3" r="D68"/>
  <c i="3" r="K69"/>
  <c i="3" r="D73"/>
  <c i="3" r="K74"/>
  <c i="3" r="K76"/>
  <c i="3" r="K78"/>
  <c i="3" r="K80"/>
  <c i="3" r="D82"/>
  <c i="3" r="K83"/>
  <c i="3" r="D87"/>
  <c i="3" r="K88"/>
  <c i="3" r="D90"/>
  <c i="3" r="K91"/>
  <c i="3" r="D92"/>
  <c i="3" r="K93"/>
  <c i="3" r="D94"/>
  <c i="3" r="K95"/>
  <c i="3" r="D96"/>
  <c i="3" r="K97"/>
  <c i="3" r="D101"/>
  <c i="3" r="K102"/>
  <c i="3" r="D108"/>
  <c i="3" r="D111"/>
  <c i="3" r="D113"/>
  <c i="3" r="D114"/>
  <c i="3" r="C104"/>
  <c i="12" r="B102"/>
  <c i="3" r="C106"/>
  <c i="3" r="C108"/>
  <c i="3" r="J109"/>
  <c i="3" r="C110"/>
  <c i="3" r="J111"/>
  <c i="3" r="C112"/>
  <c i="3" r="J114"/>
  <c i="12" r="B70"/>
  <c i="12" r="B81"/>
  <c i="12" r="B114"/>
  <c i="3" r="I65"/>
  <c i="3" r="B66"/>
  <c i="3" r="I66"/>
  <c i="3" r="I81"/>
  <c i="3" r="B82"/>
  <c i="3" r="I82"/>
  <c i="3" r="I97"/>
  <c i="3" r="B98"/>
  <c i="3" r="I98"/>
  <c i="3" r="I113"/>
  <c i="3" r="B114"/>
  <c i="3" r="I114"/>
  <c i="13" r="D89"/>
  <c i="12" r="B65"/>
  <c i="12" r="B98"/>
  <c i="3" r="I73"/>
  <c i="3" r="B74"/>
  <c i="3" r="I74"/>
  <c i="3" r="I89"/>
  <c i="3" r="B90"/>
  <c i="3" r="I90"/>
  <c i="3" r="I105"/>
  <c i="3" r="B106"/>
  <c i="3" r="I106"/>
  <c i="3" r="C113"/>
  <c i="12" r="B86"/>
  <c i="12" r="J67"/>
  <c i="3" r="B68"/>
  <c i="3" r="B70"/>
  <c i="3" r="B72"/>
  <c i="3" r="B84"/>
  <c i="3" r="B86"/>
  <c i="3" r="B88"/>
  <c i="3" r="B100"/>
  <c i="3" r="B102"/>
  <c i="3" r="B104"/>
  <c i="3" r="I69"/>
  <c i="3" r="I70"/>
  <c i="3" r="I77"/>
  <c i="3" r="I78"/>
  <c i="3" r="I85"/>
  <c i="3" r="I86"/>
  <c i="3" r="I93"/>
  <c i="3" r="I94"/>
  <c i="3" r="I101"/>
  <c i="3" r="I102"/>
  <c i="3" r="I109"/>
  <c i="3" r="I110"/>
  <c i="3" r="I67"/>
  <c i="3" r="I68"/>
  <c i="3" r="I71"/>
  <c i="3" r="I72"/>
  <c i="3" r="I75"/>
  <c i="3" r="I76"/>
  <c i="3" r="I79"/>
  <c i="3" r="I80"/>
  <c i="3" r="I83"/>
  <c i="3" r="I84"/>
  <c i="3" r="I87"/>
  <c i="3" r="I88"/>
  <c i="3" r="I91"/>
  <c i="3" r="I92"/>
  <c i="3" r="I95"/>
  <c i="3" r="I96"/>
  <c i="3" r="I99"/>
  <c i="3" r="I100"/>
  <c i="3" r="I103"/>
  <c i="3" r="I104"/>
  <c i="3" r="I107"/>
  <c i="3" r="I108"/>
  <c i="3" r="I111"/>
  <c i="3" r="I112"/>
  <c i="3" r="M59"/>
  <c i="3" r="M101" s="1"/>
  <c i="12" r="J74"/>
  <c i="12" r="J71"/>
  <c i="12" r="J78"/>
  <c i="12" r="J66"/>
  <c i="12" r="J75"/>
  <c i="12" r="I70"/>
  <c i="12" r="I72"/>
  <c i="12" r="I79"/>
  <c i="12" r="I88"/>
  <c i="12" r="I99"/>
  <c i="12" r="I110"/>
  <c i="12" r="I71"/>
  <c i="12" r="I78"/>
  <c i="12" r="I80"/>
  <c i="12" r="I86"/>
  <c i="12" r="I91"/>
  <c i="12" r="I96"/>
  <c i="12" r="I102"/>
  <c i="12" r="I107"/>
  <c i="12" r="I112"/>
  <c i="12" r="I83"/>
  <c i="12" r="I94"/>
  <c i="12" r="I104"/>
  <c i="12" r="I115"/>
  <c i="12" r="I67"/>
  <c i="12" r="J70"/>
  <c i="12" r="I74"/>
  <c i="12" r="I76"/>
  <c i="12" r="J79"/>
  <c i="12" r="I84"/>
  <c i="12" r="I90"/>
  <c i="12" r="I95"/>
  <c i="12" r="I100"/>
  <c i="12" r="I106"/>
  <c i="12" r="I111"/>
  <c i="12" r="I66"/>
  <c i="12" r="I68"/>
  <c i="12" r="I75"/>
  <c i="12" r="I82"/>
  <c i="12" r="I87"/>
  <c i="12" r="I92"/>
  <c i="12" r="I98"/>
  <c i="12" r="I103"/>
  <c i="12" r="I108"/>
  <c i="12" r="I114"/>
  <c i="12" r="J65"/>
  <c i="12" r="L67"/>
  <c i="12" r="J69"/>
  <c i="12" r="L71"/>
  <c i="12" r="J73"/>
  <c i="12" r="K76"/>
  <c i="12" r="K80"/>
  <c i="12" r="L83"/>
  <c i="12" r="K84"/>
  <c i="12" r="L87"/>
  <c i="12" r="J89"/>
  <c i="12" r="K92"/>
  <c i="12" r="L95"/>
  <c i="12" r="J97"/>
  <c i="12" r="K100"/>
  <c i="12" r="J101"/>
  <c i="12" r="J105"/>
  <c i="12" r="M59"/>
  <c i="12" r="M107" s="1"/>
  <c i="12" r="I65"/>
  <c i="12" r="L66"/>
  <c i="12" r="K67"/>
  <c i="12" r="J68"/>
  <c i="12" r="I69"/>
  <c i="12" r="L70"/>
  <c i="12" r="K71"/>
  <c i="12" r="J72"/>
  <c i="12" r="I73"/>
  <c i="12" r="L74"/>
  <c i="12" r="K75"/>
  <c i="12" r="J76"/>
  <c i="12" r="I77"/>
  <c i="12" r="L78"/>
  <c i="12" r="K79"/>
  <c i="12" r="J80"/>
  <c i="12" r="I81"/>
  <c i="12" r="L82"/>
  <c i="12" r="K83"/>
  <c i="12" r="J84"/>
  <c i="12" r="I85"/>
  <c i="12" r="L86"/>
  <c i="12" r="K87"/>
  <c i="12" r="J88"/>
  <c i="12" r="I89"/>
  <c i="12" r="L90"/>
  <c i="12" r="K91"/>
  <c i="12" r="J92"/>
  <c i="12" r="I93"/>
  <c i="12" r="L94"/>
  <c i="12" r="K95"/>
  <c i="12" r="J96"/>
  <c i="12" r="I97"/>
  <c i="12" r="L98"/>
  <c i="12" r="K99"/>
  <c i="12" r="J100"/>
  <c i="12" r="I101"/>
  <c i="12" r="L102"/>
  <c i="12" r="K103"/>
  <c i="12" r="J104"/>
  <c i="12" r="I105"/>
  <c i="12" r="L106"/>
  <c i="12" r="K107"/>
  <c i="12" r="J108"/>
  <c i="12" r="I109"/>
  <c i="12" r="L110"/>
  <c i="12" r="K111"/>
  <c i="12" r="J112"/>
  <c i="12" r="L114"/>
  <c i="12" r="K115"/>
  <c i="12" r="L65"/>
  <c i="12" r="K66"/>
  <c i="12" r="L69"/>
  <c i="12" r="K70"/>
  <c i="12" r="L73"/>
  <c i="12" r="K74"/>
  <c i="12" r="L77"/>
  <c i="12" r="K78"/>
  <c i="12" r="L81"/>
  <c i="12" r="K82"/>
  <c i="12" r="J83"/>
  <c i="12" r="L85"/>
  <c i="12" r="K86"/>
  <c i="12" r="J87"/>
  <c i="12" r="L89"/>
  <c i="12" r="K90"/>
  <c i="12" r="J91"/>
  <c i="12" r="L93"/>
  <c i="12" r="K94"/>
  <c i="12" r="J95"/>
  <c i="12" r="L97"/>
  <c i="12" r="K98"/>
  <c i="12" r="J99"/>
  <c i="12" r="L101"/>
  <c i="12" r="K102"/>
  <c i="12" r="J103"/>
  <c i="12" r="L105"/>
  <c i="12" r="K106"/>
  <c i="12" r="J107"/>
  <c i="12" r="L109"/>
  <c i="12" r="K110"/>
  <c i="12" r="J111"/>
  <c i="12" r="L113"/>
  <c i="12" r="K114"/>
  <c i="12" r="J115"/>
  <c i="12" r="K65"/>
  <c i="12" r="L68"/>
  <c i="12" r="K69"/>
  <c i="12" r="L72"/>
  <c i="12" r="K73"/>
  <c i="12" r="L76"/>
  <c i="12" r="K77"/>
  <c i="12" r="L80"/>
  <c i="12" r="K81"/>
  <c i="12" r="J82"/>
  <c i="12" r="L84"/>
  <c i="12" r="K85"/>
  <c i="12" r="J86"/>
  <c i="12" r="L88"/>
  <c i="12" r="K89"/>
  <c i="12" r="J90"/>
  <c i="12" r="L92"/>
  <c i="12" r="K93"/>
  <c i="12" r="J94"/>
  <c i="12" r="L96"/>
  <c i="12" r="K97"/>
  <c i="12" r="J98"/>
  <c i="12" r="L100"/>
  <c i="12" r="K101"/>
  <c i="12" r="J102"/>
  <c i="12" r="L104"/>
  <c i="12" r="K105"/>
  <c i="12" r="J106"/>
  <c i="12" r="L108"/>
  <c i="12" r="K109"/>
  <c i="12" r="J110"/>
  <c i="12" r="L112"/>
  <c i="12" r="K113"/>
  <c i="12" r="J114"/>
  <c i="12" r="K68"/>
  <c i="12" r="K72"/>
  <c i="12" r="L75"/>
  <c i="12" r="J77"/>
  <c i="12" r="L79"/>
  <c i="12" r="J81"/>
  <c i="12" r="J85"/>
  <c i="12" r="K88"/>
  <c i="12" r="L91"/>
  <c i="12" r="J93"/>
  <c i="12" r="K96"/>
  <c i="12" r="L99"/>
  <c i="12" r="L103"/>
  <c i="12" r="K104"/>
  <c i="12" r="L107"/>
  <c i="12" r="K108"/>
  <c i="12" r="J109"/>
  <c i="12" r="L111"/>
  <c i="3" r="F59"/>
  <c i="3" r="F80" s="1"/>
  <c i="3" r="B67"/>
  <c i="3" r="B69"/>
  <c i="3" r="B71"/>
  <c i="3" r="B75"/>
  <c i="3" r="B79"/>
  <c i="3" r="B83"/>
  <c i="3" r="B85"/>
  <c i="3" r="B87"/>
  <c i="3" r="B89"/>
  <c i="3" r="B91"/>
  <c i="3" r="B93"/>
  <c i="3" r="B95"/>
  <c i="3" r="B97"/>
  <c i="3" r="B99"/>
  <c i="3" r="B101"/>
  <c i="3" r="B103"/>
  <c i="3" r="B105"/>
  <c i="3" r="B107"/>
  <c i="3" r="B109"/>
  <c i="3" r="B111"/>
  <c i="3" r="B115"/>
  <c i="3" r="B65"/>
  <c i="3" r="B73"/>
  <c i="3" r="B77"/>
  <c i="3" r="B81"/>
  <c i="3" r="E65"/>
  <c i="3" r="E67"/>
  <c i="3" r="E69"/>
  <c i="3" r="E71"/>
  <c i="3" r="E73"/>
  <c i="3" r="E75"/>
  <c i="3" r="E77"/>
  <c i="3" r="E79"/>
  <c i="3" r="E81"/>
  <c i="3" r="E83"/>
  <c i="3" r="E85"/>
  <c i="3" r="E87"/>
  <c i="3" r="E89"/>
  <c i="3" r="E91"/>
  <c i="3" r="E93"/>
  <c i="3" r="E95"/>
  <c i="3" r="E97"/>
  <c i="3" r="E99"/>
  <c i="3" r="E101"/>
  <c i="3" r="E103"/>
  <c i="3" r="E105"/>
  <c i="3" r="E107"/>
  <c i="3" r="E109"/>
  <c i="3" r="E111"/>
  <c i="3" r="E113"/>
  <c i="12" r="B109"/>
  <c i="12" r="B78"/>
  <c i="12" r="B93"/>
  <c i="12" r="B73"/>
  <c i="12" r="B89"/>
  <c i="12" r="B105"/>
  <c i="12" r="C65"/>
  <c i="12" r="D68"/>
  <c i="12" r="C70"/>
  <c i="12" r="C73"/>
  <c i="12" r="D76"/>
  <c i="12" r="C78"/>
  <c i="12" r="C81"/>
  <c i="12" r="D84"/>
  <c i="12" r="C86"/>
  <c i="12" r="C89"/>
  <c i="12" r="C96"/>
  <c i="12" r="C98"/>
  <c i="12" r="C105"/>
  <c i="12" r="C112"/>
  <c i="12" r="C68"/>
  <c i="12" r="C110"/>
  <c i="12" r="C66"/>
  <c i="12" r="D72"/>
  <c i="12" r="C74"/>
  <c i="12" r="C77"/>
  <c i="12" r="D80"/>
  <c i="12" r="C82"/>
  <c i="12" r="C85"/>
  <c i="12" r="D88"/>
  <c i="12" r="C90"/>
  <c i="12" r="B94"/>
  <c i="12" r="C97"/>
  <c i="12" r="B101"/>
  <c i="12" r="C104"/>
  <c i="12" r="C106"/>
  <c i="12" r="B110"/>
  <c i="12" r="C113"/>
  <c i="12" r="C76"/>
  <c i="12" r="C84"/>
  <c i="12" r="C92"/>
  <c i="12" r="C94"/>
  <c i="12" r="C101"/>
  <c i="12" r="C108"/>
  <c i="12" r="C69"/>
  <c i="12" r="B66"/>
  <c i="12" r="B69"/>
  <c i="12" r="C72"/>
  <c i="12" r="B74"/>
  <c i="12" r="B77"/>
  <c i="12" r="C80"/>
  <c i="12" r="B82"/>
  <c i="12" r="B85"/>
  <c i="12" r="C88"/>
  <c i="12" r="B90"/>
  <c i="12" r="C93"/>
  <c i="12" r="B97"/>
  <c i="12" r="C100"/>
  <c i="12" r="C102"/>
  <c i="12" r="B106"/>
  <c i="12" r="C109"/>
  <c i="12" r="B113"/>
  <c i="12" r="E66"/>
  <c i="12" r="D71"/>
  <c i="12" r="D75"/>
  <c i="12" r="D79"/>
  <c i="12" r="D83"/>
  <c i="12" r="E86"/>
  <c i="12" r="D91"/>
  <c i="12" r="E94"/>
  <c i="12" r="D103"/>
  <c i="12" r="E106"/>
  <c i="12" r="E114"/>
  <c i="12" r="E65"/>
  <c i="12" r="D66"/>
  <c i="12" r="C67"/>
  <c i="12" r="B68"/>
  <c i="12" r="E69"/>
  <c i="12" r="D70"/>
  <c i="12" r="C71"/>
  <c i="12" r="B72"/>
  <c i="12" r="E73"/>
  <c i="12" r="D74"/>
  <c i="12" r="C75"/>
  <c i="12" r="B76"/>
  <c i="12" r="E77"/>
  <c i="12" r="D78"/>
  <c i="12" r="C79"/>
  <c i="12" r="B80"/>
  <c i="12" r="E81"/>
  <c i="12" r="D82"/>
  <c i="12" r="C83"/>
  <c i="12" r="B84"/>
  <c i="12" r="E85"/>
  <c i="12" r="D86"/>
  <c i="12" r="C87"/>
  <c i="12" r="B88"/>
  <c i="12" r="E89"/>
  <c i="12" r="D90"/>
  <c i="12" r="C91"/>
  <c i="12" r="B92"/>
  <c i="12" r="E93"/>
  <c i="12" r="D94"/>
  <c i="12" r="C95"/>
  <c i="12" r="B96"/>
  <c i="12" r="E97"/>
  <c i="12" r="D98"/>
  <c i="12" r="C99"/>
  <c i="12" r="B100"/>
  <c i="12" r="E101"/>
  <c i="12" r="D102"/>
  <c i="12" r="C103"/>
  <c i="12" r="B104"/>
  <c i="12" r="E105"/>
  <c i="12" r="D106"/>
  <c i="12" r="C107"/>
  <c i="12" r="B108"/>
  <c i="12" r="E109"/>
  <c i="12" r="D110"/>
  <c i="12" r="C111"/>
  <c i="12" r="B112"/>
  <c i="12" r="E113"/>
  <c i="12" r="D114"/>
  <c i="12" r="C115"/>
  <c i="12" r="D67"/>
  <c i="12" r="E74"/>
  <c i="12" r="E82"/>
  <c i="12" r="F59"/>
  <c i="12" r="F84" s="1"/>
  <c i="12" r="D65"/>
  <c i="12" r="B67"/>
  <c i="12" r="E68"/>
  <c i="12" r="D69"/>
  <c i="12" r="B71"/>
  <c i="12" r="E72"/>
  <c i="12" r="D73"/>
  <c i="12" r="B75"/>
  <c i="12" r="E76"/>
  <c i="12" r="D77"/>
  <c i="12" r="B79"/>
  <c i="12" r="E80"/>
  <c i="12" r="D81"/>
  <c i="12" r="B83"/>
  <c i="12" r="E84"/>
  <c i="12" r="D85"/>
  <c i="12" r="B87"/>
  <c i="12" r="E88"/>
  <c i="12" r="D89"/>
  <c i="12" r="B91"/>
  <c i="12" r="E92"/>
  <c i="12" r="D93"/>
  <c i="12" r="B95"/>
  <c i="12" r="E96"/>
  <c i="12" r="D97"/>
  <c i="12" r="B99"/>
  <c i="12" r="E100"/>
  <c i="12" r="D101"/>
  <c i="12" r="B103"/>
  <c i="12" r="E104"/>
  <c i="12" r="D105"/>
  <c i="12" r="B107"/>
  <c i="12" r="E108"/>
  <c i="12" r="D109"/>
  <c i="12" r="B111"/>
  <c i="12" r="E112"/>
  <c i="12" r="D113"/>
  <c i="12" r="E67"/>
  <c i="12" r="E71"/>
  <c i="12" r="E75"/>
  <c i="12" r="E79"/>
  <c i="12" r="E83"/>
  <c i="12" r="E87"/>
  <c i="12" r="E91"/>
  <c i="12" r="D92"/>
  <c i="12" r="E95"/>
  <c i="12" r="D96"/>
  <c i="12" r="E99"/>
  <c i="12" r="D100"/>
  <c i="12" r="E103"/>
  <c i="12" r="D104"/>
  <c i="12" r="E107"/>
  <c i="12" r="D108"/>
  <c i="12" r="E111"/>
  <c i="12" r="D112"/>
  <c i="12" r="E115"/>
  <c i="12" r="E70"/>
  <c i="12" r="E78"/>
  <c i="12" r="D87"/>
  <c i="12" r="E90"/>
  <c i="12" r="D95"/>
  <c i="12" r="E98"/>
  <c i="12" r="D99"/>
  <c i="12" r="E102"/>
  <c i="12" r="D107"/>
  <c i="12" r="D111"/>
  <c i="13" r="L85"/>
  <c i="13" r="L77"/>
  <c i="13" r="L69"/>
  <c i="13" r="J67"/>
  <c i="13" r="J72"/>
  <c i="13" r="J75"/>
  <c i="13" r="J80"/>
  <c i="13" r="J83"/>
  <c i="13" r="J88"/>
  <c i="13" r="J91"/>
  <c i="13" r="I95"/>
  <c i="13" r="I97"/>
  <c i="13" r="J100"/>
  <c i="13" r="I104"/>
  <c i="13" r="J107"/>
  <c i="13" r="I111"/>
  <c i="13" r="I113"/>
  <c i="13" r="I67"/>
  <c i="13" r="I69"/>
  <c i="13" r="I72"/>
  <c i="13" r="I75"/>
  <c i="13" r="I77"/>
  <c i="13" r="I80"/>
  <c i="13" r="I83"/>
  <c i="13" r="I85"/>
  <c i="13" r="I88"/>
  <c i="13" r="I91"/>
  <c i="13" r="I93"/>
  <c i="13" r="J96"/>
  <c i="13" r="I100"/>
  <c i="13" r="J103"/>
  <c i="13" r="I107"/>
  <c i="13" r="I109"/>
  <c i="13" r="J112"/>
  <c i="13" r="M57"/>
  <c i="13" r="M108" s="1"/>
  <c i="13" r="L65"/>
  <c i="13" r="J68"/>
  <c i="13" r="J71"/>
  <c i="13" r="L73"/>
  <c i="13" r="J76"/>
  <c i="13" r="J79"/>
  <c i="13" r="L81"/>
  <c i="13" r="J84"/>
  <c i="13" r="J87"/>
  <c i="13" r="L89"/>
  <c i="13" r="J92"/>
  <c i="13" r="I96"/>
  <c i="13" r="J99"/>
  <c i="13" r="I103"/>
  <c i="13" r="I105"/>
  <c i="13" r="J108"/>
  <c i="13" r="I112"/>
  <c i="13" r="I65"/>
  <c i="13" r="I68"/>
  <c i="13" r="I71"/>
  <c i="13" r="I73"/>
  <c i="13" r="I76"/>
  <c i="13" r="I79"/>
  <c i="13" r="I81"/>
  <c i="13" r="I84"/>
  <c i="13" r="I87"/>
  <c i="13" r="I89"/>
  <c i="13" r="I92"/>
  <c i="13" r="J95"/>
  <c i="13" r="I99"/>
  <c i="13" r="I101"/>
  <c i="13" r="J104"/>
  <c i="13" r="I108"/>
  <c i="13" r="J111"/>
  <c i="13" r="L66"/>
  <c i="13" r="K67"/>
  <c i="13" r="L70"/>
  <c i="13" r="K71"/>
  <c i="13" r="L74"/>
  <c i="13" r="K75"/>
  <c i="13" r="L78"/>
  <c i="13" r="K79"/>
  <c i="13" r="L82"/>
  <c i="13" r="K83"/>
  <c i="13" r="L86"/>
  <c i="13" r="K87"/>
  <c i="13" r="L90"/>
  <c i="13" r="K91"/>
  <c i="13" r="L94"/>
  <c i="13" r="K95"/>
  <c i="13" r="L98"/>
  <c i="13" r="K99"/>
  <c i="13" r="L102"/>
  <c i="13" r="K103"/>
  <c i="13" r="L106"/>
  <c i="13" r="K107"/>
  <c i="13" r="L110"/>
  <c i="13" r="K111"/>
  <c i="13" r="K66"/>
  <c i="13" r="K70"/>
  <c i="13" r="K74"/>
  <c i="13" r="K78"/>
  <c i="13" r="K82"/>
  <c i="13" r="K86"/>
  <c i="13" r="K90"/>
  <c i="13" r="L93"/>
  <c i="13" r="K94"/>
  <c i="13" r="L97"/>
  <c i="13" r="K98"/>
  <c i="13" r="L101"/>
  <c i="13" r="K102"/>
  <c i="13" r="L105"/>
  <c i="13" r="K106"/>
  <c i="13" r="L109"/>
  <c i="13" r="K110"/>
  <c i="13" r="L113"/>
  <c i="13" r="K65"/>
  <c i="13" r="J66"/>
  <c i="13" r="L68"/>
  <c i="13" r="K69"/>
  <c i="13" r="J70"/>
  <c i="13" r="L72"/>
  <c i="13" r="K73"/>
  <c i="13" r="J74"/>
  <c i="13" r="L76"/>
  <c i="13" r="K77"/>
  <c i="13" r="J78"/>
  <c i="13" r="L80"/>
  <c i="13" r="K81"/>
  <c i="13" r="J82"/>
  <c i="13" r="L84"/>
  <c i="13" r="K85"/>
  <c i="13" r="J86"/>
  <c i="13" r="L88"/>
  <c i="13" r="K89"/>
  <c i="13" r="J90"/>
  <c i="13" r="L92"/>
  <c i="13" r="K93"/>
  <c i="13" r="J94"/>
  <c i="13" r="L96"/>
  <c i="13" r="K97"/>
  <c i="13" r="J98"/>
  <c i="13" r="L100"/>
  <c i="13" r="K101"/>
  <c i="13" r="J102"/>
  <c i="13" r="L104"/>
  <c i="13" r="K105"/>
  <c i="13" r="J106"/>
  <c i="13" r="L108"/>
  <c i="13" r="K109"/>
  <c i="13" r="J110"/>
  <c i="13" r="L112"/>
  <c i="13" r="K113"/>
  <c i="13" r="J65"/>
  <c i="13" r="I66"/>
  <c i="13" r="L67"/>
  <c i="13" r="K68"/>
  <c i="13" r="J69"/>
  <c i="13" r="I70"/>
  <c i="13" r="L71"/>
  <c i="13" r="K72"/>
  <c i="13" r="J73"/>
  <c i="13" r="I74"/>
  <c i="13" r="L75"/>
  <c i="13" r="K76"/>
  <c i="13" r="J77"/>
  <c i="13" r="I78"/>
  <c i="13" r="L79"/>
  <c i="13" r="K80"/>
  <c i="13" r="J81"/>
  <c i="13" r="I82"/>
  <c i="13" r="L83"/>
  <c i="13" r="K84"/>
  <c i="13" r="J85"/>
  <c i="13" r="I86"/>
  <c i="13" r="L87"/>
  <c i="13" r="K88"/>
  <c i="13" r="J89"/>
  <c i="13" r="I90"/>
  <c i="13" r="L91"/>
  <c i="13" r="K92"/>
  <c i="13" r="J93"/>
  <c i="13" r="I94"/>
  <c i="13" r="L95"/>
  <c i="13" r="K96"/>
  <c i="13" r="J97"/>
  <c i="13" r="I98"/>
  <c i="13" r="L99"/>
  <c i="13" r="K100"/>
  <c i="13" r="J101"/>
  <c i="13" r="I102"/>
  <c i="13" r="L103"/>
  <c i="13" r="K104"/>
  <c i="13" r="J105"/>
  <c i="13" r="I106"/>
  <c i="13" r="L107"/>
  <c i="13" r="K108"/>
  <c i="13" r="J109"/>
  <c i="13" r="D70"/>
  <c i="13" r="D85"/>
  <c i="13" r="D110"/>
  <c i="13" r="D66"/>
  <c i="13" r="D81"/>
  <c i="13" r="D102"/>
  <c i="13" r="F57"/>
  <c i="13" r="F104" s="1"/>
  <c i="13" r="D77"/>
  <c i="13" r="D94"/>
  <c i="13" r="E65"/>
  <c i="13" r="D69"/>
  <c i="13" r="E72"/>
  <c i="13" r="E76"/>
  <c i="13" r="E80"/>
  <c i="13" r="E84"/>
  <c i="13" r="E88"/>
  <c i="13" r="E92"/>
  <c i="13" r="D98"/>
  <c i="13" r="D106"/>
  <c i="13" r="D65"/>
  <c i="13" r="E68"/>
  <c i="13" r="B72"/>
  <c i="13" r="D74"/>
  <c i="13" r="D78"/>
  <c i="13" r="D82"/>
  <c i="13" r="D86"/>
  <c i="13" r="D90"/>
  <c i="13" r="E97"/>
  <c i="13" r="E105"/>
  <c i="13" r="E113"/>
  <c i="13" r="B68"/>
  <c i="13" r="E73"/>
  <c i="13" r="E77"/>
  <c i="13" r="E81"/>
  <c i="13" r="E85"/>
  <c i="13" r="E89"/>
  <c i="13" r="E69"/>
  <c i="13" r="E93"/>
  <c i="13" r="E101"/>
  <c i="13" r="E109"/>
  <c i="13" r="C65"/>
  <c i="13" r="B66"/>
  <c i="13" r="E67"/>
  <c i="13" r="D68"/>
  <c i="13" r="C69"/>
  <c i="13" r="B70"/>
  <c i="13" r="E71"/>
  <c i="13" r="D72"/>
  <c i="13" r="C73"/>
  <c i="13" r="B74"/>
  <c i="13" r="E75"/>
  <c i="13" r="D76"/>
  <c i="13" r="C77"/>
  <c i="13" r="B78"/>
  <c i="13" r="E79"/>
  <c i="13" r="D80"/>
  <c i="13" r="C81"/>
  <c i="13" r="B82"/>
  <c i="13" r="E83"/>
  <c i="13" r="D84"/>
  <c i="13" r="C85"/>
  <c i="13" r="B86"/>
  <c i="13" r="E87"/>
  <c i="13" r="D88"/>
  <c i="13" r="C89"/>
  <c i="13" r="B90"/>
  <c i="13" r="E91"/>
  <c i="13" r="D92"/>
  <c i="13" r="C93"/>
  <c i="13" r="B94"/>
  <c i="13" r="E95"/>
  <c i="13" r="D96"/>
  <c i="13" r="C97"/>
  <c i="13" r="B98"/>
  <c i="13" r="E99"/>
  <c i="13" r="D100"/>
  <c i="13" r="C101"/>
  <c i="13" r="B102"/>
  <c i="13" r="E103"/>
  <c i="13" r="D104"/>
  <c i="13" r="C105"/>
  <c i="13" r="B106"/>
  <c i="13" r="E107"/>
  <c i="13" r="D108"/>
  <c i="13" r="C109"/>
  <c i="13" r="B110"/>
  <c i="13" r="E111"/>
  <c i="13" r="D112"/>
  <c i="13" r="C113"/>
  <c i="13" r="B65"/>
  <c i="13" r="E66"/>
  <c i="13" r="D67"/>
  <c i="13" r="C68"/>
  <c i="13" r="B69"/>
  <c i="13" r="E70"/>
  <c i="13" r="D71"/>
  <c i="13" r="C72"/>
  <c i="13" r="B73"/>
  <c i="13" r="E74"/>
  <c i="13" r="D75"/>
  <c i="13" r="C76"/>
  <c i="13" r="B77"/>
  <c i="13" r="E78"/>
  <c i="13" r="D79"/>
  <c i="13" r="C80"/>
  <c i="13" r="B81"/>
  <c i="13" r="E82"/>
  <c i="13" r="D83"/>
  <c i="13" r="C84"/>
  <c i="13" r="B85"/>
  <c i="13" r="E86"/>
  <c i="13" r="D87"/>
  <c i="13" r="C88"/>
  <c i="13" r="B89"/>
  <c i="13" r="E90"/>
  <c i="13" r="D91"/>
  <c i="13" r="C92"/>
  <c i="13" r="B93"/>
  <c i="13" r="E94"/>
  <c i="13" r="D95"/>
  <c i="13" r="C96"/>
  <c i="13" r="B97"/>
  <c i="13" r="E98"/>
  <c i="13" r="D99"/>
  <c i="13" r="C100"/>
  <c i="13" r="B101"/>
  <c i="13" r="E102"/>
  <c i="13" r="D103"/>
  <c i="13" r="C104"/>
  <c i="13" r="B105"/>
  <c i="13" r="E106"/>
  <c i="13" r="D107"/>
  <c i="13" r="C108"/>
  <c i="13" r="B109"/>
  <c i="13" r="E110"/>
  <c i="13" r="D111"/>
  <c i="13" r="C112"/>
  <c i="13" r="B113"/>
  <c i="13" r="C67"/>
  <c i="13" r="C71"/>
  <c i="13" r="C75"/>
  <c i="13" r="B76"/>
  <c i="13" r="C79"/>
  <c i="13" r="B80"/>
  <c i="13" r="C83"/>
  <c i="13" r="B84"/>
  <c i="13" r="C87"/>
  <c i="13" r="B88"/>
  <c i="13" r="C91"/>
  <c i="13" r="B92"/>
  <c i="13" r="C95"/>
  <c i="13" r="B96"/>
  <c i="13" r="C99"/>
  <c i="13" r="B100"/>
  <c i="13" r="C103"/>
  <c i="13" r="B104"/>
  <c i="13" r="C107"/>
  <c i="13" r="B108"/>
  <c i="13" r="C111"/>
  <c i="13" r="B112"/>
  <c i="13" r="C66"/>
  <c i="13" r="B67"/>
  <c i="13" r="C70"/>
  <c i="13" r="B71"/>
  <c i="13" r="C74"/>
  <c i="13" r="B75"/>
  <c i="13" r="C78"/>
  <c i="13" r="B79"/>
  <c i="13" r="C82"/>
  <c i="13" r="B83"/>
  <c i="13" r="C86"/>
  <c i="13" r="B87"/>
  <c i="13" r="C90"/>
  <c i="13" r="B91"/>
  <c i="13" r="D93"/>
  <c i="13" r="C94"/>
  <c i="13" r="B95"/>
  <c i="13" r="E96"/>
  <c i="13" r="D97"/>
  <c i="13" r="C98"/>
  <c i="13" r="B99"/>
  <c i="13" r="E100"/>
  <c i="13" r="D101"/>
  <c i="13" r="C102"/>
  <c i="13" r="B103"/>
  <c i="13" r="E104"/>
  <c i="13" r="D105"/>
  <c i="13" r="C106"/>
  <c i="13" r="B107"/>
  <c i="13" r="E108"/>
  <c i="13" r="D109"/>
  <c i="3" l="1" r="F110"/>
  <c i="3" r="F93"/>
  <c i="13" r="M73"/>
  <c i="13" r="M103"/>
  <c i="13" r="M72"/>
  <c i="3" r="F75"/>
  <c i="3" r="F94"/>
  <c i="3" r="F111"/>
  <c i="3" r="F78"/>
  <c i="3" r="F109"/>
  <c i="13" r="F71"/>
  <c i="13" r="M87"/>
  <c i="3" r="F77"/>
  <c i="3" r="F95"/>
  <c i="13" r="F65"/>
  <c i="13" r="F95"/>
  <c i="13" r="F102"/>
  <c i="13" r="F108"/>
  <c i="13" r="M102"/>
  <c i="3" r="F66"/>
  <c i="3" r="F98"/>
  <c i="3" r="F81"/>
  <c i="3" r="F113"/>
  <c i="3" r="F91"/>
  <c i="3" r="F88"/>
  <c i="3" r="F76"/>
  <c i="3" r="F82"/>
  <c i="3" r="F114"/>
  <c i="3" r="F97"/>
  <c i="3" r="F107"/>
  <c i="3" r="F104"/>
  <c i="13" r="F67"/>
  <c i="13" r="F70"/>
  <c i="3" r="F74"/>
  <c i="3" r="F90"/>
  <c i="3" r="F106"/>
  <c i="3" r="F73"/>
  <c i="3" r="F89"/>
  <c i="3" r="F105"/>
  <c i="3" r="F115"/>
  <c i="3" r="F99"/>
  <c i="3" r="F83"/>
  <c i="3" r="F67"/>
  <c i="3" r="F92"/>
  <c i="3" r="F108"/>
  <c i="3" r="F72"/>
  <c i="3" r="F79"/>
  <c i="3" r="F112"/>
  <c i="3" r="F84"/>
  <c i="3" r="F96"/>
  <c i="13" r="F99"/>
  <c i="13" r="F85"/>
  <c i="3" r="F70"/>
  <c i="3" r="F86"/>
  <c i="3" r="F102"/>
  <c i="3" r="F65"/>
  <c i="3" r="F85"/>
  <c i="3" r="F101"/>
  <c i="3" r="F69"/>
  <c i="3" r="F103"/>
  <c i="3" r="F87"/>
  <c i="3" r="F71"/>
  <c i="3" r="F100"/>
  <c i="3" r="F68"/>
  <c i="13" r="F82"/>
  <c i="13" r="F110"/>
  <c i="13" r="F89"/>
  <c i="13" r="F112"/>
  <c i="13" r="M88"/>
  <c i="13" r="F87"/>
  <c i="13" r="F66"/>
  <c i="13" r="F94"/>
  <c i="13" r="F77"/>
  <c i="13" r="F109"/>
  <c i="13" r="F84"/>
  <c i="13" r="M71"/>
  <c i="13" r="M86"/>
  <c i="13" r="M105"/>
  <c i="13" r="F79"/>
  <c i="13" r="F111"/>
  <c i="13" r="F86"/>
  <c i="13" r="F105"/>
  <c i="13" r="F76"/>
  <c i="13" r="M70"/>
  <c i="13" r="M89"/>
  <c i="3" r="M91"/>
  <c i="3" r="M72"/>
  <c i="3" r="M71"/>
  <c i="3" r="M94"/>
  <c i="3" r="M109"/>
  <c i="3" r="M78"/>
  <c i="3" r="M93"/>
  <c i="3" r="M104"/>
  <c i="3" r="M115"/>
  <c i="3" r="M77"/>
  <c i="3" r="M88"/>
  <c i="3" r="M87"/>
  <c i="3" r="M110"/>
  <c i="3" r="M76"/>
  <c i="3" r="M92"/>
  <c i="3" r="M108"/>
  <c i="3" r="M103"/>
  <c i="3" r="M75"/>
  <c i="3" r="M95"/>
  <c i="3" r="M66"/>
  <c i="3" r="M82"/>
  <c i="3" r="M98"/>
  <c i="3" r="M114"/>
  <c i="3" r="M81"/>
  <c i="3" r="M97"/>
  <c i="3" r="M113"/>
  <c i="3" r="M68"/>
  <c i="3" r="M84"/>
  <c i="3" r="M100"/>
  <c i="3" r="M65"/>
  <c i="3" r="M67"/>
  <c i="3" r="M83"/>
  <c i="3" r="M107"/>
  <c i="3" r="M74"/>
  <c i="3" r="M90"/>
  <c i="3" r="M106"/>
  <c i="3" r="M73"/>
  <c i="3" r="M89"/>
  <c i="3" r="M105"/>
  <c i="3" r="M80"/>
  <c i="3" r="M96"/>
  <c i="3" r="M112"/>
  <c i="3" r="M111"/>
  <c i="3" r="M79"/>
  <c i="3" r="M99"/>
  <c i="3" r="M70"/>
  <c i="3" r="M86"/>
  <c i="3" r="M102"/>
  <c i="3" r="M69"/>
  <c i="3" r="M85"/>
  <c i="12" r="M108"/>
  <c i="12" r="M85"/>
  <c i="12" r="M70"/>
  <c i="12" r="M102"/>
  <c i="12" r="M76"/>
  <c i="12" r="M83"/>
  <c i="12" r="M86"/>
  <c i="12" r="M101"/>
  <c i="12" r="M115"/>
  <c i="12" r="M69"/>
  <c i="12" r="M92"/>
  <c i="12" r="M66"/>
  <c i="12" r="M82"/>
  <c i="12" r="M98"/>
  <c i="12" r="M114"/>
  <c i="12" r="M81"/>
  <c i="12" r="M97"/>
  <c i="12" r="M113"/>
  <c i="12" r="M88"/>
  <c i="12" r="M104"/>
  <c i="12" r="M79"/>
  <c i="12" r="M75"/>
  <c i="12" r="M95"/>
  <c i="12" r="M111"/>
  <c i="12" r="M78"/>
  <c i="12" r="M94"/>
  <c i="12" r="M110"/>
  <c i="12" r="M77"/>
  <c i="12" r="M93"/>
  <c i="12" r="M109"/>
  <c i="12" r="M84"/>
  <c i="12" r="M100"/>
  <c i="12" r="M65"/>
  <c i="12" r="M71"/>
  <c i="12" r="M91"/>
  <c i="12" r="M72"/>
  <c i="12" r="M68"/>
  <c i="12" r="M74"/>
  <c i="12" r="M90"/>
  <c i="12" r="M106"/>
  <c i="12" r="M73"/>
  <c i="12" r="M89"/>
  <c i="12" r="M105"/>
  <c i="12" r="M80"/>
  <c i="12" r="M96"/>
  <c i="12" r="M112"/>
  <c i="12" r="M67"/>
  <c i="12" r="M87"/>
  <c i="12" r="M103"/>
  <c i="12" r="M99"/>
  <c i="13" r="F83"/>
  <c i="13" r="F103"/>
  <c i="13" r="F78"/>
  <c i="13" r="F98"/>
  <c i="13" r="F69"/>
  <c i="13" r="F101"/>
  <c i="13" r="F92"/>
  <c i="13" r="F68"/>
  <c i="13" r="F96"/>
  <c i="13" r="F75"/>
  <c i="13" r="F91"/>
  <c i="13" r="F107"/>
  <c i="13" r="F74"/>
  <c i="13" r="F90"/>
  <c i="13" r="F106"/>
  <c i="13" r="F73"/>
  <c i="13" r="F93"/>
  <c i="13" r="F80"/>
  <c i="13" r="F100"/>
  <c i="12" r="F83"/>
  <c i="12" r="F103"/>
  <c i="12" r="F96"/>
  <c i="12" r="F80"/>
  <c i="12" r="F65"/>
  <c i="12" r="F79"/>
  <c i="12" r="F76"/>
  <c i="12" r="F99"/>
  <c i="12" r="F72"/>
  <c i="12" r="F108"/>
  <c i="12" r="F71"/>
  <c i="12" r="F95"/>
  <c i="12" r="F115"/>
  <c i="12" r="F112"/>
  <c i="12" r="F100"/>
  <c i="12" r="F67"/>
  <c i="12" r="F87"/>
  <c i="12" r="F111"/>
  <c i="12" r="F104"/>
  <c i="12" r="F113"/>
  <c i="12" r="F109"/>
  <c i="12" r="F105"/>
  <c i="12" r="F93"/>
  <c i="12" r="F85"/>
  <c i="12" r="F81"/>
  <c i="12" r="F114"/>
  <c i="12" r="F110"/>
  <c i="12" r="F106"/>
  <c i="12" r="F102"/>
  <c i="12" r="F98"/>
  <c i="12" r="F94"/>
  <c i="12" r="F90"/>
  <c i="12" r="F86"/>
  <c i="12" r="F82"/>
  <c i="12" r="F78"/>
  <c i="12" r="F74"/>
  <c i="12" r="F70"/>
  <c i="12" r="F69"/>
  <c i="12" r="F101"/>
  <c i="12" r="F97"/>
  <c i="12" r="F89"/>
  <c i="12" r="F77"/>
  <c i="12" r="F73"/>
  <c i="12" r="F66"/>
  <c i="12" r="F75"/>
  <c i="12" r="F91"/>
  <c i="12" r="F107"/>
  <c i="12" r="F88"/>
  <c i="12" r="F68"/>
  <c i="12" r="F92"/>
  <c i="13" r="M83"/>
  <c i="13" r="M99"/>
  <c i="13" r="M82"/>
  <c i="13" r="M98"/>
  <c i="13" r="M69"/>
  <c i="13" r="M85"/>
  <c i="13" r="M101"/>
  <c i="13" r="M68"/>
  <c i="13" r="M84"/>
  <c i="13" r="M100"/>
  <c i="13" r="M65"/>
  <c i="13" r="M79"/>
  <c i="13" r="M95"/>
  <c i="13" r="M111"/>
  <c i="13" r="M78"/>
  <c i="13" r="M94"/>
  <c i="13" r="M110"/>
  <c i="13" r="M81"/>
  <c i="13" r="M97"/>
  <c i="13" r="M113"/>
  <c i="13" r="M80"/>
  <c i="13" r="M96"/>
  <c i="13" r="M104"/>
  <c i="13" r="M112"/>
  <c i="13" r="M67"/>
  <c i="13" r="M66"/>
  <c i="13" r="M75"/>
  <c i="13" r="M91"/>
  <c i="13" r="M107"/>
  <c i="13" r="M74"/>
  <c i="13" r="M90"/>
  <c i="13" r="M106"/>
  <c i="13" r="M77"/>
  <c i="13" r="M93"/>
  <c i="13" r="M109"/>
  <c i="13" r="M76"/>
  <c i="13" r="M92"/>
  <c i="13" r="F81"/>
  <c i="13" r="F97"/>
  <c i="13" r="F113"/>
  <c i="13" r="F72"/>
  <c i="13" r="F88"/>
</calcChain>
</file>

<file path=xl/sharedStrings.xml><?xml version="1.0" encoding="utf-8"?>
<sst xmlns="http://schemas.openxmlformats.org/spreadsheetml/2006/main" count="1034" uniqueCount="236">
  <si>
    <t>Total</t>
  </si>
  <si>
    <t>Work</t>
  </si>
  <si>
    <t>School</t>
  </si>
  <si>
    <t>Workbased</t>
  </si>
  <si>
    <t>Timeperiod</t>
  </si>
  <si>
    <t>Before 3:00am</t>
  </si>
  <si>
    <t>After 27:00</t>
  </si>
  <si>
    <t>Half-hour time periods</t>
  </si>
  <si>
    <t>Distance values reflect start time of time period</t>
  </si>
  <si>
    <t>Tour arrival time at primary destination</t>
  </si>
  <si>
    <t>Tour departure time from primary destination</t>
  </si>
  <si>
    <t>Table X. Estimated Tour Departure from PD Times: DaySim</t>
  </si>
  <si>
    <t>Table X. Estimated Tour Arrival at PD Times: DaySim</t>
  </si>
  <si>
    <t>&gt; 24 hours</t>
  </si>
  <si>
    <t>Duration</t>
  </si>
  <si>
    <t>Table X. Estimated Tour Durations: DaySim</t>
  </si>
  <si>
    <t>Other</t>
  </si>
  <si>
    <t>FT Worker</t>
  </si>
  <si>
    <t>PT Worker</t>
  </si>
  <si>
    <t>Retired</t>
  </si>
  <si>
    <t>Nonworker</t>
  </si>
  <si>
    <t>Univ Stud</t>
  </si>
  <si>
    <t>Stud 5-15</t>
  </si>
  <si>
    <t>Child&lt;5</t>
  </si>
  <si>
    <t>Stud 16+</t>
  </si>
  <si>
    <t>Work Tour arrival time at primary destination</t>
  </si>
  <si>
    <t>Table X. Estimated Work Tour Arrival at PD Times: DaySim</t>
  </si>
  <si>
    <t>Table X. Estimated School Tour Arrival at PD Times: DaySim</t>
  </si>
  <si>
    <t>Table X. Estimated Other Tour Arrival at PD Times: DaySim</t>
  </si>
  <si>
    <t>Other Tour arrival time at primary destination</t>
  </si>
  <si>
    <t>Workbased Tour arrival time at primary destination</t>
  </si>
  <si>
    <t>Table X. Estimated Workbased Tour Arrival at PD Times: DaySim</t>
  </si>
  <si>
    <t>School Tour arrival time at primary destination</t>
  </si>
  <si>
    <t>Steps for tour time of day distributions</t>
  </si>
  <si>
    <t>After 27:30</t>
  </si>
  <si>
    <t>DaySim</t>
  </si>
  <si>
    <t>These frequency distributions have been generated using the tour file</t>
  </si>
  <si>
    <t>Duration refers to the time spent at the primary destination</t>
  </si>
  <si>
    <t>Work Tour Departure time at primary destination</t>
  </si>
  <si>
    <t>Table X. Estimated Work Tour Departure at PD Times: DaySim</t>
  </si>
  <si>
    <t>School Tour Departure time at primary destination</t>
  </si>
  <si>
    <t>Table X. Estimated School Tour Departure at PD Times: DaySim</t>
  </si>
  <si>
    <t>Other Tour Departure time at primary destination</t>
  </si>
  <si>
    <t>Table X. Estimated Other Tour Departure at PD Times: DaySim</t>
  </si>
  <si>
    <t>Workbased Tour Departure time at primary destination</t>
  </si>
  <si>
    <t>Table X. Estimated Workbased Tour Departure at PD Times: DaySim</t>
  </si>
  <si>
    <t>Observed Sources: Survey (2009)</t>
  </si>
  <si>
    <t>Table X. Observed Tour Arrival at PD Times: Survey</t>
  </si>
  <si>
    <t>Survey</t>
  </si>
  <si>
    <t>Table X. Observed Tour Departure from PD Times: Survey</t>
  </si>
  <si>
    <t>Table X. Observed Tour Durations: Survey</t>
  </si>
  <si>
    <t>Table X. Observed Work Tour Arrival at PD Times: Survey</t>
  </si>
  <si>
    <t>Table X. Observed School Tour Arrival at PD Times: Survey</t>
  </si>
  <si>
    <t>Table X. Observed Other Tour Arrival at PD Times: Survey</t>
  </si>
  <si>
    <t>Table X. Observed Workbased Tour Arrival at PD Times: Survey</t>
  </si>
  <si>
    <t>Table X. Observed Work Tour Departure at PD Times: Survey</t>
  </si>
  <si>
    <t>Table X. Observed School Tour Departure at PD Times: Survey</t>
  </si>
  <si>
    <t>Table X. Observed Other Tour Departure at PD Times: Survey</t>
  </si>
  <si>
    <t>Table X. Observed Workbased Tour Departure at PD Times: Survey</t>
  </si>
  <si>
    <t>Observed Sources: Survey</t>
  </si>
  <si>
    <t xml:space="preserve">Observed Sources: Survey </t>
  </si>
  <si>
    <t>School Tour Duration</t>
  </si>
  <si>
    <t>0-3 hrs</t>
  </si>
  <si>
    <t>3-5 hrs</t>
  </si>
  <si>
    <t>5-7 hrs</t>
  </si>
  <si>
    <t>7-9 hrs</t>
  </si>
  <si>
    <t>9-10 hrs</t>
  </si>
  <si>
    <t>10-11 hrs</t>
  </si>
  <si>
    <t>11-12 hrs</t>
  </si>
  <si>
    <t>12-14 hrs</t>
  </si>
  <si>
    <t>18-24 hrs</t>
  </si>
  <si>
    <t>School Departure Time</t>
  </si>
  <si>
    <t>Depart</t>
  </si>
  <si>
    <t>3-7 am</t>
  </si>
  <si>
    <t>7-10 am</t>
  </si>
  <si>
    <t>10 am - 1 pm</t>
  </si>
  <si>
    <t>1-3 pm</t>
  </si>
  <si>
    <t>5-6 pm</t>
  </si>
  <si>
    <t>6-7 pm</t>
  </si>
  <si>
    <t>7-9 pm</t>
  </si>
  <si>
    <t>9-12 pm</t>
  </si>
  <si>
    <t>12-3 am</t>
  </si>
  <si>
    <t>TOTAL</t>
  </si>
  <si>
    <t>Share</t>
  </si>
  <si>
    <t>Ratio</t>
  </si>
  <si>
    <t>Adjustment</t>
  </si>
  <si>
    <t>Damp</t>
  </si>
  <si>
    <t>Count</t>
  </si>
  <si>
    <t>Index</t>
  </si>
  <si>
    <t>Old Coeff</t>
  </si>
  <si>
    <t>14-18 hrs</t>
  </si>
  <si>
    <t>New Coeff</t>
  </si>
  <si>
    <t>Instructions:</t>
  </si>
  <si>
    <t>By: nagendra.dhakar@rsginc.com</t>
  </si>
  <si>
    <t>Select all(ctrl+A)</t>
  </si>
  <si>
    <t>Paste in cell A8</t>
  </si>
  <si>
    <t>Go to "Data" --&gt;Text to Columns - Select "Delimited" ---&gt; Select "Space" --&gt; Finish</t>
  </si>
  <si>
    <t>tod</t>
  </si>
  <si>
    <t>school</t>
  </si>
  <si>
    <t>tours</t>
  </si>
  <si>
    <t>Created</t>
  </si>
  <si>
    <t>by</t>
  </si>
  <si>
    <t>ALOGIT</t>
  </si>
  <si>
    <t>version</t>
  </si>
  <si>
    <t>on</t>
  </si>
  <si>
    <t>END</t>
  </si>
  <si>
    <t>arr3-5</t>
  </si>
  <si>
    <t>T</t>
  </si>
  <si>
    <t>arr=6</t>
  </si>
  <si>
    <t>F</t>
  </si>
  <si>
    <t>arr=7</t>
  </si>
  <si>
    <t>arr=8</t>
  </si>
  <si>
    <t>arr=9</t>
  </si>
  <si>
    <t>arr10-12</t>
  </si>
  <si>
    <t>arr13-15</t>
  </si>
  <si>
    <t>arr16-18</t>
  </si>
  <si>
    <t>arr19-21</t>
  </si>
  <si>
    <t>arr22-26</t>
  </si>
  <si>
    <t>dep3-6</t>
  </si>
  <si>
    <t>dep7-9</t>
  </si>
  <si>
    <t>dep10-12</t>
  </si>
  <si>
    <t>dep13-14</t>
  </si>
  <si>
    <t>dep=16</t>
  </si>
  <si>
    <t>dep=17</t>
  </si>
  <si>
    <t>dep=18</t>
  </si>
  <si>
    <t>dep19-20</t>
  </si>
  <si>
    <t>dep21-23</t>
  </si>
  <si>
    <t>dep24-26</t>
  </si>
  <si>
    <t>dur0-2</t>
  </si>
  <si>
    <t>dur3-4</t>
  </si>
  <si>
    <t>dur5-6</t>
  </si>
  <si>
    <t>dur7-8</t>
  </si>
  <si>
    <t>dur=9</t>
  </si>
  <si>
    <t>dur=10</t>
  </si>
  <si>
    <t>dur=11</t>
  </si>
  <si>
    <t>dur12-13</t>
  </si>
  <si>
    <t>dur14-17</t>
  </si>
  <si>
    <t>dur18-23</t>
  </si>
  <si>
    <t>ptwk-arr</t>
  </si>
  <si>
    <t>ptwk-dur</t>
  </si>
  <si>
    <t>nwad-arr</t>
  </si>
  <si>
    <t>nwad-dur</t>
  </si>
  <si>
    <t>univ-arr</t>
  </si>
  <si>
    <t>univ-dur</t>
  </si>
  <si>
    <t>dkid-arr</t>
  </si>
  <si>
    <t>dkid-dur</t>
  </si>
  <si>
    <t>ns*ot-arr</t>
  </si>
  <si>
    <t>ns*ot-dur</t>
  </si>
  <si>
    <t>rs*mt-arr</t>
  </si>
  <si>
    <t>rs*mt-dur</t>
  </si>
  <si>
    <t>iescs-arr</t>
  </si>
  <si>
    <t>iescs-dur</t>
  </si>
  <si>
    <t>ctim-out</t>
  </si>
  <si>
    <t>ctim-ret</t>
  </si>
  <si>
    <t>ttim-out</t>
  </si>
  <si>
    <t>ttim-ret</t>
  </si>
  <si>
    <t>arrpused</t>
  </si>
  <si>
    <t>deppused</t>
  </si>
  <si>
    <t>cempbef1</t>
  </si>
  <si>
    <t>cempaft1</t>
  </si>
  <si>
    <t>cempbef2</t>
  </si>
  <si>
    <t>cempaft2</t>
  </si>
  <si>
    <t>toursdtwin</t>
  </si>
  <si>
    <t>toursdbwin</t>
  </si>
  <si>
    <t>toursdawin</t>
  </si>
  <si>
    <t>dep15</t>
  </si>
  <si>
    <t>ftwk-arr</t>
  </si>
  <si>
    <t>ftwk-dur</t>
  </si>
  <si>
    <t>pres-arr</t>
  </si>
  <si>
    <t>pres-dur</t>
  </si>
  <si>
    <t>Old</t>
  </si>
  <si>
    <t>New</t>
  </si>
  <si>
    <t>SchoolTourTimeModel.F12</t>
  </si>
  <si>
    <t>3-5 pm</t>
  </si>
  <si>
    <t>WorkBased Departure Time</t>
  </si>
  <si>
    <t>WorkBased Tour Duration</t>
  </si>
  <si>
    <t>workbased</t>
  </si>
  <si>
    <t>subtour</t>
  </si>
  <si>
    <t>dur0-0</t>
  </si>
  <si>
    <t>dur1-1</t>
  </si>
  <si>
    <t>dur2-2</t>
  </si>
  <si>
    <t>dur9-11</t>
  </si>
  <si>
    <t>arravail</t>
  </si>
  <si>
    <t>depavail</t>
  </si>
  <si>
    <t>esco-arr</t>
  </si>
  <si>
    <t>esco-dur</t>
  </si>
  <si>
    <t>shop-arr</t>
  </si>
  <si>
    <t>shop-dur</t>
  </si>
  <si>
    <t>meal-arr</t>
  </si>
  <si>
    <t>meal-dur</t>
  </si>
  <si>
    <t>srec-arr</t>
  </si>
  <si>
    <t>srec-dur</t>
  </si>
  <si>
    <t>pbus-arr</t>
  </si>
  <si>
    <t>pbus-dur</t>
  </si>
  <si>
    <t>WorkbasedSubTourTimeModel.F12</t>
  </si>
  <si>
    <t>Description</t>
  </si>
  <si>
    <t>Open "WorkTourTime_SACOG-v1.5.F12" in Notepad+</t>
  </si>
  <si>
    <t>Open "SchoolTourTime_SACOG-v1.5.F12" in Notepad+</t>
  </si>
  <si>
    <t>work</t>
  </si>
  <si>
    <t>Apr</t>
  </si>
  <si>
    <t>linc-arr</t>
  </si>
  <si>
    <t>linc-dur</t>
  </si>
  <si>
    <t>hinc-arr</t>
  </si>
  <si>
    <t>hinc-dur</t>
  </si>
  <si>
    <t>lprs-arr</t>
  </si>
  <si>
    <t>lprs-dur</t>
  </si>
  <si>
    <t>ns*mt-arr</t>
  </si>
  <si>
    <t>ns*mt-dur</t>
  </si>
  <si>
    <t>nsubt-arr</t>
  </si>
  <si>
    <t>nsubt-dur</t>
  </si>
  <si>
    <t>ftwk-x&lt;9</t>
  </si>
  <si>
    <t>hinc-d36</t>
  </si>
  <si>
    <t>hinc-a2226</t>
  </si>
  <si>
    <t>hprs-x&lt;8</t>
  </si>
  <si>
    <t>lprs-x&lt;8</t>
  </si>
  <si>
    <t>hprd-x&lt;8</t>
  </si>
  <si>
    <t>ttim-mis</t>
  </si>
  <si>
    <t>toursdmwin</t>
  </si>
  <si>
    <t>016:21:25</t>
  </si>
  <si>
    <t>Work Departure Time</t>
  </si>
  <si>
    <t>Work Tour Duration</t>
  </si>
  <si>
    <t>015:24:18</t>
  </si>
  <si>
    <t>Open "WorkbasedSubtourTimeCoefficients_SACOG-v1.5.F12" in Notepad+</t>
  </si>
  <si>
    <t>School Arrival Time</t>
  </si>
  <si>
    <t>3-6 am</t>
  </si>
  <si>
    <t>6-7 am</t>
  </si>
  <si>
    <t>7-8 am</t>
  </si>
  <si>
    <t>8-9 am</t>
  </si>
  <si>
    <t>9-10 am</t>
  </si>
  <si>
    <t>1-4 pm</t>
  </si>
  <si>
    <t>4-7 pm</t>
  </si>
  <si>
    <t>9 pm-3 am</t>
  </si>
  <si>
    <t>10 am-1 pm</t>
  </si>
  <si>
    <t>Work Arrival Time</t>
  </si>
  <si>
    <t>SchoolWorkTimeModel.F12</t>
  </si>
  <si>
    <t>WorkBased Arrival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</si>
</sst>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3" formatCode="_(* #,##0.00_);_(* \(#,##0.00\);_(* &quot;-&quot;??_);_(@_)"/>
    <numFmt numFmtId="164" formatCode="mm/dd/yyyy\ hh:mm:ss"/>
    <numFmt numFmtId="165" formatCode="_(* #,##0_);_(* \(#,##0\);_(* &quot;-&quot;??_);_(@_)"/>
    <numFmt numFmtId="166" formatCode="0.0%"/>
    <numFmt numFmtId="167" formatCode="0.00000000"/>
    <numFmt numFmtId="168" formatCode="0.000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  <font>
      <b/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0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4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4">
      <alignment wrapText="1"/>
    </xf>
    <xf applyAlignment="0" applyBorder="0" applyFill="0" applyFont="0" applyProtection="0" borderId="0" fillId="0" fontId="3" numFmtId="43"/>
    <xf applyAlignment="0" applyBorder="0" applyFill="0" applyFont="0" applyProtection="0" borderId="0" fillId="0" fontId="3" numFmtId="9"/>
  </cellStyleXfs>
  <cellXfs count="96">
    <xf borderId="0" fillId="0" fontId="0" numFmtId="0" xfId="0"/>
    <xf applyBorder="1" borderId="1" fillId="0" fontId="0" numFmtId="0" xfId="0"/>
    <xf applyBorder="1" borderId="2" fillId="0" fontId="0" numFmtId="0" xfId="0"/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Alignment="1" borderId="0" fillId="0" fontId="2" numFmtId="0" xfId="1"/>
    <xf applyAlignment="1" applyBorder="1" borderId="1" fillId="0" fontId="2" numFmtId="0" xfId="1"/>
    <xf applyBorder="1" applyFont="1" borderId="0" fillId="0" fontId="1" numFmtId="0" xfId="0"/>
    <xf applyNumberFormat="1" borderId="0" fillId="0" fontId="0" numFmtId="20" xfId="0"/>
    <xf applyBorder="1" applyNumberFormat="1" borderId="1" fillId="0" fontId="0" numFmtId="20" xfId="0"/>
    <xf applyAlignment="1" applyBorder="1" borderId="0" fillId="0" fontId="0" numFmtId="0" xfId="0">
      <alignment horizontal="center" vertical="top"/>
    </xf>
    <xf applyBorder="1" applyFill="1" applyNumberFormat="1" borderId="0" fillId="0" fontId="0" numFmtId="20" xfId="0"/>
    <xf applyBorder="1" applyNumberFormat="1" borderId="0" fillId="0" fontId="0" numFmtId="2" xfId="0"/>
    <xf applyAlignment="1" applyNumberFormat="1" borderId="0" fillId="0" fontId="2" numFmtId="10" xfId="1"/>
    <xf applyNumberFormat="1" borderId="0" fillId="0" fontId="0" numFmtId="10" xfId="0"/>
    <xf applyAlignment="1" applyBorder="1" applyNumberFormat="1" borderId="1" fillId="0" fontId="2" numFmtId="10" xfId="1"/>
    <xf applyBorder="1" applyNumberFormat="1" borderId="1" fillId="0" fontId="0" numFmtId="10" xfId="0"/>
    <xf applyBorder="1" applyNumberFormat="1" borderId="3" fillId="0" fontId="0" numFmtId="20" xfId="0"/>
    <xf applyBorder="1" applyNumberFormat="1" borderId="3" fillId="0" fontId="0" numFmtId="2" xfId="0"/>
    <xf applyBorder="1" borderId="3" fillId="0" fontId="0" numFmtId="0" xfId="0"/>
    <xf applyAlignment="1" applyBorder="1" borderId="3" fillId="0" fontId="2" numFmtId="0" xfId="1"/>
    <xf applyBorder="1" applyNumberFormat="1" borderId="4" fillId="0" fontId="0" numFmtId="20" xfId="0"/>
    <xf applyBorder="1" applyNumberFormat="1" borderId="4" fillId="0" fontId="0" numFmtId="2" xfId="0"/>
    <xf applyAlignment="1" applyBorder="1" borderId="3" fillId="0" fontId="0" numFmtId="0" xfId="0">
      <alignment horizontal="center" vertical="top"/>
    </xf>
    <xf applyBorder="1" applyNumberFormat="1" borderId="0" fillId="0" fontId="0" numFmtId="10" xfId="0"/>
    <xf applyFont="1" applyNumberFormat="1" borderId="0" fillId="0" fontId="0" numFmtId="165" xfId="8"/>
    <xf applyFont="1" applyNumberFormat="1" borderId="0" fillId="0" fontId="0" numFmtId="166" xfId="9"/>
    <xf applyNumberFormat="1" borderId="0" fillId="0" fontId="0" numFmtId="167" xfId="0"/>
    <xf applyBorder="1" applyFont="1" borderId="3" fillId="0" fontId="1" numFmtId="0" xfId="0"/>
    <xf applyAlignment="1" applyBorder="1" applyFont="1" borderId="3" fillId="0" fontId="1" numFmtId="0" xfId="0">
      <alignment horizontal="right"/>
    </xf>
    <xf applyBorder="1" applyFont="1" applyNumberFormat="1" borderId="3" fillId="0" fontId="0" numFmtId="165" xfId="8"/>
    <xf applyBorder="1" applyFont="1" applyNumberFormat="1" borderId="3" fillId="0" fontId="0" numFmtId="166" xfId="9"/>
    <xf applyBorder="1" applyNumberFormat="1" borderId="3" fillId="0" fontId="0" numFmtId="167" xfId="0"/>
    <xf applyBorder="1" applyFont="1" borderId="1" fillId="0" fontId="4" numFmtId="0" xfId="0"/>
    <xf applyBorder="1" applyFill="1" borderId="1" fillId="3" fontId="0" numFmtId="0" xfId="0"/>
    <xf applyBorder="1" applyFont="1" borderId="4" fillId="0" fontId="1" numFmtId="0" xfId="0"/>
    <xf applyBorder="1" applyFont="1" applyNumberFormat="1" borderId="4" fillId="0" fontId="1" numFmtId="165" xfId="0"/>
    <xf applyBorder="1" applyFont="1" applyNumberFormat="1" borderId="4" fillId="0" fontId="1" numFmtId="166" xfId="9"/>
    <xf applyBorder="1" applyFont="1" applyNumberFormat="1" borderId="4" fillId="0" fontId="1" numFmtId="2" xfId="0"/>
    <xf applyBorder="1" borderId="4" fillId="0" fontId="0" numFmtId="0" xfId="0"/>
    <xf applyBorder="1" applyFont="1" applyNumberFormat="1" borderId="1" fillId="0" fontId="1" numFmtId="165" xfId="0"/>
    <xf applyBorder="1" applyFont="1" applyNumberFormat="1" borderId="1" fillId="0" fontId="1" numFmtId="166" xfId="9"/>
    <xf applyBorder="1" applyFont="1" applyNumberFormat="1" borderId="1" fillId="0" fontId="1" numFmtId="2" xfId="0"/>
    <xf applyBorder="1" applyFill="1" applyFont="1" borderId="5" fillId="4" fontId="4" numFmtId="0" xfId="0"/>
    <xf applyBorder="1" applyFill="1" applyFont="1" borderId="6" fillId="4" fontId="5" numFmtId="0" xfId="0"/>
    <xf applyBorder="1" applyFill="1" borderId="7" fillId="4" fontId="0" numFmtId="0" xfId="0"/>
    <xf applyBorder="1" applyFill="1" applyFont="1" borderId="8" fillId="4" fontId="5" numFmtId="0" xfId="0"/>
    <xf applyBorder="1" applyFill="1" applyFont="1" borderId="0" fillId="4" fontId="5" numFmtId="0" xfId="0"/>
    <xf applyBorder="1" applyFill="1" borderId="9" fillId="4" fontId="0" numFmtId="0" xfId="0"/>
    <xf applyBorder="1" applyFill="1" applyFont="1" borderId="10" fillId="4" fontId="5" numFmtId="0" xfId="0"/>
    <xf applyBorder="1" applyFill="1" applyFont="1" borderId="3" fillId="4" fontId="5" numFmtId="0" xfId="0"/>
    <xf applyBorder="1" applyFill="1" applyFont="1" borderId="11" fillId="4" fontId="5" numFmtId="0" xfId="0"/>
    <xf applyNumberFormat="1" borderId="0" fillId="0" fontId="0" numFmtId="21" xfId="0"/>
    <xf applyNumberFormat="1" borderId="0" fillId="0" fontId="0" numFmtId="11" xfId="0"/>
    <xf applyFont="1" borderId="0" fillId="0" fontId="6" numFmtId="0" xfId="0"/>
    <xf applyFont="1" borderId="0" fillId="0" fontId="5" numFmtId="0" xfId="0"/>
    <xf applyAlignment="1" applyFont="1" borderId="0" fillId="0" fontId="7" numFmtId="0" xfId="0">
      <alignment horizontal="right"/>
    </xf>
    <xf applyBorder="1" borderId="6" fillId="0" fontId="0" numFmtId="0" xfId="0"/>
    <xf applyBorder="1" applyNumberFormat="1" borderId="6" fillId="0" fontId="0" numFmtId="167" xfId="0"/>
    <xf applyBorder="1" applyNumberFormat="1" borderId="0" fillId="0" fontId="0" numFmtId="167" xfId="0"/>
    <xf applyNumberFormat="1" borderId="0" fillId="0" fontId="0" numFmtId="168" xfId="0"/>
    <xf applyAlignment="1" applyBorder="1" applyFont="1" borderId="0" fillId="0" fontId="1" numFmtId="0" xfId="0">
      <alignment horizontal="right"/>
    </xf>
    <xf applyFill="1" borderId="0" fillId="5" fontId="0" numFmtId="0" xfId="0"/>
    <xf applyFill="1" applyNumberFormat="1" borderId="0" fillId="5" fontId="0" numFmtId="168" xfId="0"/>
    <xf applyAlignment="1" applyBorder="1" applyFill="1" applyFont="1" borderId="3" fillId="6" fontId="1" numFmtId="0" xfId="0">
      <alignment horizontal="right"/>
    </xf>
    <xf applyBorder="1" applyFill="1" applyFont="1" borderId="3" fillId="6" fontId="1" numFmtId="0" xfId="0"/>
    <xf applyAlignment="1" applyBorder="1" applyFill="1" applyFont="1" borderId="3" fillId="6" fontId="1" numFmtId="0" xfId="0">
      <alignment horizontal="left"/>
    </xf>
    <xf applyFill="1" borderId="0" fillId="6" fontId="0" numFmtId="0" xfId="0"/>
    <xf applyBorder="1" applyFill="1" borderId="6" fillId="6" fontId="0" numFmtId="0" xfId="0"/>
    <xf applyFill="1" applyNumberFormat="1" borderId="0" fillId="6" fontId="0" numFmtId="167" xfId="0"/>
    <xf applyBorder="1" applyFill="1" borderId="0" fillId="6" fontId="0" numFmtId="0" xfId="0"/>
    <xf applyBorder="1" applyFill="1" borderId="3" fillId="6" fontId="0" numFmtId="0" xfId="0"/>
    <xf applyBorder="1" applyFill="1" applyNumberFormat="1" borderId="3" fillId="6" fontId="0" numFmtId="167" xfId="0"/>
    <xf applyBorder="1" applyFill="1" borderId="0" fillId="0" fontId="0" numFmtId="0" xfId="0"/>
    <xf applyBorder="1" applyFill="1" applyFont="1" borderId="0" fillId="0" fontId="4" numFmtId="0" xfId="0"/>
    <xf applyBorder="1" applyFill="1" applyFont="1" borderId="0" fillId="0" fontId="1" numFmtId="0" xfId="0"/>
    <xf applyAlignment="1" applyBorder="1" applyFill="1" applyFont="1" borderId="0" fillId="0" fontId="1" numFmtId="0" xfId="0">
      <alignment horizontal="right"/>
    </xf>
    <xf applyBorder="1" applyFill="1" applyFont="1" applyNumberFormat="1" borderId="0" fillId="0" fontId="0" numFmtId="165" xfId="8"/>
    <xf applyBorder="1" applyFill="1" applyFont="1" applyNumberFormat="1" borderId="0" fillId="0" fontId="0" numFmtId="166" xfId="9"/>
    <xf applyBorder="1" applyFill="1" applyNumberFormat="1" borderId="0" fillId="0" fontId="0" numFmtId="2" xfId="0"/>
    <xf applyBorder="1" applyFill="1" applyNumberFormat="1" borderId="0" fillId="0" fontId="0" numFmtId="167" xfId="0"/>
    <xf applyBorder="1" applyFill="1" applyFont="1" applyNumberFormat="1" borderId="0" fillId="0" fontId="1" numFmtId="165" xfId="0"/>
    <xf applyBorder="1" applyFill="1" applyFont="1" applyNumberFormat="1" borderId="0" fillId="0" fontId="1" numFmtId="166" xfId="9"/>
    <xf applyBorder="1" applyFill="1" applyFont="1" applyNumberFormat="1" borderId="0" fillId="0" fontId="1" numFmtId="2" xfId="0"/>
    <xf applyNumberFormat="1" borderId="0" fillId="0" fontId="0" numFmtId="46" xfId="0"/>
    <xf applyFill="1" borderId="0" fillId="0" fontId="0" numFmtId="0" xfId="0"/>
    <xf applyAlignment="1" applyBorder="1" applyFill="1" applyFont="1" borderId="2" fillId="6" fontId="1" numFmtId="0" xfId="0">
      <alignment horizontal="left"/>
    </xf>
    <xf applyFill="1" applyNumberFormat="1" borderId="0" fillId="0" fontId="0" numFmtId="168" xfId="0"/>
    <xf applyAlignment="1" applyBorder="1" applyFill="1" applyFont="1" borderId="2" fillId="6" fontId="1" numFmtId="0" xfId="0">
      <alignment horizontal="right"/>
    </xf>
    <xf applyAlignment="1" applyBorder="1" applyFill="1" applyFont="1" borderId="0" fillId="0" fontId="1" numFmtId="0" xfId="0">
      <alignment horizontal="center"/>
    </xf>
    <xf applyAlignment="1" applyBorder="1" applyFont="1" borderId="0" fillId="0" fontId="1" numFmtId="0" xfId="0">
      <alignment horizontal="center"/>
    </xf>
    <xf applyAlignment="1" applyFont="1" borderId="0" fillId="0" fontId="1" numFmtId="0" xfId="0">
      <alignment horizontal="center"/>
    </xf>
  </cellXfs>
  <cellStyles count="10">
    <cellStyle builtinId="3" name="Comma" xfId="8"/>
    <cellStyle builtinId="0" name="Normal" xfId="0"/>
    <cellStyle builtinId="5" name="Percent" xfId="9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    <Relationship Id="rId1" Target="worksheets/sheet1.xml" Type="http://schemas.openxmlformats.org/officeDocument/2006/relationships/worksheet"/>
    <Relationship Id="rId10" Target="worksheets/sheet10.xml" Type="http://schemas.openxmlformats.org/officeDocument/2006/relationships/worksheet"/>
    <Relationship Id="rId11" Target="worksheets/sheet11.xml" Type="http://schemas.openxmlformats.org/officeDocument/2006/relationships/worksheet"/>
    <Relationship Id="rId12" Target="worksheets/sheet12.xml" Type="http://schemas.openxmlformats.org/officeDocument/2006/relationships/worksheet"/>
    <Relationship Id="rId13" Target="worksheets/sheet13.xml" Type="http://schemas.openxmlformats.org/officeDocument/2006/relationships/worksheet"/>
    <Relationship Id="rId14" Target="worksheets/sheet14.xml" Type="http://schemas.openxmlformats.org/officeDocument/2006/relationships/worksheet"/>
    <Relationship Id="rId15" Target="worksheets/sheet15.xml" Type="http://schemas.openxmlformats.org/officeDocument/2006/relationships/worksheet"/>
    <Relationship Id="rId16" Target="worksheets/sheet16.xml" Type="http://schemas.openxmlformats.org/officeDocument/2006/relationships/worksheet"/>
    <Relationship Id="rId17" Target="worksheets/sheet17.xml" Type="http://schemas.openxmlformats.org/officeDocument/2006/relationships/worksheet"/>
    <Relationship Id="rId18" Target="worksheets/sheet18.xml" Type="http://schemas.openxmlformats.org/officeDocument/2006/relationships/worksheet"/>
    <Relationship Id="rId19" Target="theme/theme1.xml" Type="http://schemas.openxmlformats.org/officeDocument/2006/relationships/theme"/>
    <Relationship Id="rId2" Target="worksheets/sheet2.xml" Type="http://schemas.openxmlformats.org/officeDocument/2006/relationships/worksheet"/>
    <Relationship Id="rId20" Target="styles.xml" Type="http://schemas.openxmlformats.org/officeDocument/2006/relationships/styles"/>
    <Relationship Id="rId21" Target="sharedStrings.xml" Type="http://schemas.openxmlformats.org/officeDocument/2006/relationships/sharedStrings"/>
    <Relationship Id="rId22" Target="calcChain.xml" Type="http://schemas.openxmlformats.org/officeDocument/2006/relationships/calcChain"/>
    <Relationship Id="rId23" Target="vbaProject.bin" Type="http://schemas.microsoft.com/office/2006/relationships/vbaProject"/>
    <Relationship Id="rId3" Target="worksheets/sheet3.xml" Type="http://schemas.openxmlformats.org/officeDocument/2006/relationships/worksheet"/>
    <Relationship Id="rId4" Target="worksheets/sheet4.xml" Type="http://schemas.openxmlformats.org/officeDocument/2006/relationships/worksheet"/>
    <Relationship Id="rId5" Target="worksheets/sheet5.xml" Type="http://schemas.openxmlformats.org/officeDocument/2006/relationships/worksheet"/>
    <Relationship Id="rId6" Target="worksheets/sheet6.xml" Type="http://schemas.openxmlformats.org/officeDocument/2006/relationships/worksheet"/>
    <Relationship Id="rId7" Target="worksheets/sheet7.xml" Type="http://schemas.openxmlformats.org/officeDocument/2006/relationships/worksheet"/>
    <Relationship Id="rId8" Target="worksheets/sheet8.xml" Type="http://schemas.openxmlformats.org/officeDocument/2006/relationships/worksheet"/>
    <Relationship Id="rId9" Target="worksheets/sheet9.xml" Type="http://schemas.openxmlformats.org/officeDocument/2006/relationships/worksheet"/>
</Relationships>

</file>

<file path=xl/charts/_rels/chart8.xml.rels><?xml version="1.0" encoding="UTF-8" standalone="no"?>
<Relationships xmlns="http://schemas.openxmlformats.org/package/2006/relationships">
    <Relationship Id="rId1" Target="style1.xml" Type="http://schemas.microsoft.com/office/2011/relationships/chartStyle"/>
    <Relationship Id="rId2" Target="colors1.xml" Type="http://schemas.microsoft.com/office/2011/relationships/chartColorStyle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6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Arrival_Time!$B$64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Arrival_Time!$B$65:$B$115</c:f>
              <c:numCache>
                <c:formatCode>0.00%</c:formatCode>
                <c:ptCount val="51"/>
                <c:pt idx="0">
                  <c:v>7.4186582538384431E-5</c:v>
                </c:pt>
                <c:pt idx="1">
                  <c:v>1.7199737353974854E-3</c:v>
                </c:pt>
                <c:pt idx="2">
                  <c:v>4.1126677324294413E-3</c:v>
                </c:pt>
                <c:pt idx="3">
                  <c:v>8.1676171320027094E-3</c:v>
                </c:pt>
                <c:pt idx="4">
                  <c:v>1.4943803265293001E-2</c:v>
                </c:pt>
                <c:pt idx="5">
                  <c:v>2.5355478463347143E-2</c:v>
                </c:pt>
                <c:pt idx="6">
                  <c:v>3.9697581723319268E-2</c:v>
                </c:pt>
                <c:pt idx="7">
                  <c:v>5.7141088003343929E-2</c:v>
                </c:pt>
                <c:pt idx="8">
                  <c:v>7.5403232435352255E-2</c:v>
                </c:pt>
                <c:pt idx="9">
                  <c:v>9.0902920323304631E-2</c:v>
                </c:pt>
                <c:pt idx="10">
                  <c:v>9.9719875222210111E-2</c:v>
                </c:pt>
                <c:pt idx="11">
                  <c:v>9.924753301952717E-2</c:v>
                </c:pt>
                <c:pt idx="12">
                  <c:v>8.9666003345626369E-2</c:v>
                </c:pt>
                <c:pt idx="13">
                  <c:v>7.4081575653805409E-2</c:v>
                </c:pt>
                <c:pt idx="14">
                  <c:v>5.7010670034489681E-2</c:v>
                </c:pt>
                <c:pt idx="15">
                  <c:v>4.2213842765356044E-2</c:v>
                </c:pt>
                <c:pt idx="16">
                  <c:v>3.1365689509781997E-2</c:v>
                </c:pt>
                <c:pt idx="17">
                  <c:v>2.4213119453480581E-2</c:v>
                </c:pt>
                <c:pt idx="18">
                  <c:v>1.9654600920610579E-2</c:v>
                </c:pt>
                <c:pt idx="19">
                  <c:v>1.6710608489924176E-2</c:v>
                </c:pt>
                <c:pt idx="20">
                  <c:v>1.4825320013169647E-2</c:v>
                </c:pt>
                <c:pt idx="21">
                  <c:v>1.3660777339692943E-2</c:v>
                </c:pt>
                <c:pt idx="22">
                  <c:v>1.2857700726587968E-2</c:v>
                </c:pt>
                <c:pt idx="23">
                  <c:v>1.2043220963789925E-2</c:v>
                </c:pt>
                <c:pt idx="24">
                  <c:v>1.1006823383842663E-2</c:v>
                </c:pt>
                <c:pt idx="25">
                  <c:v>9.8018056532471823E-3</c:v>
                </c:pt>
                <c:pt idx="26">
                  <c:v>8.6453410396402329E-3</c:v>
                </c:pt>
                <c:pt idx="27">
                  <c:v>7.7080279827597816E-3</c:v>
                </c:pt>
                <c:pt idx="28">
                  <c:v>6.9804896595547887E-3</c:v>
                </c:pt>
                <c:pt idx="29">
                  <c:v>6.3131681974448184E-3</c:v>
                </c:pt>
                <c:pt idx="30">
                  <c:v>5.5621483558983701E-3</c:v>
                </c:pt>
                <c:pt idx="31">
                  <c:v>4.6981284960211011E-3</c:v>
                </c:pt>
                <c:pt idx="32">
                  <c:v>3.7984320633551016E-3</c:v>
                </c:pt>
                <c:pt idx="33">
                  <c:v>2.9613224895657739E-3</c:v>
                </c:pt>
                <c:pt idx="34">
                  <c:v>2.2391158189920624E-3</c:v>
                </c:pt>
                <c:pt idx="35">
                  <c:v>1.639670622154467E-3</c:v>
                </c:pt>
                <c:pt idx="36">
                  <c:v>1.1625964347731406E-3</c:v>
                </c:pt>
                <c:pt idx="37">
                  <c:v>8.1286275526088435E-4</c:v>
                </c:pt>
                <c:pt idx="38">
                  <c:v>5.8265238938434054E-4</c:v>
                </c:pt>
                <c:pt idx="39">
                  <c:v>4.3779211954844964E-4</c:v>
                </c:pt>
                <c:pt idx="40">
                  <c:v>3.329264678399849E-4</c:v>
                </c:pt>
                <c:pt idx="41">
                  <c:v>2.386725290243451E-4</c:v>
                </c:pt>
                <c:pt idx="42">
                  <c:v>1.5163342743168716E-4</c:v>
                </c:pt>
                <c:pt idx="43">
                  <c:v>8.2056163067997082E-5</c:v>
                </c:pt>
                <c:pt idx="44">
                  <c:v>3.686422772666001E-5</c:v>
                </c:pt>
                <c:pt idx="45">
                  <c:v>1.3458769632547135E-5</c:v>
                </c:pt>
                <c:pt idx="46">
                  <c:v>3.8989935496793836E-6</c:v>
                </c:pt>
                <c:pt idx="47">
                  <c:v>8.6798099129066292E-7</c:v>
                </c:pt>
                <c:pt idx="48">
                  <c:v>1.4152958664720523E-7</c:v>
                </c:pt>
                <c:pt idx="49">
                  <c:v>1.5595325355349488E-8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49-49E3-9087-40B569334599}"/>
            </c:ext>
          </c:extLst>
        </c:ser>
        <c:ser>
          <c:idx val="1"/>
          <c:order val="1"/>
          <c:tx>
            <c:strRef>
              <c:f>Arrival_Time!$I$64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Arrival_Time!$I$65:$I$115</c:f>
              <c:numCache>
                <c:formatCode>0.00%</c:formatCode>
                <c:ptCount val="51"/>
                <c:pt idx="0">
                  <c:v>2.2230693469679937E-3</c:v>
                </c:pt>
                <c:pt idx="1">
                  <c:v>3.33566566925232E-3</c:v>
                </c:pt>
                <c:pt idx="2">
                  <c:v>4.792358514364309E-3</c:v>
                </c:pt>
                <c:pt idx="3">
                  <c:v>7.2415622825972529E-3</c:v>
                </c:pt>
                <c:pt idx="4">
                  <c:v>1.1778243949912828E-2</c:v>
                </c:pt>
                <c:pt idx="5">
                  <c:v>1.9744920483457527E-2</c:v>
                </c:pt>
                <c:pt idx="6">
                  <c:v>3.2105117489345164E-2</c:v>
                </c:pt>
                <c:pt idx="7">
                  <c:v>4.857879700704068E-2</c:v>
                </c:pt>
                <c:pt idx="8">
                  <c:v>6.7045920718569199E-2</c:v>
                </c:pt>
                <c:pt idx="9">
                  <c:v>8.3777637823670828E-2</c:v>
                </c:pt>
                <c:pt idx="10">
                  <c:v>9.4653556049643303E-2</c:v>
                </c:pt>
                <c:pt idx="11">
                  <c:v>9.6857478090045343E-2</c:v>
                </c:pt>
                <c:pt idx="12">
                  <c:v>9.0119407809538532E-2</c:v>
                </c:pt>
                <c:pt idx="13">
                  <c:v>7.6778409445247511E-2</c:v>
                </c:pt>
                <c:pt idx="14">
                  <c:v>6.0661517874064277E-2</c:v>
                </c:pt>
                <c:pt idx="15">
                  <c:v>4.5469097025690117E-2</c:v>
                </c:pt>
                <c:pt idx="16">
                  <c:v>3.3542120213015177E-2</c:v>
                </c:pt>
                <c:pt idx="17">
                  <c:v>2.5511309580846745E-2</c:v>
                </c:pt>
                <c:pt idx="18">
                  <c:v>2.0740269865895104E-2</c:v>
                </c:pt>
                <c:pt idx="19">
                  <c:v>1.8090419621270778E-2</c:v>
                </c:pt>
                <c:pt idx="20">
                  <c:v>1.6535594714924357E-2</c:v>
                </c:pt>
                <c:pt idx="21">
                  <c:v>1.5419667540448476E-2</c:v>
                </c:pt>
                <c:pt idx="22">
                  <c:v>1.4424233081301125E-2</c:v>
                </c:pt>
                <c:pt idx="23">
                  <c:v>1.3424690405777632E-2</c:v>
                </c:pt>
                <c:pt idx="24">
                  <c:v>1.2371681728348564E-2</c:v>
                </c:pt>
                <c:pt idx="25">
                  <c:v>1.1244247083842312E-2</c:v>
                </c:pt>
                <c:pt idx="26">
                  <c:v>1.005421934853698E-2</c:v>
                </c:pt>
                <c:pt idx="27">
                  <c:v>8.8560127686377887E-3</c:v>
                </c:pt>
                <c:pt idx="28">
                  <c:v>7.7298375807822676E-3</c:v>
                </c:pt>
                <c:pt idx="29">
                  <c:v>6.7432527595172216E-3</c:v>
                </c:pt>
                <c:pt idx="30">
                  <c:v>5.9207368563230882E-3</c:v>
                </c:pt>
                <c:pt idx="31">
                  <c:v>5.2415098131682316E-3</c:v>
                </c:pt>
                <c:pt idx="32">
                  <c:v>4.6600156820734411E-3</c:v>
                </c:pt>
                <c:pt idx="33">
                  <c:v>4.1314297774144521E-3</c:v>
                </c:pt>
                <c:pt idx="34">
                  <c:v>3.6299053600782247E-3</c:v>
                </c:pt>
                <c:pt idx="35">
                  <c:v>3.1545561682250122E-3</c:v>
                </c:pt>
                <c:pt idx="36">
                  <c:v>2.7216499874745306E-3</c:v>
                </c:pt>
                <c:pt idx="37">
                  <c:v>2.3467436418972277E-3</c:v>
                </c:pt>
                <c:pt idx="38">
                  <c:v>2.0276970198918132E-3</c:v>
                </c:pt>
                <c:pt idx="39">
                  <c:v>1.7409652737004238E-3</c:v>
                </c:pt>
                <c:pt idx="40">
                  <c:v>1.4550448797091746E-3</c:v>
                </c:pt>
                <c:pt idx="41">
                  <c:v>1.1519219630012918E-3</c:v>
                </c:pt>
                <c:pt idx="42">
                  <c:v>8.404819762137932E-4</c:v>
                </c:pt>
                <c:pt idx="43">
                  <c:v>5.5156801008329325E-4</c:v>
                </c:pt>
                <c:pt idx="44">
                  <c:v>3.18651432988212E-4</c:v>
                </c:pt>
                <c:pt idx="45">
                  <c:v>1.5883293693716045E-4</c:v>
                </c:pt>
                <c:pt idx="46">
                  <c:v>6.6899848388062315E-5</c:v>
                </c:pt>
                <c:pt idx="47">
                  <c:v>2.3247835970354473E-5</c:v>
                </c:pt>
                <c:pt idx="48">
                  <c:v>6.4657699403880629E-6</c:v>
                </c:pt>
                <c:pt idx="49">
                  <c:v>1.3598939701210582E-6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49-49E3-9087-40B5693345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394176"/>
        <c:axId val="81255168"/>
      </c:lineChart>
      <c:catAx>
        <c:axId val="893941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of Day</a:t>
                </a:r>
              </a:p>
            </c:rich>
          </c:tx>
          <c:layout/>
          <c:overlay val="0"/>
        </c:title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81255168"/>
        <c:crosses val="autoZero"/>
        <c:auto val="1"/>
        <c:lblAlgn val="ctr"/>
        <c:lblOffset val="100"/>
        <c:tickLblSkip val="2"/>
        <c:noMultiLvlLbl val="0"/>
      </c:catAx>
      <c:valAx>
        <c:axId val="812551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Tour Share (%)</a:t>
                </a:r>
              </a:p>
            </c:rich>
          </c:tx>
          <c:layout/>
          <c:overlay val="0"/>
        </c:title>
        <c:numFmt formatCode="0.0%" sourceLinked="0"/>
        <c:majorTickMark val="none"/>
        <c:minorTickMark val="none"/>
        <c:tickLblPos val="nextTo"/>
        <c:crossAx val="8939417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Arrival_Time!$C$64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Arrival_Time!$C$65:$C$115</c:f>
              <c:numCache>
                <c:formatCode>0.00%</c:formatCode>
                <c:ptCount val="51"/>
                <c:pt idx="0">
                  <c:v>0</c:v>
                </c:pt>
                <c:pt idx="1">
                  <c:v>8.2313887607487357E-5</c:v>
                </c:pt>
                <c:pt idx="2">
                  <c:v>3.5686955766372992E-4</c:v>
                </c:pt>
                <c:pt idx="3">
                  <c:v>1.2890970592743238E-3</c:v>
                </c:pt>
                <c:pt idx="4">
                  <c:v>3.9232418673418624E-3</c:v>
                </c:pt>
                <c:pt idx="5">
                  <c:v>1.0028767744157941E-2</c:v>
                </c:pt>
                <c:pt idx="6">
                  <c:v>2.1644021816189827E-2</c:v>
                </c:pt>
                <c:pt idx="7">
                  <c:v>3.9726806716158261E-2</c:v>
                </c:pt>
                <c:pt idx="8">
                  <c:v>6.245174405691771E-2</c:v>
                </c:pt>
                <c:pt idx="9">
                  <c:v>8.4621519191443409E-2</c:v>
                </c:pt>
                <c:pt idx="10">
                  <c:v>9.9423983146452427E-2</c:v>
                </c:pt>
                <c:pt idx="11">
                  <c:v>0.10195596563690636</c:v>
                </c:pt>
                <c:pt idx="12">
                  <c:v>9.2077176812513747E-2</c:v>
                </c:pt>
                <c:pt idx="13">
                  <c:v>7.4356822560310953E-2</c:v>
                </c:pt>
                <c:pt idx="14">
                  <c:v>5.5211712390681865E-2</c:v>
                </c:pt>
                <c:pt idx="15">
                  <c:v>3.9527468564766313E-2</c:v>
                </c:pt>
                <c:pt idx="16">
                  <c:v>2.9054000329247053E-2</c:v>
                </c:pt>
                <c:pt idx="17">
                  <c:v>2.3035610924974668E-2</c:v>
                </c:pt>
                <c:pt idx="18">
                  <c:v>1.9858675835268996E-2</c:v>
                </c:pt>
                <c:pt idx="19">
                  <c:v>1.82814132623191E-2</c:v>
                </c:pt>
                <c:pt idx="20">
                  <c:v>1.7705574614725786E-2</c:v>
                </c:pt>
                <c:pt idx="21">
                  <c:v>1.7844742532168136E-2</c:v>
                </c:pt>
                <c:pt idx="22">
                  <c:v>1.8375054810547544E-2</c:v>
                </c:pt>
                <c:pt idx="23">
                  <c:v>1.8858841014026125E-2</c:v>
                </c:pt>
                <c:pt idx="24">
                  <c:v>1.8888634325641192E-2</c:v>
                </c:pt>
                <c:pt idx="25">
                  <c:v>1.8275024257446686E-2</c:v>
                </c:pt>
                <c:pt idx="26">
                  <c:v>1.7136166140968939E-2</c:v>
                </c:pt>
                <c:pt idx="27">
                  <c:v>1.5813463437958884E-2</c:v>
                </c:pt>
                <c:pt idx="28">
                  <c:v>1.4632780524850385E-2</c:v>
                </c:pt>
                <c:pt idx="29">
                  <c:v>1.3660802976935522E-2</c:v>
                </c:pt>
                <c:pt idx="30">
                  <c:v>1.2655898971288364E-2</c:v>
                </c:pt>
                <c:pt idx="31">
                  <c:v>1.1272517689716044E-2</c:v>
                </c:pt>
                <c:pt idx="32">
                  <c:v>9.352123135055285E-3</c:v>
                </c:pt>
                <c:pt idx="33">
                  <c:v>7.0596265084508936E-3</c:v>
                </c:pt>
                <c:pt idx="34">
                  <c:v>4.7779546018959637E-3</c:v>
                </c:pt>
                <c:pt idx="35">
                  <c:v>2.8795497463843158E-3</c:v>
                </c:pt>
                <c:pt idx="36">
                  <c:v>1.5548872050310364E-3</c:v>
                </c:pt>
                <c:pt idx="37">
                  <c:v>7.8441582297083417E-4</c:v>
                </c:pt>
                <c:pt idx="38">
                  <c:v>4.1881866945039654E-4</c:v>
                </c:pt>
                <c:pt idx="39">
                  <c:v>2.8233201227794764E-4</c:v>
                </c:pt>
                <c:pt idx="40">
                  <c:v>2.3896403361524938E-4</c:v>
                </c:pt>
                <c:pt idx="41">
                  <c:v>2.1128061325958788E-4</c:v>
                </c:pt>
                <c:pt idx="42">
                  <c:v>1.7082883367831734E-4</c:v>
                </c:pt>
                <c:pt idx="43">
                  <c:v>1.1939827107899024E-4</c:v>
                </c:pt>
                <c:pt idx="44">
                  <c:v>7.0267445805058027E-5</c:v>
                </c:pt>
                <c:pt idx="45">
                  <c:v>3.4146988503402655E-5</c:v>
                </c:pt>
                <c:pt idx="46">
                  <c:v>1.3416370253449262E-5</c:v>
                </c:pt>
                <c:pt idx="47">
                  <c:v>4.1471436101937606E-6</c:v>
                </c:pt>
                <c:pt idx="48">
                  <c:v>9.6969483108726557E-7</c:v>
                </c:pt>
                <c:pt idx="49">
                  <c:v>1.602473783281468E-7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DB-43B1-94F2-040BC2EB1D35}"/>
            </c:ext>
          </c:extLst>
        </c:ser>
        <c:ser>
          <c:idx val="1"/>
          <c:order val="1"/>
          <c:tx>
            <c:strRef>
              <c:f>Arrival_Time!$J$64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Arrival_Time!$J$65:$J$115</c:f>
              <c:numCache>
                <c:formatCode>0.00%</c:formatCode>
                <c:ptCount val="51"/>
                <c:pt idx="0">
                  <c:v>3.8409875967751586E-5</c:v>
                </c:pt>
                <c:pt idx="1">
                  <c:v>1.2116556577585357E-4</c:v>
                </c:pt>
                <c:pt idx="2">
                  <c:v>4.1267154822264499E-4</c:v>
                </c:pt>
                <c:pt idx="3">
                  <c:v>1.3402676846812317E-3</c:v>
                </c:pt>
                <c:pt idx="4">
                  <c:v>3.7613436598213958E-3</c:v>
                </c:pt>
                <c:pt idx="5">
                  <c:v>9.0251791800900448E-3</c:v>
                </c:pt>
                <c:pt idx="6">
                  <c:v>1.8613282381120169E-2</c:v>
                </c:pt>
                <c:pt idx="7">
                  <c:v>3.3213107957419712E-2</c:v>
                </c:pt>
                <c:pt idx="8">
                  <c:v>5.1577471648933927E-2</c:v>
                </c:pt>
                <c:pt idx="9">
                  <c:v>7.0055217499310624E-2</c:v>
                </c:pt>
                <c:pt idx="10">
                  <c:v>8.3594626542572992E-2</c:v>
                </c:pt>
                <c:pt idx="11">
                  <c:v>8.8049176207835783E-2</c:v>
                </c:pt>
                <c:pt idx="12">
                  <c:v>8.2417398144973036E-2</c:v>
                </c:pt>
                <c:pt idx="13">
                  <c:v>6.9397393253599629E-2</c:v>
                </c:pt>
                <c:pt idx="14">
                  <c:v>5.3804731820202817E-2</c:v>
                </c:pt>
                <c:pt idx="15">
                  <c:v>4.0040165403155498E-2</c:v>
                </c:pt>
                <c:pt idx="16">
                  <c:v>3.036633738951984E-2</c:v>
                </c:pt>
                <c:pt idx="17">
                  <c:v>2.4813850319468114E-2</c:v>
                </c:pt>
                <c:pt idx="18">
                  <c:v>2.2184408150082633E-2</c:v>
                </c:pt>
                <c:pt idx="19">
                  <c:v>2.1120326844190695E-2</c:v>
                </c:pt>
                <c:pt idx="20">
                  <c:v>2.0661069205789272E-2</c:v>
                </c:pt>
                <c:pt idx="21">
                  <c:v>2.0325663962918815E-2</c:v>
                </c:pt>
                <c:pt idx="22">
                  <c:v>1.9992756087636711E-2</c:v>
                </c:pt>
                <c:pt idx="23">
                  <c:v>1.9757013017808793E-2</c:v>
                </c:pt>
                <c:pt idx="24">
                  <c:v>1.9793599216253444E-2</c:v>
                </c:pt>
                <c:pt idx="25">
                  <c:v>2.0209131708213347E-2</c:v>
                </c:pt>
                <c:pt idx="26">
                  <c:v>2.0904763633429038E-2</c:v>
                </c:pt>
                <c:pt idx="27">
                  <c:v>2.1541188379696957E-2</c:v>
                </c:pt>
                <c:pt idx="28">
                  <c:v>2.1665407739699209E-2</c:v>
                </c:pt>
                <c:pt idx="29">
                  <c:v>2.0930958240914909E-2</c:v>
                </c:pt>
                <c:pt idx="30">
                  <c:v>1.9257617339977096E-2</c:v>
                </c:pt>
                <c:pt idx="31">
                  <c:v>1.6838249958448306E-2</c:v>
                </c:pt>
                <c:pt idx="32">
                  <c:v>1.4028563745643841E-2</c:v>
                </c:pt>
                <c:pt idx="33">
                  <c:v>1.1207898397622427E-2</c:v>
                </c:pt>
                <c:pt idx="34">
                  <c:v>8.6666349463280987E-3</c:v>
                </c:pt>
                <c:pt idx="35">
                  <c:v>6.544600307877067E-3</c:v>
                </c:pt>
                <c:pt idx="36">
                  <c:v>4.8380526205016377E-3</c:v>
                </c:pt>
                <c:pt idx="37">
                  <c:v>3.4679493927856002E-3</c:v>
                </c:pt>
                <c:pt idx="38">
                  <c:v>2.3608141854307052E-3</c:v>
                </c:pt>
                <c:pt idx="39">
                  <c:v>1.4872763790207042E-3</c:v>
                </c:pt>
                <c:pt idx="40">
                  <c:v>8.4599301655944334E-4</c:v>
                </c:pt>
                <c:pt idx="41">
                  <c:v>4.2621380279735663E-4</c:v>
                </c:pt>
                <c:pt idx="42">
                  <c:v>1.8831002726115174E-4</c:v>
                </c:pt>
                <c:pt idx="43">
                  <c:v>7.3497978039426388E-5</c:v>
                </c:pt>
                <c:pt idx="44">
                  <c:v>2.6292493372115963E-5</c:v>
                </c:pt>
                <c:pt idx="45">
                  <c:v>9.1910625517153373E-6</c:v>
                </c:pt>
                <c:pt idx="46">
                  <c:v>3.2551155214884689E-6</c:v>
                </c:pt>
                <c:pt idx="47">
                  <c:v>1.1076242704809956E-6</c:v>
                </c:pt>
                <c:pt idx="48">
                  <c:v>3.2561778063424659E-7</c:v>
                </c:pt>
                <c:pt idx="49">
                  <c:v>7.3718905816173617E-8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DB-43B1-94F2-040BC2EB1D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9264"/>
        <c:axId val="124978880"/>
      </c:lineChart>
      <c:catAx>
        <c:axId val="1249392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of Day</a:t>
                </a:r>
              </a:p>
            </c:rich>
          </c:tx>
          <c:layout/>
          <c:overlay val="0"/>
        </c:title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78880"/>
        <c:crosses val="autoZero"/>
        <c:auto val="1"/>
        <c:lblAlgn val="ctr"/>
        <c:lblOffset val="100"/>
        <c:tickLblSkip val="2"/>
        <c:noMultiLvlLbl val="0"/>
      </c:catAx>
      <c:valAx>
        <c:axId val="1249788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Tour Share (%)</a:t>
                </a:r>
              </a:p>
            </c:rich>
          </c:tx>
          <c:layout/>
          <c:overlay val="0"/>
        </c:title>
        <c:numFmt formatCode="0.0%" sourceLinked="0"/>
        <c:majorTickMark val="none"/>
        <c:minorTickMark val="none"/>
        <c:tickLblPos val="nextTo"/>
        <c:crossAx val="12493926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Other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Arrival_Time!$D$64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Arrival_Time!$D$65:$D$115</c:f>
              <c:numCache>
                <c:formatCode>0.00%</c:formatCode>
                <c:ptCount val="51"/>
                <c:pt idx="0">
                  <c:v>1.0714980313627227E-3</c:v>
                </c:pt>
                <c:pt idx="1">
                  <c:v>1.221017828576541E-3</c:v>
                </c:pt>
                <c:pt idx="2">
                  <c:v>1.5370364256635527E-3</c:v>
                </c:pt>
                <c:pt idx="3">
                  <c:v>2.1445061915783517E-3</c:v>
                </c:pt>
                <c:pt idx="4">
                  <c:v>3.1218967513836821E-3</c:v>
                </c:pt>
                <c:pt idx="5">
                  <c:v>4.5606833382188438E-3</c:v>
                </c:pt>
                <c:pt idx="6">
                  <c:v>6.6567522637232023E-3</c:v>
                </c:pt>
                <c:pt idx="7">
                  <c:v>9.7163370640645681E-3</c:v>
                </c:pt>
                <c:pt idx="8">
                  <c:v>1.3971210408165045E-2</c:v>
                </c:pt>
                <c:pt idx="9">
                  <c:v>1.9272025074089545E-2</c:v>
                </c:pt>
                <c:pt idx="10">
                  <c:v>2.492671268519325E-2</c:v>
                </c:pt>
                <c:pt idx="11">
                  <c:v>2.9921765564799328E-2</c:v>
                </c:pt>
                <c:pt idx="12">
                  <c:v>3.3444588428965014E-2</c:v>
                </c:pt>
                <c:pt idx="13">
                  <c:v>3.5305953449514219E-2</c:v>
                </c:pt>
                <c:pt idx="14">
                  <c:v>3.5917730574256547E-2</c:v>
                </c:pt>
                <c:pt idx="15">
                  <c:v>3.5893379253251069E-2</c:v>
                </c:pt>
                <c:pt idx="16">
                  <c:v>3.5658301498794634E-2</c:v>
                </c:pt>
                <c:pt idx="17">
                  <c:v>3.5356825512166422E-2</c:v>
                </c:pt>
                <c:pt idx="18">
                  <c:v>3.5010859125798439E-2</c:v>
                </c:pt>
                <c:pt idx="19">
                  <c:v>3.4707556700332244E-2</c:v>
                </c:pt>
                <c:pt idx="20">
                  <c:v>3.4655276874567667E-2</c:v>
                </c:pt>
                <c:pt idx="21">
                  <c:v>3.5077377482969893E-2</c:v>
                </c:pt>
                <c:pt idx="22">
                  <c:v>3.6019942571104573E-2</c:v>
                </c:pt>
                <c:pt idx="23">
                  <c:v>3.7237714671666866E-2</c:v>
                </c:pt>
                <c:pt idx="24">
                  <c:v>3.8308856011499477E-2</c:v>
                </c:pt>
                <c:pt idx="25">
                  <c:v>3.8930260002831278E-2</c:v>
                </c:pt>
                <c:pt idx="26">
                  <c:v>3.9123770729152713E-2</c:v>
                </c:pt>
                <c:pt idx="27">
                  <c:v>3.9132313024319965E-2</c:v>
                </c:pt>
                <c:pt idx="28">
                  <c:v>3.9101395426308923E-2</c:v>
                </c:pt>
                <c:pt idx="29">
                  <c:v>3.8862151997699164E-2</c:v>
                </c:pt>
                <c:pt idx="30">
                  <c:v>3.8005051237575541E-2</c:v>
                </c:pt>
                <c:pt idx="31">
                  <c:v>3.6141464161845896E-2</c:v>
                </c:pt>
                <c:pt idx="32">
                  <c:v>3.3123808319829619E-2</c:v>
                </c:pt>
                <c:pt idx="33">
                  <c:v>2.9098631285357526E-2</c:v>
                </c:pt>
                <c:pt idx="34">
                  <c:v>2.4422165693563348E-2</c:v>
                </c:pt>
                <c:pt idx="35">
                  <c:v>1.9531657469652155E-2</c:v>
                </c:pt>
                <c:pt idx="36">
                  <c:v>1.4840849230652304E-2</c:v>
                </c:pt>
                <c:pt idx="37">
                  <c:v>1.0678242835568775E-2</c:v>
                </c:pt>
                <c:pt idx="38">
                  <c:v>7.2559956566007758E-3</c:v>
                </c:pt>
                <c:pt idx="39">
                  <c:v>4.6559314606331691E-3</c:v>
                </c:pt>
                <c:pt idx="40">
                  <c:v>2.8339432549747061E-3</c:v>
                </c:pt>
                <c:pt idx="41">
                  <c:v>1.651403051873331E-3</c:v>
                </c:pt>
                <c:pt idx="42">
                  <c:v>9.2974716276845862E-4</c:v>
                </c:pt>
                <c:pt idx="43">
                  <c:v>5.0545968671647425E-4</c:v>
                </c:pt>
                <c:pt idx="44">
                  <c:v>2.6065679267805444E-4</c:v>
                </c:pt>
                <c:pt idx="45">
                  <c:v>1.2334115856090088E-4</c:v>
                </c:pt>
                <c:pt idx="46">
                  <c:v>5.145454430151365E-5</c:v>
                </c:pt>
                <c:pt idx="47">
                  <c:v>1.8166101360316487E-5</c:v>
                </c:pt>
                <c:pt idx="48">
                  <c:v>5.2031410108413296E-6</c:v>
                </c:pt>
                <c:pt idx="49">
                  <c:v>1.1327924585735886E-6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77-49B9-9209-4A69A586172C}"/>
            </c:ext>
          </c:extLst>
        </c:ser>
        <c:ser>
          <c:idx val="1"/>
          <c:order val="1"/>
          <c:tx>
            <c:strRef>
              <c:f>Arrival_Time!$K$64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Arrival_Time!$K$65:$K$115</c:f>
              <c:numCache>
                <c:formatCode>0.00%</c:formatCode>
                <c:ptCount val="51"/>
                <c:pt idx="0">
                  <c:v>1.7637228223549813E-3</c:v>
                </c:pt>
                <c:pt idx="1">
                  <c:v>1.9403278494209291E-3</c:v>
                </c:pt>
                <c:pt idx="2">
                  <c:v>2.1291019325782295E-3</c:v>
                </c:pt>
                <c:pt idx="3">
                  <c:v>2.4109928753791193E-3</c:v>
                </c:pt>
                <c:pt idx="4">
                  <c:v>2.977465732176551E-3</c:v>
                </c:pt>
                <c:pt idx="5">
                  <c:v>4.1214216874558996E-3</c:v>
                </c:pt>
                <c:pt idx="6">
                  <c:v>6.1639074677332E-3</c:v>
                </c:pt>
                <c:pt idx="7">
                  <c:v>9.3237808481280351E-3</c:v>
                </c:pt>
                <c:pt idx="8">
                  <c:v>1.3568897583877217E-2</c:v>
                </c:pt>
                <c:pt idx="9">
                  <c:v>1.8524463349682985E-2</c:v>
                </c:pt>
                <c:pt idx="10">
                  <c:v>2.3528542464980491E-2</c:v>
                </c:pt>
                <c:pt idx="11">
                  <c:v>2.7864678099728875E-2</c:v>
                </c:pt>
                <c:pt idx="12">
                  <c:v>3.1063538012566266E-2</c:v>
                </c:pt>
                <c:pt idx="13">
                  <c:v>3.306817135160918E-2</c:v>
                </c:pt>
                <c:pt idx="14">
                  <c:v>3.4144919939657035E-2</c:v>
                </c:pt>
                <c:pt idx="15">
                  <c:v>3.4644264241404515E-2</c:v>
                </c:pt>
                <c:pt idx="16">
                  <c:v>3.4829387796654648E-2</c:v>
                </c:pt>
                <c:pt idx="17">
                  <c:v>3.4867344847361259E-2</c:v>
                </c:pt>
                <c:pt idx="18">
                  <c:v>3.4888502919369423E-2</c:v>
                </c:pt>
                <c:pt idx="19">
                  <c:v>3.4992795220953082E-2</c:v>
                </c:pt>
                <c:pt idx="20">
                  <c:v>3.5203663330067428E-2</c:v>
                </c:pt>
                <c:pt idx="21">
                  <c:v>3.5455911931848751E-2</c:v>
                </c:pt>
                <c:pt idx="22">
                  <c:v>3.5661023117790666E-2</c:v>
                </c:pt>
                <c:pt idx="23">
                  <c:v>3.5801287079184452E-2</c:v>
                </c:pt>
                <c:pt idx="24">
                  <c:v>3.596868713514214E-2</c:v>
                </c:pt>
                <c:pt idx="25">
                  <c:v>3.6309263043171246E-2</c:v>
                </c:pt>
                <c:pt idx="26">
                  <c:v>3.6910481205704095E-2</c:v>
                </c:pt>
                <c:pt idx="27">
                  <c:v>3.7709609394372144E-2</c:v>
                </c:pt>
                <c:pt idx="28">
                  <c:v>3.8470923441091126E-2</c:v>
                </c:pt>
                <c:pt idx="29">
                  <c:v>3.8823607650860917E-2</c:v>
                </c:pt>
                <c:pt idx="30">
                  <c:v>3.8346301459586035E-2</c:v>
                </c:pt>
                <c:pt idx="31">
                  <c:v>3.6709964145663777E-2</c:v>
                </c:pt>
                <c:pt idx="32">
                  <c:v>3.3849346179845988E-2</c:v>
                </c:pt>
                <c:pt idx="33">
                  <c:v>3.0039402812142603E-2</c:v>
                </c:pt>
                <c:pt idx="34">
                  <c:v>2.5770405268418266E-2</c:v>
                </c:pt>
                <c:pt idx="35">
                  <c:v>2.1494619335168878E-2</c:v>
                </c:pt>
                <c:pt idx="36">
                  <c:v>1.7455000586606904E-2</c:v>
                </c:pt>
                <c:pt idx="37">
                  <c:v>1.3717102792626773E-2</c:v>
                </c:pt>
                <c:pt idx="38">
                  <c:v>1.0315883980974879E-2</c:v>
                </c:pt>
                <c:pt idx="39">
                  <c:v>7.345325085589916E-3</c:v>
                </c:pt>
                <c:pt idx="40">
                  <c:v>4.9235946079685582E-3</c:v>
                </c:pt>
                <c:pt idx="41">
                  <c:v>3.1061013828229088E-3</c:v>
                </c:pt>
                <c:pt idx="42">
                  <c:v>1.8464548562753115E-3</c:v>
                </c:pt>
                <c:pt idx="43">
                  <c:v>1.0297602338229118E-3</c:v>
                </c:pt>
                <c:pt idx="44">
                  <c:v>5.3045478476347694E-4</c:v>
                </c:pt>
                <c:pt idx="45">
                  <c:v>2.4579074907352176E-4</c:v>
                </c:pt>
                <c:pt idx="46">
                  <c:v>9.9128143611527771E-5</c:v>
                </c:pt>
                <c:pt idx="47">
                  <c:v>3.3579234392290657E-5</c:v>
                </c:pt>
                <c:pt idx="48">
                  <c:v>9.1895439849348052E-6</c:v>
                </c:pt>
                <c:pt idx="49">
                  <c:v>1.9104443556660263E-6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177-49B9-9209-4A69A58617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9776"/>
        <c:axId val="124981184"/>
      </c:lineChart>
      <c:catAx>
        <c:axId val="1249397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of Day</a:t>
                </a:r>
              </a:p>
            </c:rich>
          </c:tx>
          <c:layout/>
          <c:overlay val="0"/>
        </c:title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81184"/>
        <c:crosses val="autoZero"/>
        <c:auto val="1"/>
        <c:lblAlgn val="ctr"/>
        <c:lblOffset val="100"/>
        <c:tickLblSkip val="2"/>
        <c:noMultiLvlLbl val="0"/>
      </c:catAx>
      <c:valAx>
        <c:axId val="1249811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Tour Share (%)</a:t>
                </a:r>
              </a:p>
            </c:rich>
          </c:tx>
          <c:layout/>
          <c:overlay val="0"/>
        </c:title>
        <c:numFmt formatCode="0.0%" sourceLinked="0"/>
        <c:majorTickMark val="none"/>
        <c:minorTickMark val="none"/>
        <c:tickLblPos val="nextTo"/>
        <c:crossAx val="12493977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Work-based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Arrival_Time!$E$64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Arrival_Time!$E$65:$E$115</c:f>
              <c:numCache>
                <c:formatCode>0.00%</c:formatCode>
                <c:ptCount val="51"/>
                <c:pt idx="0">
                  <c:v>0</c:v>
                </c:pt>
                <c:pt idx="1">
                  <c:v>5.4717144675559976E-5</c:v>
                </c:pt>
                <c:pt idx="2">
                  <c:v>1.7433901192025257E-4</c:v>
                </c:pt>
                <c:pt idx="3">
                  <c:v>4.3801700273343318E-4</c:v>
                </c:pt>
                <c:pt idx="4">
                  <c:v>9.4015305677083141E-4</c:v>
                </c:pt>
                <c:pt idx="5">
                  <c:v>1.7861291651038033E-3</c:v>
                </c:pt>
                <c:pt idx="6">
                  <c:v>3.1054974727758133E-3</c:v>
                </c:pt>
                <c:pt idx="7">
                  <c:v>5.0814516283653422E-3</c:v>
                </c:pt>
                <c:pt idx="8">
                  <c:v>7.9460021839180481E-3</c:v>
                </c:pt>
                <c:pt idx="9">
                  <c:v>1.1886622366824253E-2</c:v>
                </c:pt>
                <c:pt idx="10">
                  <c:v>1.6899239239341786E-2</c:v>
                </c:pt>
                <c:pt idx="11">
                  <c:v>2.2735133617597242E-2</c:v>
                </c:pt>
                <c:pt idx="12">
                  <c:v>2.9078513064808926E-2</c:v>
                </c:pt>
                <c:pt idx="13">
                  <c:v>3.5892389813588048E-2</c:v>
                </c:pt>
                <c:pt idx="14">
                  <c:v>4.3619867162272577E-2</c:v>
                </c:pt>
                <c:pt idx="15">
                  <c:v>5.2894961627125238E-2</c:v>
                </c:pt>
                <c:pt idx="16">
                  <c:v>6.375532509493774E-2</c:v>
                </c:pt>
                <c:pt idx="17">
                  <c:v>7.4875973429312778E-2</c:v>
                </c:pt>
                <c:pt idx="18">
                  <c:v>8.3585886773746232E-2</c:v>
                </c:pt>
                <c:pt idx="19">
                  <c:v>8.7000386513338163E-2</c:v>
                </c:pt>
                <c:pt idx="20">
                  <c:v>8.367429949586469E-2</c:v>
                </c:pt>
                <c:pt idx="21">
                  <c:v>7.455795825922322E-2</c:v>
                </c:pt>
                <c:pt idx="22">
                  <c:v>6.2453934934675201E-2</c:v>
                </c:pt>
                <c:pt idx="23">
                  <c:v>5.0381266834053973E-2</c:v>
                </c:pt>
                <c:pt idx="24">
                  <c:v>4.0117652536869337E-2</c:v>
                </c:pt>
                <c:pt idx="25">
                  <c:v>3.1890475730866161E-2</c:v>
                </c:pt>
                <c:pt idx="26">
                  <c:v>2.5112801877650772E-2</c:v>
                </c:pt>
                <c:pt idx="27">
                  <c:v>1.9293821710205168E-2</c:v>
                </c:pt>
                <c:pt idx="28">
                  <c:v>1.4395071705034965E-2</c:v>
                </c:pt>
                <c:pt idx="29">
                  <c:v>1.0597828245896612E-2</c:v>
                </c:pt>
                <c:pt idx="30">
                  <c:v>7.935984558614835E-3</c:v>
                </c:pt>
                <c:pt idx="31">
                  <c:v>6.1796008582522535E-3</c:v>
                </c:pt>
                <c:pt idx="32">
                  <c:v>4.9880422980363619E-3</c:v>
                </c:pt>
                <c:pt idx="33">
                  <c:v>4.1155628739295742E-3</c:v>
                </c:pt>
                <c:pt idx="34">
                  <c:v>3.4852412821885664E-3</c:v>
                </c:pt>
                <c:pt idx="35">
                  <c:v>3.1091785656921188E-3</c:v>
                </c:pt>
                <c:pt idx="36">
                  <c:v>2.9586955615252923E-3</c:v>
                </c:pt>
                <c:pt idx="37">
                  <c:v>2.9059995439107622E-3</c:v>
                </c:pt>
                <c:pt idx="38">
                  <c:v>2.7777104377139099E-3</c:v>
                </c:pt>
                <c:pt idx="39">
                  <c:v>2.4586968736188771E-3</c:v>
                </c:pt>
                <c:pt idx="40">
                  <c:v>1.953718317522838E-3</c:v>
                </c:pt>
                <c:pt idx="41">
                  <c:v>1.3671343563368555E-3</c:v>
                </c:pt>
                <c:pt idx="42">
                  <c:v>8.299403617671163E-4</c:v>
                </c:pt>
                <c:pt idx="43">
                  <c:v>4.3047926442886433E-4</c:v>
                </c:pt>
                <c:pt idx="44">
                  <c:v>1.8740069445454837E-4</c:v>
                </c:pt>
                <c:pt idx="45">
                  <c:v>6.6960858256267538E-5</c:v>
                </c:pt>
                <c:pt idx="46">
                  <c:v>1.9070334129587109E-5</c:v>
                </c:pt>
                <c:pt idx="47">
                  <c:v>4.1532873439328925E-6</c:v>
                </c:pt>
                <c:pt idx="48">
                  <c:v>6.484364516421524E-7</c:v>
                </c:pt>
                <c:pt idx="49">
                  <c:v>6.4536329310356398E-8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CD-4D64-B3BB-08F13F363029}"/>
            </c:ext>
          </c:extLst>
        </c:ser>
        <c:ser>
          <c:idx val="1"/>
          <c:order val="1"/>
          <c:tx>
            <c:strRef>
              <c:f>Arrival_Time!$L$64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Arrival_Time!$L$65:$L$115</c:f>
              <c:numCache>
                <c:formatCode>0.00%</c:formatCode>
                <c:ptCount val="51"/>
                <c:pt idx="0">
                  <c:v>4.1905792111553326E-4</c:v>
                </c:pt>
                <c:pt idx="1">
                  <c:v>4.7830723080580716E-4</c:v>
                </c:pt>
                <c:pt idx="2">
                  <c:v>5.9451860320175074E-4</c:v>
                </c:pt>
                <c:pt idx="3">
                  <c:v>8.229013655914445E-4</c:v>
                </c:pt>
                <c:pt idx="4">
                  <c:v>1.2406316134736257E-3</c:v>
                </c:pt>
                <c:pt idx="5">
                  <c:v>1.9915643615754752E-3</c:v>
                </c:pt>
                <c:pt idx="6">
                  <c:v>3.3075378342388379E-3</c:v>
                </c:pt>
                <c:pt idx="7">
                  <c:v>5.4577692981771959E-3</c:v>
                </c:pt>
                <c:pt idx="8">
                  <c:v>8.6427116212171255E-3</c:v>
                </c:pt>
                <c:pt idx="9">
                  <c:v>1.2932010099261796E-2</c:v>
                </c:pt>
                <c:pt idx="10">
                  <c:v>1.8330342014916918E-2</c:v>
                </c:pt>
                <c:pt idx="11">
                  <c:v>2.4909072681917555E-2</c:v>
                </c:pt>
                <c:pt idx="12">
                  <c:v>3.2820752932395787E-2</c:v>
                </c:pt>
                <c:pt idx="13">
                  <c:v>4.2098274863603069E-2</c:v>
                </c:pt>
                <c:pt idx="14">
                  <c:v>5.2372623487185833E-2</c:v>
                </c:pt>
                <c:pt idx="15">
                  <c:v>6.2745679388314643E-2</c:v>
                </c:pt>
                <c:pt idx="16">
                  <c:v>7.1897520630577749E-2</c:v>
                </c:pt>
                <c:pt idx="17">
                  <c:v>7.8327959266685093E-2</c:v>
                </c:pt>
                <c:pt idx="18">
                  <c:v>8.0689472133525966E-2</c:v>
                </c:pt>
                <c:pt idx="19">
                  <c:v>7.8279630863300101E-2</c:v>
                </c:pt>
                <c:pt idx="20">
                  <c:v>7.1555364835145199E-2</c:v>
                </c:pt>
                <c:pt idx="21">
                  <c:v>6.2189092855926192E-2</c:v>
                </c:pt>
                <c:pt idx="22">
                  <c:v>5.2351733441931905E-2</c:v>
                </c:pt>
                <c:pt idx="23">
                  <c:v>4.3637606498096691E-2</c:v>
                </c:pt>
                <c:pt idx="24">
                  <c:v>3.6486302735002855E-2</c:v>
                </c:pt>
                <c:pt idx="25">
                  <c:v>3.0490430821707028E-2</c:v>
                </c:pt>
                <c:pt idx="26">
                  <c:v>2.51419220608298E-2</c:v>
                </c:pt>
                <c:pt idx="27">
                  <c:v>2.0306613329689721E-2</c:v>
                </c:pt>
                <c:pt idx="28">
                  <c:v>1.6166367486476887E-2</c:v>
                </c:pt>
                <c:pt idx="29">
                  <c:v>1.2894316909452879E-2</c:v>
                </c:pt>
                <c:pt idx="30">
                  <c:v>1.0437614251887413E-2</c:v>
                </c:pt>
                <c:pt idx="31">
                  <c:v>8.5508977631341757E-3</c:v>
                </c:pt>
                <c:pt idx="32">
                  <c:v>6.9765292178028213E-3</c:v>
                </c:pt>
                <c:pt idx="33">
                  <c:v>5.5893276960636189E-3</c:v>
                </c:pt>
                <c:pt idx="34">
                  <c:v>4.4026911291892949E-3</c:v>
                </c:pt>
                <c:pt idx="35">
                  <c:v>3.467557334525243E-3</c:v>
                </c:pt>
                <c:pt idx="36">
                  <c:v>2.7754226705180652E-3</c:v>
                </c:pt>
                <c:pt idx="37">
                  <c:v>2.2471232884798951E-3</c:v>
                </c:pt>
                <c:pt idx="38">
                  <c:v>1.7938741315165899E-3</c:v>
                </c:pt>
                <c:pt idx="39">
                  <c:v>1.3752699137942728E-3</c:v>
                </c:pt>
                <c:pt idx="40">
                  <c:v>1.0020948364616871E-3</c:v>
                </c:pt>
                <c:pt idx="41">
                  <c:v>6.9809136940023183E-4</c:v>
                </c:pt>
                <c:pt idx="42">
                  <c:v>4.6857401549018376E-4</c:v>
                </c:pt>
                <c:pt idx="43">
                  <c:v>3.0039653973902813E-4</c:v>
                </c:pt>
                <c:pt idx="44">
                  <c:v>1.7839340867076587E-4</c:v>
                </c:pt>
                <c:pt idx="45">
                  <c:v>9.416558109148933E-5</c:v>
                </c:pt>
                <c:pt idx="46">
                  <c:v>4.2445925348424104E-5</c:v>
                </c:pt>
                <c:pt idx="47">
                  <c:v>1.5762256413215678E-5</c:v>
                </c:pt>
                <c:pt idx="48">
                  <c:v>4.6515987680791826E-6</c:v>
                </c:pt>
                <c:pt idx="49">
                  <c:v>1.0278863650409237E-6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CD-4D64-B3BB-08F13F3630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610880"/>
        <c:axId val="124984064"/>
      </c:lineChart>
      <c:catAx>
        <c:axId val="1516108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of Day</a:t>
                </a:r>
              </a:p>
            </c:rich>
          </c:tx>
          <c:layout/>
          <c:overlay val="0"/>
        </c:title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84064"/>
        <c:crosses val="autoZero"/>
        <c:auto val="1"/>
        <c:lblAlgn val="ctr"/>
        <c:lblOffset val="100"/>
        <c:tickLblSkip val="2"/>
        <c:noMultiLvlLbl val="0"/>
      </c:catAx>
      <c:valAx>
        <c:axId val="1249840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Tour Share (%)</a:t>
                </a:r>
              </a:p>
            </c:rich>
          </c:tx>
          <c:layout/>
          <c:overlay val="0"/>
        </c:title>
        <c:numFmt formatCode="0.0%" sourceLinked="0"/>
        <c:majorTickMark val="none"/>
        <c:minorTickMark val="none"/>
        <c:tickLblPos val="nextTo"/>
        <c:crossAx val="15161088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Departure_Time!$B$64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Departure_Time!$B$65:$B$115</c:f>
              <c:numCache>
                <c:formatCode>0.00%</c:formatCode>
                <c:ptCount val="51"/>
                <c:pt idx="0">
                  <c:v>4.0475094342041825E-3</c:v>
                </c:pt>
                <c:pt idx="1">
                  <c:v>2.709592268337929E-3</c:v>
                </c:pt>
                <c:pt idx="2">
                  <c:v>1.619876369360263E-3</c:v>
                </c:pt>
                <c:pt idx="3">
                  <c:v>9.2610335708767156E-4</c:v>
                </c:pt>
                <c:pt idx="4">
                  <c:v>6.4500915456025423E-4</c:v>
                </c:pt>
                <c:pt idx="5">
                  <c:v>7.0913244176381088E-4</c:v>
                </c:pt>
                <c:pt idx="6">
                  <c:v>1.0413888347217263E-3</c:v>
                </c:pt>
                <c:pt idx="7">
                  <c:v>1.6020787520489989E-3</c:v>
                </c:pt>
                <c:pt idx="8">
                  <c:v>2.3835136187707199E-3</c:v>
                </c:pt>
                <c:pt idx="9">
                  <c:v>3.3654214517280664E-3</c:v>
                </c:pt>
                <c:pt idx="10">
                  <c:v>4.4757166387895692E-3</c:v>
                </c:pt>
                <c:pt idx="11">
                  <c:v>5.6062575527250288E-3</c:v>
                </c:pt>
                <c:pt idx="12">
                  <c:v>6.6930163009919592E-3</c:v>
                </c:pt>
                <c:pt idx="13">
                  <c:v>7.8063624754227783E-3</c:v>
                </c:pt>
                <c:pt idx="14">
                  <c:v>9.1661601961440502E-3</c:v>
                </c:pt>
                <c:pt idx="15">
                  <c:v>1.1034538511383593E-2</c:v>
                </c:pt>
                <c:pt idx="16">
                  <c:v>1.3532336698697441E-2</c:v>
                </c:pt>
                <c:pt idx="17">
                  <c:v>1.6515979065887303E-2</c:v>
                </c:pt>
                <c:pt idx="18">
                  <c:v>1.9659014658439694E-2</c:v>
                </c:pt>
                <c:pt idx="19">
                  <c:v>2.2753761357379124E-2</c:v>
                </c:pt>
                <c:pt idx="20">
                  <c:v>2.604170713357374E-2</c:v>
                </c:pt>
                <c:pt idx="21">
                  <c:v>3.0277794765090044E-2</c:v>
                </c:pt>
                <c:pt idx="22">
                  <c:v>3.6386482541287624E-2</c:v>
                </c:pt>
                <c:pt idx="23">
                  <c:v>4.489517849416174E-2</c:v>
                </c:pt>
                <c:pt idx="24">
                  <c:v>5.5519164500910476E-2</c:v>
                </c:pt>
                <c:pt idx="25">
                  <c:v>6.7097532834130419E-2</c:v>
                </c:pt>
                <c:pt idx="26">
                  <c:v>7.775068944026263E-2</c:v>
                </c:pt>
                <c:pt idx="27">
                  <c:v>8.5114141144118152E-2</c:v>
                </c:pt>
                <c:pt idx="28">
                  <c:v>8.6833635383993829E-2</c:v>
                </c:pt>
                <c:pt idx="29">
                  <c:v>8.1543216182406675E-2</c:v>
                </c:pt>
                <c:pt idx="30">
                  <c:v>6.9903897394704401E-2</c:v>
                </c:pt>
                <c:pt idx="31">
                  <c:v>5.4714540612114337E-2</c:v>
                </c:pt>
                <c:pt idx="32">
                  <c:v>3.9650533965812876E-2</c:v>
                </c:pt>
                <c:pt idx="33">
                  <c:v>2.7475188088895874E-2</c:v>
                </c:pt>
                <c:pt idx="34">
                  <c:v>1.9084284825528104E-2</c:v>
                </c:pt>
                <c:pt idx="35">
                  <c:v>1.3871985830872955E-2</c:v>
                </c:pt>
                <c:pt idx="36">
                  <c:v>1.0731199853169018E-2</c:v>
                </c:pt>
                <c:pt idx="37">
                  <c:v>8.7621305245101245E-3</c:v>
                </c:pt>
                <c:pt idx="38">
                  <c:v>7.3990127274846289E-3</c:v>
                </c:pt>
                <c:pt idx="39">
                  <c:v>6.2661941409400592E-3</c:v>
                </c:pt>
                <c:pt idx="40">
                  <c:v>5.1109901838565673E-3</c:v>
                </c:pt>
                <c:pt idx="41">
                  <c:v>3.8536791692405227E-3</c:v>
                </c:pt>
                <c:pt idx="42">
                  <c:v>2.5996710059883197E-3</c:v>
                </c:pt>
                <c:pt idx="43">
                  <c:v>1.533941650475767E-3</c:v>
                </c:pt>
                <c:pt idx="44">
                  <c:v>7.7983747843434381E-4</c:v>
                </c:pt>
                <c:pt idx="45">
                  <c:v>3.3792672736989587E-4</c:v>
                </c:pt>
                <c:pt idx="46">
                  <c:v>1.2363326251748979E-4</c:v>
                </c:pt>
                <c:pt idx="47">
                  <c:v>3.7750660284780779E-5</c:v>
                </c:pt>
                <c:pt idx="48">
                  <c:v>9.4438071279570424E-6</c:v>
                </c:pt>
                <c:pt idx="49">
                  <c:v>1.8465322922250466E-6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9F-4878-A716-6161FC8A6E57}"/>
            </c:ext>
          </c:extLst>
        </c:ser>
        <c:ser>
          <c:idx val="1"/>
          <c:order val="1"/>
          <c:tx>
            <c:strRef>
              <c:f>Departure_Time!$I$64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Departure_Time!$I$65:$I$115</c:f>
              <c:numCache>
                <c:formatCode>0.00%</c:formatCode>
                <c:ptCount val="51"/>
                <c:pt idx="0">
                  <c:v>9.738005967387834E-3</c:v>
                </c:pt>
                <c:pt idx="1">
                  <c:v>6.5289765729358018E-3</c:v>
                </c:pt>
                <c:pt idx="2">
                  <c:v>3.8770471676559054E-3</c:v>
                </c:pt>
                <c:pt idx="3">
                  <c:v>2.0926879848539429E-3</c:v>
                </c:pt>
                <c:pt idx="4">
                  <c:v>1.1722310785879065E-3</c:v>
                </c:pt>
                <c:pt idx="5">
                  <c:v>9.1922786071523715E-4</c:v>
                </c:pt>
                <c:pt idx="6">
                  <c:v>1.1174400843311076E-3</c:v>
                </c:pt>
                <c:pt idx="7">
                  <c:v>1.6286470122602859E-3</c:v>
                </c:pt>
                <c:pt idx="8">
                  <c:v>2.39605409151376E-3</c:v>
                </c:pt>
                <c:pt idx="9">
                  <c:v>3.4075711482929334E-3</c:v>
                </c:pt>
                <c:pt idx="10">
                  <c:v>4.6690179624187906E-3</c:v>
                </c:pt>
                <c:pt idx="11">
                  <c:v>6.1978076751975E-3</c:v>
                </c:pt>
                <c:pt idx="12">
                  <c:v>8.0181502735040006E-3</c:v>
                </c:pt>
                <c:pt idx="13">
                  <c:v>1.0136756855085154E-2</c:v>
                </c:pt>
                <c:pt idx="14">
                  <c:v>1.25031815398635E-2</c:v>
                </c:pt>
                <c:pt idx="15">
                  <c:v>1.4989314666666446E-2</c:v>
                </c:pt>
                <c:pt idx="16">
                  <c:v>1.7421209595369927E-2</c:v>
                </c:pt>
                <c:pt idx="17">
                  <c:v>1.9656382402676083E-2</c:v>
                </c:pt>
                <c:pt idx="18">
                  <c:v>2.1665198372244607E-2</c:v>
                </c:pt>
                <c:pt idx="19">
                  <c:v>2.3586866234677307E-2</c:v>
                </c:pt>
                <c:pt idx="20">
                  <c:v>2.5764327469693097E-2</c:v>
                </c:pt>
                <c:pt idx="21">
                  <c:v>2.8755204717979582E-2</c:v>
                </c:pt>
                <c:pt idx="22">
                  <c:v>3.3260354005082038E-2</c:v>
                </c:pt>
                <c:pt idx="23">
                  <c:v>3.9890093726284666E-2</c:v>
                </c:pt>
                <c:pt idx="24">
                  <c:v>4.8779305021675046E-2</c:v>
                </c:pt>
                <c:pt idx="25">
                  <c:v>5.9216589700980697E-2</c:v>
                </c:pt>
                <c:pt idx="26">
                  <c:v>6.952449286200213E-2</c:v>
                </c:pt>
                <c:pt idx="27">
                  <c:v>7.7351984924180953E-2</c:v>
                </c:pt>
                <c:pt idx="28">
                  <c:v>8.0380935202995094E-2</c:v>
                </c:pt>
                <c:pt idx="29">
                  <c:v>7.7252347536851576E-2</c:v>
                </c:pt>
                <c:pt idx="30">
                  <c:v>6.8295846246955422E-2</c:v>
                </c:pt>
                <c:pt idx="31">
                  <c:v>5.5564413666168079E-2</c:v>
                </c:pt>
                <c:pt idx="32">
                  <c:v>4.1996360011641448E-2</c:v>
                </c:pt>
                <c:pt idx="33">
                  <c:v>3.0148691862933071E-2</c:v>
                </c:pt>
                <c:pt idx="34">
                  <c:v>2.1300627157043905E-2</c:v>
                </c:pt>
                <c:pt idx="35">
                  <c:v>1.5407866508342374E-2</c:v>
                </c:pt>
                <c:pt idx="36">
                  <c:v>1.1705116165332966E-2</c:v>
                </c:pt>
                <c:pt idx="37">
                  <c:v>9.368740346076548E-3</c:v>
                </c:pt>
                <c:pt idx="38">
                  <c:v>7.825691469492713E-3</c:v>
                </c:pt>
                <c:pt idx="39">
                  <c:v>6.7183117278566858E-3</c:v>
                </c:pt>
                <c:pt idx="40">
                  <c:v>5.7787439718583206E-3</c:v>
                </c:pt>
                <c:pt idx="41">
                  <c:v>4.8022024244979656E-3</c:v>
                </c:pt>
                <c:pt idx="42">
                  <c:v>3.7088385368122105E-3</c:v>
                </c:pt>
                <c:pt idx="43">
                  <c:v>2.5747872452824799E-3</c:v>
                </c:pt>
                <c:pt idx="44">
                  <c:v>1.5648741157869325E-3</c:v>
                </c:pt>
                <c:pt idx="45">
                  <c:v>8.1455960634225881E-4</c:v>
                </c:pt>
                <c:pt idx="46">
                  <c:v>3.5564106358313135E-4</c:v>
                </c:pt>
                <c:pt idx="47">
                  <c:v>1.2726344535402787E-4</c:v>
                </c:pt>
                <c:pt idx="48">
                  <c:v>3.6246237665133062E-5</c:v>
                </c:pt>
                <c:pt idx="49">
                  <c:v>7.7684770114215996E-6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9F-4878-A716-6161FC8A6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078080"/>
        <c:axId val="58171968"/>
      </c:lineChart>
      <c:catAx>
        <c:axId val="84078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of Day</a:t>
                </a:r>
              </a:p>
            </c:rich>
          </c:tx>
          <c:layout/>
          <c:overlay val="0"/>
        </c:title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1968"/>
        <c:crosses val="autoZero"/>
        <c:auto val="1"/>
        <c:lblAlgn val="ctr"/>
        <c:lblOffset val="100"/>
        <c:tickLblSkip val="2"/>
        <c:noMultiLvlLbl val="0"/>
      </c:catAx>
      <c:valAx>
        <c:axId val="581719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Tour Share (%)</a:t>
                </a:r>
              </a:p>
            </c:rich>
          </c:tx>
          <c:layout/>
          <c:overlay val="0"/>
        </c:title>
        <c:numFmt formatCode="0.0%" sourceLinked="0"/>
        <c:majorTickMark val="none"/>
        <c:minorTickMark val="none"/>
        <c:tickLblPos val="nextTo"/>
        <c:crossAx val="8407808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Other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Departure_Time!$D$64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Departure_Time!$D$65:$D$115</c:f>
              <c:numCache>
                <c:formatCode>0.00%</c:formatCode>
                <c:ptCount val="51"/>
                <c:pt idx="0">
                  <c:v>4.8436112182328565E-3</c:v>
                </c:pt>
                <c:pt idx="1">
                  <c:v>3.3817522244527025E-3</c:v>
                </c:pt>
                <c:pt idx="2">
                  <c:v>2.2158859323662024E-3</c:v>
                </c:pt>
                <c:pt idx="3">
                  <c:v>1.567422593450836E-3</c:v>
                </c:pt>
                <c:pt idx="4">
                  <c:v>1.5633185030234176E-3</c:v>
                </c:pt>
                <c:pt idx="5">
                  <c:v>2.2762444124171922E-3</c:v>
                </c:pt>
                <c:pt idx="6">
                  <c:v>3.7770797792598702E-3</c:v>
                </c:pt>
                <c:pt idx="7">
                  <c:v>6.1318860263296767E-3</c:v>
                </c:pt>
                <c:pt idx="8">
                  <c:v>9.3052039890804388E-3</c:v>
                </c:pt>
                <c:pt idx="9">
                  <c:v>1.302213602680732E-2</c:v>
                </c:pt>
                <c:pt idx="10">
                  <c:v>1.6741619029336768E-2</c:v>
                </c:pt>
                <c:pt idx="11">
                  <c:v>1.9863038536885327E-2</c:v>
                </c:pt>
                <c:pt idx="12">
                  <c:v>2.2074511305863735E-2</c:v>
                </c:pt>
                <c:pt idx="13">
                  <c:v>2.355618758628833E-2</c:v>
                </c:pt>
                <c:pt idx="14">
                  <c:v>2.4836374941043723E-2</c:v>
                </c:pt>
                <c:pt idx="15">
                  <c:v>2.6409052505805251E-2</c:v>
                </c:pt>
                <c:pt idx="16">
                  <c:v>2.842322941291767E-2</c:v>
                </c:pt>
                <c:pt idx="17">
                  <c:v>3.0656700262948214E-2</c:v>
                </c:pt>
                <c:pt idx="18">
                  <c:v>3.2739454032265039E-2</c:v>
                </c:pt>
                <c:pt idx="19">
                  <c:v>3.4434162529733893E-2</c:v>
                </c:pt>
                <c:pt idx="20">
                  <c:v>3.5783240985428816E-2</c:v>
                </c:pt>
                <c:pt idx="21">
                  <c:v>3.7035307811921103E-2</c:v>
                </c:pt>
                <c:pt idx="22">
                  <c:v>3.8408010076246051E-2</c:v>
                </c:pt>
                <c:pt idx="23">
                  <c:v>3.9866147991847435E-2</c:v>
                </c:pt>
                <c:pt idx="24">
                  <c:v>4.1098578420871126E-2</c:v>
                </c:pt>
                <c:pt idx="25">
                  <c:v>4.1722969320957967E-2</c:v>
                </c:pt>
                <c:pt idx="26">
                  <c:v>4.1551441325391715E-2</c:v>
                </c:pt>
                <c:pt idx="27">
                  <c:v>4.0705086773138846E-2</c:v>
                </c:pt>
                <c:pt idx="28">
                  <c:v>3.9512571817227199E-2</c:v>
                </c:pt>
                <c:pt idx="29">
                  <c:v>3.830208250312065E-2</c:v>
                </c:pt>
                <c:pt idx="30">
                  <c:v>3.7237619873231431E-2</c:v>
                </c:pt>
                <c:pt idx="31">
                  <c:v>3.6273713100805585E-2</c:v>
                </c:pt>
                <c:pt idx="32">
                  <c:v>3.5208965382037133E-2</c:v>
                </c:pt>
                <c:pt idx="33">
                  <c:v>3.3772352221018612E-2</c:v>
                </c:pt>
                <c:pt idx="34">
                  <c:v>3.16972688855542E-2</c:v>
                </c:pt>
                <c:pt idx="35">
                  <c:v>2.8797451801178823E-2</c:v>
                </c:pt>
                <c:pt idx="36">
                  <c:v>2.5065566374475573E-2</c:v>
                </c:pt>
                <c:pt idx="37">
                  <c:v>2.0739965028786091E-2</c:v>
                </c:pt>
                <c:pt idx="38">
                  <c:v>1.624942561092951E-2</c:v>
                </c:pt>
                <c:pt idx="39">
                  <c:v>1.204414053934616E-2</c:v>
                </c:pt>
                <c:pt idx="40">
                  <c:v>8.4384485644670715E-3</c:v>
                </c:pt>
                <c:pt idx="41">
                  <c:v>5.5661623570505787E-3</c:v>
                </c:pt>
                <c:pt idx="42">
                  <c:v>3.427019096360273E-3</c:v>
                </c:pt>
                <c:pt idx="43">
                  <c:v>1.9450710610425758E-3</c:v>
                </c:pt>
                <c:pt idx="44">
                  <c:v>1.0024201479083795E-3</c:v>
                </c:pt>
                <c:pt idx="45">
                  <c:v>4.6082939096606887E-4</c:v>
                </c:pt>
                <c:pt idx="46">
                  <c:v>1.8491287014271479E-4</c:v>
                </c:pt>
                <c:pt idx="47">
                  <c:v>6.3003181264449298E-5</c:v>
                </c:pt>
                <c:pt idx="48">
                  <c:v>1.7584920931824519E-5</c:v>
                </c:pt>
                <c:pt idx="49">
                  <c:v>3.7717178435902141E-6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63-43D5-8BFA-D356129B1028}"/>
            </c:ext>
          </c:extLst>
        </c:ser>
        <c:ser>
          <c:idx val="1"/>
          <c:order val="1"/>
          <c:tx>
            <c:strRef>
              <c:f>Departure_Time!$K$64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Departure_Time!$K$65:$K$115</c:f>
              <c:numCache>
                <c:formatCode>0.00%</c:formatCode>
                <c:ptCount val="51"/>
                <c:pt idx="0">
                  <c:v>3.9834788731231419E-3</c:v>
                </c:pt>
                <c:pt idx="1">
                  <c:v>3.1363132219060764E-3</c:v>
                </c:pt>
                <c:pt idx="2">
                  <c:v>2.4745243503984291E-3</c:v>
                </c:pt>
                <c:pt idx="3">
                  <c:v>2.1220195301440057E-3</c:v>
                </c:pt>
                <c:pt idx="4">
                  <c:v>2.1464227309036608E-3</c:v>
                </c:pt>
                <c:pt idx="5">
                  <c:v>2.6212684729950459E-3</c:v>
                </c:pt>
                <c:pt idx="6">
                  <c:v>3.6700920546058518E-3</c:v>
                </c:pt>
                <c:pt idx="7">
                  <c:v>5.4311995495905912E-3</c:v>
                </c:pt>
                <c:pt idx="8">
                  <c:v>7.9566491149950687E-3</c:v>
                </c:pt>
                <c:pt idx="9">
                  <c:v>1.112489964184271E-2</c:v>
                </c:pt>
                <c:pt idx="10">
                  <c:v>1.4648969038971137E-2</c:v>
                </c:pt>
                <c:pt idx="11">
                  <c:v>1.8192104083361076E-2</c:v>
                </c:pt>
                <c:pt idx="12">
                  <c:v>2.1507297360461204E-2</c:v>
                </c:pt>
                <c:pt idx="13">
                  <c:v>2.4484482887379873E-2</c:v>
                </c:pt>
                <c:pt idx="14">
                  <c:v>2.7075871635410313E-2</c:v>
                </c:pt>
                <c:pt idx="15">
                  <c:v>2.9203547653758301E-2</c:v>
                </c:pt>
                <c:pt idx="16">
                  <c:v>3.0776153677245892E-2</c:v>
                </c:pt>
                <c:pt idx="17">
                  <c:v>3.1806511738523148E-2</c:v>
                </c:pt>
                <c:pt idx="18">
                  <c:v>3.2486306387892135E-2</c:v>
                </c:pt>
                <c:pt idx="19">
                  <c:v>3.3109559803632095E-2</c:v>
                </c:pt>
                <c:pt idx="20">
                  <c:v>3.390181293326508E-2</c:v>
                </c:pt>
                <c:pt idx="21">
                  <c:v>3.4906820459883595E-2</c:v>
                </c:pt>
                <c:pt idx="22">
                  <c:v>3.6006892901893739E-2</c:v>
                </c:pt>
                <c:pt idx="23">
                  <c:v>3.7017910400081407E-2</c:v>
                </c:pt>
                <c:pt idx="24">
                  <c:v>3.7767761022861585E-2</c:v>
                </c:pt>
                <c:pt idx="25">
                  <c:v>3.8142542211908853E-2</c:v>
                </c:pt>
                <c:pt idx="26">
                  <c:v>3.8132481439881703E-2</c:v>
                </c:pt>
                <c:pt idx="27">
                  <c:v>3.7863061931212173E-2</c:v>
                </c:pt>
                <c:pt idx="28">
                  <c:v>3.7552172064677071E-2</c:v>
                </c:pt>
                <c:pt idx="29">
                  <c:v>3.7385290266092469E-2</c:v>
                </c:pt>
                <c:pt idx="30">
                  <c:v>3.7387881773728378E-2</c:v>
                </c:pt>
                <c:pt idx="31">
                  <c:v>3.7380947736776776E-2</c:v>
                </c:pt>
                <c:pt idx="32">
                  <c:v>3.7031875732313847E-2</c:v>
                </c:pt>
                <c:pt idx="33">
                  <c:v>3.5957780674730266E-2</c:v>
                </c:pt>
                <c:pt idx="34">
                  <c:v>3.3850976510375802E-2</c:v>
                </c:pt>
                <c:pt idx="35">
                  <c:v>3.0616389599861051E-2</c:v>
                </c:pt>
                <c:pt idx="36">
                  <c:v>2.6472900030212049E-2</c:v>
                </c:pt>
                <c:pt idx="37">
                  <c:v>2.1922087365035883E-2</c:v>
                </c:pt>
                <c:pt idx="38">
                  <c:v>1.7543080249526999E-2</c:v>
                </c:pt>
                <c:pt idx="39">
                  <c:v>1.3727654003329003E-2</c:v>
                </c:pt>
                <c:pt idx="40">
                  <c:v>1.0554092648536609E-2</c:v>
                </c:pt>
                <c:pt idx="41">
                  <c:v>7.8862987100506588E-3</c:v>
                </c:pt>
                <c:pt idx="42">
                  <c:v>5.5834974153050288E-3</c:v>
                </c:pt>
                <c:pt idx="43">
                  <c:v>3.6297693515377222E-3</c:v>
                </c:pt>
                <c:pt idx="44">
                  <c:v>2.1025707786278091E-3</c:v>
                </c:pt>
                <c:pt idx="45">
                  <c:v>1.0567640042934417E-3</c:v>
                </c:pt>
                <c:pt idx="46">
                  <c:v>4.4960026987311748E-4</c:v>
                </c:pt>
                <c:pt idx="47">
                  <c:v>1.5777566527831874E-4</c:v>
                </c:pt>
                <c:pt idx="48">
                  <c:v>4.4263640851728021E-5</c:v>
                </c:pt>
                <c:pt idx="49">
                  <c:v>9.3764008580891774E-6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D63-43D5-8BFA-D356129B10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1984"/>
        <c:axId val="58176576"/>
      </c:lineChart>
      <c:catAx>
        <c:axId val="582819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of Day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6576"/>
        <c:crosses val="autoZero"/>
        <c:auto val="1"/>
        <c:lblAlgn val="ctr"/>
        <c:lblOffset val="100"/>
        <c:tickLblSkip val="2"/>
        <c:noMultiLvlLbl val="0"/>
      </c:catAx>
      <c:valAx>
        <c:axId val="581765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Tour Share (%)</a:t>
                </a:r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crossAx val="5828198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Work-based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Departure_Time!$E$64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Departure_Time!$E$65:$E$115</c:f>
              <c:numCache>
                <c:formatCode>0.00%</c:formatCode>
                <c:ptCount val="51"/>
                <c:pt idx="0">
                  <c:v>0</c:v>
                </c:pt>
                <c:pt idx="1">
                  <c:v>2.6201661451333256E-5</c:v>
                </c:pt>
                <c:pt idx="2">
                  <c:v>8.2101876395059489E-5</c:v>
                </c:pt>
                <c:pt idx="3">
                  <c:v>2.0218664356295554E-4</c:v>
                </c:pt>
                <c:pt idx="4">
                  <c:v>4.2107911216489709E-4</c:v>
                </c:pt>
                <c:pt idx="5">
                  <c:v>7.6235318374902718E-4</c:v>
                </c:pt>
                <c:pt idx="6">
                  <c:v>1.2405139979111467E-3</c:v>
                </c:pt>
                <c:pt idx="7">
                  <c:v>1.8949543959750014E-3</c:v>
                </c:pt>
                <c:pt idx="8">
                  <c:v>2.8410687287176214E-3</c:v>
                </c:pt>
                <c:pt idx="9">
                  <c:v>4.287624595332217E-3</c:v>
                </c:pt>
                <c:pt idx="10">
                  <c:v>6.4886832420695227E-3</c:v>
                </c:pt>
                <c:pt idx="11">
                  <c:v>9.6743077849327421E-3</c:v>
                </c:pt>
                <c:pt idx="12">
                  <c:v>1.4049936345113194E-2</c:v>
                </c:pt>
                <c:pt idx="13">
                  <c:v>1.9888195185808848E-2</c:v>
                </c:pt>
                <c:pt idx="14">
                  <c:v>2.7598968362428977E-2</c:v>
                </c:pt>
                <c:pt idx="15">
                  <c:v>3.7600955204525582E-2</c:v>
                </c:pt>
                <c:pt idx="16">
                  <c:v>4.9933412423920957E-2</c:v>
                </c:pt>
                <c:pt idx="17">
                  <c:v>6.3771828434818406E-2</c:v>
                </c:pt>
                <c:pt idx="18">
                  <c:v>7.7175935156925252E-2</c:v>
                </c:pt>
                <c:pt idx="19">
                  <c:v>8.7394091433760618E-2</c:v>
                </c:pt>
                <c:pt idx="20">
                  <c:v>9.1825743219209333E-2</c:v>
                </c:pt>
                <c:pt idx="21">
                  <c:v>8.9284582194079837E-2</c:v>
                </c:pt>
                <c:pt idx="22">
                  <c:v>8.0752398741862783E-2</c:v>
                </c:pt>
                <c:pt idx="23">
                  <c:v>6.8927103827095659E-2</c:v>
                </c:pt>
                <c:pt idx="24">
                  <c:v>5.675082705694745E-2</c:v>
                </c:pt>
                <c:pt idx="25">
                  <c:v>4.6005732830290337E-2</c:v>
                </c:pt>
                <c:pt idx="26">
                  <c:v>3.6981233053702232E-2</c:v>
                </c:pt>
                <c:pt idx="27">
                  <c:v>2.9190280626110655E-2</c:v>
                </c:pt>
                <c:pt idx="28">
                  <c:v>2.2260154240198372E-2</c:v>
                </c:pt>
                <c:pt idx="29">
                  <c:v>1.6255434097567568E-2</c:v>
                </c:pt>
                <c:pt idx="30">
                  <c:v>1.1434299415903812E-2</c:v>
                </c:pt>
                <c:pt idx="31">
                  <c:v>7.906161221986386E-3</c:v>
                </c:pt>
                <c:pt idx="32">
                  <c:v>5.5308227113639377E-3</c:v>
                </c:pt>
                <c:pt idx="33">
                  <c:v>4.0436723388253999E-3</c:v>
                </c:pt>
                <c:pt idx="34">
                  <c:v>3.2136056169662459E-3</c:v>
                </c:pt>
                <c:pt idx="35">
                  <c:v>2.8946278078185532E-3</c:v>
                </c:pt>
                <c:pt idx="36">
                  <c:v>2.9662247121423359E-3</c:v>
                </c:pt>
                <c:pt idx="37">
                  <c:v>3.2491171534228549E-3</c:v>
                </c:pt>
                <c:pt idx="38">
                  <c:v>3.4912741232337985E-3</c:v>
                </c:pt>
                <c:pt idx="39">
                  <c:v>3.4531787962040757E-3</c:v>
                </c:pt>
                <c:pt idx="40">
                  <c:v>3.0304262398257592E-3</c:v>
                </c:pt>
                <c:pt idx="41">
                  <c:v>2.3099092246779062E-3</c:v>
                </c:pt>
                <c:pt idx="42">
                  <c:v>1.5065282158763225E-3</c:v>
                </c:pt>
                <c:pt idx="43">
                  <c:v>8.2916813632671188E-4</c:v>
                </c:pt>
                <c:pt idx="44">
                  <c:v>3.7914624039611617E-4</c:v>
                </c:pt>
                <c:pt idx="45">
                  <c:v>1.4121039286432225E-4</c:v>
                </c:pt>
                <c:pt idx="46">
                  <c:v>4.1694188614889303E-5</c:v>
                </c:pt>
                <c:pt idx="47">
                  <c:v>9.3811357186285578E-6</c:v>
                </c:pt>
                <c:pt idx="48">
                  <c:v>1.5099276793092448E-6</c:v>
                </c:pt>
                <c:pt idx="49">
                  <c:v>1.5474352484266259E-7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7E-4897-815B-9836D1FFA155}"/>
            </c:ext>
          </c:extLst>
        </c:ser>
        <c:ser>
          <c:idx val="1"/>
          <c:order val="1"/>
          <c:tx>
            <c:strRef>
              <c:f>Departure_Time!$L$64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Departure_Time!$L$65:$L$115</c:f>
              <c:numCache>
                <c:formatCode>0.00%</c:formatCode>
                <c:ptCount val="51"/>
                <c:pt idx="0">
                  <c:v>4.1898025008849522E-4</c:v>
                </c:pt>
                <c:pt idx="1">
                  <c:v>4.0185576853056076E-4</c:v>
                </c:pt>
                <c:pt idx="2">
                  <c:v>4.4422579309253871E-4</c:v>
                </c:pt>
                <c:pt idx="3">
                  <c:v>5.9462268755546682E-4</c:v>
                </c:pt>
                <c:pt idx="4">
                  <c:v>8.9209902739573633E-4</c:v>
                </c:pt>
                <c:pt idx="5">
                  <c:v>1.3842015153827671E-3</c:v>
                </c:pt>
                <c:pt idx="6">
                  <c:v>2.1527253379170033E-3</c:v>
                </c:pt>
                <c:pt idx="7">
                  <c:v>3.3281147464634224E-3</c:v>
                </c:pt>
                <c:pt idx="8">
                  <c:v>5.076556444340706E-3</c:v>
                </c:pt>
                <c:pt idx="9">
                  <c:v>7.5684249821357779E-3</c:v>
                </c:pt>
                <c:pt idx="10">
                  <c:v>1.0963525839116832E-2</c:v>
                </c:pt>
                <c:pt idx="11">
                  <c:v>1.5433960377261477E-2</c:v>
                </c:pt>
                <c:pt idx="12">
                  <c:v>2.1182774285478167E-2</c:v>
                </c:pt>
                <c:pt idx="13">
                  <c:v>2.8379835938186514E-2</c:v>
                </c:pt>
                <c:pt idx="14">
                  <c:v>3.6999710289316784E-2</c:v>
                </c:pt>
                <c:pt idx="15">
                  <c:v>4.6656440968119148E-2</c:v>
                </c:pt>
                <c:pt idx="16">
                  <c:v>5.6550910248635566E-2</c:v>
                </c:pt>
                <c:pt idx="17">
                  <c:v>6.5560766965010911E-2</c:v>
                </c:pt>
                <c:pt idx="18">
                  <c:v>7.2445947407719924E-2</c:v>
                </c:pt>
                <c:pt idx="19">
                  <c:v>7.6161769790050932E-2</c:v>
                </c:pt>
                <c:pt idx="20">
                  <c:v>7.6224921167250104E-2</c:v>
                </c:pt>
                <c:pt idx="21">
                  <c:v>7.2924925543100719E-2</c:v>
                </c:pt>
                <c:pt idx="22">
                  <c:v>6.7161093796627616E-2</c:v>
                </c:pt>
                <c:pt idx="23">
                  <c:v>5.9975282057078867E-2</c:v>
                </c:pt>
                <c:pt idx="24">
                  <c:v>5.2149974508059055E-2</c:v>
                </c:pt>
                <c:pt idx="25">
                  <c:v>4.4151757611822884E-2</c:v>
                </c:pt>
                <c:pt idx="26">
                  <c:v>3.6324241742076512E-2</c:v>
                </c:pt>
                <c:pt idx="27">
                  <c:v>2.9038940413555831E-2</c:v>
                </c:pt>
                <c:pt idx="28">
                  <c:v>2.2668149633624596E-2</c:v>
                </c:pt>
                <c:pt idx="29">
                  <c:v>1.7470036482426697E-2</c:v>
                </c:pt>
                <c:pt idx="30">
                  <c:v>1.351413342802156E-2</c:v>
                </c:pt>
                <c:pt idx="31">
                  <c:v>1.0681737444240946E-2</c:v>
                </c:pt>
                <c:pt idx="32">
                  <c:v>8.7168646519892919E-3</c:v>
                </c:pt>
                <c:pt idx="33">
                  <c:v>7.3086304771542076E-3</c:v>
                </c:pt>
                <c:pt idx="34">
                  <c:v>6.1866315195552718E-3</c:v>
                </c:pt>
                <c:pt idx="35">
                  <c:v>5.1896069568696229E-3</c:v>
                </c:pt>
                <c:pt idx="36">
                  <c:v>4.270932854910715E-3</c:v>
                </c:pt>
                <c:pt idx="37">
                  <c:v>3.4486560109725571E-3</c:v>
                </c:pt>
                <c:pt idx="38">
                  <c:v>2.7463347674442575E-3</c:v>
                </c:pt>
                <c:pt idx="39">
                  <c:v>2.163321420215295E-3</c:v>
                </c:pt>
                <c:pt idx="40">
                  <c:v>1.6775546318565885E-3</c:v>
                </c:pt>
                <c:pt idx="41">
                  <c:v>1.2623467021426478E-3</c:v>
                </c:pt>
                <c:pt idx="42">
                  <c:v>9.0129232350590798E-4</c:v>
                </c:pt>
                <c:pt idx="43">
                  <c:v>5.9414916963366473E-4</c:v>
                </c:pt>
                <c:pt idx="44">
                  <c:v>3.5141891758597448E-4</c:v>
                </c:pt>
                <c:pt idx="45">
                  <c:v>1.8134236682978909E-4</c:v>
                </c:pt>
                <c:pt idx="46">
                  <c:v>7.9447841707082519E-5</c:v>
                </c:pt>
                <c:pt idx="47">
                  <c:v>2.8727375477087418E-5</c:v>
                </c:pt>
                <c:pt idx="48">
                  <c:v>8.2955939294375791E-6</c:v>
                </c:pt>
                <c:pt idx="49">
                  <c:v>1.8039285364782267E-6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D7E-4897-815B-9836D1FFA1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678976"/>
        <c:axId val="58178880"/>
      </c:lineChart>
      <c:catAx>
        <c:axId val="556789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of Day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8880"/>
        <c:crosses val="autoZero"/>
        <c:auto val="1"/>
        <c:lblAlgn val="ctr"/>
        <c:lblOffset val="100"/>
        <c:tickLblSkip val="2"/>
        <c:noMultiLvlLbl val="0"/>
      </c:catAx>
      <c:valAx>
        <c:axId val="581788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Tour</a:t>
                </a:r>
                <a:r>
                  <a:rPr baseline="0" lang="en-US"/>
                  <a:t> Share (%)</a:t>
                </a:r>
                <a:endParaRPr lang="en-US"/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crossAx val="556789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School Departure Time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Departure_Time!$C$64</c:f>
              <c:strCache>
                <c:ptCount val="1"/>
                <c:pt idx="0">
                  <c:v>Survey</c:v>
                </c:pt>
              </c:strCache>
            </c:strRef>
          </c:tx>
          <c:spPr>
            <a:ln cap="rnd" w="28575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Departure_Time!$C$65:$C$115</c:f>
              <c:numCache>
                <c:formatCode>0.00%</c:formatCode>
                <c:ptCount val="51"/>
                <c:pt idx="0">
                  <c:v>1.2799224505894866E-5</c:v>
                </c:pt>
                <c:pt idx="1">
                  <c:v>2.1590375580872875E-5</c:v>
                </c:pt>
                <c:pt idx="2">
                  <c:v>4.84572763274139E-5</c:v>
                </c:pt>
                <c:pt idx="3">
                  <c:v>1.5267340785405614E-4</c:v>
                </c:pt>
                <c:pt idx="4">
                  <c:v>4.8740422298774696E-4</c:v>
                </c:pt>
                <c:pt idx="5">
                  <c:v>1.3390518663510959E-3</c:v>
                </c:pt>
                <c:pt idx="6">
                  <c:v>3.0798285969431366E-3</c:v>
                </c:pt>
                <c:pt idx="7">
                  <c:v>5.9705140756259418E-3</c:v>
                </c:pt>
                <c:pt idx="8">
                  <c:v>9.877545047045258E-3</c:v>
                </c:pt>
                <c:pt idx="9">
                  <c:v>1.4129261968229665E-2</c:v>
                </c:pt>
                <c:pt idx="10">
                  <c:v>1.7724473868366879E-2</c:v>
                </c:pt>
                <c:pt idx="11">
                  <c:v>1.9843642605141959E-2</c:v>
                </c:pt>
                <c:pt idx="12">
                  <c:v>2.0320866148391369E-2</c:v>
                </c:pt>
                <c:pt idx="13">
                  <c:v>1.972598535098978E-2</c:v>
                </c:pt>
                <c:pt idx="14">
                  <c:v>1.9010253010661195E-2</c:v>
                </c:pt>
                <c:pt idx="15">
                  <c:v>1.8992772342856481E-2</c:v>
                </c:pt>
                <c:pt idx="16">
                  <c:v>2.0038252809445461E-2</c:v>
                </c:pt>
                <c:pt idx="17">
                  <c:v>2.2115171308041422E-2</c:v>
                </c:pt>
                <c:pt idx="18">
                  <c:v>2.5192550782665947E-2</c:v>
                </c:pt>
                <c:pt idx="19">
                  <c:v>2.9702673852329133E-2</c:v>
                </c:pt>
                <c:pt idx="20">
                  <c:v>3.6608792776397343E-2</c:v>
                </c:pt>
                <c:pt idx="21">
                  <c:v>4.670544732543952E-2</c:v>
                </c:pt>
                <c:pt idx="22">
                  <c:v>5.9384473970842074E-2</c:v>
                </c:pt>
                <c:pt idx="23">
                  <c:v>7.1903144040769015E-2</c:v>
                </c:pt>
                <c:pt idx="24">
                  <c:v>8.0239210530826624E-2</c:v>
                </c:pt>
                <c:pt idx="25">
                  <c:v>8.13578345819089E-2</c:v>
                </c:pt>
                <c:pt idx="26">
                  <c:v>7.5149634357462303E-2</c:v>
                </c:pt>
                <c:pt idx="27">
                  <c:v>6.4302093386938208E-2</c:v>
                </c:pt>
                <c:pt idx="28">
                  <c:v>5.2281097373796881E-2</c:v>
                </c:pt>
                <c:pt idx="29">
                  <c:v>4.1352877201902769E-2</c:v>
                </c:pt>
                <c:pt idx="30">
                  <c:v>3.2179849408366448E-2</c:v>
                </c:pt>
                <c:pt idx="31">
                  <c:v>2.4680208533060202E-2</c:v>
                </c:pt>
                <c:pt idx="32">
                  <c:v>1.8828794471597396E-2</c:v>
                </c:pt>
                <c:pt idx="33">
                  <c:v>1.47012210395878E-2</c:v>
                </c:pt>
                <c:pt idx="34">
                  <c:v>1.2109904575597505E-2</c:v>
                </c:pt>
                <c:pt idx="35">
                  <c:v>1.0456829210304287E-2</c:v>
                </c:pt>
                <c:pt idx="36">
                  <c:v>9.0031384544988699E-3</c:v>
                </c:pt>
                <c:pt idx="37">
                  <c:v>7.29237180273405E-3</c:v>
                </c:pt>
                <c:pt idx="38">
                  <c:v>5.350434129526546E-3</c:v>
                </c:pt>
                <c:pt idx="39">
                  <c:v>3.5192567128739367E-3</c:v>
                </c:pt>
                <c:pt idx="40">
                  <c:v>2.1148115048804446E-3</c:v>
                </c:pt>
                <c:pt idx="41">
                  <c:v>1.215629051117039E-3</c:v>
                </c:pt>
                <c:pt idx="42">
                  <c:v>6.9973029538171071E-4</c:v>
                </c:pt>
                <c:pt idx="43">
                  <c:v>4.0188990625841006E-4</c:v>
                </c:pt>
                <c:pt idx="44">
                  <c:v>2.1699365874305835E-4</c:v>
                </c:pt>
                <c:pt idx="45">
                  <c:v>1.0255716033934597E-4</c:v>
                </c:pt>
                <c:pt idx="46">
                  <c:v>4.0135252105689272E-5</c:v>
                </c:pt>
                <c:pt idx="47">
                  <c:v>1.2453420399200251E-5</c:v>
                </c:pt>
                <c:pt idx="48">
                  <c:v>2.9296732715337483E-6</c:v>
                </c:pt>
                <c:pt idx="49">
                  <c:v>4.8805273232730813E-7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53-4B19-A9EF-CF34F577804B}"/>
            </c:ext>
          </c:extLst>
        </c:ser>
        <c:ser>
          <c:idx val="1"/>
          <c:order val="1"/>
          <c:tx>
            <c:strRef>
              <c:f>Departure_Time!$J$64</c:f>
              <c:strCache>
                <c:ptCount val="1"/>
                <c:pt idx="0">
                  <c:v>DaySim</c:v>
                </c:pt>
              </c:strCache>
            </c:strRef>
          </c:tx>
          <c:spPr>
            <a:ln cap="rnd" w="28575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Departure_Time!$J$65:$J$115</c:f>
              <c:numCache>
                <c:formatCode>0.00%</c:formatCode>
                <c:ptCount val="51"/>
                <c:pt idx="0">
                  <c:v>3.8408615311691317E-5</c:v>
                </c:pt>
                <c:pt idx="1">
                  <c:v>2.7375958727578058E-5</c:v>
                </c:pt>
                <c:pt idx="2">
                  <c:v>2.6677859023867629E-5</c:v>
                </c:pt>
                <c:pt idx="3">
                  <c:v>6.3371563302250196E-5</c:v>
                </c:pt>
                <c:pt idx="4">
                  <c:v>2.0810568829976315E-4</c:v>
                </c:pt>
                <c:pt idx="5">
                  <c:v>6.0500322644936133E-4</c:v>
                </c:pt>
                <c:pt idx="6">
                  <c:v>1.4711639824908636E-3</c:v>
                </c:pt>
                <c:pt idx="7">
                  <c:v>3.0263028832760927E-3</c:v>
                </c:pt>
                <c:pt idx="8">
                  <c:v>5.3594930792903563E-3</c:v>
                </c:pt>
                <c:pt idx="9">
                  <c:v>8.3198892755651285E-3</c:v>
                </c:pt>
                <c:pt idx="10">
                  <c:v>1.1544240061326575E-2</c:v>
                </c:pt>
                <c:pt idx="11">
                  <c:v>1.4636875154297695E-2</c:v>
                </c:pt>
                <c:pt idx="12">
                  <c:v>1.7363253978525093E-2</c:v>
                </c:pt>
                <c:pt idx="13">
                  <c:v>1.9682524798667275E-2</c:v>
                </c:pt>
                <c:pt idx="14">
                  <c:v>2.1612699143845487E-2</c:v>
                </c:pt>
                <c:pt idx="15">
                  <c:v>2.3129573364192479E-2</c:v>
                </c:pt>
                <c:pt idx="16">
                  <c:v>2.428009311261577E-2</c:v>
                </c:pt>
                <c:pt idx="17">
                  <c:v>2.5416408179471765E-2</c:v>
                </c:pt>
                <c:pt idx="18">
                  <c:v>2.7240022395076589E-2</c:v>
                </c:pt>
                <c:pt idx="19">
                  <c:v>3.0486049646409146E-2</c:v>
                </c:pt>
                <c:pt idx="20">
                  <c:v>3.546226836050706E-2</c:v>
                </c:pt>
                <c:pt idx="21">
                  <c:v>4.1836305589098968E-2</c:v>
                </c:pt>
                <c:pt idx="22">
                  <c:v>4.8796489467681094E-2</c:v>
                </c:pt>
                <c:pt idx="23">
                  <c:v>5.5334360002806796E-2</c:v>
                </c:pt>
                <c:pt idx="24">
                  <c:v>6.0415215862649613E-2</c:v>
                </c:pt>
                <c:pt idx="25">
                  <c:v>6.3135973562129188E-2</c:v>
                </c:pt>
                <c:pt idx="26">
                  <c:v>6.3025349392302019E-2</c:v>
                </c:pt>
                <c:pt idx="27">
                  <c:v>6.0289169837600125E-2</c:v>
                </c:pt>
                <c:pt idx="28">
                  <c:v>5.5666066608986181E-2</c:v>
                </c:pt>
                <c:pt idx="29">
                  <c:v>4.9975256183193296E-2</c:v>
                </c:pt>
                <c:pt idx="30">
                  <c:v>4.3813443352400026E-2</c:v>
                </c:pt>
                <c:pt idx="31">
                  <c:v>3.7608687738005388E-2</c:v>
                </c:pt>
                <c:pt idx="32">
                  <c:v>3.1756176976183818E-2</c:v>
                </c:pt>
                <c:pt idx="33">
                  <c:v>2.6553545940629274E-2</c:v>
                </c:pt>
                <c:pt idx="34">
                  <c:v>2.2045002142599801E-2</c:v>
                </c:pt>
                <c:pt idx="35">
                  <c:v>1.8046541732495872E-2</c:v>
                </c:pt>
                <c:pt idx="36">
                  <c:v>1.4372546149162025E-2</c:v>
                </c:pt>
                <c:pt idx="37">
                  <c:v>1.1024154930430848E-2</c:v>
                </c:pt>
                <c:pt idx="38">
                  <c:v>8.1590074397819654E-3</c:v>
                </c:pt>
                <c:pt idx="39">
                  <c:v>5.9109085684854222E-3</c:v>
                </c:pt>
                <c:pt idx="40">
                  <c:v>4.2582529393034004E-3</c:v>
                </c:pt>
                <c:pt idx="41">
                  <c:v>3.0479312270912527E-3</c:v>
                </c:pt>
                <c:pt idx="42">
                  <c:v>2.1141815829889082E-3</c:v>
                </c:pt>
                <c:pt idx="43">
                  <c:v>1.3674974859876953E-3</c:v>
                </c:pt>
                <c:pt idx="44">
                  <c:v>7.9419297133587197E-4</c:v>
                </c:pt>
                <c:pt idx="45">
                  <c:v>4.012270035406067E-4</c:v>
                </c:pt>
                <c:pt idx="46">
                  <c:v>1.7159731001508013E-4</c:v>
                </c:pt>
                <c:pt idx="47">
                  <c:v>6.0481007094065968E-5</c:v>
                </c:pt>
                <c:pt idx="48">
                  <c:v>1.7022995618924609E-5</c:v>
                </c:pt>
                <c:pt idx="49">
                  <c:v>3.6136737305915212E-6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C53-4B19-A9EF-CF34F57780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9691184"/>
        <c:axId val="517367264"/>
      </c:lineChart>
      <c:catAx>
        <c:axId val="439691184"/>
        <c:scaling>
          <c:orientation val="minMax"/>
        </c:scaling>
        <c:delete val="0"/>
        <c:axPos val="b"/>
        <c:title>
          <c:tx>
            <c:rich>
              <a:bodyPr anchor="ctr" anchorCtr="1" rot="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of Day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367264"/>
        <c:crosses val="autoZero"/>
        <c:auto val="1"/>
        <c:lblAlgn val="ctr"/>
        <c:lblOffset val="100"/>
        <c:noMultiLvlLbl val="0"/>
      </c:catAx>
      <c:valAx>
        <c:axId val="517367264"/>
        <c:scaling>
          <c:orientation val="minMax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-540000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Tour Share (%)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-540000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691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Durations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Duration!$B$64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Duration!$B$65:$B$89</c:f>
              <c:numCache>
                <c:formatCode>0.00%</c:formatCode>
                <c:ptCount val="25"/>
                <c:pt idx="0">
                  <c:v>5.5121517320689983E-2</c:v>
                </c:pt>
                <c:pt idx="1">
                  <c:v>4.2280087087113144E-2</c:v>
                </c:pt>
                <c:pt idx="2">
                  <c:v>3.1939132801994903E-2</c:v>
                </c:pt>
                <c:pt idx="3">
                  <c:v>2.546042841741878E-2</c:v>
                </c:pt>
                <c:pt idx="4">
                  <c:v>2.274667943620862E-2</c:v>
                </c:pt>
                <c:pt idx="5">
                  <c:v>2.2764923530181193E-2</c:v>
                </c:pt>
                <c:pt idx="6">
                  <c:v>2.4295482400827198E-2</c:v>
                </c:pt>
                <c:pt idx="7">
                  <c:v>2.6388919747064345E-2</c:v>
                </c:pt>
                <c:pt idx="8">
                  <c:v>2.8482613043965207E-2</c:v>
                </c:pt>
                <c:pt idx="9">
                  <c:v>3.0376884216044196E-2</c:v>
                </c:pt>
                <c:pt idx="10">
                  <c:v>3.2233283833094234E-2</c:v>
                </c:pt>
                <c:pt idx="11">
                  <c:v>3.4641358229023742E-2</c:v>
                </c:pt>
                <c:pt idx="12">
                  <c:v>3.8631318386474947E-2</c:v>
                </c:pt>
                <c:pt idx="13">
                  <c:v>4.5321251964770194E-2</c:v>
                </c:pt>
                <c:pt idx="14">
                  <c:v>5.5008922792173835E-2</c:v>
                </c:pt>
                <c:pt idx="15">
                  <c:v>6.615514025603951E-2</c:v>
                </c:pt>
                <c:pt idx="16">
                  <c:v>7.5294660043812439E-2</c:v>
                </c:pt>
                <c:pt idx="17">
                  <c:v>7.8506193647651698E-2</c:v>
                </c:pt>
                <c:pt idx="18">
                  <c:v>7.3684619195684989E-2</c:v>
                </c:pt>
                <c:pt idx="19">
                  <c:v>6.1876588623570386E-2</c:v>
                </c:pt>
                <c:pt idx="20">
                  <c:v>4.6601987001611195E-2</c:v>
                </c:pt>
                <c:pt idx="21">
                  <c:v>3.1802531527731888E-2</c:v>
                </c:pt>
                <c:pt idx="22">
                  <c:v>2.0042358674926302E-2</c:v>
                </c:pt>
                <c:pt idx="23">
                  <c:v>1.2001944164825437E-2</c:v>
                </c:pt>
                <c:pt idx="24">
                  <c:v>7.069602647705015E-3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3E-4879-8C6F-BEFDD555C2DB}"/>
            </c:ext>
          </c:extLst>
        </c:ser>
        <c:ser>
          <c:idx val="1"/>
          <c:order val="1"/>
          <c:tx>
            <c:strRef>
              <c:f>Duration!$I$64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Duration!$I$65:$I$89</c:f>
              <c:numCache>
                <c:formatCode>0.00%</c:formatCode>
                <c:ptCount val="25"/>
                <c:pt idx="0">
                  <c:v>3.8866063296910246E-2</c:v>
                </c:pt>
                <c:pt idx="1">
                  <c:v>3.5034329415150611E-2</c:v>
                </c:pt>
                <c:pt idx="2">
                  <c:v>3.2177493078123343E-2</c:v>
                </c:pt>
                <c:pt idx="3">
                  <c:v>3.0847210712030771E-2</c:v>
                </c:pt>
                <c:pt idx="4">
                  <c:v>3.0990042759984737E-2</c:v>
                </c:pt>
                <c:pt idx="5">
                  <c:v>3.2059362523325294E-2</c:v>
                </c:pt>
                <c:pt idx="6">
                  <c:v>3.330684626908495E-2</c:v>
                </c:pt>
                <c:pt idx="7">
                  <c:v>3.4121722523853371E-2</c:v>
                </c:pt>
                <c:pt idx="8">
                  <c:v>3.4326868605263884E-2</c:v>
                </c:pt>
                <c:pt idx="9">
                  <c:v>3.4331281067311294E-2</c:v>
                </c:pt>
                <c:pt idx="10">
                  <c:v>3.5029017309636881E-2</c:v>
                </c:pt>
                <c:pt idx="11">
                  <c:v>3.7429879510263657E-2</c:v>
                </c:pt>
                <c:pt idx="12">
                  <c:v>4.2170782689135107E-2</c:v>
                </c:pt>
                <c:pt idx="13">
                  <c:v>4.9131703602981469E-2</c:v>
                </c:pt>
                <c:pt idx="14">
                  <c:v>5.7295765898375928E-2</c:v>
                </c:pt>
                <c:pt idx="15">
                  <c:v>6.487008616052424E-2</c:v>
                </c:pt>
                <c:pt idx="16">
                  <c:v>6.9667482445627357E-2</c:v>
                </c:pt>
                <c:pt idx="17">
                  <c:v>6.9770616297308283E-2</c:v>
                </c:pt>
                <c:pt idx="18">
                  <c:v>6.4348229685697256E-2</c:v>
                </c:pt>
                <c:pt idx="19">
                  <c:v>5.4197024244559987E-2</c:v>
                </c:pt>
                <c:pt idx="20">
                  <c:v>4.1536938256314104E-2</c:v>
                </c:pt>
                <c:pt idx="21">
                  <c:v>2.9051320310358217E-2</c:v>
                </c:pt>
                <c:pt idx="22">
                  <c:v>1.8767640243199355E-2</c:v>
                </c:pt>
                <c:pt idx="23">
                  <c:v>1.1477737704482101E-2</c:v>
                </c:pt>
                <c:pt idx="24">
                  <c:v>6.9007754399423964E-3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B3E-4879-8C6F-BEFDD555C2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2496"/>
        <c:axId val="154928832"/>
      </c:lineChart>
      <c:catAx>
        <c:axId val="58282496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928832"/>
        <c:crosses val="autoZero"/>
        <c:auto val="1"/>
        <c:lblAlgn val="ctr"/>
        <c:lblOffset val="100"/>
        <c:tickLblSkip val="2"/>
        <c:noMultiLvlLbl val="0"/>
      </c:catAx>
      <c:valAx>
        <c:axId val="154928832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58282496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78467118945771919"/>
          <c:y val="0.20307117492666357"/>
          <c:w val="0.19192618223760091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Durations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Duration!$C$64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Duration!$C$65:$C$89</c:f>
              <c:numCache>
                <c:formatCode>0.00%</c:formatCode>
                <c:ptCount val="25"/>
                <c:pt idx="0">
                  <c:v>0.19793796761072643</c:v>
                </c:pt>
                <c:pt idx="1">
                  <c:v>0.14030837695888757</c:v>
                </c:pt>
                <c:pt idx="2">
                  <c:v>9.180291914867425E-2</c:v>
                </c:pt>
                <c:pt idx="3">
                  <c:v>5.7428231331991382E-2</c:v>
                </c:pt>
                <c:pt idx="4">
                  <c:v>3.6871804111431129E-2</c:v>
                </c:pt>
                <c:pt idx="5">
                  <c:v>2.6436050903955229E-2</c:v>
                </c:pt>
                <c:pt idx="6">
                  <c:v>2.1973754458258037E-2</c:v>
                </c:pt>
                <c:pt idx="7">
                  <c:v>2.0753290535816749E-2</c:v>
                </c:pt>
                <c:pt idx="8">
                  <c:v>2.1723945305456686E-2</c:v>
                </c:pt>
                <c:pt idx="9">
                  <c:v>2.4779574990669708E-2</c:v>
                </c:pt>
                <c:pt idx="10">
                  <c:v>2.9777325760341925E-2</c:v>
                </c:pt>
                <c:pt idx="11">
                  <c:v>3.5835225959447645E-2</c:v>
                </c:pt>
                <c:pt idx="12">
                  <c:v>4.1248567480725619E-2</c:v>
                </c:pt>
                <c:pt idx="13">
                  <c:v>4.4117161838774982E-2</c:v>
                </c:pt>
                <c:pt idx="14">
                  <c:v>4.3316652557576413E-2</c:v>
                </c:pt>
                <c:pt idx="15">
                  <c:v>3.9096920988297743E-2</c:v>
                </c:pt>
                <c:pt idx="16">
                  <c:v>3.2829526454763308E-2</c:v>
                </c:pt>
                <c:pt idx="17">
                  <c:v>2.6137565385568447E-2</c:v>
                </c:pt>
                <c:pt idx="18">
                  <c:v>2.0109921614716839E-2</c:v>
                </c:pt>
                <c:pt idx="19">
                  <c:v>1.5092791381306939E-2</c:v>
                </c:pt>
                <c:pt idx="20">
                  <c:v>1.0988341623947991E-2</c:v>
                </c:pt>
                <c:pt idx="21">
                  <c:v>7.6503665389131845E-3</c:v>
                </c:pt>
                <c:pt idx="22">
                  <c:v>5.0528874974421507E-3</c:v>
                </c:pt>
                <c:pt idx="23">
                  <c:v>3.2104379715815882E-3</c:v>
                </c:pt>
                <c:pt idx="24">
                  <c:v>2.0420052602423736E-3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9F-4B05-B6A1-149E7ED95843}"/>
            </c:ext>
          </c:extLst>
        </c:ser>
        <c:ser>
          <c:idx val="1"/>
          <c:order val="1"/>
          <c:tx>
            <c:strRef>
              <c:f>Duration!$J$64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Duration!$J$65:$J$89</c:f>
              <c:numCache>
                <c:formatCode>0.00%</c:formatCode>
                <c:ptCount val="25"/>
                <c:pt idx="0">
                  <c:v>0.15241861534959997</c:v>
                </c:pt>
                <c:pt idx="1">
                  <c:v>0.11889911838420075</c:v>
                </c:pt>
                <c:pt idx="2">
                  <c:v>8.9593083873427334E-2</c:v>
                </c:pt>
                <c:pt idx="3">
                  <c:v>6.6958023438772912E-2</c:v>
                </c:pt>
                <c:pt idx="4">
                  <c:v>5.1162700404067896E-2</c:v>
                </c:pt>
                <c:pt idx="5">
                  <c:v>4.0881562326918003E-2</c:v>
                </c:pt>
                <c:pt idx="6">
                  <c:v>3.4504733780071864E-2</c:v>
                </c:pt>
                <c:pt idx="7">
                  <c:v>3.0859735902876179E-2</c:v>
                </c:pt>
                <c:pt idx="8">
                  <c:v>2.9264202660645781E-2</c:v>
                </c:pt>
                <c:pt idx="9">
                  <c:v>2.9284290614446623E-2</c:v>
                </c:pt>
                <c:pt idx="10">
                  <c:v>3.0547612468919263E-2</c:v>
                </c:pt>
                <c:pt idx="11">
                  <c:v>3.2639644803740722E-2</c:v>
                </c:pt>
                <c:pt idx="12">
                  <c:v>3.4984363325632144E-2</c:v>
                </c:pt>
                <c:pt idx="13">
                  <c:v>3.6781280783606568E-2</c:v>
                </c:pt>
                <c:pt idx="14">
                  <c:v>3.7188488105000923E-2</c:v>
                </c:pt>
                <c:pt idx="15">
                  <c:v>3.5718929474205685E-2</c:v>
                </c:pt>
                <c:pt idx="16">
                  <c:v>3.2508489282700316E-2</c:v>
                </c:pt>
                <c:pt idx="17">
                  <c:v>2.8180184482637521E-2</c:v>
                </c:pt>
                <c:pt idx="18">
                  <c:v>2.3436934257273917E-2</c:v>
                </c:pt>
                <c:pt idx="19">
                  <c:v>1.8760078728006918E-2</c:v>
                </c:pt>
                <c:pt idx="20">
                  <c:v>1.4403258941356455E-2</c:v>
                </c:pt>
                <c:pt idx="21">
                  <c:v>1.0539911497251401E-2</c:v>
                </c:pt>
                <c:pt idx="22">
                  <c:v>7.3365586473691019E-3</c:v>
                </c:pt>
                <c:pt idx="23">
                  <c:v>4.8970785705381922E-3</c:v>
                </c:pt>
                <c:pt idx="24">
                  <c:v>3.1897041889159686E-3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9F-4B05-B6A1-149E7ED958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3520"/>
        <c:axId val="154931136"/>
      </c:lineChart>
      <c:catAx>
        <c:axId val="58283520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931136"/>
        <c:crosses val="autoZero"/>
        <c:auto val="1"/>
        <c:lblAlgn val="ctr"/>
        <c:lblOffset val="100"/>
        <c:tickLblSkip val="2"/>
        <c:noMultiLvlLbl val="0"/>
      </c:catAx>
      <c:valAx>
        <c:axId val="154931136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58283520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131496971183101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Other Durations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Duration!$D$64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Duration!$D$65:$D$89</c:f>
              <c:numCache>
                <c:formatCode>0.00%</c:formatCode>
                <c:ptCount val="25"/>
                <c:pt idx="0">
                  <c:v>0.31778332181217739</c:v>
                </c:pt>
                <c:pt idx="1">
                  <c:v>0.23316804027444205</c:v>
                </c:pt>
                <c:pt idx="2">
                  <c:v>0.15914012832189647</c:v>
                </c:pt>
                <c:pt idx="3">
                  <c:v>0.10215949106673161</c:v>
                </c:pt>
                <c:pt idx="4">
                  <c:v>6.3062895089520857E-2</c:v>
                </c:pt>
                <c:pt idx="5">
                  <c:v>3.8572643661097965E-2</c:v>
                </c:pt>
                <c:pt idx="6">
                  <c:v>2.404894455247529E-2</c:v>
                </c:pt>
                <c:pt idx="7">
                  <c:v>1.5543133268886469E-2</c:v>
                </c:pt>
                <c:pt idx="8">
                  <c:v>1.0473065328554703E-2</c:v>
                </c:pt>
                <c:pt idx="9">
                  <c:v>7.3768096321124143E-3</c:v>
                </c:pt>
                <c:pt idx="10">
                  <c:v>5.4449589441340068E-3</c:v>
                </c:pt>
                <c:pt idx="11">
                  <c:v>4.2018091088931557E-3</c:v>
                </c:pt>
                <c:pt idx="12">
                  <c:v>3.3609172251237896E-3</c:v>
                </c:pt>
                <c:pt idx="13">
                  <c:v>2.7582246028693253E-3</c:v>
                </c:pt>
                <c:pt idx="14">
                  <c:v>2.3021245919190953E-3</c:v>
                </c:pt>
                <c:pt idx="15">
                  <c:v>1.9366364332670575E-3</c:v>
                </c:pt>
                <c:pt idx="16">
                  <c:v>1.6256920049975362E-3</c:v>
                </c:pt>
                <c:pt idx="17">
                  <c:v>1.3510380077420712E-3</c:v>
                </c:pt>
                <c:pt idx="18">
                  <c:v>1.1097089900625049E-3</c:v>
                </c:pt>
                <c:pt idx="19">
                  <c:v>9.0632140730777353E-4</c:v>
                </c:pt>
                <c:pt idx="20">
                  <c:v>7.4472475540687149E-4</c:v>
                </c:pt>
                <c:pt idx="21">
                  <c:v>6.2315576068672869E-4</c:v>
                </c:pt>
                <c:pt idx="22">
                  <c:v>5.3287749767295055E-4</c:v>
                </c:pt>
                <c:pt idx="23">
                  <c:v>4.5988103081020452E-4</c:v>
                </c:pt>
                <c:pt idx="24">
                  <c:v>3.9007892684437038E-4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62-47DA-AA63-D5C8C9F347CD}"/>
            </c:ext>
          </c:extLst>
        </c:ser>
        <c:ser>
          <c:idx val="1"/>
          <c:order val="1"/>
          <c:tx>
            <c:strRef>
              <c:f>Duration!$K$64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Duration!$K$65:$K$89</c:f>
              <c:numCache>
                <c:formatCode>0.00%</c:formatCode>
                <c:ptCount val="25"/>
                <c:pt idx="0">
                  <c:v>0.31479247130817484</c:v>
                </c:pt>
                <c:pt idx="1">
                  <c:v>0.23224085015748208</c:v>
                </c:pt>
                <c:pt idx="2">
                  <c:v>0.15993070477180638</c:v>
                </c:pt>
                <c:pt idx="3">
                  <c:v>0.10403646524435667</c:v>
                </c:pt>
                <c:pt idx="4">
                  <c:v>6.5276779246532343E-2</c:v>
                </c:pt>
                <c:pt idx="5">
                  <c:v>4.0497622498177122E-2</c:v>
                </c:pt>
                <c:pt idx="6">
                  <c:v>2.5356952710966562E-2</c:v>
                </c:pt>
                <c:pt idx="7">
                  <c:v>1.6201166470849841E-2</c:v>
                </c:pt>
                <c:pt idx="8">
                  <c:v>1.0608971217675891E-2</c:v>
                </c:pt>
                <c:pt idx="9">
                  <c:v>7.1481280560430627E-3</c:v>
                </c:pt>
                <c:pt idx="10">
                  <c:v>4.9862354425828388E-3</c:v>
                </c:pt>
                <c:pt idx="11">
                  <c:v>3.6246344078212193E-3</c:v>
                </c:pt>
                <c:pt idx="12">
                  <c:v>2.7557727628560748E-3</c:v>
                </c:pt>
                <c:pt idx="13">
                  <c:v>2.187053132088332E-3</c:v>
                </c:pt>
                <c:pt idx="14">
                  <c:v>1.798302858112152E-3</c:v>
                </c:pt>
                <c:pt idx="15">
                  <c:v>1.5172299707641107E-3</c:v>
                </c:pt>
                <c:pt idx="16">
                  <c:v>1.3020159311293183E-3</c:v>
                </c:pt>
                <c:pt idx="17">
                  <c:v>1.1267129153437062E-3</c:v>
                </c:pt>
                <c:pt idx="18">
                  <c:v>9.7219484827130184E-4</c:v>
                </c:pt>
                <c:pt idx="19">
                  <c:v>8.2488892298050753E-4</c:v>
                </c:pt>
                <c:pt idx="20">
                  <c:v>6.7932108755632806E-4</c:v>
                </c:pt>
                <c:pt idx="21">
                  <c:v>5.3832946418180502E-4</c:v>
                </c:pt>
                <c:pt idx="22">
                  <c:v>4.093684515538507E-4</c:v>
                </c:pt>
                <c:pt idx="23">
                  <c:v>2.9991983144100068E-4</c:v>
                </c:pt>
                <c:pt idx="24">
                  <c:v>2.1468550072051309E-4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62-47DA-AA63-D5C8C9F347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4032"/>
        <c:axId val="154933440"/>
      </c:lineChart>
      <c:catAx>
        <c:axId val="58284032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933440"/>
        <c:crosses val="autoZero"/>
        <c:auto val="1"/>
        <c:lblAlgn val="ctr"/>
        <c:lblOffset val="100"/>
        <c:tickLblSkip val="2"/>
        <c:noMultiLvlLbl val="0"/>
      </c:catAx>
      <c:valAx>
        <c:axId val="154933440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58284032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76160313870800822"/>
          <c:y val="0.21483595800524941"/>
          <c:w val="0.17689743799326146"/>
          <c:h val="9.8689516751582565E-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Work-based Durations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Duration!$E$64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Duration!$A$65:$A$85</c:f>
              <c:numCache>
                <c:formatCode>h:mm</c:formatCode>
                <c:ptCount val="21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</c:numCache>
            </c:numRef>
          </c:cat>
          <c:val>
            <c:numRef>
              <c:f>Duration!$E$65:$E$85</c:f>
              <c:numCache>
                <c:formatCode>0.00%</c:formatCode>
                <c:ptCount val="21"/>
                <c:pt idx="0">
                  <c:v>0.34803010126203854</c:v>
                </c:pt>
                <c:pt idx="1">
                  <c:v>0.24832174671874546</c:v>
                </c:pt>
                <c:pt idx="2">
                  <c:v>0.1622430087543332</c:v>
                </c:pt>
                <c:pt idx="3">
                  <c:v>9.7933989006359121E-2</c:v>
                </c:pt>
                <c:pt idx="4">
                  <c:v>5.6037414411237038E-2</c:v>
                </c:pt>
                <c:pt idx="5">
                  <c:v>3.1754413955459568E-2</c:v>
                </c:pt>
                <c:pt idx="6">
                  <c:v>1.866376577151024E-2</c:v>
                </c:pt>
                <c:pt idx="7">
                  <c:v>1.1589050619662209E-2</c:v>
                </c:pt>
                <c:pt idx="8">
                  <c:v>7.4670609207357378E-3</c:v>
                </c:pt>
                <c:pt idx="9">
                  <c:v>4.8578279131299253E-3</c:v>
                </c:pt>
                <c:pt idx="10">
                  <c:v>3.1638117857845614E-3</c:v>
                </c:pt>
                <c:pt idx="11">
                  <c:v>2.1140660346159338E-3</c:v>
                </c:pt>
                <c:pt idx="12">
                  <c:v>1.5303764985387751E-3</c:v>
                </c:pt>
                <c:pt idx="13">
                  <c:v>1.2434026408417568E-3</c:v>
                </c:pt>
                <c:pt idx="14">
                  <c:v>1.0915377849446991E-3</c:v>
                </c:pt>
                <c:pt idx="15">
                  <c:v>9.6270866921219342E-4</c:v>
                </c:pt>
                <c:pt idx="16">
                  <c:v>8.1880823084955396E-4</c:v>
                </c:pt>
                <c:pt idx="17">
                  <c:v>6.6971197666509019E-4</c:v>
                </c:pt>
                <c:pt idx="18">
                  <c:v>5.2859422236558912E-4</c:v>
                </c:pt>
                <c:pt idx="19">
                  <c:v>3.9552534486001937E-4</c:v>
                </c:pt>
                <c:pt idx="20">
                  <c:v>2.7044176845608794E-4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3F-48C5-B64D-A846D9E7C45D}"/>
            </c:ext>
          </c:extLst>
        </c:ser>
        <c:ser>
          <c:idx val="1"/>
          <c:order val="1"/>
          <c:tx>
            <c:strRef>
              <c:f>Duration!$L$64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Duration!$A$65:$A$85</c:f>
              <c:numCache>
                <c:formatCode>h:mm</c:formatCode>
                <c:ptCount val="21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</c:numCache>
            </c:numRef>
          </c:cat>
          <c:val>
            <c:numRef>
              <c:f>Duration!$L$65:$L$85</c:f>
              <c:numCache>
                <c:formatCode>0.00%</c:formatCode>
                <c:ptCount val="21"/>
                <c:pt idx="0">
                  <c:v>0.34418997708159227</c:v>
                </c:pt>
                <c:pt idx="1">
                  <c:v>0.24780183432060987</c:v>
                </c:pt>
                <c:pt idx="2">
                  <c:v>0.16412208163271266</c:v>
                </c:pt>
                <c:pt idx="3">
                  <c:v>0.10080481771778917</c:v>
                </c:pt>
                <c:pt idx="4">
                  <c:v>5.8655293414594731E-2</c:v>
                </c:pt>
                <c:pt idx="5">
                  <c:v>3.3514413915183727E-2</c:v>
                </c:pt>
                <c:pt idx="6">
                  <c:v>1.9615655158113716E-2</c:v>
                </c:pt>
                <c:pt idx="7">
                  <c:v>1.2069160783451022E-2</c:v>
                </c:pt>
                <c:pt idx="8">
                  <c:v>7.7188046552497721E-3</c:v>
                </c:pt>
                <c:pt idx="9">
                  <c:v>4.9174185935932108E-3</c:v>
                </c:pt>
                <c:pt idx="10">
                  <c:v>2.9679551102392305E-3</c:v>
                </c:pt>
                <c:pt idx="11">
                  <c:v>1.6274579518362232E-3</c:v>
                </c:pt>
                <c:pt idx="12">
                  <c:v>7.8755192084556066E-4</c:v>
                </c:pt>
                <c:pt idx="13">
                  <c:v>3.3401253373671966E-4</c:v>
                </c:pt>
                <c:pt idx="14">
                  <c:v>1.3395376644477255E-4</c:v>
                </c:pt>
                <c:pt idx="15">
                  <c:v>7.091189198385238E-5</c:v>
                </c:pt>
                <c:pt idx="16">
                  <c:v>6.7613903282579639E-5</c:v>
                </c:pt>
                <c:pt idx="17">
                  <c:v>8.2691632609965604E-5</c:v>
                </c:pt>
                <c:pt idx="18">
                  <c:v>9.6622501342558069E-5</c:v>
                </c:pt>
                <c:pt idx="19">
                  <c:v>1.0116904123080469E-4</c:v>
                </c:pt>
                <c:pt idx="20">
                  <c:v>9.4623387679456414E-5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13F-48C5-B64D-A846D9E7C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4544"/>
        <c:axId val="154985024"/>
      </c:lineChart>
      <c:catAx>
        <c:axId val="58284544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985024"/>
        <c:crosses val="autoZero"/>
        <c:auto val="1"/>
        <c:lblAlgn val="ctr"/>
        <c:lblOffset val="100"/>
        <c:tickLblSkip val="2"/>
        <c:noMultiLvlLbl val="0"/>
      </c:catAx>
      <c:valAx>
        <c:axId val="154985024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582845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3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Arrival_Time_Work!$J$7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Arrival_Time_Work!$J$8:$J$58</c:f>
              <c:numCache>
                <c:formatCode>0.00</c:formatCode>
                <c:ptCount val="51"/>
                <c:pt idx="0">
                  <c:v>51.785126183268503</c:v>
                </c:pt>
                <c:pt idx="1">
                  <c:v>1200.6087067480396</c:v>
                </c:pt>
                <c:pt idx="2">
                  <c:v>2870.8023767440864</c:v>
                </c:pt>
                <c:pt idx="3">
                  <c:v>5701.3151074662874</c:v>
                </c:pt>
                <c:pt idx="4">
                  <c:v>10431.357144005608</c:v>
                </c:pt>
                <c:pt idx="5">
                  <c:v>17699.112248258756</c:v>
                </c:pt>
                <c:pt idx="6">
                  <c:v>27710.459336080774</c:v>
                </c:pt>
                <c:pt idx="7">
                  <c:v>39886.706615328825</c:v>
                </c:pt>
                <c:pt idx="8">
                  <c:v>52634.39523273227</c:v>
                </c:pt>
                <c:pt idx="9">
                  <c:v>63453.7815100769</c:v>
                </c:pt>
                <c:pt idx="10">
                  <c:v>69608.359688088647</c:v>
                </c:pt>
                <c:pt idx="11">
                  <c:v>69278.646420127261</c:v>
                </c:pt>
                <c:pt idx="12">
                  <c:v>62590.365248326969</c:v>
                </c:pt>
                <c:pt idx="13">
                  <c:v>51711.827284977546</c:v>
                </c:pt>
                <c:pt idx="14">
                  <c:v>39795.669789765547</c:v>
                </c:pt>
                <c:pt idx="15">
                  <c:v>29466.907619764654</c:v>
                </c:pt>
                <c:pt idx="16">
                  <c:v>21894.47381875119</c:v>
                </c:pt>
                <c:pt idx="17">
                  <c:v>16901.701133628616</c:v>
                </c:pt>
                <c:pt idx="18">
                  <c:v>13719.677520244066</c:v>
                </c:pt>
                <c:pt idx="19">
                  <c:v>11664.656055590376</c:v>
                </c:pt>
                <c:pt idx="20">
                  <c:v>10348.651215900112</c:v>
                </c:pt>
                <c:pt idx="21">
                  <c:v>9535.7550394171267</c:v>
                </c:pt>
                <c:pt idx="22">
                  <c:v>8975.1762619413566</c:v>
                </c:pt>
                <c:pt idx="23">
                  <c:v>8406.6376415190934</c:v>
                </c:pt>
                <c:pt idx="24">
                  <c:v>7683.191735032784</c:v>
                </c:pt>
                <c:pt idx="25">
                  <c:v>6842.0423910840209</c:v>
                </c:pt>
                <c:pt idx="26">
                  <c:v>6034.785015248779</c:v>
                </c:pt>
                <c:pt idx="27">
                  <c:v>5380.5039678819612</c:v>
                </c:pt>
                <c:pt idx="28">
                  <c:v>4872.6538610133675</c:v>
                </c:pt>
                <c:pt idx="29">
                  <c:v>4406.837470262546</c:v>
                </c:pt>
                <c:pt idx="30">
                  <c:v>3882.5963483521464</c:v>
                </c:pt>
                <c:pt idx="31">
                  <c:v>3279.4768092435224</c:v>
                </c:pt>
                <c:pt idx="32">
                  <c:v>2651.4536317620823</c:v>
                </c:pt>
                <c:pt idx="33">
                  <c:v>2067.1185212254418</c:v>
                </c:pt>
                <c:pt idx="34">
                  <c:v>1562.9901157053844</c:v>
                </c:pt>
                <c:pt idx="35">
                  <c:v>1144.5540037288335</c:v>
                </c:pt>
                <c:pt idx="36">
                  <c:v>811.53762600932271</c:v>
                </c:pt>
                <c:pt idx="37">
                  <c:v>567.40988613519846</c:v>
                </c:pt>
                <c:pt idx="38">
                  <c:v>406.71407784068606</c:v>
                </c:pt>
                <c:pt idx="39">
                  <c:v>305.59596327444928</c:v>
                </c:pt>
                <c:pt idx="40">
                  <c:v>232.3956510319521</c:v>
                </c:pt>
                <c:pt idx="41">
                  <c:v>166.60272800153007</c:v>
                </c:pt>
                <c:pt idx="42">
                  <c:v>105.84604256556186</c:v>
                </c:pt>
                <c:pt idx="43">
                  <c:v>57.27840012568965</c:v>
                </c:pt>
                <c:pt idx="44">
                  <c:v>25.732667810733833</c:v>
                </c:pt>
                <c:pt idx="45">
                  <c:v>9.3947457861720984</c:v>
                </c:pt>
                <c:pt idx="46">
                  <c:v>2.7216494688029051</c:v>
                </c:pt>
                <c:pt idx="47">
                  <c:v>0.60588456322824857</c:v>
                </c:pt>
                <c:pt idx="48">
                  <c:v>9.879316788044841E-2</c:v>
                </c:pt>
                <c:pt idx="49">
                  <c:v>1.0886144957250746E-2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B0-47DC-BFC9-D48A12E3E533}"/>
            </c:ext>
          </c:extLst>
        </c:ser>
        <c:ser>
          <c:idx val="1"/>
          <c:order val="1"/>
          <c:tx>
            <c:strRef>
              <c:f>Arrival_Time_Work!$U$7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Arrival_Time_Work!$U$8:$U$58</c:f>
              <c:numCache>
                <c:formatCode>General</c:formatCode>
                <c:ptCount val="51"/>
                <c:pt idx="0">
                  <c:v>1590</c:v>
                </c:pt>
                <c:pt idx="1">
                  <c:v>2385.7593202590942</c:v>
                </c:pt>
                <c:pt idx="2">
                  <c:v>3427.6258850097656</c:v>
                </c:pt>
                <c:pt idx="3">
                  <c:v>5179.3634080886841</c:v>
                </c:pt>
                <c:pt idx="4">
                  <c:v>8424.1222190856934</c:v>
                </c:pt>
                <c:pt idx="5">
                  <c:v>14122.107172012329</c:v>
                </c:pt>
                <c:pt idx="6">
                  <c:v>22962.45813369751</c:v>
                </c:pt>
                <c:pt idx="7">
                  <c:v>34744.884295463562</c:v>
                </c:pt>
                <c:pt idx="8">
                  <c:v>47953.076267242432</c:v>
                </c:pt>
                <c:pt idx="9">
                  <c:v>59920.057969093323</c:v>
                </c:pt>
                <c:pt idx="10">
                  <c:v>67698.8121509552</c:v>
                </c:pt>
                <c:pt idx="11">
                  <c:v>69275.117473602295</c:v>
                </c:pt>
                <c:pt idx="12">
                  <c:v>64455.865316390991</c:v>
                </c:pt>
                <c:pt idx="13">
                  <c:v>54914.018397331238</c:v>
                </c:pt>
                <c:pt idx="14">
                  <c:v>43386.776733398438</c:v>
                </c:pt>
                <c:pt idx="15">
                  <c:v>32520.741815567017</c:v>
                </c:pt>
                <c:pt idx="16">
                  <c:v>23990.241785049438</c:v>
                </c:pt>
                <c:pt idx="17">
                  <c:v>18246.386370658875</c:v>
                </c:pt>
                <c:pt idx="18">
                  <c:v>14834.008274078369</c:v>
                </c:pt>
                <c:pt idx="19">
                  <c:v>12938.762903213501</c:v>
                </c:pt>
                <c:pt idx="20">
                  <c:v>11826.709604263306</c:v>
                </c:pt>
                <c:pt idx="21">
                  <c:v>11028.567967414856</c:v>
                </c:pt>
                <c:pt idx="22">
                  <c:v>10316.606016159058</c:v>
                </c:pt>
                <c:pt idx="23">
                  <c:v>9601.705756187439</c:v>
                </c:pt>
                <c:pt idx="24">
                  <c:v>8848.565149307251</c:v>
                </c:pt>
                <c:pt idx="25">
                  <c:v>8042.1930551528931</c:v>
                </c:pt>
                <c:pt idx="26">
                  <c:v>7191.0526704788208</c:v>
                </c:pt>
                <c:pt idx="27">
                  <c:v>6334.0625524520874</c:v>
                </c:pt>
                <c:pt idx="28">
                  <c:v>5528.5912561416626</c:v>
                </c:pt>
                <c:pt idx="29">
                  <c:v>4822.9588079452515</c:v>
                </c:pt>
                <c:pt idx="30">
                  <c:v>4234.6729373931885</c:v>
                </c:pt>
                <c:pt idx="31">
                  <c:v>3748.8711786270142</c:v>
                </c:pt>
                <c:pt idx="32">
                  <c:v>3332.9706716537476</c:v>
                </c:pt>
                <c:pt idx="33">
                  <c:v>2954.9115753173828</c:v>
                </c:pt>
                <c:pt idx="34">
                  <c:v>2596.207594871521</c:v>
                </c:pt>
                <c:pt idx="35">
                  <c:v>2256.2248516082764</c:v>
                </c:pt>
                <c:pt idx="36">
                  <c:v>1946.5985107421875</c:v>
                </c:pt>
                <c:pt idx="37">
                  <c:v>1678.4552383422852</c:v>
                </c:pt>
                <c:pt idx="38">
                  <c:v>1450.264368057251</c:v>
                </c:pt>
                <c:pt idx="39">
                  <c:v>1245.185980796814</c:v>
                </c:pt>
                <c:pt idx="40">
                  <c:v>1040.687894821167</c:v>
                </c:pt>
                <c:pt idx="41">
                  <c:v>823.88609409332275</c:v>
                </c:pt>
                <c:pt idx="42">
                  <c:v>601.13569736480713</c:v>
                </c:pt>
                <c:pt idx="43">
                  <c:v>394.49652671813965</c:v>
                </c:pt>
                <c:pt idx="44">
                  <c:v>227.9082202911377</c:v>
                </c:pt>
                <c:pt idx="45">
                  <c:v>113.60166072845459</c:v>
                </c:pt>
                <c:pt idx="46">
                  <c:v>47.848601341247559</c:v>
                </c:pt>
                <c:pt idx="47">
                  <c:v>16.627488136291504</c:v>
                </c:pt>
                <c:pt idx="48">
                  <c:v>4.6244955062866211</c:v>
                </c:pt>
                <c:pt idx="49">
                  <c:v>0.97263336181640625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B0-47DC-BFC9-D48A12E3E5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47456"/>
        <c:axId val="154987328"/>
      </c:lineChart>
      <c:catAx>
        <c:axId val="128147456"/>
        <c:scaling>
          <c:orientation val="minMax"/>
        </c:scaling>
        <c:delete val="0"/>
        <c:axPos val="b"/>
        <c:majorTickMark val="out"/>
        <c:minorTickMark val="none"/>
        <c:tickLblPos val="nextTo"/>
        <c:crossAx val="154987328"/>
        <c:crosses val="autoZero"/>
        <c:auto val="1"/>
        <c:lblAlgn val="ctr"/>
        <c:lblOffset val="100"/>
        <c:tickLblSkip val="10"/>
        <c:noMultiLvlLbl val="0"/>
      </c:catAx>
      <c:valAx>
        <c:axId val="154987328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2814745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298"/>
          <c:h val="0.1674343832021006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Arrival_Time_School!$J$7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Arrival_Time_School!$J$8:$J$58</c:f>
              <c:numCache>
                <c:formatCode>0.00</c:formatCode>
                <c:ptCount val="51"/>
                <c:pt idx="0">
                  <c:v>0</c:v>
                </c:pt>
                <c:pt idx="1">
                  <c:v>42.974043692305472</c:v>
                </c:pt>
                <c:pt idx="2">
                  <c:v>186.31276458020028</c:v>
                </c:pt>
                <c:pt idx="3">
                  <c:v>673.00567327156898</c:v>
                </c:pt>
                <c:pt idx="4">
                  <c:v>2048.2274901968735</c:v>
                </c:pt>
                <c:pt idx="5">
                  <c:v>5235.7714566044269</c:v>
                </c:pt>
                <c:pt idx="6">
                  <c:v>11299.808164103149</c:v>
                </c:pt>
                <c:pt idx="7">
                  <c:v>20740.382664427445</c:v>
                </c:pt>
                <c:pt idx="8">
                  <c:v>32604.510074415924</c:v>
                </c:pt>
                <c:pt idx="9">
                  <c:v>44178.801035167904</c:v>
                </c:pt>
                <c:pt idx="10">
                  <c:v>51906.801148461935</c:v>
                </c:pt>
                <c:pt idx="11">
                  <c:v>53228.686547579237</c:v>
                </c:pt>
                <c:pt idx="12">
                  <c:v>48071.215373445404</c:v>
                </c:pt>
                <c:pt idx="13">
                  <c:v>38819.856945222826</c:v>
                </c:pt>
                <c:pt idx="14">
                  <c:v>28824.668711046834</c:v>
                </c:pt>
                <c:pt idx="15">
                  <c:v>20636.313148620953</c:v>
                </c:pt>
                <c:pt idx="16">
                  <c:v>15168.374570511107</c:v>
                </c:pt>
                <c:pt idx="17">
                  <c:v>12026.322400046207</c:v>
                </c:pt>
                <c:pt idx="18">
                  <c:v>10367.72320954689</c:v>
                </c:pt>
                <c:pt idx="19">
                  <c:v>9544.2734528375331</c:v>
                </c:pt>
                <c:pt idx="20">
                  <c:v>9243.6423452485578</c:v>
                </c:pt>
                <c:pt idx="21">
                  <c:v>9316.2984709469729</c:v>
                </c:pt>
                <c:pt idx="22">
                  <c:v>9593.161387813625</c:v>
                </c:pt>
                <c:pt idx="23">
                  <c:v>9845.7341923586027</c:v>
                </c:pt>
                <c:pt idx="24">
                  <c:v>9861.2885430556526</c:v>
                </c:pt>
                <c:pt idx="25">
                  <c:v>9540.9379115027987</c:v>
                </c:pt>
                <c:pt idx="26">
                  <c:v>8946.3682722916419</c:v>
                </c:pt>
                <c:pt idx="27">
                  <c:v>8255.817924066876</c:v>
                </c:pt>
                <c:pt idx="28">
                  <c:v>7639.4125935759866</c:v>
                </c:pt>
                <c:pt idx="29">
                  <c:v>7131.9671694063491</c:v>
                </c:pt>
                <c:pt idx="30">
                  <c:v>6607.331656488047</c:v>
                </c:pt>
                <c:pt idx="31">
                  <c:v>5885.1025240129702</c:v>
                </c:pt>
                <c:pt idx="32">
                  <c:v>4882.5120511636442</c:v>
                </c:pt>
                <c:pt idx="33">
                  <c:v>3685.6562949886834</c:v>
                </c:pt>
                <c:pt idx="34">
                  <c:v>2494.4518572714383</c:v>
                </c:pt>
                <c:pt idx="35">
                  <c:v>1503.3416621672325</c:v>
                </c:pt>
                <c:pt idx="36">
                  <c:v>811.76813084372588</c:v>
                </c:pt>
                <c:pt idx="37">
                  <c:v>409.52408917955353</c:v>
                </c:pt>
                <c:pt idx="38">
                  <c:v>218.65486278499426</c:v>
                </c:pt>
                <c:pt idx="39">
                  <c:v>147.39855672015935</c:v>
                </c:pt>
                <c:pt idx="40">
                  <c:v>124.75720829078152</c:v>
                </c:pt>
                <c:pt idx="41">
                  <c:v>110.30437960664048</c:v>
                </c:pt>
                <c:pt idx="42">
                  <c:v>89.185506550292374</c:v>
                </c:pt>
                <c:pt idx="43">
                  <c:v>62.334882572932166</c:v>
                </c:pt>
                <c:pt idx="44">
                  <c:v>36.684894541399338</c:v>
                </c:pt>
                <c:pt idx="45">
                  <c:v>17.82729765970134</c:v>
                </c:pt>
                <c:pt idx="46">
                  <c:v>7.0043548934679656</c:v>
                </c:pt>
                <c:pt idx="47">
                  <c:v>2.1651210492276771</c:v>
                </c:pt>
                <c:pt idx="48">
                  <c:v>0.50625367420450251</c:v>
                </c:pt>
                <c:pt idx="49">
                  <c:v>8.3661190571987842E-2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4B-494D-9611-FB3A708B1416}"/>
            </c:ext>
          </c:extLst>
        </c:ser>
        <c:ser>
          <c:idx val="1"/>
          <c:order val="1"/>
          <c:tx>
            <c:strRef>
              <c:f>Arrival_Time_School!$U$7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Arrival_Time_School!$U$8:$U$58</c:f>
              <c:numCache>
                <c:formatCode>General</c:formatCode>
                <c:ptCount val="51"/>
                <c:pt idx="0">
                  <c:v>20</c:v>
                </c:pt>
                <c:pt idx="1">
                  <c:v>63.090839385986328</c:v>
                </c:pt>
                <c:pt idx="2">
                  <c:v>214.87783432006836</c:v>
                </c:pt>
                <c:pt idx="3">
                  <c:v>697.87660121917725</c:v>
                </c:pt>
                <c:pt idx="4">
                  <c:v>1958.5294485092163</c:v>
                </c:pt>
                <c:pt idx="5">
                  <c:v>4699.4055318832397</c:v>
                </c:pt>
                <c:pt idx="6">
                  <c:v>9691.9252729415894</c:v>
                </c:pt>
                <c:pt idx="7">
                  <c:v>17294.045929908752</c:v>
                </c:pt>
                <c:pt idx="8">
                  <c:v>26856.359386444092</c:v>
                </c:pt>
                <c:pt idx="9">
                  <c:v>36477.710866928101</c:v>
                </c:pt>
                <c:pt idx="10">
                  <c:v>43527.673254013062</c:v>
                </c:pt>
                <c:pt idx="11">
                  <c:v>45847.154664993286</c:v>
                </c:pt>
                <c:pt idx="12">
                  <c:v>42914.691114425659</c:v>
                </c:pt>
                <c:pt idx="13">
                  <c:v>36135.182166099548</c:v>
                </c:pt>
                <c:pt idx="14">
                  <c:v>28016.092457771301</c:v>
                </c:pt>
                <c:pt idx="15">
                  <c:v>20848.89075756073</c:v>
                </c:pt>
                <c:pt idx="16">
                  <c:v>15811.734156608582</c:v>
                </c:pt>
                <c:pt idx="17">
                  <c:v>12920.557379722595</c:v>
                </c:pt>
                <c:pt idx="18">
                  <c:v>11551.408376693726</c:v>
                </c:pt>
                <c:pt idx="19">
                  <c:v>10997.341861724854</c:v>
                </c:pt>
                <c:pt idx="20">
                  <c:v>10758.206677436829</c:v>
                </c:pt>
                <c:pt idx="21">
                  <c:v>10583.561363220215</c:v>
                </c:pt>
                <c:pt idx="22">
                  <c:v>10410.216426849365</c:v>
                </c:pt>
                <c:pt idx="23">
                  <c:v>10287.465147972107</c:v>
                </c:pt>
                <c:pt idx="24">
                  <c:v>10306.515560150146</c:v>
                </c:pt>
                <c:pt idx="25">
                  <c:v>10522.883086204529</c:v>
                </c:pt>
                <c:pt idx="26">
                  <c:v>10885.098223686218</c:v>
                </c:pt>
                <c:pt idx="27">
                  <c:v>11216.484217643738</c:v>
                </c:pt>
                <c:pt idx="28">
                  <c:v>11281.165165901184</c:v>
                </c:pt>
                <c:pt idx="29">
                  <c:v>10898.737740516663</c:v>
                </c:pt>
                <c:pt idx="30">
                  <c:v>10027.430109977722</c:v>
                </c:pt>
                <c:pt idx="31">
                  <c:v>8767.6669263839722</c:v>
                </c:pt>
                <c:pt idx="32">
                  <c:v>7304.6649551391602</c:v>
                </c:pt>
                <c:pt idx="33">
                  <c:v>5835.9461545944214</c:v>
                </c:pt>
                <c:pt idx="34">
                  <c:v>4512.7117586135864</c:v>
                </c:pt>
                <c:pt idx="35">
                  <c:v>3407.7695608139038</c:v>
                </c:pt>
                <c:pt idx="36">
                  <c:v>2519.1711759567261</c:v>
                </c:pt>
                <c:pt idx="37">
                  <c:v>1805.7592248916626</c:v>
                </c:pt>
                <c:pt idx="38">
                  <c:v>1229.2745685577393</c:v>
                </c:pt>
                <c:pt idx="39">
                  <c:v>774.42394256591797</c:v>
                </c:pt>
                <c:pt idx="40">
                  <c:v>440.50806999206543</c:v>
                </c:pt>
                <c:pt idx="41">
                  <c:v>221.92927837371826</c:v>
                </c:pt>
                <c:pt idx="42">
                  <c:v>98.052921295166016</c:v>
                </c:pt>
                <c:pt idx="43">
                  <c:v>38.270354270935059</c:v>
                </c:pt>
                <c:pt idx="44">
                  <c:v>13.690485954284668</c:v>
                </c:pt>
                <c:pt idx="45">
                  <c:v>4.7857809066772461</c:v>
                </c:pt>
                <c:pt idx="46">
                  <c:v>1.6949367523193359</c:v>
                </c:pt>
                <c:pt idx="47">
                  <c:v>0.57673931121826172</c:v>
                </c:pt>
                <c:pt idx="48">
                  <c:v>0.16954898834228516</c:v>
                </c:pt>
                <c:pt idx="49">
                  <c:v>3.8385391235351563E-2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4B-494D-9611-FB3A708B14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51040"/>
        <c:axId val="154989056"/>
      </c:lineChart>
      <c:catAx>
        <c:axId val="128151040"/>
        <c:scaling>
          <c:orientation val="minMax"/>
        </c:scaling>
        <c:delete val="0"/>
        <c:axPos val="b"/>
        <c:majorTickMark val="out"/>
        <c:minorTickMark val="none"/>
        <c:tickLblPos val="nextTo"/>
        <c:crossAx val="154989056"/>
        <c:crosses val="autoZero"/>
        <c:auto val="1"/>
        <c:lblAlgn val="ctr"/>
        <c:lblOffset val="100"/>
        <c:tickLblSkip val="10"/>
        <c:noMultiLvlLbl val="0"/>
      </c:catAx>
      <c:valAx>
        <c:axId val="154989056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281510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04"/>
          <c:h val="0.167434383202100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Arrival_Time_Other!$J$7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Arrival_Time_Other!$J$8:$J$58</c:f>
              <c:numCache>
                <c:formatCode>0.00</c:formatCode>
                <c:ptCount val="51"/>
                <c:pt idx="0">
                  <c:v>1835.0248544454512</c:v>
                </c:pt>
                <c:pt idx="1">
                  <c:v>2091.0892951519404</c:v>
                </c:pt>
                <c:pt idx="2">
                  <c:v>2632.2960572251604</c:v>
                </c:pt>
                <c:pt idx="3">
                  <c:v>3672.6359236084172</c:v>
                </c:pt>
                <c:pt idx="4">
                  <c:v>5346.4943136813599</c:v>
                </c:pt>
                <c:pt idx="5">
                  <c:v>7810.5297760027088</c:v>
                </c:pt>
                <c:pt idx="6">
                  <c:v>11400.213062718152</c:v>
                </c:pt>
                <c:pt idx="7">
                  <c:v>16639.993247633251</c:v>
                </c:pt>
                <c:pt idx="8">
                  <c:v>23926.799298981667</c:v>
                </c:pt>
                <c:pt idx="9">
                  <c:v>33004.862324827409</c:v>
                </c:pt>
                <c:pt idx="10">
                  <c:v>42688.960668249783</c:v>
                </c:pt>
                <c:pt idx="11">
                  <c:v>51243.382529099261</c:v>
                </c:pt>
                <c:pt idx="12">
                  <c:v>57276.494419497525</c:v>
                </c:pt>
                <c:pt idx="13">
                  <c:v>60464.228765177228</c:v>
                </c:pt>
                <c:pt idx="14">
                  <c:v>61511.945323140098</c:v>
                </c:pt>
                <c:pt idx="15">
                  <c:v>61470.241766086612</c:v>
                </c:pt>
                <c:pt idx="16">
                  <c:v>61067.652578306079</c:v>
                </c:pt>
                <c:pt idx="17">
                  <c:v>60551.351183167113</c:v>
                </c:pt>
                <c:pt idx="18">
                  <c:v>59958.856470899154</c:v>
                </c:pt>
                <c:pt idx="19">
                  <c:v>59439.427155255689</c:v>
                </c:pt>
                <c:pt idx="20">
                  <c:v>59349.893831949375</c:v>
                </c:pt>
                <c:pt idx="21">
                  <c:v>60072.774401790026</c:v>
                </c:pt>
                <c:pt idx="22">
                  <c:v>61686.991426024761</c:v>
                </c:pt>
                <c:pt idx="23">
                  <c:v>63772.522156062638</c:v>
                </c:pt>
                <c:pt idx="24">
                  <c:v>65606.936148141613</c:v>
                </c:pt>
                <c:pt idx="25">
                  <c:v>66671.139474110649</c:v>
                </c:pt>
                <c:pt idx="26">
                  <c:v>67002.541849110814</c:v>
                </c:pt>
                <c:pt idx="27">
                  <c:v>67017.171203049948</c:v>
                </c:pt>
                <c:pt idx="28">
                  <c:v>66964.222378946317</c:v>
                </c:pt>
                <c:pt idx="29">
                  <c:v>66554.499145761001</c:v>
                </c:pt>
                <c:pt idx="30">
                  <c:v>65086.646521159651</c:v>
                </c:pt>
                <c:pt idx="31">
                  <c:v>61895.106730799002</c:v>
                </c:pt>
                <c:pt idx="32">
                  <c:v>56727.133192649017</c:v>
                </c:pt>
                <c:pt idx="33">
                  <c:v>49833.700180545871</c:v>
                </c:pt>
                <c:pt idx="34">
                  <c:v>41824.884167148746</c:v>
                </c:pt>
                <c:pt idx="35">
                  <c:v>33449.503271363428</c:v>
                </c:pt>
                <c:pt idx="36">
                  <c:v>25416.124343867908</c:v>
                </c:pt>
                <c:pt idx="37">
                  <c:v>18287.332716936697</c:v>
                </c:pt>
                <c:pt idx="38">
                  <c:v>12426.464616716879</c:v>
                </c:pt>
                <c:pt idx="39">
                  <c:v>7973.6496948953854</c:v>
                </c:pt>
                <c:pt idx="40">
                  <c:v>4853.3512491412203</c:v>
                </c:pt>
                <c:pt idx="41">
                  <c:v>2828.15792114955</c:v>
                </c:pt>
                <c:pt idx="42">
                  <c:v>1592.265316493812</c:v>
                </c:pt>
                <c:pt idx="43">
                  <c:v>865.63956339267804</c:v>
                </c:pt>
                <c:pt idx="44">
                  <c:v>446.3953073585696</c:v>
                </c:pt>
                <c:pt idx="45">
                  <c:v>211.2314581180336</c:v>
                </c:pt>
                <c:pt idx="46">
                  <c:v>88.119963736525989</c:v>
                </c:pt>
                <c:pt idx="47">
                  <c:v>31.110880775170976</c:v>
                </c:pt>
                <c:pt idx="48">
                  <c:v>8.9107891910312986</c:v>
                </c:pt>
                <c:pt idx="49">
                  <c:v>1.9399963934298852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43-4D5B-8A27-15CDBA3EC109}"/>
            </c:ext>
          </c:extLst>
        </c:ser>
        <c:ser>
          <c:idx val="1"/>
          <c:order val="1"/>
          <c:tx>
            <c:strRef>
              <c:f>Arrival_Time_Other!$U$7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Arrival_Time_Other!$U$8:$U$58</c:f>
              <c:numCache>
                <c:formatCode>General</c:formatCode>
                <c:ptCount val="51"/>
                <c:pt idx="0">
                  <c:v>3085</c:v>
                </c:pt>
                <c:pt idx="1">
                  <c:v>3393.9071035385132</c:v>
                </c:pt>
                <c:pt idx="2">
                  <c:v>3724.0996026992798</c:v>
                </c:pt>
                <c:pt idx="3">
                  <c:v>4217.1666240692139</c:v>
                </c:pt>
                <c:pt idx="4">
                  <c:v>5208.0075550079346</c:v>
                </c:pt>
                <c:pt idx="5">
                  <c:v>7208.9478826522827</c:v>
                </c:pt>
                <c:pt idx="6">
                  <c:v>10781.543617248535</c:v>
                </c:pt>
                <c:pt idx="7">
                  <c:v>16308.607878684998</c:v>
                </c:pt>
                <c:pt idx="8">
                  <c:v>23733.915848731995</c:v>
                </c:pt>
                <c:pt idx="9">
                  <c:v>32401.899385452271</c:v>
                </c:pt>
                <c:pt idx="10">
                  <c:v>41154.73961353302</c:v>
                </c:pt>
                <c:pt idx="11">
                  <c:v>48739.2524766922</c:v>
                </c:pt>
                <c:pt idx="12">
                  <c:v>54334.509682655334</c:v>
                </c:pt>
                <c:pt idx="13">
                  <c:v>57840.896158218384</c:v>
                </c:pt>
                <c:pt idx="14">
                  <c:v>59724.281320571899</c:v>
                </c:pt>
                <c:pt idx="15">
                  <c:v>60597.704939842224</c:v>
                </c:pt>
                <c:pt idx="16">
                  <c:v>60921.512150764465</c:v>
                </c:pt>
                <c:pt idx="17">
                  <c:v>60987.904386520386</c:v>
                </c:pt>
                <c:pt idx="18">
                  <c:v>61024.912838935852</c:v>
                </c:pt>
                <c:pt idx="19">
                  <c:v>61207.334785461426</c:v>
                </c:pt>
                <c:pt idx="20">
                  <c:v>61576.172852516174</c:v>
                </c:pt>
                <c:pt idx="21">
                  <c:v>62017.391238212585</c:v>
                </c:pt>
                <c:pt idx="22">
                  <c:v>62376.159634590149</c:v>
                </c:pt>
                <c:pt idx="23">
                  <c:v>62621.501088142395</c:v>
                </c:pt>
                <c:pt idx="24">
                  <c:v>62914.307398796082</c:v>
                </c:pt>
                <c:pt idx="25">
                  <c:v>63510.022702217102</c:v>
                </c:pt>
                <c:pt idx="26">
                  <c:v>64561.638073921204</c:v>
                </c:pt>
                <c:pt idx="27">
                  <c:v>65959.42599773407</c:v>
                </c:pt>
                <c:pt idx="28">
                  <c:v>67291.071653366089</c:v>
                </c:pt>
                <c:pt idx="29">
                  <c:v>67907.966084480286</c:v>
                </c:pt>
                <c:pt idx="30">
                  <c:v>67073.090229034424</c:v>
                </c:pt>
                <c:pt idx="31">
                  <c:v>64210.905451774597</c:v>
                </c:pt>
                <c:pt idx="32">
                  <c:v>59207.281122207642</c:v>
                </c:pt>
                <c:pt idx="33">
                  <c:v>52543.152756690979</c:v>
                </c:pt>
                <c:pt idx="34">
                  <c:v>45076.073884963989</c:v>
                </c:pt>
                <c:pt idx="35">
                  <c:v>37597.121162414551</c:v>
                </c:pt>
                <c:pt idx="36">
                  <c:v>30531.258158683777</c:v>
                </c:pt>
                <c:pt idx="37">
                  <c:v>23993.147664070129</c:v>
                </c:pt>
                <c:pt idx="38">
                  <c:v>18043.936200141907</c:v>
                </c:pt>
                <c:pt idx="39">
                  <c:v>12848.009676933289</c:v>
                </c:pt>
                <c:pt idx="40">
                  <c:v>8612.0614719390869</c:v>
                </c:pt>
                <c:pt idx="41">
                  <c:v>5433.0094528198242</c:v>
                </c:pt>
                <c:pt idx="42">
                  <c:v>3229.709997177124</c:v>
                </c:pt>
                <c:pt idx="43">
                  <c:v>1801.1959028244019</c:v>
                </c:pt>
                <c:pt idx="44">
                  <c:v>927.84024238586426</c:v>
                </c:pt>
                <c:pt idx="45">
                  <c:v>429.92269039154053</c:v>
                </c:pt>
                <c:pt idx="46">
                  <c:v>173.38910579681396</c:v>
                </c:pt>
                <c:pt idx="47">
                  <c:v>58.734817504882813</c:v>
                </c:pt>
                <c:pt idx="48">
                  <c:v>16.073808670043945</c:v>
                </c:pt>
                <c:pt idx="49">
                  <c:v>3.3416366577148438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43-4D5B-8A27-15CDBA3EC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8527104"/>
        <c:axId val="154990784"/>
      </c:lineChart>
      <c:catAx>
        <c:axId val="148527104"/>
        <c:scaling>
          <c:orientation val="minMax"/>
        </c:scaling>
        <c:delete val="0"/>
        <c:axPos val="b"/>
        <c:majorTickMark val="out"/>
        <c:minorTickMark val="none"/>
        <c:tickLblPos val="nextTo"/>
        <c:crossAx val="154990784"/>
        <c:crosses val="autoZero"/>
        <c:auto val="1"/>
        <c:lblAlgn val="ctr"/>
        <c:lblOffset val="100"/>
        <c:tickLblSkip val="10"/>
        <c:noMultiLvlLbl val="0"/>
      </c:catAx>
      <c:valAx>
        <c:axId val="154990784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485271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09"/>
          <c:h val="0.1674343832021008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Arrival_Time_Workbased!$J$7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Arrival_Time_Workbased!$J$8:$J$58</c:f>
              <c:numCache>
                <c:formatCode>0.00</c:formatCode>
                <c:ptCount val="51"/>
                <c:pt idx="0">
                  <c:v>0</c:v>
                </c:pt>
                <c:pt idx="1">
                  <c:v>9.2755969790815556</c:v>
                </c:pt>
                <c:pt idx="2">
                  <c:v>29.553779201966535</c:v>
                </c:pt>
                <c:pt idx="3">
                  <c:v>74.252214939777673</c:v>
                </c:pt>
                <c:pt idx="4">
                  <c:v>159.37382889704978</c:v>
                </c:pt>
                <c:pt idx="5">
                  <c:v>302.78287338129905</c:v>
                </c:pt>
                <c:pt idx="6">
                  <c:v>526.44090161910401</c:v>
                </c:pt>
                <c:pt idx="7">
                  <c:v>861.40272217945869</c:v>
                </c:pt>
                <c:pt idx="8">
                  <c:v>1346.9985374775301</c:v>
                </c:pt>
                <c:pt idx="9">
                  <c:v>2015.0086261070048</c:v>
                </c:pt>
                <c:pt idx="10">
                  <c:v>2864.7425476357062</c:v>
                </c:pt>
                <c:pt idx="11">
                  <c:v>3854.0376686832728</c:v>
                </c:pt>
                <c:pt idx="12">
                  <c:v>4929.3611634782355</c:v>
                </c:pt>
                <c:pt idx="13">
                  <c:v>6084.4429017810007</c:v>
                </c:pt>
                <c:pt idx="14">
                  <c:v>7394.39732239964</c:v>
                </c:pt>
                <c:pt idx="15">
                  <c:v>8966.7022865749841</c:v>
                </c:pt>
                <c:pt idx="16">
                  <c:v>10807.740505419841</c:v>
                </c:pt>
                <c:pt idx="17">
                  <c:v>12692.90196089014</c:v>
                </c:pt>
                <c:pt idx="18">
                  <c:v>14169.397972966854</c:v>
                </c:pt>
                <c:pt idx="19">
                  <c:v>14748.220637369885</c:v>
                </c:pt>
                <c:pt idx="20">
                  <c:v>14184.38561135802</c:v>
                </c:pt>
                <c:pt idx="21">
                  <c:v>12638.992339536991</c:v>
                </c:pt>
                <c:pt idx="22">
                  <c:v>10587.130115190004</c:v>
                </c:pt>
                <c:pt idx="23">
                  <c:v>8540.5831978104834</c:v>
                </c:pt>
                <c:pt idx="24">
                  <c:v>6800.7053161353697</c:v>
                </c:pt>
                <c:pt idx="25">
                  <c:v>5406.0423310578872</c:v>
                </c:pt>
                <c:pt idx="26">
                  <c:v>4257.0976722887135</c:v>
                </c:pt>
                <c:pt idx="27">
                  <c:v>3270.669831754808</c:v>
                </c:pt>
                <c:pt idx="28">
                  <c:v>2440.2385104814175</c:v>
                </c:pt>
                <c:pt idx="29">
                  <c:v>1796.5335041755411</c:v>
                </c:pt>
                <c:pt idx="30">
                  <c:v>1345.3003594101069</c:v>
                </c:pt>
                <c:pt idx="31">
                  <c:v>1047.5599081897412</c:v>
                </c:pt>
                <c:pt idx="32">
                  <c:v>845.56806363952717</c:v>
                </c:pt>
                <c:pt idx="33">
                  <c:v>697.66620292400512</c:v>
                </c:pt>
                <c:pt idx="34">
                  <c:v>590.81470168303804</c:v>
                </c:pt>
                <c:pt idx="35">
                  <c:v>527.06491689871427</c:v>
                </c:pt>
                <c:pt idx="36">
                  <c:v>501.55518485532434</c:v>
                </c:pt>
                <c:pt idx="37">
                  <c:v>492.62220736365924</c:v>
                </c:pt>
                <c:pt idx="38">
                  <c:v>470.87476325003934</c:v>
                </c:pt>
                <c:pt idx="39">
                  <c:v>416.79589511919522</c:v>
                </c:pt>
                <c:pt idx="40">
                  <c:v>331.19242298630923</c:v>
                </c:pt>
                <c:pt idx="41">
                  <c:v>231.75528220318211</c:v>
                </c:pt>
                <c:pt idx="42">
                  <c:v>140.69068037213211</c:v>
                </c:pt>
                <c:pt idx="43">
                  <c:v>72.974424896793295</c:v>
                </c:pt>
                <c:pt idx="44">
                  <c:v>31.767982881182849</c:v>
                </c:pt>
                <c:pt idx="45">
                  <c:v>11.351139359359985</c:v>
                </c:pt>
                <c:pt idx="46">
                  <c:v>3.2327844351403714</c:v>
                </c:pt>
                <c:pt idx="47">
                  <c:v>0.70406121827202861</c:v>
                </c:pt>
                <c:pt idx="48">
                  <c:v>0.10992231461713711</c:v>
                </c:pt>
                <c:pt idx="49">
                  <c:v>1.0940135578008907E-2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F1-4EB4-A51A-1C155ACD991F}"/>
            </c:ext>
          </c:extLst>
        </c:ser>
        <c:ser>
          <c:idx val="1"/>
          <c:order val="1"/>
          <c:tx>
            <c:strRef>
              <c:f>Arrival_Time_Workbased!$U$7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Arrival_Time_Workbased!$U$8:$U$58</c:f>
              <c:numCache>
                <c:formatCode>General</c:formatCode>
                <c:ptCount val="51"/>
                <c:pt idx="0">
                  <c:v>75</c:v>
                </c:pt>
                <c:pt idx="1">
                  <c:v>85.604019165039063</c:v>
                </c:pt>
                <c:pt idx="2">
                  <c:v>106.40270233154297</c:v>
                </c:pt>
                <c:pt idx="3">
                  <c:v>147.27702140808105</c:v>
                </c:pt>
                <c:pt idx="4">
                  <c:v>222.03940391540527</c:v>
                </c:pt>
                <c:pt idx="5">
                  <c:v>356.43599510192871</c:v>
                </c:pt>
                <c:pt idx="6">
                  <c:v>591.959547996521</c:v>
                </c:pt>
                <c:pt idx="7">
                  <c:v>976.79265022277832</c:v>
                </c:pt>
                <c:pt idx="8">
                  <c:v>1546.8109273910522</c:v>
                </c:pt>
                <c:pt idx="9">
                  <c:v>2314.4789981842041</c:v>
                </c:pt>
                <c:pt idx="10">
                  <c:v>3280.6339693069458</c:v>
                </c:pt>
                <c:pt idx="11">
                  <c:v>4458.0482959747314</c:v>
                </c:pt>
                <c:pt idx="12">
                  <c:v>5874.0244388580322</c:v>
                </c:pt>
                <c:pt idx="13">
                  <c:v>7534.4491910934448</c:v>
                </c:pt>
                <c:pt idx="14">
                  <c:v>9373.2788801193237</c:v>
                </c:pt>
                <c:pt idx="15">
                  <c:v>11229.774494171143</c:v>
                </c:pt>
                <c:pt idx="16">
                  <c:v>12867.705812454224</c:v>
                </c:pt>
                <c:pt idx="17">
                  <c:v>14018.579888343811</c:v>
                </c:pt>
                <c:pt idx="18">
                  <c:v>14441.226630210876</c:v>
                </c:pt>
                <c:pt idx="19">
                  <c:v>14009.930415153503</c:v>
                </c:pt>
                <c:pt idx="20">
                  <c:v>12806.469206809998</c:v>
                </c:pt>
                <c:pt idx="21">
                  <c:v>11130.160603523254</c:v>
                </c:pt>
                <c:pt idx="22">
                  <c:v>9369.5401287078857</c:v>
                </c:pt>
                <c:pt idx="23">
                  <c:v>7809.9477958679199</c:v>
                </c:pt>
                <c:pt idx="24">
                  <c:v>6530.0584173202515</c:v>
                </c:pt>
                <c:pt idx="25">
                  <c:v>5456.9599962234497</c:v>
                </c:pt>
                <c:pt idx="26">
                  <c:v>4499.7220182418823</c:v>
                </c:pt>
                <c:pt idx="27">
                  <c:v>3634.3329238891602</c:v>
                </c:pt>
                <c:pt idx="28">
                  <c:v>2893.3412313461304</c:v>
                </c:pt>
                <c:pt idx="29">
                  <c:v>2307.7329397201538</c:v>
                </c:pt>
                <c:pt idx="30">
                  <c:v>1868.0498075485229</c:v>
                </c:pt>
                <c:pt idx="31">
                  <c:v>1530.378737449646</c:v>
                </c:pt>
                <c:pt idx="32">
                  <c:v>1248.6094760894775</c:v>
                </c:pt>
                <c:pt idx="33">
                  <c:v>1000.3380346298218</c:v>
                </c:pt>
                <c:pt idx="34">
                  <c:v>787.96227931976318</c:v>
                </c:pt>
                <c:pt idx="35">
                  <c:v>620.59869766235352</c:v>
                </c:pt>
                <c:pt idx="36">
                  <c:v>496.72536849975586</c:v>
                </c:pt>
                <c:pt idx="37">
                  <c:v>402.17411041259766</c:v>
                </c:pt>
                <c:pt idx="38">
                  <c:v>321.05480670928955</c:v>
                </c:pt>
                <c:pt idx="39">
                  <c:v>246.13600730895996</c:v>
                </c:pt>
                <c:pt idx="40">
                  <c:v>179.34779167175293</c:v>
                </c:pt>
                <c:pt idx="41">
                  <c:v>124.93941783905029</c:v>
                </c:pt>
                <c:pt idx="42">
                  <c:v>83.862037658691406</c:v>
                </c:pt>
                <c:pt idx="43">
                  <c:v>53.762831687927246</c:v>
                </c:pt>
                <c:pt idx="44">
                  <c:v>31.927580833435059</c:v>
                </c:pt>
                <c:pt idx="45">
                  <c:v>16.853084564208984</c:v>
                </c:pt>
                <c:pt idx="46">
                  <c:v>7.5966691970825195</c:v>
                </c:pt>
                <c:pt idx="47">
                  <c:v>2.8210163116455078</c:v>
                </c:pt>
                <c:pt idx="48">
                  <c:v>0.83250999450683594</c:v>
                </c:pt>
                <c:pt idx="49">
                  <c:v>0.18396377563476563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F1-4EB4-A51A-1C155ACD99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0908928"/>
        <c:axId val="155754496"/>
      </c:lineChart>
      <c:catAx>
        <c:axId val="150908928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54496"/>
        <c:crosses val="autoZero"/>
        <c:auto val="1"/>
        <c:lblAlgn val="ctr"/>
        <c:lblOffset val="100"/>
        <c:tickLblSkip val="10"/>
        <c:noMultiLvlLbl val="0"/>
      </c:catAx>
      <c:valAx>
        <c:axId val="155754496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509089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17"/>
          <c:h val="0.1674343832021009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78" footer="0.30000000000000032" header="0.30000000000000032" l="0.70000000000000062" r="0.70000000000000062" t="0.75000000000000278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Arrival_Time_Work!$J$7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Arrival_Time_Work!$J$8:$J$58</c:f>
              <c:numCache>
                <c:formatCode>0.00</c:formatCode>
                <c:ptCount val="51"/>
                <c:pt idx="0">
                  <c:v>51.785126183268503</c:v>
                </c:pt>
                <c:pt idx="1">
                  <c:v>1200.6087067480396</c:v>
                </c:pt>
                <c:pt idx="2">
                  <c:v>2870.8023767440864</c:v>
                </c:pt>
                <c:pt idx="3">
                  <c:v>5701.3151074662874</c:v>
                </c:pt>
                <c:pt idx="4">
                  <c:v>10431.357144005608</c:v>
                </c:pt>
                <c:pt idx="5">
                  <c:v>17699.112248258756</c:v>
                </c:pt>
                <c:pt idx="6">
                  <c:v>27710.459336080774</c:v>
                </c:pt>
                <c:pt idx="7">
                  <c:v>39886.706615328825</c:v>
                </c:pt>
                <c:pt idx="8">
                  <c:v>52634.39523273227</c:v>
                </c:pt>
                <c:pt idx="9">
                  <c:v>63453.7815100769</c:v>
                </c:pt>
                <c:pt idx="10">
                  <c:v>69608.359688088647</c:v>
                </c:pt>
                <c:pt idx="11">
                  <c:v>69278.646420127261</c:v>
                </c:pt>
                <c:pt idx="12">
                  <c:v>62590.365248326969</c:v>
                </c:pt>
                <c:pt idx="13">
                  <c:v>51711.827284977546</c:v>
                </c:pt>
                <c:pt idx="14">
                  <c:v>39795.669789765547</c:v>
                </c:pt>
                <c:pt idx="15">
                  <c:v>29466.907619764654</c:v>
                </c:pt>
                <c:pt idx="16">
                  <c:v>21894.47381875119</c:v>
                </c:pt>
                <c:pt idx="17">
                  <c:v>16901.701133628616</c:v>
                </c:pt>
                <c:pt idx="18">
                  <c:v>13719.677520244066</c:v>
                </c:pt>
                <c:pt idx="19">
                  <c:v>11664.656055590376</c:v>
                </c:pt>
                <c:pt idx="20">
                  <c:v>10348.651215900112</c:v>
                </c:pt>
                <c:pt idx="21">
                  <c:v>9535.7550394171267</c:v>
                </c:pt>
                <c:pt idx="22">
                  <c:v>8975.1762619413566</c:v>
                </c:pt>
                <c:pt idx="23">
                  <c:v>8406.6376415190934</c:v>
                </c:pt>
                <c:pt idx="24">
                  <c:v>7683.191735032784</c:v>
                </c:pt>
                <c:pt idx="25">
                  <c:v>6842.0423910840209</c:v>
                </c:pt>
                <c:pt idx="26">
                  <c:v>6034.785015248779</c:v>
                </c:pt>
                <c:pt idx="27">
                  <c:v>5380.5039678819612</c:v>
                </c:pt>
                <c:pt idx="28">
                  <c:v>4872.6538610133675</c:v>
                </c:pt>
                <c:pt idx="29">
                  <c:v>4406.837470262546</c:v>
                </c:pt>
                <c:pt idx="30">
                  <c:v>3882.5963483521464</c:v>
                </c:pt>
                <c:pt idx="31">
                  <c:v>3279.4768092435224</c:v>
                </c:pt>
                <c:pt idx="32">
                  <c:v>2651.4536317620823</c:v>
                </c:pt>
                <c:pt idx="33">
                  <c:v>2067.1185212254418</c:v>
                </c:pt>
                <c:pt idx="34">
                  <c:v>1562.9901157053844</c:v>
                </c:pt>
                <c:pt idx="35">
                  <c:v>1144.5540037288335</c:v>
                </c:pt>
                <c:pt idx="36">
                  <c:v>811.53762600932271</c:v>
                </c:pt>
                <c:pt idx="37">
                  <c:v>567.40988613519846</c:v>
                </c:pt>
                <c:pt idx="38">
                  <c:v>406.71407784068606</c:v>
                </c:pt>
                <c:pt idx="39">
                  <c:v>305.59596327444928</c:v>
                </c:pt>
                <c:pt idx="40">
                  <c:v>232.3956510319521</c:v>
                </c:pt>
                <c:pt idx="41">
                  <c:v>166.60272800153007</c:v>
                </c:pt>
                <c:pt idx="42">
                  <c:v>105.84604256556186</c:v>
                </c:pt>
                <c:pt idx="43">
                  <c:v>57.27840012568965</c:v>
                </c:pt>
                <c:pt idx="44">
                  <c:v>25.732667810733833</c:v>
                </c:pt>
                <c:pt idx="45">
                  <c:v>9.3947457861720984</c:v>
                </c:pt>
                <c:pt idx="46">
                  <c:v>2.7216494688029051</c:v>
                </c:pt>
                <c:pt idx="47">
                  <c:v>0.60588456322824857</c:v>
                </c:pt>
                <c:pt idx="48">
                  <c:v>9.879316788044841E-2</c:v>
                </c:pt>
                <c:pt idx="49">
                  <c:v>1.0886144957250746E-2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A1-471D-8BD9-2BD56B078CE8}"/>
            </c:ext>
          </c:extLst>
        </c:ser>
        <c:ser>
          <c:idx val="1"/>
          <c:order val="1"/>
          <c:tx>
            <c:strRef>
              <c:f>Arrival_Time_Work!$U$7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Arrival_Time_Work!$U$8:$U$58</c:f>
              <c:numCache>
                <c:formatCode>General</c:formatCode>
                <c:ptCount val="51"/>
                <c:pt idx="0">
                  <c:v>1590</c:v>
                </c:pt>
                <c:pt idx="1">
                  <c:v>2385.7593202590942</c:v>
                </c:pt>
                <c:pt idx="2">
                  <c:v>3427.6258850097656</c:v>
                </c:pt>
                <c:pt idx="3">
                  <c:v>5179.3634080886841</c:v>
                </c:pt>
                <c:pt idx="4">
                  <c:v>8424.1222190856934</c:v>
                </c:pt>
                <c:pt idx="5">
                  <c:v>14122.107172012329</c:v>
                </c:pt>
                <c:pt idx="6">
                  <c:v>22962.45813369751</c:v>
                </c:pt>
                <c:pt idx="7">
                  <c:v>34744.884295463562</c:v>
                </c:pt>
                <c:pt idx="8">
                  <c:v>47953.076267242432</c:v>
                </c:pt>
                <c:pt idx="9">
                  <c:v>59920.057969093323</c:v>
                </c:pt>
                <c:pt idx="10">
                  <c:v>67698.8121509552</c:v>
                </c:pt>
                <c:pt idx="11">
                  <c:v>69275.117473602295</c:v>
                </c:pt>
                <c:pt idx="12">
                  <c:v>64455.865316390991</c:v>
                </c:pt>
                <c:pt idx="13">
                  <c:v>54914.018397331238</c:v>
                </c:pt>
                <c:pt idx="14">
                  <c:v>43386.776733398438</c:v>
                </c:pt>
                <c:pt idx="15">
                  <c:v>32520.741815567017</c:v>
                </c:pt>
                <c:pt idx="16">
                  <c:v>23990.241785049438</c:v>
                </c:pt>
                <c:pt idx="17">
                  <c:v>18246.386370658875</c:v>
                </c:pt>
                <c:pt idx="18">
                  <c:v>14834.008274078369</c:v>
                </c:pt>
                <c:pt idx="19">
                  <c:v>12938.762903213501</c:v>
                </c:pt>
                <c:pt idx="20">
                  <c:v>11826.709604263306</c:v>
                </c:pt>
                <c:pt idx="21">
                  <c:v>11028.567967414856</c:v>
                </c:pt>
                <c:pt idx="22">
                  <c:v>10316.606016159058</c:v>
                </c:pt>
                <c:pt idx="23">
                  <c:v>9601.705756187439</c:v>
                </c:pt>
                <c:pt idx="24">
                  <c:v>8848.565149307251</c:v>
                </c:pt>
                <c:pt idx="25">
                  <c:v>8042.1930551528931</c:v>
                </c:pt>
                <c:pt idx="26">
                  <c:v>7191.0526704788208</c:v>
                </c:pt>
                <c:pt idx="27">
                  <c:v>6334.0625524520874</c:v>
                </c:pt>
                <c:pt idx="28">
                  <c:v>5528.5912561416626</c:v>
                </c:pt>
                <c:pt idx="29">
                  <c:v>4822.9588079452515</c:v>
                </c:pt>
                <c:pt idx="30">
                  <c:v>4234.6729373931885</c:v>
                </c:pt>
                <c:pt idx="31">
                  <c:v>3748.8711786270142</c:v>
                </c:pt>
                <c:pt idx="32">
                  <c:v>3332.9706716537476</c:v>
                </c:pt>
                <c:pt idx="33">
                  <c:v>2954.9115753173828</c:v>
                </c:pt>
                <c:pt idx="34">
                  <c:v>2596.207594871521</c:v>
                </c:pt>
                <c:pt idx="35">
                  <c:v>2256.2248516082764</c:v>
                </c:pt>
                <c:pt idx="36">
                  <c:v>1946.5985107421875</c:v>
                </c:pt>
                <c:pt idx="37">
                  <c:v>1678.4552383422852</c:v>
                </c:pt>
                <c:pt idx="38">
                  <c:v>1450.264368057251</c:v>
                </c:pt>
                <c:pt idx="39">
                  <c:v>1245.185980796814</c:v>
                </c:pt>
                <c:pt idx="40">
                  <c:v>1040.687894821167</c:v>
                </c:pt>
                <c:pt idx="41">
                  <c:v>823.88609409332275</c:v>
                </c:pt>
                <c:pt idx="42">
                  <c:v>601.13569736480713</c:v>
                </c:pt>
                <c:pt idx="43">
                  <c:v>394.49652671813965</c:v>
                </c:pt>
                <c:pt idx="44">
                  <c:v>227.9082202911377</c:v>
                </c:pt>
                <c:pt idx="45">
                  <c:v>113.60166072845459</c:v>
                </c:pt>
                <c:pt idx="46">
                  <c:v>47.848601341247559</c:v>
                </c:pt>
                <c:pt idx="47">
                  <c:v>16.627488136291504</c:v>
                </c:pt>
                <c:pt idx="48">
                  <c:v>4.6244955062866211</c:v>
                </c:pt>
                <c:pt idx="49">
                  <c:v>0.97263336181640625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A1-471D-8BD9-2BD56B078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0910976"/>
        <c:axId val="155756224"/>
      </c:lineChart>
      <c:catAx>
        <c:axId val="150910976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56224"/>
        <c:crosses val="autoZero"/>
        <c:auto val="1"/>
        <c:lblAlgn val="ctr"/>
        <c:lblOffset val="100"/>
        <c:tickLblSkip val="10"/>
        <c:noMultiLvlLbl val="0"/>
      </c:catAx>
      <c:valAx>
        <c:axId val="155756224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509109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298"/>
          <c:h val="0.1674343832021006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Depart_Time_School!$J$7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Depart_Time_School!$A$8:$A$57</c:f>
              <c:strCache>
                <c:ptCount val="50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</c:strCache>
            </c:strRef>
          </c:cat>
          <c:val>
            <c:numRef>
              <c:f>Depart_Time_School!$J$8:$J$58</c:f>
              <c:numCache>
                <c:formatCode>0.00</c:formatCode>
                <c:ptCount val="51"/>
                <c:pt idx="0">
                  <c:v>6.6823958168861397</c:v>
                </c:pt>
                <c:pt idx="1">
                  <c:v>11.272201327523979</c:v>
                </c:pt>
                <c:pt idx="2">
                  <c:v>25.299243753312609</c:v>
                </c:pt>
                <c:pt idx="3">
                  <c:v>79.709840351953957</c:v>
                </c:pt>
                <c:pt idx="4">
                  <c:v>254.47072510728202</c:v>
                </c:pt>
                <c:pt idx="5">
                  <c:v>699.11068332124159</c:v>
                </c:pt>
                <c:pt idx="6">
                  <c:v>1607.9594293748364</c:v>
                </c:pt>
                <c:pt idx="7">
                  <c:v>3117.1684085428242</c:v>
                </c:pt>
                <c:pt idx="8">
                  <c:v>5157.00507269638</c:v>
                </c:pt>
                <c:pt idx="9">
                  <c:v>7376.8001357192461</c:v>
                </c:pt>
                <c:pt idx="10">
                  <c:v>9253.8379946325949</c:v>
                </c:pt>
                <c:pt idx="11">
                  <c:v>10360.242862785317</c:v>
                </c:pt>
                <c:pt idx="12">
                  <c:v>10609.398318075651</c:v>
                </c:pt>
                <c:pt idx="13">
                  <c:v>10298.814739338408</c:v>
                </c:pt>
                <c:pt idx="14">
                  <c:v>9925.1353187751483</c:v>
                </c:pt>
                <c:pt idx="15">
                  <c:v>9916.0087704158468</c:v>
                </c:pt>
                <c:pt idx="16">
                  <c:v>10461.847644743955</c:v>
                </c:pt>
                <c:pt idx="17">
                  <c:v>11546.193925304859</c:v>
                </c:pt>
                <c:pt idx="18">
                  <c:v>13152.874683090691</c:v>
                </c:pt>
                <c:pt idx="19">
                  <c:v>15507.581995278104</c:v>
                </c:pt>
                <c:pt idx="20">
                  <c:v>19113.223898649427</c:v>
                </c:pt>
                <c:pt idx="21">
                  <c:v>24384.62468484469</c:v>
                </c:pt>
                <c:pt idx="22">
                  <c:v>31004.265943454066</c:v>
                </c:pt>
                <c:pt idx="23">
                  <c:v>37540.186027497373</c:v>
                </c:pt>
                <c:pt idx="24">
                  <c:v>41892.394695826464</c:v>
                </c:pt>
                <c:pt idx="25">
                  <c:v>42476.421382457178</c:v>
                </c:pt>
                <c:pt idx="26">
                  <c:v>39235.158508200489</c:v>
                </c:pt>
                <c:pt idx="27">
                  <c:v>33571.724573469051</c:v>
                </c:pt>
                <c:pt idx="28">
                  <c:v>27295.637031132093</c:v>
                </c:pt>
                <c:pt idx="29">
                  <c:v>21590.080985213652</c:v>
                </c:pt>
                <c:pt idx="30">
                  <c:v>16800.9000057351</c:v>
                </c:pt>
                <c:pt idx="31">
                  <c:v>12885.383968789791</c:v>
                </c:pt>
                <c:pt idx="32">
                  <c:v>9830.3969397569726</c:v>
                </c:pt>
                <c:pt idx="33">
                  <c:v>7675.4164233008396</c:v>
                </c:pt>
                <c:pt idx="34">
                  <c:v>6322.5061519620012</c:v>
                </c:pt>
                <c:pt idx="35">
                  <c:v>5459.4457453767973</c:v>
                </c:pt>
                <c:pt idx="36">
                  <c:v>4700.4828081171072</c:v>
                </c:pt>
                <c:pt idx="37">
                  <c:v>3807.3021382916536</c:v>
                </c:pt>
                <c:pt idx="38">
                  <c:v>2793.428510391871</c:v>
                </c:pt>
                <c:pt idx="39">
                  <c:v>1837.3821262238303</c:v>
                </c:pt>
                <c:pt idx="40">
                  <c:v>1104.1299843757777</c:v>
                </c:pt>
                <c:pt idx="41">
                  <c:v>634.6723961540373</c:v>
                </c:pt>
                <c:pt idx="42">
                  <c:v>365.32485203722354</c:v>
                </c:pt>
                <c:pt idx="43">
                  <c:v>209.82423014715286</c:v>
                </c:pt>
                <c:pt idx="44">
                  <c:v>113.29104484475575</c:v>
                </c:pt>
                <c:pt idx="45">
                  <c:v>53.544458019915915</c:v>
                </c:pt>
                <c:pt idx="46">
                  <c:v>20.95436646628125</c:v>
                </c:pt>
                <c:pt idx="47">
                  <c:v>6.5018536352114715</c:v>
                </c:pt>
                <c:pt idx="48">
                  <c:v>1.5295642642664542</c:v>
                </c:pt>
                <c:pt idx="49">
                  <c:v>0.25480930781562494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CD-4A6F-AE7A-24E237105656}"/>
            </c:ext>
          </c:extLst>
        </c:ser>
        <c:ser>
          <c:idx val="1"/>
          <c:order val="1"/>
          <c:tx>
            <c:strRef>
              <c:f>Depart_Time_School!$U$7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Depart_Time_School!$A$8:$A$57</c:f>
              <c:strCache>
                <c:ptCount val="50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</c:strCache>
            </c:strRef>
          </c:cat>
          <c:val>
            <c:numRef>
              <c:f>Depart_Time_School!$U$8:$U$58</c:f>
              <c:numCache>
                <c:formatCode>General</c:formatCode>
                <c:ptCount val="51"/>
                <c:pt idx="0">
                  <c:v>20</c:v>
                </c:pt>
                <c:pt idx="1">
                  <c:v>14.25511360168457</c:v>
                </c:pt>
                <c:pt idx="2">
                  <c:v>13.8916015625</c:v>
                </c:pt>
                <c:pt idx="3">
                  <c:v>32.998619079589844</c:v>
                </c:pt>
                <c:pt idx="4">
                  <c:v>108.36406707763672</c:v>
                </c:pt>
                <c:pt idx="5">
                  <c:v>315.03516674041748</c:v>
                </c:pt>
                <c:pt idx="6">
                  <c:v>766.05937004089355</c:v>
                </c:pt>
                <c:pt idx="7">
                  <c:v>1575.8458662033081</c:v>
                </c:pt>
                <c:pt idx="8">
                  <c:v>2790.776515007019</c:v>
                </c:pt>
                <c:pt idx="9">
                  <c:v>4332.3036813735962</c:v>
                </c:pt>
                <c:pt idx="10">
                  <c:v>6011.2763595581055</c:v>
                </c:pt>
                <c:pt idx="11">
                  <c:v>7621.6625022888184</c:v>
                </c:pt>
                <c:pt idx="12">
                  <c:v>9041.3329601287842</c:v>
                </c:pt>
                <c:pt idx="13">
                  <c:v>10249.015560150146</c:v>
                </c:pt>
                <c:pt idx="14">
                  <c:v>11254.089202880859</c:v>
                </c:pt>
                <c:pt idx="15">
                  <c:v>12043.9506483078</c:v>
                </c:pt>
                <c:pt idx="16">
                  <c:v>12643.045272827148</c:v>
                </c:pt>
                <c:pt idx="17">
                  <c:v>13234.743285179138</c:v>
                </c:pt>
                <c:pt idx="18">
                  <c:v>14184.329309463501</c:v>
                </c:pt>
                <c:pt idx="19">
                  <c:v>15874.589281082153</c:v>
                </c:pt>
                <c:pt idx="20">
                  <c:v>18465.788507461548</c:v>
                </c:pt>
                <c:pt idx="21">
                  <c:v>21784.854907989502</c:v>
                </c:pt>
                <c:pt idx="22">
                  <c:v>25409.137544631958</c:v>
                </c:pt>
                <c:pt idx="23">
                  <c:v>28813.514652252197</c:v>
                </c:pt>
                <c:pt idx="24">
                  <c:v>31459.200167655945</c:v>
                </c:pt>
                <c:pt idx="25">
                  <c:v>32875.943613052368</c:v>
                </c:pt>
                <c:pt idx="26">
                  <c:v>32818.339781761169</c:v>
                </c:pt>
                <c:pt idx="27">
                  <c:v>31393.565921783447</c:v>
                </c:pt>
                <c:pt idx="28">
                  <c:v>28986.239757537842</c:v>
                </c:pt>
                <c:pt idx="29">
                  <c:v>26022.940831184387</c:v>
                </c:pt>
                <c:pt idx="30">
                  <c:v>22814.383177757263</c:v>
                </c:pt>
                <c:pt idx="31">
                  <c:v>19583.464508056641</c:v>
                </c:pt>
                <c:pt idx="32">
                  <c:v>16535.965547561646</c:v>
                </c:pt>
                <c:pt idx="33">
                  <c:v>13826.869688034058</c:v>
                </c:pt>
                <c:pt idx="34">
                  <c:v>11479.196510314941</c:v>
                </c:pt>
                <c:pt idx="35">
                  <c:v>9397.1321725845337</c:v>
                </c:pt>
                <c:pt idx="36">
                  <c:v>7484.0220260620117</c:v>
                </c:pt>
                <c:pt idx="37">
                  <c:v>5740.4594469070435</c:v>
                </c:pt>
                <c:pt idx="38">
                  <c:v>4248.5298538208008</c:v>
                </c:pt>
                <c:pt idx="39">
                  <c:v>3077.9076623916626</c:v>
                </c:pt>
                <c:pt idx="40">
                  <c:v>2217.3425960540771</c:v>
                </c:pt>
                <c:pt idx="41">
                  <c:v>1587.1081018447876</c:v>
                </c:pt>
                <c:pt idx="42">
                  <c:v>1100.8892488479614</c:v>
                </c:pt>
                <c:pt idx="43">
                  <c:v>712.07851409912109</c:v>
                </c:pt>
                <c:pt idx="44">
                  <c:v>413.54938983917236</c:v>
                </c:pt>
                <c:pt idx="45">
                  <c:v>208.92552375793457</c:v>
                </c:pt>
                <c:pt idx="46">
                  <c:v>89.353551864624023</c:v>
                </c:pt>
                <c:pt idx="47">
                  <c:v>31.49345874786377</c:v>
                </c:pt>
                <c:pt idx="48">
                  <c:v>8.8641548156738281</c:v>
                </c:pt>
                <c:pt idx="49">
                  <c:v>1.8816995620727539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7CD-4A6F-AE7A-24E237105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8526080"/>
        <c:axId val="155757952"/>
      </c:lineChart>
      <c:catAx>
        <c:axId val="148526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5757952"/>
        <c:crosses val="autoZero"/>
        <c:auto val="1"/>
        <c:lblAlgn val="ctr"/>
        <c:lblOffset val="100"/>
        <c:tickLblSkip val="10"/>
        <c:noMultiLvlLbl val="0"/>
      </c:catAx>
      <c:valAx>
        <c:axId val="155757952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485260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04"/>
          <c:h val="0.167434383202100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Arrival_Time_Other!$J$7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Arrival_Time_Other!$J$8:$J$58</c:f>
              <c:numCache>
                <c:formatCode>0.00</c:formatCode>
                <c:ptCount val="51"/>
                <c:pt idx="0">
                  <c:v>1835.0248544454512</c:v>
                </c:pt>
                <c:pt idx="1">
                  <c:v>2091.0892951519404</c:v>
                </c:pt>
                <c:pt idx="2">
                  <c:v>2632.2960572251604</c:v>
                </c:pt>
                <c:pt idx="3">
                  <c:v>3672.6359236084172</c:v>
                </c:pt>
                <c:pt idx="4">
                  <c:v>5346.4943136813599</c:v>
                </c:pt>
                <c:pt idx="5">
                  <c:v>7810.5297760027088</c:v>
                </c:pt>
                <c:pt idx="6">
                  <c:v>11400.213062718152</c:v>
                </c:pt>
                <c:pt idx="7">
                  <c:v>16639.993247633251</c:v>
                </c:pt>
                <c:pt idx="8">
                  <c:v>23926.799298981667</c:v>
                </c:pt>
                <c:pt idx="9">
                  <c:v>33004.862324827409</c:v>
                </c:pt>
                <c:pt idx="10">
                  <c:v>42688.960668249783</c:v>
                </c:pt>
                <c:pt idx="11">
                  <c:v>51243.382529099261</c:v>
                </c:pt>
                <c:pt idx="12">
                  <c:v>57276.494419497525</c:v>
                </c:pt>
                <c:pt idx="13">
                  <c:v>60464.228765177228</c:v>
                </c:pt>
                <c:pt idx="14">
                  <c:v>61511.945323140098</c:v>
                </c:pt>
                <c:pt idx="15">
                  <c:v>61470.241766086612</c:v>
                </c:pt>
                <c:pt idx="16">
                  <c:v>61067.652578306079</c:v>
                </c:pt>
                <c:pt idx="17">
                  <c:v>60551.351183167113</c:v>
                </c:pt>
                <c:pt idx="18">
                  <c:v>59958.856470899154</c:v>
                </c:pt>
                <c:pt idx="19">
                  <c:v>59439.427155255689</c:v>
                </c:pt>
                <c:pt idx="20">
                  <c:v>59349.893831949375</c:v>
                </c:pt>
                <c:pt idx="21">
                  <c:v>60072.774401790026</c:v>
                </c:pt>
                <c:pt idx="22">
                  <c:v>61686.991426024761</c:v>
                </c:pt>
                <c:pt idx="23">
                  <c:v>63772.522156062638</c:v>
                </c:pt>
                <c:pt idx="24">
                  <c:v>65606.936148141613</c:v>
                </c:pt>
                <c:pt idx="25">
                  <c:v>66671.139474110649</c:v>
                </c:pt>
                <c:pt idx="26">
                  <c:v>67002.541849110814</c:v>
                </c:pt>
                <c:pt idx="27">
                  <c:v>67017.171203049948</c:v>
                </c:pt>
                <c:pt idx="28">
                  <c:v>66964.222378946317</c:v>
                </c:pt>
                <c:pt idx="29">
                  <c:v>66554.499145761001</c:v>
                </c:pt>
                <c:pt idx="30">
                  <c:v>65086.646521159651</c:v>
                </c:pt>
                <c:pt idx="31">
                  <c:v>61895.106730799002</c:v>
                </c:pt>
                <c:pt idx="32">
                  <c:v>56727.133192649017</c:v>
                </c:pt>
                <c:pt idx="33">
                  <c:v>49833.700180545871</c:v>
                </c:pt>
                <c:pt idx="34">
                  <c:v>41824.884167148746</c:v>
                </c:pt>
                <c:pt idx="35">
                  <c:v>33449.503271363428</c:v>
                </c:pt>
                <c:pt idx="36">
                  <c:v>25416.124343867908</c:v>
                </c:pt>
                <c:pt idx="37">
                  <c:v>18287.332716936697</c:v>
                </c:pt>
                <c:pt idx="38">
                  <c:v>12426.464616716879</c:v>
                </c:pt>
                <c:pt idx="39">
                  <c:v>7973.6496948953854</c:v>
                </c:pt>
                <c:pt idx="40">
                  <c:v>4853.3512491412203</c:v>
                </c:pt>
                <c:pt idx="41">
                  <c:v>2828.15792114955</c:v>
                </c:pt>
                <c:pt idx="42">
                  <c:v>1592.265316493812</c:v>
                </c:pt>
                <c:pt idx="43">
                  <c:v>865.63956339267804</c:v>
                </c:pt>
                <c:pt idx="44">
                  <c:v>446.3953073585696</c:v>
                </c:pt>
                <c:pt idx="45">
                  <c:v>211.2314581180336</c:v>
                </c:pt>
                <c:pt idx="46">
                  <c:v>88.119963736525989</c:v>
                </c:pt>
                <c:pt idx="47">
                  <c:v>31.110880775170976</c:v>
                </c:pt>
                <c:pt idx="48">
                  <c:v>8.9107891910312986</c:v>
                </c:pt>
                <c:pt idx="49">
                  <c:v>1.9399963934298852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6B-480E-A3DA-5A95241D72CE}"/>
            </c:ext>
          </c:extLst>
        </c:ser>
        <c:ser>
          <c:idx val="1"/>
          <c:order val="1"/>
          <c:tx>
            <c:strRef>
              <c:f>Arrival_Time_Other!$U$7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Arrival_Time_Other!$U$8:$U$58</c:f>
              <c:numCache>
                <c:formatCode>General</c:formatCode>
                <c:ptCount val="51"/>
                <c:pt idx="0">
                  <c:v>3085</c:v>
                </c:pt>
                <c:pt idx="1">
                  <c:v>3393.9071035385132</c:v>
                </c:pt>
                <c:pt idx="2">
                  <c:v>3724.0996026992798</c:v>
                </c:pt>
                <c:pt idx="3">
                  <c:v>4217.1666240692139</c:v>
                </c:pt>
                <c:pt idx="4">
                  <c:v>5208.0075550079346</c:v>
                </c:pt>
                <c:pt idx="5">
                  <c:v>7208.9478826522827</c:v>
                </c:pt>
                <c:pt idx="6">
                  <c:v>10781.543617248535</c:v>
                </c:pt>
                <c:pt idx="7">
                  <c:v>16308.607878684998</c:v>
                </c:pt>
                <c:pt idx="8">
                  <c:v>23733.915848731995</c:v>
                </c:pt>
                <c:pt idx="9">
                  <c:v>32401.899385452271</c:v>
                </c:pt>
                <c:pt idx="10">
                  <c:v>41154.73961353302</c:v>
                </c:pt>
                <c:pt idx="11">
                  <c:v>48739.2524766922</c:v>
                </c:pt>
                <c:pt idx="12">
                  <c:v>54334.509682655334</c:v>
                </c:pt>
                <c:pt idx="13">
                  <c:v>57840.896158218384</c:v>
                </c:pt>
                <c:pt idx="14">
                  <c:v>59724.281320571899</c:v>
                </c:pt>
                <c:pt idx="15">
                  <c:v>60597.704939842224</c:v>
                </c:pt>
                <c:pt idx="16">
                  <c:v>60921.512150764465</c:v>
                </c:pt>
                <c:pt idx="17">
                  <c:v>60987.904386520386</c:v>
                </c:pt>
                <c:pt idx="18">
                  <c:v>61024.912838935852</c:v>
                </c:pt>
                <c:pt idx="19">
                  <c:v>61207.334785461426</c:v>
                </c:pt>
                <c:pt idx="20">
                  <c:v>61576.172852516174</c:v>
                </c:pt>
                <c:pt idx="21">
                  <c:v>62017.391238212585</c:v>
                </c:pt>
                <c:pt idx="22">
                  <c:v>62376.159634590149</c:v>
                </c:pt>
                <c:pt idx="23">
                  <c:v>62621.501088142395</c:v>
                </c:pt>
                <c:pt idx="24">
                  <c:v>62914.307398796082</c:v>
                </c:pt>
                <c:pt idx="25">
                  <c:v>63510.022702217102</c:v>
                </c:pt>
                <c:pt idx="26">
                  <c:v>64561.638073921204</c:v>
                </c:pt>
                <c:pt idx="27">
                  <c:v>65959.42599773407</c:v>
                </c:pt>
                <c:pt idx="28">
                  <c:v>67291.071653366089</c:v>
                </c:pt>
                <c:pt idx="29">
                  <c:v>67907.966084480286</c:v>
                </c:pt>
                <c:pt idx="30">
                  <c:v>67073.090229034424</c:v>
                </c:pt>
                <c:pt idx="31">
                  <c:v>64210.905451774597</c:v>
                </c:pt>
                <c:pt idx="32">
                  <c:v>59207.281122207642</c:v>
                </c:pt>
                <c:pt idx="33">
                  <c:v>52543.152756690979</c:v>
                </c:pt>
                <c:pt idx="34">
                  <c:v>45076.073884963989</c:v>
                </c:pt>
                <c:pt idx="35">
                  <c:v>37597.121162414551</c:v>
                </c:pt>
                <c:pt idx="36">
                  <c:v>30531.258158683777</c:v>
                </c:pt>
                <c:pt idx="37">
                  <c:v>23993.147664070129</c:v>
                </c:pt>
                <c:pt idx="38">
                  <c:v>18043.936200141907</c:v>
                </c:pt>
                <c:pt idx="39">
                  <c:v>12848.009676933289</c:v>
                </c:pt>
                <c:pt idx="40">
                  <c:v>8612.0614719390869</c:v>
                </c:pt>
                <c:pt idx="41">
                  <c:v>5433.0094528198242</c:v>
                </c:pt>
                <c:pt idx="42">
                  <c:v>3229.709997177124</c:v>
                </c:pt>
                <c:pt idx="43">
                  <c:v>1801.1959028244019</c:v>
                </c:pt>
                <c:pt idx="44">
                  <c:v>927.84024238586426</c:v>
                </c:pt>
                <c:pt idx="45">
                  <c:v>429.92269039154053</c:v>
                </c:pt>
                <c:pt idx="46">
                  <c:v>173.38910579681396</c:v>
                </c:pt>
                <c:pt idx="47">
                  <c:v>58.734817504882813</c:v>
                </c:pt>
                <c:pt idx="48">
                  <c:v>16.073808670043945</c:v>
                </c:pt>
                <c:pt idx="49">
                  <c:v>3.3416366577148438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6B-480E-A3DA-5A95241D72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658304"/>
        <c:axId val="155759680"/>
      </c:lineChart>
      <c:catAx>
        <c:axId val="154658304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59680"/>
        <c:crosses val="autoZero"/>
        <c:auto val="1"/>
        <c:lblAlgn val="ctr"/>
        <c:lblOffset val="100"/>
        <c:tickLblSkip val="10"/>
        <c:noMultiLvlLbl val="0"/>
      </c:catAx>
      <c:valAx>
        <c:axId val="155759680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546583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09"/>
          <c:h val="0.1674343832021008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Arrival_Time_Workbased!$J$7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Arrival_Time_Workbased!$J$8:$J$58</c:f>
              <c:numCache>
                <c:formatCode>0.00</c:formatCode>
                <c:ptCount val="51"/>
                <c:pt idx="0">
                  <c:v>0</c:v>
                </c:pt>
                <c:pt idx="1">
                  <c:v>9.2755969790815556</c:v>
                </c:pt>
                <c:pt idx="2">
                  <c:v>29.553779201966535</c:v>
                </c:pt>
                <c:pt idx="3">
                  <c:v>74.252214939777673</c:v>
                </c:pt>
                <c:pt idx="4">
                  <c:v>159.37382889704978</c:v>
                </c:pt>
                <c:pt idx="5">
                  <c:v>302.78287338129905</c:v>
                </c:pt>
                <c:pt idx="6">
                  <c:v>526.44090161910401</c:v>
                </c:pt>
                <c:pt idx="7">
                  <c:v>861.40272217945869</c:v>
                </c:pt>
                <c:pt idx="8">
                  <c:v>1346.9985374775301</c:v>
                </c:pt>
                <c:pt idx="9">
                  <c:v>2015.0086261070048</c:v>
                </c:pt>
                <c:pt idx="10">
                  <c:v>2864.7425476357062</c:v>
                </c:pt>
                <c:pt idx="11">
                  <c:v>3854.0376686832728</c:v>
                </c:pt>
                <c:pt idx="12">
                  <c:v>4929.3611634782355</c:v>
                </c:pt>
                <c:pt idx="13">
                  <c:v>6084.4429017810007</c:v>
                </c:pt>
                <c:pt idx="14">
                  <c:v>7394.39732239964</c:v>
                </c:pt>
                <c:pt idx="15">
                  <c:v>8966.7022865749841</c:v>
                </c:pt>
                <c:pt idx="16">
                  <c:v>10807.740505419841</c:v>
                </c:pt>
                <c:pt idx="17">
                  <c:v>12692.90196089014</c:v>
                </c:pt>
                <c:pt idx="18">
                  <c:v>14169.397972966854</c:v>
                </c:pt>
                <c:pt idx="19">
                  <c:v>14748.220637369885</c:v>
                </c:pt>
                <c:pt idx="20">
                  <c:v>14184.38561135802</c:v>
                </c:pt>
                <c:pt idx="21">
                  <c:v>12638.992339536991</c:v>
                </c:pt>
                <c:pt idx="22">
                  <c:v>10587.130115190004</c:v>
                </c:pt>
                <c:pt idx="23">
                  <c:v>8540.5831978104834</c:v>
                </c:pt>
                <c:pt idx="24">
                  <c:v>6800.7053161353697</c:v>
                </c:pt>
                <c:pt idx="25">
                  <c:v>5406.0423310578872</c:v>
                </c:pt>
                <c:pt idx="26">
                  <c:v>4257.0976722887135</c:v>
                </c:pt>
                <c:pt idx="27">
                  <c:v>3270.669831754808</c:v>
                </c:pt>
                <c:pt idx="28">
                  <c:v>2440.2385104814175</c:v>
                </c:pt>
                <c:pt idx="29">
                  <c:v>1796.5335041755411</c:v>
                </c:pt>
                <c:pt idx="30">
                  <c:v>1345.3003594101069</c:v>
                </c:pt>
                <c:pt idx="31">
                  <c:v>1047.5599081897412</c:v>
                </c:pt>
                <c:pt idx="32">
                  <c:v>845.56806363952717</c:v>
                </c:pt>
                <c:pt idx="33">
                  <c:v>697.66620292400512</c:v>
                </c:pt>
                <c:pt idx="34">
                  <c:v>590.81470168303804</c:v>
                </c:pt>
                <c:pt idx="35">
                  <c:v>527.06491689871427</c:v>
                </c:pt>
                <c:pt idx="36">
                  <c:v>501.55518485532434</c:v>
                </c:pt>
                <c:pt idx="37">
                  <c:v>492.62220736365924</c:v>
                </c:pt>
                <c:pt idx="38">
                  <c:v>470.87476325003934</c:v>
                </c:pt>
                <c:pt idx="39">
                  <c:v>416.79589511919522</c:v>
                </c:pt>
                <c:pt idx="40">
                  <c:v>331.19242298630923</c:v>
                </c:pt>
                <c:pt idx="41">
                  <c:v>231.75528220318211</c:v>
                </c:pt>
                <c:pt idx="42">
                  <c:v>140.69068037213211</c:v>
                </c:pt>
                <c:pt idx="43">
                  <c:v>72.974424896793295</c:v>
                </c:pt>
                <c:pt idx="44">
                  <c:v>31.767982881182849</c:v>
                </c:pt>
                <c:pt idx="45">
                  <c:v>11.351139359359985</c:v>
                </c:pt>
                <c:pt idx="46">
                  <c:v>3.2327844351403714</c:v>
                </c:pt>
                <c:pt idx="47">
                  <c:v>0.70406121827202861</c:v>
                </c:pt>
                <c:pt idx="48">
                  <c:v>0.10992231461713711</c:v>
                </c:pt>
                <c:pt idx="49">
                  <c:v>1.0940135578008907E-2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F5-4CE3-B6D1-B35DECCB7013}"/>
            </c:ext>
          </c:extLst>
        </c:ser>
        <c:ser>
          <c:idx val="1"/>
          <c:order val="1"/>
          <c:tx>
            <c:strRef>
              <c:f>Arrival_Time_Workbased!$U$7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Arrival_Time_Workbased!$U$8:$U$58</c:f>
              <c:numCache>
                <c:formatCode>General</c:formatCode>
                <c:ptCount val="51"/>
                <c:pt idx="0">
                  <c:v>75</c:v>
                </c:pt>
                <c:pt idx="1">
                  <c:v>85.604019165039063</c:v>
                </c:pt>
                <c:pt idx="2">
                  <c:v>106.40270233154297</c:v>
                </c:pt>
                <c:pt idx="3">
                  <c:v>147.27702140808105</c:v>
                </c:pt>
                <c:pt idx="4">
                  <c:v>222.03940391540527</c:v>
                </c:pt>
                <c:pt idx="5">
                  <c:v>356.43599510192871</c:v>
                </c:pt>
                <c:pt idx="6">
                  <c:v>591.959547996521</c:v>
                </c:pt>
                <c:pt idx="7">
                  <c:v>976.79265022277832</c:v>
                </c:pt>
                <c:pt idx="8">
                  <c:v>1546.8109273910522</c:v>
                </c:pt>
                <c:pt idx="9">
                  <c:v>2314.4789981842041</c:v>
                </c:pt>
                <c:pt idx="10">
                  <c:v>3280.6339693069458</c:v>
                </c:pt>
                <c:pt idx="11">
                  <c:v>4458.0482959747314</c:v>
                </c:pt>
                <c:pt idx="12">
                  <c:v>5874.0244388580322</c:v>
                </c:pt>
                <c:pt idx="13">
                  <c:v>7534.4491910934448</c:v>
                </c:pt>
                <c:pt idx="14">
                  <c:v>9373.2788801193237</c:v>
                </c:pt>
                <c:pt idx="15">
                  <c:v>11229.774494171143</c:v>
                </c:pt>
                <c:pt idx="16">
                  <c:v>12867.705812454224</c:v>
                </c:pt>
                <c:pt idx="17">
                  <c:v>14018.579888343811</c:v>
                </c:pt>
                <c:pt idx="18">
                  <c:v>14441.226630210876</c:v>
                </c:pt>
                <c:pt idx="19">
                  <c:v>14009.930415153503</c:v>
                </c:pt>
                <c:pt idx="20">
                  <c:v>12806.469206809998</c:v>
                </c:pt>
                <c:pt idx="21">
                  <c:v>11130.160603523254</c:v>
                </c:pt>
                <c:pt idx="22">
                  <c:v>9369.5401287078857</c:v>
                </c:pt>
                <c:pt idx="23">
                  <c:v>7809.9477958679199</c:v>
                </c:pt>
                <c:pt idx="24">
                  <c:v>6530.0584173202515</c:v>
                </c:pt>
                <c:pt idx="25">
                  <c:v>5456.9599962234497</c:v>
                </c:pt>
                <c:pt idx="26">
                  <c:v>4499.7220182418823</c:v>
                </c:pt>
                <c:pt idx="27">
                  <c:v>3634.3329238891602</c:v>
                </c:pt>
                <c:pt idx="28">
                  <c:v>2893.3412313461304</c:v>
                </c:pt>
                <c:pt idx="29">
                  <c:v>2307.7329397201538</c:v>
                </c:pt>
                <c:pt idx="30">
                  <c:v>1868.0498075485229</c:v>
                </c:pt>
                <c:pt idx="31">
                  <c:v>1530.378737449646</c:v>
                </c:pt>
                <c:pt idx="32">
                  <c:v>1248.6094760894775</c:v>
                </c:pt>
                <c:pt idx="33">
                  <c:v>1000.3380346298218</c:v>
                </c:pt>
                <c:pt idx="34">
                  <c:v>787.96227931976318</c:v>
                </c:pt>
                <c:pt idx="35">
                  <c:v>620.59869766235352</c:v>
                </c:pt>
                <c:pt idx="36">
                  <c:v>496.72536849975586</c:v>
                </c:pt>
                <c:pt idx="37">
                  <c:v>402.17411041259766</c:v>
                </c:pt>
                <c:pt idx="38">
                  <c:v>321.05480670928955</c:v>
                </c:pt>
                <c:pt idx="39">
                  <c:v>246.13600730895996</c:v>
                </c:pt>
                <c:pt idx="40">
                  <c:v>179.34779167175293</c:v>
                </c:pt>
                <c:pt idx="41">
                  <c:v>124.93941783905029</c:v>
                </c:pt>
                <c:pt idx="42">
                  <c:v>83.862037658691406</c:v>
                </c:pt>
                <c:pt idx="43">
                  <c:v>53.762831687927246</c:v>
                </c:pt>
                <c:pt idx="44">
                  <c:v>31.927580833435059</c:v>
                </c:pt>
                <c:pt idx="45">
                  <c:v>16.853084564208984</c:v>
                </c:pt>
                <c:pt idx="46">
                  <c:v>7.5966691970825195</c:v>
                </c:pt>
                <c:pt idx="47">
                  <c:v>2.8210163116455078</c:v>
                </c:pt>
                <c:pt idx="48">
                  <c:v>0.83250999450683594</c:v>
                </c:pt>
                <c:pt idx="49">
                  <c:v>0.18396377563476563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F5-4CE3-B6D1-B35DECCB70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656768"/>
        <c:axId val="155761984"/>
      </c:lineChart>
      <c:catAx>
        <c:axId val="154656768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61984"/>
        <c:crosses val="autoZero"/>
        <c:auto val="1"/>
        <c:lblAlgn val="ctr"/>
        <c:lblOffset val="100"/>
        <c:tickLblSkip val="10"/>
        <c:noMultiLvlLbl val="0"/>
      </c:catAx>
      <c:valAx>
        <c:axId val="155761984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546567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17"/>
          <c:h val="0.1674343832021009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78" footer="0.30000000000000032" header="0.30000000000000032" l="0.70000000000000062" r="0.70000000000000062" t="0.75000000000000278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no"?>
<Relationships xmlns="http://schemas.openxmlformats.org/package/2006/relationships">
    <Relationship Id="rId1" Target="../charts/chart1.xml" Type="http://schemas.openxmlformats.org/officeDocument/2006/relationships/chart"/>
    <Relationship Id="rId2" Target="../charts/chart2.xml" Type="http://schemas.openxmlformats.org/officeDocument/2006/relationships/chart"/>
    <Relationship Id="rId3" Target="../charts/chart3.xml" Type="http://schemas.openxmlformats.org/officeDocument/2006/relationships/chart"/>
    <Relationship Id="rId4" Target="../charts/chart4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    <Relationship Id="rId1" Target="../charts/chart5.xml" Type="http://schemas.openxmlformats.org/officeDocument/2006/relationships/chart"/>
    <Relationship Id="rId2" Target="../charts/chart6.xml" Type="http://schemas.openxmlformats.org/officeDocument/2006/relationships/chart"/>
    <Relationship Id="rId3" Target="../charts/chart7.xml" Type="http://schemas.openxmlformats.org/officeDocument/2006/relationships/chart"/>
    <Relationship Id="rId4" Target="../charts/chart8.xml" Type="http://schemas.openxmlformats.org/officeDocument/2006/relationships/chart"/>
</Relationships>

</file>

<file path=xl/drawings/_rels/drawing3.xml.rels><?xml version="1.0" encoding="UTF-8" standalone="no"?>
<Relationships xmlns="http://schemas.openxmlformats.org/package/2006/relationships">
    <Relationship Id="rId1" Target="../charts/chart9.xml" Type="http://schemas.openxmlformats.org/officeDocument/2006/relationships/chart"/>
    <Relationship Id="rId2" Target="../charts/chart10.xml" Type="http://schemas.openxmlformats.org/officeDocument/2006/relationships/chart"/>
    <Relationship Id="rId3" Target="../charts/chart11.xml" Type="http://schemas.openxmlformats.org/officeDocument/2006/relationships/chart"/>
    <Relationship Id="rId4" Target="../charts/chart12.xml" Type="http://schemas.openxmlformats.org/officeDocument/2006/relationships/chart"/>
</Relationships>

</file>

<file path=xl/drawings/_rels/drawing4.xml.rels><?xml version="1.0" encoding="UTF-8" standalone="no"?>
<Relationships xmlns="http://schemas.openxmlformats.org/package/2006/relationships">
    <Relationship Id="rId1" Target="../charts/chart13.xml" Type="http://schemas.openxmlformats.org/officeDocument/2006/relationships/chart"/>
</Relationships>

</file>

<file path=xl/drawings/_rels/drawing5.xml.rels><?xml version="1.0" encoding="UTF-8" standalone="no"?>
<Relationships xmlns="http://schemas.openxmlformats.org/package/2006/relationships">
    <Relationship Id="rId1" Target="../charts/chart14.xml" Type="http://schemas.openxmlformats.org/officeDocument/2006/relationships/chart"/>
</Relationships>

</file>

<file path=xl/drawings/_rels/drawing6.xml.rels><?xml version="1.0" encoding="UTF-8" standalone="no"?>
<Relationships xmlns="http://schemas.openxmlformats.org/package/2006/relationships">
    <Relationship Id="rId1" Target="../charts/chart15.xml" Type="http://schemas.openxmlformats.org/officeDocument/2006/relationships/chart"/>
</Relationships>

</file>

<file path=xl/drawings/_rels/drawing7.xml.rels><?xml version="1.0" encoding="UTF-8" standalone="no"?>
<Relationships xmlns="http://schemas.openxmlformats.org/package/2006/relationships">
    <Relationship Id="rId1" Target="../charts/chart16.xml" Type="http://schemas.openxmlformats.org/officeDocument/2006/relationships/chart"/>
</Relationships>

</file>

<file path=xl/drawings/_rels/drawing8.xml.rels><?xml version="1.0" encoding="UTF-8" standalone="no"?>
<Relationships xmlns="http://schemas.openxmlformats.org/package/2006/relationships">
    <Relationship Id="rId1" Target="../charts/chart17.xml" Type="http://schemas.openxmlformats.org/officeDocument/2006/relationships/chart"/>
</Relationships>

</file>

<file path=xl/drawings/_rels/drawing9.xml.rels><?xml version="1.0" encoding="UTF-8" standalone="no"?>
<Relationships xmlns="http://schemas.openxmlformats.org/package/2006/relationships">
    <Relationship Id="rId1" Target="../charts/chart18.xml" Type="http://schemas.openxmlformats.org/officeDocument/2006/relationships/chart"/>
</Relationships>

</file>

<file path=xl/drawings/_rels/drawing10.xml.rels><?xml version="1.0" encoding="UTF-8" standalone="no"?>
<Relationships xmlns="http://schemas.openxmlformats.org/package/2006/relationships">
    <Relationship Id="rId1" Target="../charts/chart19.xml" Type="http://schemas.openxmlformats.org/officeDocument/2006/relationships/chart"/>
</Relationships>

</file>

<file path=xl/drawings/_rels/drawing11.xml.rels><?xml version="1.0" encoding="UTF-8" standalone="no"?>
<Relationships xmlns="http://schemas.openxmlformats.org/package/2006/relationships">
    <Relationship Id="rId1" Target="../charts/chart20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14</xdr:col>
      <xdr:colOff>19050</xdr:colOff>
      <xdr:row>5</xdr:row>
      <xdr:rowOff>180975</xdr:rowOff>
    </xdr:from>
    <xdr:to>
      <xdr:col>23</xdr:col>
      <xdr:colOff>38100</xdr:colOff>
      <xdr:row>22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25</xdr:row>
      <xdr:rowOff>0</xdr:rowOff>
    </xdr:from>
    <xdr:to>
      <xdr:col>23</xdr:col>
      <xdr:colOff>19050</xdr:colOff>
      <xdr:row>42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44</xdr:row>
      <xdr:rowOff>0</xdr:rowOff>
    </xdr:from>
    <xdr:to>
      <xdr:col>23</xdr:col>
      <xdr:colOff>19050</xdr:colOff>
      <xdr:row>60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63</xdr:row>
      <xdr:rowOff>0</xdr:rowOff>
    </xdr:from>
    <xdr:to>
      <xdr:col>23</xdr:col>
      <xdr:colOff>19050</xdr:colOff>
      <xdr:row>80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14</xdr:col>
      <xdr:colOff>19050</xdr:colOff>
      <xdr:row>6</xdr:row>
      <xdr:rowOff>0</xdr:rowOff>
    </xdr:from>
    <xdr:to>
      <xdr:col>23</xdr:col>
      <xdr:colOff>38100</xdr:colOff>
      <xdr:row>23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44</xdr:row>
      <xdr:rowOff>19050</xdr:rowOff>
    </xdr:from>
    <xdr:to>
      <xdr:col>23</xdr:col>
      <xdr:colOff>19050</xdr:colOff>
      <xdr:row>61</xdr:row>
      <xdr:rowOff>9525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63</xdr:row>
      <xdr:rowOff>19050</xdr:rowOff>
    </xdr:from>
    <xdr:to>
      <xdr:col>23</xdr:col>
      <xdr:colOff>19050</xdr:colOff>
      <xdr:row>80</xdr:row>
      <xdr:rowOff>19050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24</xdr:row>
      <xdr:rowOff>0</xdr:rowOff>
    </xdr:from>
    <xdr:to>
      <xdr:col>24</xdr:col>
      <xdr:colOff>166688</xdr:colOff>
      <xdr:row>41</xdr:row>
      <xdr:rowOff>57151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70D4DA3C-F953-47C2-92BC-DD690CF9A6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14</xdr:col>
      <xdr:colOff>19050</xdr:colOff>
      <xdr:row>6</xdr:row>
      <xdr:rowOff>0</xdr:rowOff>
    </xdr:from>
    <xdr:to>
      <xdr:col>23</xdr:col>
      <xdr:colOff>38100</xdr:colOff>
      <xdr:row>23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25</xdr:row>
      <xdr:rowOff>19050</xdr:rowOff>
    </xdr:from>
    <xdr:to>
      <xdr:col>23</xdr:col>
      <xdr:colOff>19050</xdr:colOff>
      <xdr:row>42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44</xdr:row>
      <xdr:rowOff>19050</xdr:rowOff>
    </xdr:from>
    <xdr:to>
      <xdr:col>23</xdr:col>
      <xdr:colOff>19050</xdr:colOff>
      <xdr:row>61</xdr:row>
      <xdr:rowOff>9525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63</xdr:row>
      <xdr:rowOff>19050</xdr:rowOff>
    </xdr:from>
    <xdr:to>
      <xdr:col>23</xdr:col>
      <xdr:colOff>19050</xdr:colOff>
      <xdr:row>80</xdr:row>
      <xdr:rowOff>19050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    <Relationship Id="rId1" Target="../printerSettings/printerSettings1.bin" Type="http://schemas.openxmlformats.org/officeDocument/2006/relationships/printerSettings"/>
    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    <Relationship Id="rId1" Target="../printerSettings/printerSettings2.bin" Type="http://schemas.openxmlformats.org/officeDocument/2006/relationships/printerSettings"/>
    <Relationship Id="rId2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    <Relationship Id="rId1" Target="../printerSettings/printerSettings3.bin" Type="http://schemas.openxmlformats.org/officeDocument/2006/relationships/printerSettings"/>
    <Relationship Id="rId2" Target="../drawings/drawing3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    <Relationship Id="rId1" Target="../printerSettings/printerSettings4.bin" Type="http://schemas.openxmlformats.org/officeDocument/2006/relationships/printerSettings"/>
    <Relationship Id="rId2" Target="../drawings/drawing4.xml" Type="http://schemas.openxmlformats.org/officeDocument/2006/relationships/drawing"/>
</Relationships>

</file>

<file path=xl/worksheets/_rels/sheet5.xml.rels><?xml version="1.0" encoding="UTF-8" standalone="no"?>
<Relationships xmlns="http://schemas.openxmlformats.org/package/2006/relationships">
    <Relationship Id="rId1" Target="../printerSettings/printerSettings5.bin" Type="http://schemas.openxmlformats.org/officeDocument/2006/relationships/printerSettings"/>
    <Relationship Id="rId2" Target="../drawings/drawing5.xml" Type="http://schemas.openxmlformats.org/officeDocument/2006/relationships/drawing"/>
</Relationships>

</file>

<file path=xl/worksheets/_rels/sheet6.xml.rels><?xml version="1.0" encoding="UTF-8" standalone="no"?>
<Relationships xmlns="http://schemas.openxmlformats.org/package/2006/relationships">
    <Relationship Id="rId1" Target="../printerSettings/printerSettings6.bin" Type="http://schemas.openxmlformats.org/officeDocument/2006/relationships/printerSettings"/>
    <Relationship Id="rId2" Target="../drawings/drawing6.xml" Type="http://schemas.openxmlformats.org/officeDocument/2006/relationships/drawing"/>
</Relationships>

</file>

<file path=xl/worksheets/_rels/sheet7.xml.rels><?xml version="1.0" encoding="UTF-8" standalone="no"?>
<Relationships xmlns="http://schemas.openxmlformats.org/package/2006/relationships">
    <Relationship Id="rId1" Target="../printerSettings/printerSettings7.bin" Type="http://schemas.openxmlformats.org/officeDocument/2006/relationships/printerSettings"/>
    <Relationship Id="rId2" Target="../drawings/drawing7.xml" Type="http://schemas.openxmlformats.org/officeDocument/2006/relationships/drawing"/>
</Relationships>

</file>

<file path=xl/worksheets/_rels/sheet8.xml.rels><?xml version="1.0" encoding="UTF-8" standalone="no"?>
<Relationships xmlns="http://schemas.openxmlformats.org/package/2006/relationships">
    <Relationship Id="rId1" Target="../drawings/drawing8.xml" Type="http://schemas.openxmlformats.org/officeDocument/2006/relationships/drawing"/>
</Relationships>

</file>

<file path=xl/worksheets/_rels/sheet9.xml.rels><?xml version="1.0" encoding="UTF-8" standalone="no"?>
<Relationships xmlns="http://schemas.openxmlformats.org/package/2006/relationships">
    <Relationship Id="rId1" Target="../drawings/drawing9.xml" Type="http://schemas.openxmlformats.org/officeDocument/2006/relationships/drawing"/>
</Relationships>

</file>

<file path=xl/worksheets/_rels/sheet10.xml.rels><?xml version="1.0" encoding="UTF-8" standalone="no"?>
<Relationships xmlns="http://schemas.openxmlformats.org/package/2006/relationships">
    <Relationship Id="rId1" Target="../drawings/drawing10.xml" Type="http://schemas.openxmlformats.org/officeDocument/2006/relationships/drawing"/>
</Relationships>

</file>

<file path=xl/worksheets/_rels/sheet11.xml.rels><?xml version="1.0" encoding="UTF-8" standalone="no"?>
<Relationships xmlns="http://schemas.openxmlformats.org/package/2006/relationships">
    <Relationship Id="rId1" Target="../drawings/drawing11.xml" Type="http://schemas.openxmlformats.org/officeDocument/2006/relationships/drawing"/>
</Relationships>

</file>

<file path=xl/worksheets/_rels/sheet16.xml.rels><?xml version="1.0" encoding="UTF-8" standalone="no"?>
<Relationships xmlns="http://schemas.openxmlformats.org/package/2006/relationships">
    <Relationship Id="rId1" Target="../printerSettings/printerSettings8.bin" Type="http://schemas.openxmlformats.org/officeDocument/2006/relationships/printerSettings"/>
</Relationships>

</file>

<file path=xl/worksheets/_rels/sheet17.xml.rels><?xml version="1.0" encoding="UTF-8" standalone="no"?>
<Relationships xmlns="http://schemas.openxmlformats.org/package/2006/relationships">
    <Relationship Id="rId1" Target="../printerSettings/printerSettings9.bin" Type="http://schemas.openxmlformats.org/officeDocument/2006/relationships/printerSettings"/>
</Relationships>

</file>

<file path=xl/worksheets/_rels/sheet18.xml.rels><?xml version="1.0" encoding="UTF-8" standalone="no"?>
<Relationships xmlns="http://schemas.openxmlformats.org/package/2006/relationships">
    <Relationship Id="rId1" Target="../printerSettings/printerSettings10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S115"/>
  <sheetViews>
    <sheetView tabSelected="1" topLeftCell="F28" workbookViewId="0">
      <selection activeCell="P4" sqref="P4"/>
    </sheetView>
  </sheetViews>
  <sheetFormatPr defaultRowHeight="15" x14ac:dyDescent="0.25"/>
  <cols>
    <col min="1" max="1" customWidth="true" width="12.7109375" collapsed="true"/>
    <col min="2" max="6" customWidth="true" width="10.7109375" collapsed="true"/>
    <col min="7" max="7" customWidth="true" width="6.42578125" collapsed="true"/>
    <col min="8" max="8" customWidth="true" width="12.7109375" collapsed="true"/>
    <col min="9" max="13" customWidth="true" width="10.7109375" collapsed="true"/>
  </cols>
  <sheetData>
    <row r="1" spans="1:18" x14ac:dyDescent="0.25">
      <c r="A1" t="s">
        <v>9</v>
      </c>
    </row>
    <row r="2" spans="1:18" x14ac:dyDescent="0.25">
      <c r="A2" t="s">
        <v>59</v>
      </c>
    </row>
    <row r="3" spans="1:18" x14ac:dyDescent="0.25">
      <c r="A3" t="s">
        <v>7</v>
      </c>
    </row>
    <row r="5" spans="1:18" x14ac:dyDescent="0.25">
      <c r="O5" s="5"/>
      <c r="P5" s="5"/>
      <c r="Q5" s="5"/>
      <c r="R5" s="5"/>
    </row>
    <row ht="15.75" r="6" spans="1:18" thickBot="1" x14ac:dyDescent="0.3">
      <c r="A6" s="3" t="s">
        <v>47</v>
      </c>
      <c r="B6" s="1"/>
      <c r="C6" s="1"/>
      <c r="D6" s="1"/>
      <c r="E6" s="1"/>
      <c r="F6" s="1"/>
      <c r="H6" s="3" t="s">
        <v>12</v>
      </c>
      <c r="I6" s="1"/>
      <c r="J6" s="1"/>
      <c r="K6" s="1"/>
      <c r="L6" s="1"/>
      <c r="M6" s="1"/>
      <c r="O6" s="11"/>
      <c r="P6" s="5"/>
      <c r="Q6" s="5"/>
      <c r="R6" s="5"/>
    </row>
    <row r="7" spans="1:18" x14ac:dyDescent="0.25">
      <c r="A7" s="2" t="s">
        <v>4</v>
      </c>
      <c r="B7" s="4" t="s">
        <v>1</v>
      </c>
      <c r="C7" s="4" t="s">
        <v>2</v>
      </c>
      <c r="D7" s="4" t="s">
        <v>16</v>
      </c>
      <c r="E7" s="4" t="s">
        <v>3</v>
      </c>
      <c r="F7" s="4" t="s">
        <v>0</v>
      </c>
      <c r="H7" s="2" t="s">
        <v>4</v>
      </c>
      <c r="I7" s="4" t="s">
        <v>1</v>
      </c>
      <c r="J7" s="4" t="s">
        <v>2</v>
      </c>
      <c r="K7" s="4" t="s">
        <v>16</v>
      </c>
      <c r="L7" s="4" t="s">
        <v>3</v>
      </c>
      <c r="M7" s="4" t="s">
        <v>0</v>
      </c>
      <c r="O7" s="5"/>
      <c r="P7" s="14"/>
      <c r="Q7" s="14"/>
      <c r="R7" s="5"/>
    </row>
    <row r="8" spans="1:18" x14ac:dyDescent="0.25">
      <c r="A8" t="s">
        <v>5</v>
      </c>
      <c r="B8" s="6" t="n">
        <v>0.0</v>
      </c>
      <c r="C8" s="6" t="n">
        <v>0.0</v>
      </c>
      <c r="D8" s="6" t="n">
        <v>1040.388447076364</v>
      </c>
      <c r="E8" s="6" t="n">
        <v>0.0</v>
      </c>
      <c r="F8" s="6">
        <f>SUM(B8:E8)</f>
        <v>1886.8099806287196</v>
      </c>
      <c r="H8" t="s">
        <v>5</v>
      </c>
      <c r="I8" s="9" t="n">
        <v>591.0</v>
      </c>
      <c r="J8" s="9" t="n">
        <v>3.0</v>
      </c>
      <c r="K8" s="9" t="n">
        <v>212.0</v>
      </c>
      <c r="L8" s="9" t="n">
        <v>23.0</v>
      </c>
      <c r="M8">
        <f>SUM(I8:L8)</f>
        <v>4770</v>
      </c>
      <c r="O8" s="5"/>
      <c r="P8" s="16"/>
      <c r="Q8" s="16"/>
      <c r="R8" s="5"/>
    </row>
    <row r="9" spans="1:18" x14ac:dyDescent="0.25">
      <c r="A9" s="12">
        <v>0.125</v>
      </c>
      <c r="B9" s="6" t="n">
        <v>1343.5890940589177</v>
      </c>
      <c r="C9" s="6" t="n">
        <v>51.46054928477537</v>
      </c>
      <c r="D9" s="6" t="n">
        <v>810.9499481352118</v>
      </c>
      <c r="E9" s="6" t="n">
        <v>0.36759582579151506</v>
      </c>
      <c r="F9" s="6">
        <f ref="F9:F58" si="0" t="shared">SUM(B9:E9)</f>
        <v>3343.9476425713679</v>
      </c>
      <c r="H9" s="12">
        <v>0.125</v>
      </c>
      <c r="I9" s="9" t="n">
        <v>1984.5970678329468</v>
      </c>
      <c r="J9" s="9" t="n">
        <v>44.639899253845215</v>
      </c>
      <c r="K9" s="9" t="n">
        <v>575.5459680557251</v>
      </c>
      <c r="L9" s="9" t="n">
        <v>20.211915016174316</v>
      </c>
      <c r="M9">
        <f ref="M9:M58" si="1" t="shared">SUM(I9:L9)</f>
        <v>5928.3612823486328</v>
      </c>
      <c r="O9" s="5"/>
      <c r="P9" s="16"/>
      <c r="Q9" s="16"/>
      <c r="R9" s="5"/>
    </row>
    <row r="10" spans="1:18" x14ac:dyDescent="0.25">
      <c r="A10" s="12">
        <v>0.14583333333333334</v>
      </c>
      <c r="B10" s="6" t="n">
        <v>3318.977031753455</v>
      </c>
      <c r="C10" s="6" t="n">
        <v>241.65529722550338</v>
      </c>
      <c r="D10" s="6" t="n">
        <v>726.3577367949322</v>
      </c>
      <c r="E10" s="6" t="n">
        <v>1.7045514608915313</v>
      </c>
      <c r="F10" s="6">
        <f si="0" t="shared"/>
        <v>5718.9649777514151</v>
      </c>
      <c r="H10" s="12">
        <v>0.14583333333333334</v>
      </c>
      <c r="I10" s="9" t="n">
        <v>3582.4945487976074</v>
      </c>
      <c r="J10" s="9" t="n">
        <v>186.64538192749023</v>
      </c>
      <c r="K10" s="9" t="n">
        <v>970.0112905502319</v>
      </c>
      <c r="L10" s="9" t="n">
        <v>18.679673194885254</v>
      </c>
      <c r="M10">
        <f si="1" t="shared"/>
        <v>7473.0060243606567</v>
      </c>
      <c r="O10" s="5"/>
      <c r="P10" s="16"/>
      <c r="Q10" s="16"/>
      <c r="R10" s="5"/>
    </row>
    <row r="11" spans="1:18" x14ac:dyDescent="0.25">
      <c r="A11" s="12">
        <v>0.16666666666666666</v>
      </c>
      <c r="B11" s="6" t="n">
        <v>6680.276299832656</v>
      </c>
      <c r="C11" s="6" t="n">
        <v>880.3048327899734</v>
      </c>
      <c r="D11" s="6" t="n">
        <v>944.9907248039427</v>
      </c>
      <c r="E11" s="6" t="n">
        <v>6.131570154699901</v>
      </c>
      <c r="F11" s="6">
        <f si="0" t="shared"/>
        <v>10121.208919286051</v>
      </c>
      <c r="H11" s="12">
        <v>0.16666666666666666</v>
      </c>
      <c r="I11" s="9" t="n">
        <v>5816.889216423035</v>
      </c>
      <c r="J11" s="9" t="n">
        <v>659.37180519104</v>
      </c>
      <c r="K11" s="9" t="n">
        <v>1531.0382661819458</v>
      </c>
      <c r="L11" s="9" t="n">
        <v>19.319978713989258</v>
      </c>
      <c r="M11">
        <f si="1" t="shared"/>
        <v>10241.683654785156</v>
      </c>
      <c r="O11" s="5"/>
      <c r="P11" s="16"/>
      <c r="Q11" s="16"/>
      <c r="R11" s="5"/>
    </row>
    <row r="12" spans="1:18" x14ac:dyDescent="0.25">
      <c r="A12" s="12">
        <v>0.1875</v>
      </c>
      <c r="B12" s="6" t="n">
        <v>12334.939370965974</v>
      </c>
      <c r="C12" s="6" t="n">
        <v>2593.791127427263</v>
      </c>
      <c r="D12" s="6" t="n">
        <v>1662.0581129564068</v>
      </c>
      <c r="E12" s="6" t="n">
        <v>18.281176876567187</v>
      </c>
      <c r="F12" s="6">
        <f si="0" t="shared"/>
        <v>17985.45277678089</v>
      </c>
      <c r="H12" s="12">
        <v>0.1875</v>
      </c>
      <c r="I12" s="9" t="n">
        <v>9449.20290851593</v>
      </c>
      <c r="J12" s="9" t="n">
        <v>1950.7576093673706</v>
      </c>
      <c r="K12" s="9" t="n">
        <v>2544.8412170410156</v>
      </c>
      <c r="L12" s="9" t="n">
        <v>23.151437759399414</v>
      </c>
      <c r="M12">
        <f si="1" t="shared"/>
        <v>15812.69862651825</v>
      </c>
      <c r="O12" s="5"/>
      <c r="P12" s="5"/>
      <c r="Q12" s="5"/>
      <c r="R12" s="5"/>
    </row>
    <row r="13" spans="1:18" x14ac:dyDescent="0.25">
      <c r="A13" s="12">
        <v>0.20833333333333334</v>
      </c>
      <c r="B13" s="6" t="n">
        <v>21154.811668130133</v>
      </c>
      <c r="C13" s="6" t="n">
        <v>6289.026295025553</v>
      </c>
      <c r="D13" s="6" t="n">
        <v>3117.1623372629774</v>
      </c>
      <c r="E13" s="6" t="n">
        <v>46.76959803898942</v>
      </c>
      <c r="F13" s="6">
        <f si="0" t="shared"/>
        <v>31048.196354247193</v>
      </c>
      <c r="H13" s="12">
        <v>0.20833333333333334</v>
      </c>
      <c r="I13" s="9" t="n">
        <v>15411.91520023346</v>
      </c>
      <c r="J13" s="9" t="n">
        <v>4820.615569114685</v>
      </c>
      <c r="K13" s="9" t="n">
        <v>4394.126699447632</v>
      </c>
      <c r="L13" s="9" t="n">
        <v>32.6010217666626</v>
      </c>
      <c r="M13">
        <f si="1" t="shared"/>
        <v>26386.89658164978</v>
      </c>
    </row>
    <row r="14" spans="1:18" x14ac:dyDescent="0.25">
      <c r="A14" s="12">
        <v>0.22916666666666666</v>
      </c>
      <c r="B14" s="6" t="n">
        <v>33483.58299921192</v>
      </c>
      <c r="C14" s="6" t="n">
        <v>12710.006292893346</v>
      </c>
      <c r="D14" s="6" t="n">
        <v>5527.4711232473055</v>
      </c>
      <c r="E14" s="6" t="n">
        <v>104.9832721737803</v>
      </c>
      <c r="F14" s="6">
        <f si="0" t="shared"/>
        <v>50936.921464521191</v>
      </c>
      <c r="H14" s="12">
        <v>0.22916666666666666</v>
      </c>
      <c r="I14" s="9" t="n">
        <v>24333.314284324646</v>
      </c>
      <c r="J14" s="9" t="n">
        <v>10005.145748138428</v>
      </c>
      <c r="K14" s="9" t="n">
        <v>7402.562545776367</v>
      </c>
      <c r="L14" s="9" t="n">
        <v>52.88405513763428</v>
      </c>
      <c r="M14">
        <f si="1" t="shared"/>
        <v>44027.886571884155</v>
      </c>
    </row>
    <row r="15" spans="1:18" x14ac:dyDescent="0.25">
      <c r="A15" s="12">
        <v>0.25</v>
      </c>
      <c r="B15" s="6" t="n">
        <v>48481.668518034996</v>
      </c>
      <c r="C15" s="6" t="n">
        <v>21618.774143984738</v>
      </c>
      <c r="D15" s="6" t="n">
        <v>8920.473029303186</v>
      </c>
      <c r="E15" s="6" t="n">
        <v>209.50808555632673</v>
      </c>
      <c r="F15" s="6">
        <f si="0" t="shared"/>
        <v>78128.48524956897</v>
      </c>
      <c r="H15" s="12">
        <v>0.25</v>
      </c>
      <c r="I15" s="9" t="n">
        <v>35898.19331550598</v>
      </c>
      <c r="J15" s="9" t="n">
        <v>17570.570240020752</v>
      </c>
      <c r="K15" s="9" t="n">
        <v>11633.474025726318</v>
      </c>
      <c r="L15" s="9" t="n">
        <v>92.81468105316162</v>
      </c>
      <c r="M15">
        <f si="1" t="shared"/>
        <v>69324.33075428009</v>
      </c>
    </row>
    <row r="16" spans="1:18" x14ac:dyDescent="0.25">
      <c r="A16" s="12">
        <v>0.27083333333333331</v>
      </c>
      <c r="B16" s="6" t="n">
        <v>63752.9632152921</v>
      </c>
      <c r="C16" s="6" t="n">
        <v>31174.992824827477</v>
      </c>
      <c r="D16" s="6" t="n">
        <v>12959.857677166146</v>
      </c>
      <c r="E16" s="6" t="n">
        <v>374.9554497250889</v>
      </c>
      <c r="F16" s="6">
        <f si="0" t="shared"/>
        <v>110512.7031436074</v>
      </c>
      <c r="H16" s="12">
        <v>0.27083333333333331</v>
      </c>
      <c r="I16" s="9" t="n">
        <v>48438.55038547516</v>
      </c>
      <c r="J16" s="9" t="n">
        <v>26299.842178344727</v>
      </c>
      <c r="K16" s="9" t="n">
        <v>16748.801643371582</v>
      </c>
      <c r="L16" s="9" t="n">
        <v>166.79140853881836</v>
      </c>
      <c r="M16">
        <f si="1" t="shared"/>
        <v>100090.16242980957</v>
      </c>
    </row>
    <row r="17" spans="1:13" x14ac:dyDescent="0.25">
      <c r="A17" s="12">
        <v>0.29166666666666669</v>
      </c>
      <c r="B17" s="6" t="n">
        <v>75767.57257518129</v>
      </c>
      <c r="C17" s="6" t="n">
        <v>38322.19225386611</v>
      </c>
      <c r="D17" s="6" t="n">
        <v>16956.084877525736</v>
      </c>
      <c r="E17" s="6" t="n">
        <v>607.7799807729604</v>
      </c>
      <c r="F17" s="6">
        <f si="0" t="shared"/>
        <v>142652.45349617922</v>
      </c>
      <c r="H17" s="12">
        <v>0.29166666666666669</v>
      </c>
      <c r="I17" s="9" t="n">
        <v>59180.53891849518</v>
      </c>
      <c r="J17" s="9" t="n">
        <v>33772.94354915619</v>
      </c>
      <c r="K17" s="9" t="n">
        <v>22038.020275115967</v>
      </c>
      <c r="L17" s="9" t="n">
        <v>302.8576784133911</v>
      </c>
      <c r="M17">
        <f si="1" t="shared"/>
        <v>131114.1472196579</v>
      </c>
    </row>
    <row r="18" spans="1:13" x14ac:dyDescent="0.25">
      <c r="A18" s="12">
        <v>0.3125</v>
      </c>
      <c r="B18" s="6" t="n">
        <v>81178.99571152274</v>
      </c>
      <c r="C18" s="6" t="n">
        <v>40325.86124361477</v>
      </c>
      <c r="D18" s="6" t="n">
        <v>20160.475112748714</v>
      </c>
      <c r="E18" s="6" t="n">
        <v>908.2771988949756</v>
      </c>
      <c r="F18" s="6">
        <f si="0" t="shared"/>
        <v>167068.86405243605</v>
      </c>
      <c r="H18" s="12">
        <v>0.3125</v>
      </c>
      <c r="I18" s="9" t="n">
        <v>65239.08986091614</v>
      </c>
      <c r="J18" s="9" t="n">
        <v>37417.80518913269</v>
      </c>
      <c r="K18" s="9" t="n">
        <v>26655.021834373474</v>
      </c>
      <c r="L18" s="9" t="n">
        <v>559.2207899093628</v>
      </c>
      <c r="M18">
        <f si="1" t="shared"/>
        <v>155661.85898780823</v>
      </c>
    </row>
    <row r="19" spans="1:13" x14ac:dyDescent="0.25">
      <c r="A19" s="12">
        <v>0.33333333333333331</v>
      </c>
      <c r="B19" s="6" t="n">
        <v>78414.91172120263</v>
      </c>
      <c r="C19" s="6" t="n">
        <v>36453.2654435248</v>
      </c>
      <c r="D19" s="6" t="n">
        <v>22174.41244702643</v>
      </c>
      <c r="E19" s="6" t="n">
        <v>1293.4781276174665</v>
      </c>
      <c r="F19" s="6">
        <f si="0" t="shared"/>
        <v>177604.75316548903</v>
      </c>
      <c r="H19" s="12">
        <v>0.33333333333333331</v>
      </c>
      <c r="I19" s="9" t="n">
        <v>64908.68336772919</v>
      </c>
      <c r="J19" s="9" t="n">
        <v>35935.10277938843</v>
      </c>
      <c r="K19" s="9" t="n">
        <v>29969.022686958313</v>
      </c>
      <c r="L19" s="9" t="n">
        <v>1037.8025360107422</v>
      </c>
      <c r="M19">
        <f si="1" t="shared"/>
        <v>168319.57291126251</v>
      </c>
    </row>
    <row r="20" spans="1:13" x14ac:dyDescent="0.25">
      <c r="A20" s="12">
        <v>0.35416666666666669</v>
      </c>
      <c r="B20" s="6" t="n">
        <v>68518.34107183025</v>
      </c>
      <c r="C20" s="6" t="n">
        <v>28416.966665189575</v>
      </c>
      <c r="D20" s="6" t="n">
        <v>23142.265587214042</v>
      </c>
      <c r="E20" s="6" t="n">
        <v>1844.1307279938546</v>
      </c>
      <c r="F20" s="6">
        <f si="0" t="shared"/>
        <v>172867.43620474811</v>
      </c>
      <c r="H20" s="12">
        <v>0.35416666666666669</v>
      </c>
      <c r="I20" s="9" t="n">
        <v>58483.41203594208</v>
      </c>
      <c r="J20" s="9" t="n">
        <v>30032.07894706726</v>
      </c>
      <c r="K20" s="9" t="n">
        <v>31823.506242752075</v>
      </c>
      <c r="L20" s="9" t="n">
        <v>1868.2542304992676</v>
      </c>
      <c r="M20">
        <f si="1" t="shared"/>
        <v>167579.09055233002</v>
      </c>
    </row>
    <row r="21" spans="1:13" x14ac:dyDescent="0.25">
      <c r="A21" s="12">
        <v>0.375</v>
      </c>
      <c r="B21" s="6" t="n">
        <v>54623.081215242244</v>
      </c>
      <c r="C21" s="6" t="n">
        <v>19222.67931309985</v>
      </c>
      <c r="D21" s="6" t="n">
        <v>23559.296219997163</v>
      </c>
      <c r="E21" s="6" t="n">
        <v>2747.326915769825</v>
      </c>
      <c r="F21" s="6">
        <f si="0" t="shared"/>
        <v>157080.35589715856</v>
      </c>
      <c r="H21" s="12">
        <v>0.375</v>
      </c>
      <c r="I21" s="9" t="n">
        <v>48080.537366867065</v>
      </c>
      <c r="J21" s="9" t="n">
        <v>21921.292408943176</v>
      </c>
      <c r="K21" s="9" t="n">
        <v>32522.071982383728</v>
      </c>
      <c r="L21" s="9" t="n">
        <v>3145.880138397217</v>
      </c>
      <c r="M21">
        <f si="1" t="shared"/>
        <v>156424.54591274261</v>
      </c>
    </row>
    <row r="22" spans="1:13" x14ac:dyDescent="0.25">
      <c r="A22" s="12">
        <v>0.39583333333333331</v>
      </c>
      <c r="B22" s="6" t="n">
        <v>40415.83133072013</v>
      </c>
      <c r="C22" s="6" t="n">
        <v>11438.36178689804</v>
      </c>
      <c r="D22" s="6" t="n">
        <v>23865.336743043463</v>
      </c>
      <c r="E22" s="6" t="n">
        <v>4264.686657841086</v>
      </c>
      <c r="F22" s="6">
        <f si="0" t="shared"/>
        <v>137526.68114635212</v>
      </c>
      <c r="H22" s="12">
        <v>0.39583333333333331</v>
      </c>
      <c r="I22" s="9" t="n">
        <v>36598.11199474335</v>
      </c>
      <c r="J22" s="9" t="n">
        <v>14044.751667022705</v>
      </c>
      <c r="K22" s="9" t="n">
        <v>32558.143544197083</v>
      </c>
      <c r="L22" s="9" t="n">
        <v>4849.981687545776</v>
      </c>
      <c r="M22">
        <f si="1" t="shared"/>
        <v>140500.42939186096</v>
      </c>
    </row>
    <row r="23" spans="1:13" x14ac:dyDescent="0.25">
      <c r="A23" s="12">
        <v>0.41666666666666669</v>
      </c>
      <c r="B23" s="6" t="n">
        <v>28618.380217262536</v>
      </c>
      <c r="C23" s="6" t="n">
        <v>6190.3094928070905</v>
      </c>
      <c r="D23" s="6" t="n">
        <v>24163.34766520942</v>
      </c>
      <c r="E23" s="6" t="n">
        <v>6562.727448833058</v>
      </c>
      <c r="F23" s="6">
        <f si="0" t="shared"/>
        <v>120540.16482104722</v>
      </c>
      <c r="H23" s="12">
        <v>0.41666666666666669</v>
      </c>
      <c r="I23" s="9" t="n">
        <v>26483.84731388092</v>
      </c>
      <c r="J23" s="9" t="n">
        <v>7979.924828529358</v>
      </c>
      <c r="K23" s="9" t="n">
        <v>32321.957730293274</v>
      </c>
      <c r="L23" s="9" t="n">
        <v>6802.52038860321</v>
      </c>
      <c r="M23">
        <f si="1" t="shared"/>
        <v>125197.11200714111</v>
      </c>
    </row>
    <row r="24" spans="1:13" x14ac:dyDescent="0.25">
      <c r="A24" s="12">
        <v>0.4375</v>
      </c>
      <c r="B24" s="6" t="n">
        <v>20335.384358177114</v>
      </c>
      <c r="C24" s="6" t="n">
        <v>3292.428625800393</v>
      </c>
      <c r="D24" s="6" t="n">
        <v>24261.26123381131</v>
      </c>
      <c r="E24" s="6" t="n">
        <v>9458.972178661294</v>
      </c>
      <c r="F24" s="6">
        <f si="0" t="shared"/>
        <v>108938.24147298821</v>
      </c>
      <c r="H24" s="12">
        <v>0.4375</v>
      </c>
      <c r="I24" s="9" t="n">
        <v>19006.287043571472</v>
      </c>
      <c r="J24" s="9" t="n">
        <v>4124.84656047821</v>
      </c>
      <c r="K24" s="9" t="n">
        <v>32017.587210655212</v>
      </c>
      <c r="L24" s="9" t="n">
        <v>8700.917656898499</v>
      </c>
      <c r="M24">
        <f si="1" t="shared"/>
        <v>113591.19390487671</v>
      </c>
    </row>
    <row r="25" spans="1:13" x14ac:dyDescent="0.25">
      <c r="A25" s="12">
        <v>0.45833333333333331</v>
      </c>
      <c r="B25" s="6" t="n">
        <v>15338.857839544804</v>
      </c>
      <c r="C25" s="6" t="n">
        <v>1967.2238367737382</v>
      </c>
      <c r="D25" s="6" t="n">
        <v>23956.017056715296</v>
      </c>
      <c r="E25" s="6" t="n">
        <v>12299.916081178355</v>
      </c>
      <c r="F25" s="6">
        <f si="0" t="shared"/>
        <v>102172.27667773206</v>
      </c>
      <c r="H25" s="12">
        <v>0.45833333333333331</v>
      </c>
      <c r="I25" s="9" t="n">
        <v>14261.307141304016</v>
      </c>
      <c r="J25" s="9" t="n">
        <v>2062.0196809768677</v>
      </c>
      <c r="K25" s="9" t="n">
        <v>31782.790773391724</v>
      </c>
      <c r="L25" s="9" t="n">
        <v>10199.107216835022</v>
      </c>
      <c r="M25">
        <f si="1" t="shared"/>
        <v>106173.42802524567</v>
      </c>
    </row>
    <row r="26" spans="1:13" x14ac:dyDescent="0.25">
      <c r="A26" s="12">
        <v>0.47916666666666669</v>
      </c>
      <c r="B26" s="6" t="n">
        <v>12761.592357581003</v>
      </c>
      <c r="C26" s="6" t="n">
        <v>1461.8808501200874</v>
      </c>
      <c r="D26" s="6" t="n">
        <v>23306.04543687716</v>
      </c>
      <c r="E26" s="6" t="n">
        <v>14181.823916082729</v>
      </c>
      <c r="F26" s="6">
        <f si="0" t="shared"/>
        <v>98215.655173656953</v>
      </c>
      <c r="H26" s="12">
        <v>0.47916666666666669</v>
      </c>
      <c r="I26" s="9" t="n">
        <v>11651.605059623718</v>
      </c>
      <c r="J26" s="9" t="n">
        <v>1119.5526027679443</v>
      </c>
      <c r="K26" s="9" t="n">
        <v>31794.842774391174</v>
      </c>
      <c r="L26" s="9" t="n">
        <v>10996.043654441833</v>
      </c>
      <c r="M26">
        <f si="1" t="shared"/>
        <v>101851.55611991882</v>
      </c>
    </row>
    <row r="27" spans="1:13" x14ac:dyDescent="0.25">
      <c r="A27" s="12">
        <v>0.5</v>
      </c>
      <c r="B27" s="6" t="n">
        <v>11661.205082565495</v>
      </c>
      <c r="C27" s="6" t="n">
        <v>1288.4134813999092</v>
      </c>
      <c r="D27" s="6" t="n">
        <v>22680.127082328556</v>
      </c>
      <c r="E27" s="6" t="n">
        <v>14446.4408974424</v>
      </c>
      <c r="F27" s="6">
        <f si="0" t="shared"/>
        <v>95396.57730105349</v>
      </c>
      <c r="H27" s="12">
        <v>0.5</v>
      </c>
      <c r="I27" s="9" t="n">
        <v>10409.182636260986</v>
      </c>
      <c r="J27" s="9" t="n">
        <v>746.7414989471436</v>
      </c>
      <c r="K27" s="9" t="n">
        <v>32207.51885700226</v>
      </c>
      <c r="L27" s="9" t="n">
        <v>10924.672849655151</v>
      </c>
      <c r="M27">
        <f si="1" t="shared"/>
        <v>99153.369965553284</v>
      </c>
    </row>
    <row r="28" spans="1:13" x14ac:dyDescent="0.25">
      <c r="A28" s="12">
        <v>0.52083333333333337</v>
      </c>
      <c r="B28" s="6" t="n">
        <v>11273.11273438566</v>
      </c>
      <c r="C28" s="6" t="n">
        <v>1201.293673449662</v>
      </c>
      <c r="D28" s="6" t="n">
        <v>22556.785699410088</v>
      </c>
      <c r="E28" s="6" t="n">
        <v>13078.71172801543</v>
      </c>
      <c r="F28" s="6">
        <f si="0" t="shared"/>
        <v>93126.573004456062</v>
      </c>
      <c r="H28" s="12">
        <v>0.52083333333333337</v>
      </c>
      <c r="I28" s="9" t="n">
        <v>9897.028049468994</v>
      </c>
      <c r="J28" s="9" t="n">
        <v>621.0374402999878</v>
      </c>
      <c r="K28" s="9" t="n">
        <v>33004.82820034027</v>
      </c>
      <c r="L28" s="9" t="n">
        <v>10032.25201511383</v>
      </c>
      <c r="M28">
        <f si="1" t="shared"/>
        <v>96967.558341026306</v>
      </c>
    </row>
    <row r="29" spans="1:13" x14ac:dyDescent="0.25">
      <c r="A29" s="12">
        <v>0.54166666666666663</v>
      </c>
      <c r="B29" s="6" t="n">
        <v>11058.164712908227</v>
      </c>
      <c r="C29" s="6" t="n">
        <v>1105.2326867330094</v>
      </c>
      <c r="D29" s="6" t="n">
        <v>23223.73192091476</v>
      </c>
      <c r="E29" s="6" t="n">
        <v>10675.671806905128</v>
      </c>
      <c r="F29" s="6">
        <f si="0" t="shared"/>
        <v>91563.820251691111</v>
      </c>
      <c r="H29" s="12">
        <v>0.54166666666666663</v>
      </c>
      <c r="I29" s="9" t="n">
        <v>9679.792115211487</v>
      </c>
      <c r="J29" s="9" t="n">
        <v>598.0604600906372</v>
      </c>
      <c r="K29" s="9" t="n">
        <v>33977.57727909088</v>
      </c>
      <c r="L29" s="9" t="n">
        <v>8590.081317901611</v>
      </c>
      <c r="M29">
        <f si="1" t="shared"/>
        <v>94759.681172370911</v>
      </c>
    </row>
    <row r="30" spans="1:13" x14ac:dyDescent="0.25">
      <c r="A30" s="12">
        <v>0.5625</v>
      </c>
      <c r="B30" s="6" t="n">
        <v>10690.244835061972</v>
      </c>
      <c r="C30" s="6" t="n">
        <v>988.9110815082538</v>
      </c>
      <c r="D30" s="6" t="n">
        <v>24584.463851362714</v>
      </c>
      <c r="E30" s="6" t="n">
        <v>8039.781720866512</v>
      </c>
      <c r="F30" s="6">
        <f si="0" t="shared"/>
        <v>90842.459190969734</v>
      </c>
      <c r="H30" s="12">
        <v>0.5625</v>
      </c>
      <c r="I30" s="9" t="n">
        <v>9483.711218833923</v>
      </c>
      <c r="J30" s="9" t="n">
        <v>630.5765361785889</v>
      </c>
      <c r="K30" s="9" t="n">
        <v>34896.75861930847</v>
      </c>
      <c r="L30" s="9" t="n">
        <v>6977.1909646987915</v>
      </c>
      <c r="M30">
        <f si="1" t="shared"/>
        <v>92472.522206306458</v>
      </c>
    </row>
    <row r="31" spans="1:13" x14ac:dyDescent="0.25">
      <c r="A31" s="12">
        <v>0.58333333333333337</v>
      </c>
      <c r="B31" s="6" t="n">
        <v>10038.12189520742</v>
      </c>
      <c r="C31" s="6" t="n">
        <v>889.4145339996442</v>
      </c>
      <c r="D31" s="6" t="n">
        <v>26212.166839630147</v>
      </c>
      <c r="E31" s="6" t="n">
        <v>5755.352358153624</v>
      </c>
      <c r="F31" s="6">
        <f si="0" t="shared"/>
        <v>90565.477187750817</v>
      </c>
      <c r="H31" s="12">
        <v>0.58333333333333337</v>
      </c>
      <c r="I31" s="9" t="n">
        <v>9148.57357597351</v>
      </c>
      <c r="J31" s="9" t="n">
        <v>712.566577911377</v>
      </c>
      <c r="K31" s="9" t="n">
        <v>35735.5301656723</v>
      </c>
      <c r="L31" s="9" t="n">
        <v>5495.641074180603</v>
      </c>
      <c r="M31">
        <f si="1" t="shared"/>
        <v>90320.619788169861</v>
      </c>
    </row>
    <row r="32" spans="1:13" x14ac:dyDescent="0.25">
      <c r="A32" s="12">
        <v>0.60416666666666663</v>
      </c>
      <c r="B32" s="6" t="n">
        <v>9132.21448101119</v>
      </c>
      <c r="C32" s="6" t="n">
        <v>865.368512101313</v>
      </c>
      <c r="D32" s="6" t="n">
        <v>27641.312434596424</v>
      </c>
      <c r="E32" s="6" t="n">
        <v>4033.025245114679</v>
      </c>
      <c r="F32" s="6">
        <f si="0" t="shared"/>
        <v>89952.121742365402</v>
      </c>
      <c r="H32" s="12">
        <v>0.60416666666666663</v>
      </c>
      <c r="I32" s="9" t="n">
        <v>8604.461866378784</v>
      </c>
      <c r="J32" s="9" t="n">
        <v>848.8153676986694</v>
      </c>
      <c r="K32" s="9" t="n">
        <v>36722.41745471954</v>
      </c>
      <c r="L32" s="9" t="n">
        <v>4260.9403829574585</v>
      </c>
      <c r="M32">
        <f si="1" t="shared"/>
        <v>88599.44652557373</v>
      </c>
    </row>
    <row r="33" spans="1:13" x14ac:dyDescent="0.25">
      <c r="A33" s="12">
        <v>0.625</v>
      </c>
      <c r="B33" s="6" t="n">
        <v>8104.5999221843385</v>
      </c>
      <c r="C33" s="6" t="n">
        <v>967.390878021922</v>
      </c>
      <c r="D33" s="6" t="n">
        <v>28720.296447312023</v>
      </c>
      <c r="E33" s="6" t="n">
        <v>2814.9815537849804</v>
      </c>
      <c r="F33" s="6">
        <f si="0" t="shared"/>
        <v>88460.162107755328</v>
      </c>
      <c r="H33" s="12">
        <v>0.625</v>
      </c>
      <c r="I33" s="9" t="n">
        <v>7862.567749977112</v>
      </c>
      <c r="J33" s="9" t="n">
        <v>1035.7771463394165</v>
      </c>
      <c r="K33" s="9" t="n">
        <v>38159.4115152359</v>
      </c>
      <c r="L33" s="9" t="n">
        <v>3241.848792076111</v>
      </c>
      <c r="M33">
        <f si="1" t="shared"/>
        <v>87532.058839797974</v>
      </c>
    </row>
    <row r="34" spans="1:13" x14ac:dyDescent="0.25">
      <c r="A34" s="12">
        <v>0.64583333333333337</v>
      </c>
      <c r="B34" s="6" t="n">
        <v>7108.69604361814</v>
      </c>
      <c r="C34" s="6" t="n">
        <v>1208.1601887211693</v>
      </c>
      <c r="D34" s="6" t="n">
        <v>29771.782322974963</v>
      </c>
      <c r="E34" s="6" t="n">
        <v>1957.0453525274638</v>
      </c>
      <c r="F34" s="6">
        <f si="0" t="shared"/>
        <v>86240.792808939936</v>
      </c>
      <c r="H34" s="12">
        <v>0.64583333333333337</v>
      </c>
      <c r="I34" s="9" t="n">
        <v>7000.722289085388</v>
      </c>
      <c r="J34" s="9" t="n">
        <v>1249.0322704315186</v>
      </c>
      <c r="K34" s="9" t="n">
        <v>40156.47426986694</v>
      </c>
      <c r="L34" s="9" t="n">
        <v>2378.41574382782</v>
      </c>
      <c r="M34">
        <f si="1" t="shared"/>
        <v>87137.510986328125</v>
      </c>
    </row>
    <row r="35" spans="1:13" x14ac:dyDescent="0.25">
      <c r="A35" s="12">
        <v>0.66666666666666663</v>
      </c>
      <c r="B35" s="6" t="n">
        <v>6241.7748773224885</v>
      </c>
      <c r="C35" s="6" t="n">
        <v>1541.2476992038362</v>
      </c>
      <c r="D35" s="6" t="n">
        <v>31403.89784874813</v>
      </c>
      <c r="E35" s="6" t="n">
        <v>1343.3784926604299</v>
      </c>
      <c r="F35" s="6">
        <f si="0" t="shared"/>
        <v>83924.162926753605</v>
      </c>
      <c r="H35" s="12">
        <v>0.66666666666666663</v>
      </c>
      <c r="I35" s="9" t="n">
        <v>6129.894753456116</v>
      </c>
      <c r="J35" s="9" t="n">
        <v>1443.0224657058716</v>
      </c>
      <c r="K35" s="9" t="n">
        <v>42502.16558265686</v>
      </c>
      <c r="L35" s="9" t="n">
        <v>1657.652289390564</v>
      </c>
      <c r="M35">
        <f si="1" t="shared"/>
        <v>87144.305691719055</v>
      </c>
    </row>
    <row r="36" spans="1:13" x14ac:dyDescent="0.25">
      <c r="A36" s="12">
        <v>0.6875</v>
      </c>
      <c r="B36" s="6" t="n">
        <v>5505.095277412204</v>
      </c>
      <c r="C36" s="6" t="n">
        <v>1862.3292987099844</v>
      </c>
      <c r="D36" s="6" t="n">
        <v>34037.18725272192</v>
      </c>
      <c r="E36" s="6" t="n">
        <v>909.359816464002</v>
      </c>
      <c r="F36" s="6">
        <f si="0" t="shared"/>
        <v>81916.527344017086</v>
      </c>
      <c r="H36" s="12">
        <v>0.6875</v>
      </c>
      <c r="I36" s="9" t="n">
        <v>5343.169474601746</v>
      </c>
      <c r="J36" s="9" t="n">
        <v>1566.0266723632812</v>
      </c>
      <c r="K36" s="9" t="n">
        <v>44741.49781322479</v>
      </c>
      <c r="L36" s="9" t="n">
        <v>1103.7678651809692</v>
      </c>
      <c r="M36">
        <f si="1" t="shared"/>
        <v>86994.169306755066</v>
      </c>
    </row>
    <row r="37" spans="1:13" x14ac:dyDescent="0.25">
      <c r="A37" s="12">
        <v>0.70833333333333337</v>
      </c>
      <c r="B37" s="6" t="n">
        <v>4825.497713181744</v>
      </c>
      <c r="C37" s="6" t="n">
        <v>2044.435433986826</v>
      </c>
      <c r="D37" s="6" t="n">
        <v>37418.866351118944</v>
      </c>
      <c r="E37" s="6" t="n">
        <v>617.590609376266</v>
      </c>
      <c r="F37" s="6">
        <f si="0" t="shared"/>
        <v>79889.837289605435</v>
      </c>
      <c r="H37" s="12">
        <v>0.70833333333333337</v>
      </c>
      <c r="I37" s="9" t="n">
        <v>4671.46307849884</v>
      </c>
      <c r="J37" s="9" t="n">
        <v>1581.3046245574951</v>
      </c>
      <c r="K37" s="9" t="n">
        <v>46338.59244251251</v>
      </c>
      <c r="L37" s="9" t="n">
        <v>729.3767881393433</v>
      </c>
      <c r="M37">
        <f si="1" t="shared"/>
        <v>85937.395572662354</v>
      </c>
    </row>
    <row r="38" spans="1:13" x14ac:dyDescent="0.25">
      <c r="A38" s="12">
        <v>0.72916666666666663</v>
      </c>
      <c r="B38" s="6" t="n">
        <v>4122.3420515477255</v>
      </c>
      <c r="C38" s="6" t="n">
        <v>1999.05707843779</v>
      </c>
      <c r="D38" s="6" t="n">
        <v>40470.82920762313</v>
      </c>
      <c r="E38" s="6" t="n">
        <v>433.24647016819154</v>
      </c>
      <c r="F38" s="6">
        <f si="0" t="shared"/>
        <v>76921.874885409939</v>
      </c>
      <c r="H38" s="12">
        <v>0.72916666666666663</v>
      </c>
      <c r="I38" s="9" t="n">
        <v>4078.4461545944214</v>
      </c>
      <c r="J38" s="9" t="n">
        <v>1480.2724494934082</v>
      </c>
      <c r="K38" s="9" t="n">
        <v>46792.23806476593</v>
      </c>
      <c r="L38" s="9" t="n">
        <v>507.847373008728</v>
      </c>
      <c r="M38">
        <f si="1" t="shared"/>
        <v>83203.243083953857</v>
      </c>
    </row>
    <row r="39" spans="1:13" x14ac:dyDescent="0.25">
      <c r="A39" s="12">
        <v>0.75</v>
      </c>
      <c r="B39" s="6" t="n">
        <v>3368.8480527347037</v>
      </c>
      <c r="C39" s="6" t="n">
        <v>1726.2979254150364</v>
      </c>
      <c r="D39" s="6" t="n">
        <v>41683.05064207302</v>
      </c>
      <c r="E39" s="6" t="n">
        <v>317.8386000901119</v>
      </c>
      <c r="F39" s="6">
        <f si="0" t="shared"/>
        <v>72107.245972245248</v>
      </c>
      <c r="H39" s="12">
        <v>0.75</v>
      </c>
      <c r="I39" s="9" t="n">
        <v>3502.249969482422</v>
      </c>
      <c r="J39" s="9" t="n">
        <v>1282.4044609069824</v>
      </c>
      <c r="K39" s="9" t="n">
        <v>45723.23769855499</v>
      </c>
      <c r="L39" s="9" t="n">
        <v>384.5980405807495</v>
      </c>
      <c r="M39">
        <f si="1" t="shared"/>
        <v>78257.822294235229</v>
      </c>
    </row>
    <row r="40" spans="1:13" x14ac:dyDescent="0.25">
      <c r="A40" s="12">
        <v>0.77083333333333337</v>
      </c>
      <c r="B40" s="6" t="n">
        <v>2605.6738479511787</v>
      </c>
      <c r="C40" s="6" t="n">
        <v>1314.209899582009</v>
      </c>
      <c r="D40" s="6" t="n">
        <v>39909.99605150405</v>
      </c>
      <c r="E40" s="6" t="n">
        <v>237.16623739547913</v>
      </c>
      <c r="F40" s="6">
        <f si="0" t="shared"/>
        <v>65106.666939214265</v>
      </c>
      <c r="H40" s="12">
        <v>0.77083333333333337</v>
      </c>
      <c r="I40" s="9" t="n">
        <v>2911.782293319702</v>
      </c>
      <c r="J40" s="9" t="n">
        <v>1026.9743785858154</v>
      </c>
      <c r="K40" s="9" t="n">
        <v>43002.650444984436</v>
      </c>
      <c r="L40" s="9" t="n">
        <v>306.731725692749</v>
      </c>
      <c r="M40">
        <f si="1" t="shared"/>
        <v>71093.526225090027</v>
      </c>
    </row>
    <row r="41" spans="1:13" x14ac:dyDescent="0.25">
      <c r="A41" s="12">
        <v>0.79166666666666663</v>
      </c>
      <c r="B41" s="6" t="n">
        <v>1907.6399676541055</v>
      </c>
      <c r="C41" s="6" t="n">
        <v>885.4960584482258</v>
      </c>
      <c r="D41" s="6" t="n">
        <v>35063.36222352985</v>
      </c>
      <c r="E41" s="6" t="n">
        <v>170.63174302227253</v>
      </c>
      <c r="F41" s="6">
        <f si="0" t="shared"/>
        <v>56284.141199683982</v>
      </c>
      <c r="H41" s="12">
        <v>0.79166666666666663</v>
      </c>
      <c r="I41" s="9" t="n">
        <v>2331.5359859466553</v>
      </c>
      <c r="J41" s="9" t="n">
        <v>761.7401599884033</v>
      </c>
      <c r="K41" s="9" t="n">
        <v>38850.735672950745</v>
      </c>
      <c r="L41" s="9" t="n">
        <v>243.85242652893066</v>
      </c>
      <c r="M41">
        <f si="1" t="shared"/>
        <v>62334.348521232605</v>
      </c>
    </row>
    <row r="42" spans="1:13" x14ac:dyDescent="0.25">
      <c r="A42" s="12">
        <v>0.8125</v>
      </c>
      <c r="B42" s="6" t="n">
        <v>1337.5164805627999</v>
      </c>
      <c r="C42" s="6" t="n">
        <v>533.5869217305042</v>
      </c>
      <c r="D42" s="6" t="n">
        <v>28190.020087400648</v>
      </c>
      <c r="E42" s="6" t="n">
        <v>112.77496843794918</v>
      </c>
      <c r="F42" s="6">
        <f si="0" t="shared"/>
        <v>46473.140841808592</v>
      </c>
      <c r="H42" s="12">
        <v>0.8125</v>
      </c>
      <c r="I42" s="9" t="n">
        <v>1817.4140882492065</v>
      </c>
      <c r="J42" s="9" t="n">
        <v>529.2929334640503</v>
      </c>
      <c r="K42" s="9" t="n">
        <v>33758.40063762665</v>
      </c>
      <c r="L42" s="9" t="n">
        <v>188.79472541809082</v>
      </c>
      <c r="M42">
        <f si="1" t="shared"/>
        <v>52972.95551776886</v>
      </c>
    </row>
    <row r="43" spans="1:13" x14ac:dyDescent="0.25">
      <c r="A43" s="12">
        <v>0.83333333333333337</v>
      </c>
      <c r="B43" s="6" t="n">
        <v>918.769253260021</v>
      </c>
      <c r="C43" s="6" t="n">
        <v>292.7237114613038</v>
      </c>
      <c r="D43" s="6" t="n">
        <v>20881.12093619177</v>
      </c>
      <c r="E43" s="6" t="n">
        <v>66.72597240613507</v>
      </c>
      <c r="F43" s="6">
        <f si="0" t="shared"/>
        <v>36624.463854158203</v>
      </c>
      <c r="H43" s="12">
        <v>0.83333333333333337</v>
      </c>
      <c r="I43" s="9" t="n">
        <v>1409.885157585144</v>
      </c>
      <c r="J43" s="9" t="n">
        <v>353.92141914367676</v>
      </c>
      <c r="K43" s="9" t="n">
        <v>28248.38325405121</v>
      </c>
      <c r="L43" s="9" t="n">
        <v>144.98118209838867</v>
      </c>
      <c r="M43">
        <f si="1" t="shared"/>
        <v>43881.714272499084</v>
      </c>
    </row>
    <row r="44" spans="1:13" x14ac:dyDescent="0.25">
      <c r="A44" s="12">
        <v>0.85416666666666663</v>
      </c>
      <c r="B44" s="6" t="n">
        <v>635.9231299744565</v>
      </c>
      <c r="C44" s="6" t="n">
        <v>149.81138869348732</v>
      </c>
      <c r="D44" s="6" t="n">
        <v>14473.587026482901</v>
      </c>
      <c r="E44" s="6" t="n">
        <v>35.748966508718354</v>
      </c>
      <c r="F44" s="6">
        <f si="0" t="shared"/>
        <v>27540.98528557628</v>
      </c>
      <c r="H44" s="12">
        <v>0.85416666666666663</v>
      </c>
      <c r="I44" s="9" t="n">
        <v>1106.9142398834229</v>
      </c>
      <c r="J44" s="9" t="n">
        <v>236.54886627197266</v>
      </c>
      <c r="K44" s="9" t="n">
        <v>22689.248109817505</v>
      </c>
      <c r="L44" s="9" t="n">
        <v>114.05737113952637</v>
      </c>
      <c r="M44">
        <f si="1" t="shared"/>
        <v>35493.753213882446</v>
      </c>
    </row>
    <row r="45" spans="1:13" x14ac:dyDescent="0.25">
      <c r="A45" s="12">
        <v>0.875</v>
      </c>
      <c r="B45" s="6" t="n">
        <v>452.08599138812895</v>
      </c>
      <c r="C45" s="6" t="n">
        <v>73.43337627555965</v>
      </c>
      <c r="D45" s="6" t="n">
        <v>9588.447097893211</v>
      </c>
      <c r="E45" s="6" t="n">
        <v>18.846178045797544</v>
      </c>
      <c r="F45" s="6">
        <f si="0" t="shared"/>
        <v>19756.8888996151</v>
      </c>
      <c r="H45" s="12">
        <v>0.875</v>
      </c>
      <c r="I45" s="9" t="n">
        <v>874.7857236862183</v>
      </c>
      <c r="J45" s="9" t="n">
        <v>161.78881740570068</v>
      </c>
      <c r="K45" s="9" t="n">
        <v>17314.328879356384</v>
      </c>
      <c r="L45" s="9" t="n">
        <v>92.18239784240723</v>
      </c>
      <c r="M45">
        <f si="1" t="shared"/>
        <v>27879.536237716675</v>
      </c>
    </row>
    <row r="46" spans="1:13" x14ac:dyDescent="0.25">
      <c r="A46" s="12">
        <v>0.89583333333333337</v>
      </c>
      <c r="B46" s="6" t="n">
        <v>328.6943898066536</v>
      </c>
      <c r="C46" s="6" t="n">
        <v>35.14603512959839</v>
      </c>
      <c r="D46" s="6" t="n">
        <v>6184.293544445296</v>
      </c>
      <c r="E46" s="6" t="n">
        <v>11.490226901650137</v>
      </c>
      <c r="F46" s="6">
        <f si="0" t="shared"/>
        <v>13522.708320592597</v>
      </c>
      <c r="H46" s="12">
        <v>0.89583333333333337</v>
      </c>
      <c r="I46" s="9" t="n">
        <v>678.8607606887817</v>
      </c>
      <c r="J46" s="9" t="n">
        <v>111.30976486206055</v>
      </c>
      <c r="K46" s="9" t="n">
        <v>12357.930575370789</v>
      </c>
      <c r="L46" s="9" t="n">
        <v>73.67482852935791</v>
      </c>
      <c r="M46">
        <f si="1" t="shared"/>
        <v>21044.529943466187</v>
      </c>
    </row>
    <row r="47" spans="1:13" x14ac:dyDescent="0.25">
      <c r="A47" s="12">
        <v>0.91666666666666663</v>
      </c>
      <c r="B47" s="6" t="n">
        <v>238.00411733297972</v>
      </c>
      <c r="C47" s="6" t="n">
        <v>16.458166357553132</v>
      </c>
      <c r="D47" s="6" t="n">
        <v>3902.3642231110152</v>
      </c>
      <c r="E47" s="6" t="n">
        <v>8.612279445442596</v>
      </c>
      <c r="F47" s="6">
        <f si="0" t="shared"/>
        <v>8843.4401100091891</v>
      </c>
      <c r="H47" s="12">
        <v>0.91666666666666663</v>
      </c>
      <c r="I47" s="9" t="n">
        <v>504.31872367858887</v>
      </c>
      <c r="J47" s="9" t="n">
        <v>73.41310787200928</v>
      </c>
      <c r="K47" s="9" t="n">
        <v>8111.445905685425</v>
      </c>
      <c r="L47" s="9" t="n">
        <v>55.542752265930176</v>
      </c>
      <c r="M47">
        <f si="1" t="shared"/>
        <v>15113.75560760498</v>
      </c>
    </row>
    <row r="48" spans="1:13" x14ac:dyDescent="0.25">
      <c r="A48" s="12">
        <v>0.9375</v>
      </c>
      <c r="B48" s="6" t="n">
        <v>166.0888683836296</v>
      </c>
      <c r="C48" s="6" t="n">
        <v>7.382498616538404</v>
      </c>
      <c r="D48" s="6" t="n">
        <v>2379.0750643137108</v>
      </c>
      <c r="E48" s="6" t="n">
        <v>6.836567522775201</v>
      </c>
      <c r="F48" s="6">
        <f si="0" t="shared"/>
        <v>5541.6965314502631</v>
      </c>
      <c r="H48" s="12">
        <v>0.9375</v>
      </c>
      <c r="I48" s="9" t="n">
        <v>354.29299449920654</v>
      </c>
      <c r="J48" s="9" t="n">
        <v>44.211289405822754</v>
      </c>
      <c r="K48" s="9" t="n">
        <v>4828.559992790222</v>
      </c>
      <c r="L48" s="9" t="n">
        <v>38.411614418029785</v>
      </c>
      <c r="M48">
        <f si="1" t="shared"/>
        <v>10272.605228424072</v>
      </c>
    </row>
    <row r="49" spans="1:13" x14ac:dyDescent="0.25">
      <c r="A49" s="12">
        <v>0.95833333333333337</v>
      </c>
      <c r="B49" s="6" t="n">
        <v>108.9318392144543</v>
      </c>
      <c r="C49" s="6" t="n">
        <v>3.0425258513659763</v>
      </c>
      <c r="D49" s="6" t="n">
        <v>1370.2774459393604</v>
      </c>
      <c r="E49" s="6" t="n">
        <v>4.927438285347716</v>
      </c>
      <c r="F49" s="6">
        <f si="0" t="shared"/>
        <v>3336.8203109609026</v>
      </c>
      <c r="H49" s="12">
        <v>0.95833333333333337</v>
      </c>
      <c r="I49" s="9" t="n">
        <v>235.70050811767578</v>
      </c>
      <c r="J49" s="9" t="n">
        <v>23.508294105529785</v>
      </c>
      <c r="K49" s="9" t="n">
        <v>2587.4563064575195</v>
      </c>
      <c r="L49" s="9" t="n">
        <v>24.30466938018799</v>
      </c>
      <c r="M49">
        <f si="1" t="shared"/>
        <v>6603.7642431259155</v>
      </c>
    </row>
    <row r="50" spans="1:13" x14ac:dyDescent="0.25">
      <c r="A50" s="12">
        <v>0.97916666666666663</v>
      </c>
      <c r="B50" s="6" t="n">
        <v>66.24147483943189</v>
      </c>
      <c r="C50" s="6" t="n">
        <v>1.092915362217701</v>
      </c>
      <c r="D50" s="6" t="n">
        <v>730.0018471374818</v>
      </c>
      <c r="E50" s="6" t="n">
        <v>3.000402117842695</v>
      </c>
      <c r="F50" s="6">
        <f si="0" t="shared"/>
        <v>1927.9875459817983</v>
      </c>
      <c r="H50" s="12">
        <v>0.97916666666666663</v>
      </c>
      <c r="I50" s="9" t="n">
        <v>149.21974563598633</v>
      </c>
      <c r="J50" s="9" t="n">
        <v>10.842365264892578</v>
      </c>
      <c r="K50" s="9" t="n">
        <v>1250.9907054901123</v>
      </c>
      <c r="L50" s="9" t="n">
        <v>14.302651405334473</v>
      </c>
      <c r="M50">
        <f si="1" t="shared"/>
        <v>4012.7606534957886</v>
      </c>
    </row>
    <row r="51" spans="1:13" x14ac:dyDescent="0.25">
      <c r="A51" s="12">
        <v>1</v>
      </c>
      <c r="B51" s="6" t="n">
        <v>37.120633981541424</v>
      </c>
      <c r="C51" s="6" t="n">
        <v>0.3235305934581062</v>
      </c>
      <c r="D51" s="6" t="n">
        <v>354.5427754733117</v>
      </c>
      <c r="E51" s="6" t="n">
        <v>1.4964048409632773</v>
      </c>
      <c r="F51" s="6">
        <f si="0" t="shared"/>
        <v>1058.2272709880936</v>
      </c>
      <c r="H51" s="12">
        <v>1</v>
      </c>
      <c r="I51" s="9" t="n">
        <v>89.41430759429932</v>
      </c>
      <c r="J51" s="9" t="n">
        <v>4.328014373779297</v>
      </c>
      <c r="K51" s="9" t="n">
        <v>553.369029045105</v>
      </c>
      <c r="L51" s="9" t="n">
        <v>7.985662460327148</v>
      </c>
      <c r="M51">
        <f si="1" t="shared"/>
        <v>2287.7256155014038</v>
      </c>
    </row>
    <row r="52" spans="1:13" x14ac:dyDescent="0.25">
      <c r="A52" s="12">
        <v>1.0208333333333333</v>
      </c>
      <c r="B52" s="6" t="n">
        <v>19.041740704519523</v>
      </c>
      <c r="C52" s="6" t="n">
        <v>0.07431781581606209</v>
      </c>
      <c r="D52" s="6" t="n">
        <v>155.56315043565772</v>
      </c>
      <c r="E52" s="6" t="n">
        <v>0.5982598286434297</v>
      </c>
      <c r="F52" s="6">
        <f si="0" t="shared"/>
        <v>540.58085259188579</v>
      </c>
      <c r="H52" s="12">
        <v>1.0208333333333333</v>
      </c>
      <c r="I52" s="9" t="n">
        <v>49.58268451690674</v>
      </c>
      <c r="J52" s="9" t="n">
        <v>1.5227794647216797</v>
      </c>
      <c r="K52" s="9" t="n">
        <v>228.7042999267578</v>
      </c>
      <c r="L52" s="9" t="n">
        <v>4.236668586730957</v>
      </c>
      <c r="M52">
        <f si="1" t="shared"/>
        <v>1201.3665294647217</v>
      </c>
    </row>
    <row r="53" spans="1:13" x14ac:dyDescent="0.25">
      <c r="A53" s="12">
        <v>4.1666666666666664E-2</v>
      </c>
      <c r="B53" s="6" t="n">
        <v>8.807994112145135</v>
      </c>
      <c r="C53" s="6" t="n">
        <v>0.012279427032891173</v>
      </c>
      <c r="D53" s="6" t="n">
        <v>61.096683662477304</v>
      </c>
      <c r="E53" s="6" t="n">
        <v>0.18694413865059123</v>
      </c>
      <c r="F53" s="6">
        <f si="0" t="shared"/>
        <v>249.8046409232671</v>
      </c>
      <c r="H53" s="12">
        <v>4.1666666666666664E-2</v>
      </c>
      <c r="I53" s="9" t="n">
        <v>24.582372665405273</v>
      </c>
      <c r="J53" s="9" t="n">
        <v>0.49276256561279297</v>
      </c>
      <c r="K53" s="9" t="n">
        <v>89.31765556335449</v>
      </c>
      <c r="L53" s="9" t="n">
        <v>2.0767717361450195</v>
      </c>
      <c r="M53">
        <f si="1" t="shared"/>
        <v>565.16321659088135</v>
      </c>
    </row>
    <row r="54" spans="1:13" x14ac:dyDescent="0.25">
      <c r="A54" s="12">
        <v>6.25E-2</v>
      </c>
      <c r="B54" s="6" t="n">
        <v>3.5781766334497243</v>
      </c>
      <c r="C54" s="6" t="n">
        <v>0.0012900445289704993</v>
      </c>
      <c r="D54" s="6" t="n">
        <v>21.134831812451495</v>
      </c>
      <c r="E54" s="6" t="n">
        <v>0.04398685615308029</v>
      </c>
      <c r="F54" s="6">
        <f si="0" t="shared"/>
        <v>101.07875253393723</v>
      </c>
      <c r="H54" s="12">
        <v>6.25E-2</v>
      </c>
      <c r="I54" s="9" t="n">
        <v>10.49670124053955</v>
      </c>
      <c r="J54" s="9" t="n">
        <v>0.15347862243652344</v>
      </c>
      <c r="K54" s="9" t="n">
        <v>32.37797546386719</v>
      </c>
      <c r="L54" s="9" t="n">
        <v>0.8978404998779297</v>
      </c>
      <c r="M54">
        <f si="1" t="shared"/>
        <v>230.52931308746338</v>
      </c>
    </row>
    <row r="55" spans="1:13" x14ac:dyDescent="0.25">
      <c r="A55" s="12">
        <v>8.3333333333333329E-2</v>
      </c>
      <c r="B55" s="6" t="n">
        <v>1.2317470108549906</v>
      </c>
      <c r="C55" s="6" t="n">
        <v>6.450222644852496E-5</v>
      </c>
      <c r="D55" s="6" t="n">
        <v>6.264610921794928</v>
      </c>
      <c r="E55" s="6" t="n">
        <v>0.007331142692180048</v>
      </c>
      <c r="F55" s="6">
        <f si="0" t="shared"/>
        <v>34.585947605898937</v>
      </c>
      <c r="H55" s="12">
        <v>8.3333333333333329E-2</v>
      </c>
      <c r="I55" s="9" t="n">
        <v>3.7230005264282227</v>
      </c>
      <c r="J55" s="9" t="n">
        <v>0.045780181884765625</v>
      </c>
      <c r="K55" s="9" t="n">
        <v>10.389326095581055</v>
      </c>
      <c r="L55" s="9" t="n">
        <v>0.3260498046875</v>
      </c>
      <c r="M55">
        <f si="1" t="shared"/>
        <v>78.760061264038086</v>
      </c>
    </row>
    <row r="56" spans="1:13" x14ac:dyDescent="0.25">
      <c r="A56" s="12">
        <v>0.10416666666666667</v>
      </c>
      <c r="B56" s="6" t="n">
        <v>0.3442052714392432</v>
      </c>
      <c r="C56" s="6" t="n">
        <v>0.0</v>
      </c>
      <c r="D56" s="6" t="n">
        <v>1.5279741198699999</v>
      </c>
      <c r="E56" s="6" t="n">
        <v>7.716992307557946E-4</v>
      </c>
      <c r="F56" s="6">
        <f si="0" t="shared"/>
        <v>9.6257583477333899</v>
      </c>
      <c r="G56" s="5"/>
      <c r="H56" s="12">
        <v>0.10416666666666667</v>
      </c>
      <c r="I56" s="9" t="n">
        <v>1.056610107421875</v>
      </c>
      <c r="J56" s="9" t="n">
        <v>0.01214599609375</v>
      </c>
      <c r="K56" s="9" t="n">
        <v>2.7761096954345703</v>
      </c>
      <c r="L56" s="9" t="n">
        <v>0.09496402740478516</v>
      </c>
      <c r="M56">
        <f si="1" t="shared"/>
        <v>21.700363159179688</v>
      </c>
    </row>
    <row r="57" spans="1:13" x14ac:dyDescent="0.25">
      <c r="A57" s="12">
        <v>0.125</v>
      </c>
      <c r="B57" s="6" t="n">
        <v>0.07304395792082238</v>
      </c>
      <c r="C57" s="6" t="n">
        <v>0.0</v>
      </c>
      <c r="D57" s="6" t="n">
        <v>0.286929845782479</v>
      </c>
      <c r="E57" s="6" t="n">
        <v>3.8584961537789727E-5</v>
      </c>
      <c r="F57" s="6">
        <f si="0" t="shared"/>
        <v>2.0454838645371329</v>
      </c>
      <c r="G57" s="5"/>
      <c r="H57" s="12">
        <v>0.125</v>
      </c>
      <c r="I57" s="9" t="n">
        <v>0.22595691680908203</v>
      </c>
      <c r="J57" s="9" t="n">
        <v>0.0025548934936523438</v>
      </c>
      <c r="K57" s="9" t="n">
        <v>0.5707502365112305</v>
      </c>
      <c r="L57" s="9" t="n">
        <v>0.020784378051757812</v>
      </c>
      <c r="M57">
        <f si="1" t="shared"/>
        <v>4.5366191864013672</v>
      </c>
    </row>
    <row r="58" spans="1:13" x14ac:dyDescent="0.25">
      <c r="A58" s="21" t="s">
        <v>34</v>
      </c>
      <c r="B58" s="22" t="n">
        <v>0.0</v>
      </c>
      <c r="C58" s="22" t="n">
        <v>0.0</v>
      </c>
      <c r="D58" s="22" t="n">
        <v>0.0</v>
      </c>
      <c r="E58" s="22" t="n">
        <v>0.0</v>
      </c>
      <c r="F58" s="22">
        <f si="0" t="shared"/>
        <v>0</v>
      </c>
      <c r="G58" s="5"/>
      <c r="H58" s="21" t="s">
        <v>34</v>
      </c>
      <c r="I58" s="24" t="n">
        <v>0.0</v>
      </c>
      <c r="J58" s="24" t="n">
        <v>0.0</v>
      </c>
      <c r="K58" s="24" t="n">
        <v>0.0</v>
      </c>
      <c r="L58" s="24" t="n">
        <v>0.0</v>
      </c>
      <c r="M58" s="23">
        <f si="1" t="shared"/>
        <v>0</v>
      </c>
    </row>
    <row ht="15.75" r="59" spans="1:13" thickBot="1" x14ac:dyDescent="0.3">
      <c r="A59" s="25"/>
      <c r="B59" s="26">
        <f>SUM(B8:B58)</f>
        <v>698038.97701413429</v>
      </c>
      <c r="C59" s="26">
        <f>SUM(C8:C58)</f>
        <v>522075.25292969547</v>
      </c>
      <c r="D59" s="26">
        <f>SUM(D8:D58)</f>
        <v>1712578.8389099336</v>
      </c>
      <c r="E59" s="26">
        <f>SUM(E8:E58)</f>
        <v>169519.02432190703</v>
      </c>
      <c r="F59" s="26">
        <f>SUM(F8:F58)</f>
        <v>3102212.0931756715</v>
      </c>
      <c r="G59" s="5"/>
      <c r="H59" s="25"/>
      <c r="I59" s="26">
        <f>SUM(I8:I58)</f>
        <v>715227.35094547272</v>
      </c>
      <c r="J59" s="26">
        <f>SUM(J8:J58)</f>
        <v>520699.41638946533</v>
      </c>
      <c r="K59" s="26">
        <f>SUM(K8:K58)</f>
        <v>1749141.0560083389</v>
      </c>
      <c r="L59" s="26">
        <f>SUM(L8:L58)</f>
        <v>178972.8727722168</v>
      </c>
      <c r="M59" s="26">
        <f>SUM(M8:M58)</f>
        <v>3164040.6961154938</v>
      </c>
    </row>
    <row r="60" spans="1:13" x14ac:dyDescent="0.25">
      <c r="G60" s="5"/>
    </row>
    <row r="61" spans="1:13" x14ac:dyDescent="0.25">
      <c r="G61" s="5"/>
    </row>
    <row ht="15.75" r="63" spans="1:13" thickBot="1" x14ac:dyDescent="0.3">
      <c r="A63" s="3" t="s">
        <v>47</v>
      </c>
      <c r="B63" s="1"/>
      <c r="C63" s="1"/>
      <c r="D63" s="1"/>
      <c r="E63" s="1"/>
      <c r="F63" s="1"/>
      <c r="H63" s="3" t="s">
        <v>12</v>
      </c>
      <c r="I63" s="1"/>
      <c r="J63" s="1"/>
      <c r="K63" s="1"/>
      <c r="L63" s="1"/>
      <c r="M63" s="1"/>
    </row>
    <row r="64" spans="1:13" x14ac:dyDescent="0.25">
      <c r="A64" s="2" t="s">
        <v>4</v>
      </c>
      <c r="B64" s="4" t="s">
        <v>48</v>
      </c>
      <c r="C64" s="4" t="s">
        <v>48</v>
      </c>
      <c r="D64" s="4" t="s">
        <v>48</v>
      </c>
      <c r="E64" s="4" t="s">
        <v>48</v>
      </c>
      <c r="F64" s="4" t="s">
        <v>48</v>
      </c>
      <c r="H64" s="2" t="s">
        <v>4</v>
      </c>
      <c r="I64" s="4" t="s">
        <v>35</v>
      </c>
      <c r="J64" s="4" t="s">
        <v>35</v>
      </c>
      <c r="K64" s="4" t="s">
        <v>35</v>
      </c>
      <c r="L64" s="4" t="s">
        <v>35</v>
      </c>
      <c r="M64" s="4" t="s">
        <v>35</v>
      </c>
    </row>
    <row r="65" spans="1:13" x14ac:dyDescent="0.25">
      <c r="A65" t="s">
        <v>5</v>
      </c>
      <c r="B65" s="18">
        <f>B8/B$59</f>
        <v>7.4186582538384431E-5</v>
      </c>
      <c r="C65" s="18">
        <f ref="C65:F65" si="2" t="shared">C8/C$59</f>
        <v>0</v>
      </c>
      <c r="D65" s="18">
        <f si="2" t="shared"/>
        <v>1.0714980313627227E-3</v>
      </c>
      <c r="E65" s="18">
        <f si="2" t="shared"/>
        <v>0</v>
      </c>
      <c r="F65" s="18">
        <f si="2" t="shared"/>
        <v>6.0821437218279634E-4</v>
      </c>
      <c r="H65" t="s">
        <v>5</v>
      </c>
      <c r="I65" s="17">
        <f ref="I65:M65" si="3" t="shared">I8/I$59</f>
        <v>2.2230693469679937E-3</v>
      </c>
      <c r="J65" s="17">
        <f si="3" t="shared"/>
        <v>3.8409875967751586E-5</v>
      </c>
      <c r="K65" s="17">
        <f si="3" t="shared"/>
        <v>1.7637228223549813E-3</v>
      </c>
      <c r="L65" s="17">
        <f si="3" t="shared"/>
        <v>4.1905792111553326E-4</v>
      </c>
      <c r="M65" s="18">
        <f si="3" t="shared"/>
        <v>1.5075659443496252E-3</v>
      </c>
    </row>
    <row r="66" spans="1:13" x14ac:dyDescent="0.25">
      <c r="A66" s="12">
        <v>0.125</v>
      </c>
      <c r="B66" s="18">
        <f ref="B66:F66" si="4" t="shared">B9/B$59</f>
        <v>1.7199737353974854E-3</v>
      </c>
      <c r="C66" s="18">
        <f si="4" t="shared"/>
        <v>8.2313887607487357E-5</v>
      </c>
      <c r="D66" s="18">
        <f si="4" t="shared"/>
        <v>1.221017828576541E-3</v>
      </c>
      <c r="E66" s="18">
        <f si="4" t="shared"/>
        <v>5.4717144675559976E-5</v>
      </c>
      <c r="F66" s="18">
        <f si="4" t="shared"/>
        <v>1.0779236048777815E-3</v>
      </c>
      <c r="H66" s="12">
        <v>0.125</v>
      </c>
      <c r="I66" s="17">
        <f ref="I66:M66" si="5" t="shared">I9/I$59</f>
        <v>3.33566566925232E-3</v>
      </c>
      <c r="J66" s="17">
        <f si="5" t="shared"/>
        <v>1.2116556577585357E-4</v>
      </c>
      <c r="K66" s="17">
        <f si="5" t="shared"/>
        <v>1.9403278494209291E-3</v>
      </c>
      <c r="L66" s="17">
        <f si="5" t="shared"/>
        <v>4.7830723080580716E-4</v>
      </c>
      <c r="M66" s="18">
        <f si="5" t="shared"/>
        <v>1.8736678354443757E-3</v>
      </c>
    </row>
    <row r="67" spans="1:13" x14ac:dyDescent="0.25">
      <c r="A67" s="12">
        <v>0.14583333333333334</v>
      </c>
      <c r="B67" s="18">
        <f ref="B67:F67" si="6" t="shared">B10/B$59</f>
        <v>4.1126677324294413E-3</v>
      </c>
      <c r="C67" s="18">
        <f si="6" t="shared"/>
        <v>3.5686955766372992E-4</v>
      </c>
      <c r="D67" s="18">
        <f si="6" t="shared"/>
        <v>1.5370364256635527E-3</v>
      </c>
      <c r="E67" s="18">
        <f si="6" t="shared"/>
        <v>1.7433901192025257E-4</v>
      </c>
      <c r="F67" s="18">
        <f si="6" t="shared"/>
        <v>1.8435119218096487E-3</v>
      </c>
      <c r="H67" s="12">
        <v>0.14583333333333334</v>
      </c>
      <c r="I67" s="17">
        <f ref="I67:M67" si="7" t="shared">I10/I$59</f>
        <v>4.792358514364309E-3</v>
      </c>
      <c r="J67" s="17">
        <f si="7" t="shared"/>
        <v>4.1267154822264499E-4</v>
      </c>
      <c r="K67" s="17">
        <f si="7" t="shared"/>
        <v>2.1291019325782295E-3</v>
      </c>
      <c r="L67" s="17">
        <f si="7" t="shared"/>
        <v>5.9451860320175074E-4</v>
      </c>
      <c r="M67" s="18">
        <f si="7" t="shared"/>
        <v>2.3618552168230005E-3</v>
      </c>
    </row>
    <row r="68" spans="1:13" x14ac:dyDescent="0.25">
      <c r="A68" s="12">
        <v>0.16666666666666666</v>
      </c>
      <c r="B68" s="18">
        <f ref="B68:F68" si="8" t="shared">B11/B$59</f>
        <v>8.1676171320027094E-3</v>
      </c>
      <c r="C68" s="18">
        <f si="8" t="shared"/>
        <v>1.2890970592743238E-3</v>
      </c>
      <c r="D68" s="18">
        <f si="8" t="shared"/>
        <v>2.1445061915783517E-3</v>
      </c>
      <c r="E68" s="18">
        <f si="8" t="shared"/>
        <v>4.3801700273343318E-4</v>
      </c>
      <c r="F68" s="18">
        <f si="8" t="shared"/>
        <v>3.2625779976652646E-3</v>
      </c>
      <c r="H68" s="12">
        <v>0.16666666666666666</v>
      </c>
      <c r="I68" s="17">
        <f ref="I68:M68" si="9" t="shared">I11/I$59</f>
        <v>7.2415622825972529E-3</v>
      </c>
      <c r="J68" s="17">
        <f si="9" t="shared"/>
        <v>1.3402676846812317E-3</v>
      </c>
      <c r="K68" s="17">
        <f si="9" t="shared"/>
        <v>2.4109928753791193E-3</v>
      </c>
      <c r="L68" s="17">
        <f si="9" t="shared"/>
        <v>8.229013655914445E-4</v>
      </c>
      <c r="M68" s="18">
        <f si="9" t="shared"/>
        <v>3.2369001028839215E-3</v>
      </c>
    </row>
    <row r="69" spans="1:13" x14ac:dyDescent="0.25">
      <c r="A69" s="12">
        <v>0.1875</v>
      </c>
      <c r="B69" s="18">
        <f ref="B69:F69" si="10" t="shared">B12/B$59</f>
        <v>1.4943803265293001E-2</v>
      </c>
      <c r="C69" s="18">
        <f si="10" t="shared"/>
        <v>3.9232418673418624E-3</v>
      </c>
      <c r="D69" s="18">
        <f si="10" t="shared"/>
        <v>3.1218967513836821E-3</v>
      </c>
      <c r="E69" s="18">
        <f si="10" t="shared"/>
        <v>9.4015305677083141E-4</v>
      </c>
      <c r="F69" s="18">
        <f si="10" t="shared"/>
        <v>5.797621902237364E-3</v>
      </c>
      <c r="H69" s="12">
        <v>0.1875</v>
      </c>
      <c r="I69" s="17">
        <f ref="I69:M69" si="11" t="shared">I12/I$59</f>
        <v>1.1778243949912828E-2</v>
      </c>
      <c r="J69" s="17">
        <f si="11" t="shared"/>
        <v>3.7613436598213958E-3</v>
      </c>
      <c r="K69" s="17">
        <f si="11" t="shared"/>
        <v>2.977465732176551E-3</v>
      </c>
      <c r="L69" s="17">
        <f si="11" t="shared"/>
        <v>1.2406316134736257E-3</v>
      </c>
      <c r="M69" s="18">
        <f si="11" t="shared"/>
        <v>4.9976280791620559E-3</v>
      </c>
    </row>
    <row r="70" spans="1:13" x14ac:dyDescent="0.25">
      <c r="A70" s="12">
        <v>0.20833333333333334</v>
      </c>
      <c r="B70" s="18">
        <f ref="B70:F70" si="12" t="shared">B13/B$59</f>
        <v>2.5355478463347143E-2</v>
      </c>
      <c r="C70" s="18">
        <f si="12" t="shared"/>
        <v>1.0028767744157941E-2</v>
      </c>
      <c r="D70" s="18">
        <f si="12" t="shared"/>
        <v>4.5606833382188438E-3</v>
      </c>
      <c r="E70" s="18">
        <f si="12" t="shared"/>
        <v>1.7861291651038033E-3</v>
      </c>
      <c r="F70" s="18">
        <f si="12" t="shared"/>
        <v>1.0008405428677116E-2</v>
      </c>
      <c r="H70" s="12">
        <v>0.20833333333333334</v>
      </c>
      <c r="I70" s="17">
        <f ref="I70:M70" si="13" t="shared">I13/I$59</f>
        <v>1.9744920483457527E-2</v>
      </c>
      <c r="J70" s="17">
        <f si="13" t="shared"/>
        <v>9.0251791800900448E-3</v>
      </c>
      <c r="K70" s="17">
        <f si="13" t="shared"/>
        <v>4.1214216874558996E-3</v>
      </c>
      <c r="L70" s="17">
        <f si="13" t="shared"/>
        <v>1.9915643615754752E-3</v>
      </c>
      <c r="M70" s="18">
        <f si="13" t="shared"/>
        <v>8.3396198456123158E-3</v>
      </c>
    </row>
    <row r="71" spans="1:13" x14ac:dyDescent="0.25">
      <c r="A71" s="12">
        <v>0.22916666666666666</v>
      </c>
      <c r="B71" s="18">
        <f ref="B71:F71" si="14" t="shared">B14/B$59</f>
        <v>3.9697581723319268E-2</v>
      </c>
      <c r="C71" s="18">
        <f si="14" t="shared"/>
        <v>2.1644021816189827E-2</v>
      </c>
      <c r="D71" s="18">
        <f si="14" t="shared"/>
        <v>6.6567522637232023E-3</v>
      </c>
      <c r="E71" s="18">
        <f si="14" t="shared"/>
        <v>3.1054974727758133E-3</v>
      </c>
      <c r="F71" s="18">
        <f si="14" t="shared"/>
        <v>1.641954835279431E-2</v>
      </c>
      <c r="H71" s="12">
        <v>0.22916666666666666</v>
      </c>
      <c r="I71" s="17">
        <f ref="I71:M71" si="15" t="shared">I14/I$59</f>
        <v>3.2105117489345164E-2</v>
      </c>
      <c r="J71" s="17">
        <f si="15" t="shared"/>
        <v>1.8613282381120169E-2</v>
      </c>
      <c r="K71" s="17">
        <f si="15" t="shared"/>
        <v>6.1639074677332E-3</v>
      </c>
      <c r="L71" s="17">
        <f si="15" t="shared"/>
        <v>3.3075378342388379E-3</v>
      </c>
      <c r="M71" s="18">
        <f si="15" t="shared"/>
        <v>1.39150822636186E-2</v>
      </c>
    </row>
    <row r="72" spans="1:13" x14ac:dyDescent="0.25">
      <c r="A72" s="12">
        <v>0.25</v>
      </c>
      <c r="B72" s="18">
        <f ref="B72:F72" si="16" t="shared">B15/B$59</f>
        <v>5.7141088003343929E-2</v>
      </c>
      <c r="C72" s="18">
        <f si="16" t="shared"/>
        <v>3.9726806716158261E-2</v>
      </c>
      <c r="D72" s="18">
        <f si="16" t="shared"/>
        <v>9.7163370640645681E-3</v>
      </c>
      <c r="E72" s="18">
        <f si="16" t="shared"/>
        <v>5.0814516283653422E-3</v>
      </c>
      <c r="F72" s="18">
        <f si="16" t="shared"/>
        <v>2.5184765871243325E-2</v>
      </c>
      <c r="H72" s="12">
        <v>0.25</v>
      </c>
      <c r="I72" s="17">
        <f ref="I72:M72" si="17" t="shared">I15/I$59</f>
        <v>4.857879700704068E-2</v>
      </c>
      <c r="J72" s="17">
        <f si="17" t="shared"/>
        <v>3.3213107957419712E-2</v>
      </c>
      <c r="K72" s="17">
        <f si="17" t="shared"/>
        <v>9.3237808481280351E-3</v>
      </c>
      <c r="L72" s="17">
        <f si="17" t="shared"/>
        <v>5.4577692981771959E-3</v>
      </c>
      <c r="M72" s="18">
        <f si="17" t="shared"/>
        <v>2.1910062926620972E-2</v>
      </c>
    </row>
    <row r="73" spans="1:13" x14ac:dyDescent="0.25">
      <c r="A73" s="12">
        <v>0.27083333333333331</v>
      </c>
      <c r="B73" s="18">
        <f ref="B73:F73" si="18" t="shared">B16/B$59</f>
        <v>7.5403232435352255E-2</v>
      </c>
      <c r="C73" s="18">
        <f si="18" t="shared"/>
        <v>6.245174405691771E-2</v>
      </c>
      <c r="D73" s="18">
        <f si="18" t="shared"/>
        <v>1.3971210408165045E-2</v>
      </c>
      <c r="E73" s="18">
        <f si="18" t="shared"/>
        <v>7.9460021839180481E-3</v>
      </c>
      <c r="F73" s="18">
        <f si="18" t="shared"/>
        <v>3.5623838675220232E-2</v>
      </c>
      <c r="H73" s="12">
        <v>0.27083333333333331</v>
      </c>
      <c r="I73" s="17">
        <f ref="I73:M73" si="19" t="shared">I16/I$59</f>
        <v>6.7045920718569199E-2</v>
      </c>
      <c r="J73" s="17">
        <f si="19" t="shared"/>
        <v>5.1577471648933927E-2</v>
      </c>
      <c r="K73" s="17">
        <f si="19" t="shared"/>
        <v>1.3568897583877217E-2</v>
      </c>
      <c r="L73" s="17">
        <f si="19" t="shared"/>
        <v>8.6427116212171255E-3</v>
      </c>
      <c r="M73" s="18">
        <f si="19" t="shared"/>
        <v>3.1633652042684118E-2</v>
      </c>
    </row>
    <row r="74" spans="1:13" x14ac:dyDescent="0.25">
      <c r="A74" s="12">
        <v>0.29166666666666669</v>
      </c>
      <c r="B74" s="18">
        <f ref="B74:F74" si="20" t="shared">B17/B$59</f>
        <v>9.0902920323304631E-2</v>
      </c>
      <c r="C74" s="18">
        <f si="20" t="shared"/>
        <v>8.4621519191443409E-2</v>
      </c>
      <c r="D74" s="18">
        <f si="20" t="shared"/>
        <v>1.9272025074089545E-2</v>
      </c>
      <c r="E74" s="18">
        <f si="20" t="shared"/>
        <v>1.1886622366824253E-2</v>
      </c>
      <c r="F74" s="18">
        <f si="20" t="shared"/>
        <v>4.5984107214974076E-2</v>
      </c>
      <c r="H74" s="12">
        <v>0.29166666666666669</v>
      </c>
      <c r="I74" s="17">
        <f ref="I74:M74" si="21" t="shared">I17/I$59</f>
        <v>8.3777637823670828E-2</v>
      </c>
      <c r="J74" s="17">
        <f si="21" t="shared"/>
        <v>7.0055217499310624E-2</v>
      </c>
      <c r="K74" s="17">
        <f si="21" t="shared"/>
        <v>1.8524463349682985E-2</v>
      </c>
      <c r="L74" s="17">
        <f si="21" t="shared"/>
        <v>1.2932010099261796E-2</v>
      </c>
      <c r="M74" s="18">
        <f si="21" t="shared"/>
        <v>4.1438830853417055E-2</v>
      </c>
    </row>
    <row r="75" spans="1:13" x14ac:dyDescent="0.25">
      <c r="A75" s="12">
        <v>0.3125</v>
      </c>
      <c r="B75" s="18">
        <f ref="B75:F75" si="22" t="shared">B18/B$59</f>
        <v>9.9719875222210111E-2</v>
      </c>
      <c r="C75" s="18">
        <f si="22" t="shared"/>
        <v>9.9423983146452427E-2</v>
      </c>
      <c r="D75" s="18">
        <f si="22" t="shared"/>
        <v>2.492671268519325E-2</v>
      </c>
      <c r="E75" s="18">
        <f si="22" t="shared"/>
        <v>1.6899239239341786E-2</v>
      </c>
      <c r="F75" s="18">
        <f si="22" t="shared"/>
        <v>5.3854752362018886E-2</v>
      </c>
      <c r="H75" s="12">
        <v>0.3125</v>
      </c>
      <c r="I75" s="17">
        <f ref="I75:M75" si="23" t="shared">I18/I$59</f>
        <v>9.4653556049643303E-2</v>
      </c>
      <c r="J75" s="17">
        <f si="23" t="shared"/>
        <v>8.3594626542572992E-2</v>
      </c>
      <c r="K75" s="17">
        <f si="23" t="shared"/>
        <v>2.3528542464980491E-2</v>
      </c>
      <c r="L75" s="17">
        <f si="23" t="shared"/>
        <v>1.8330342014916918E-2</v>
      </c>
      <c r="M75" s="18">
        <f si="23" t="shared"/>
        <v>4.9197173468380151E-2</v>
      </c>
    </row>
    <row r="76" spans="1:13" x14ac:dyDescent="0.25">
      <c r="A76" s="12">
        <v>0.33333333333333331</v>
      </c>
      <c r="B76" s="18">
        <f ref="B76:F76" si="24" t="shared">B19/B$59</f>
        <v>9.924753301952717E-2</v>
      </c>
      <c r="C76" s="18">
        <f si="24" t="shared"/>
        <v>0.10195596563690636</v>
      </c>
      <c r="D76" s="18">
        <f si="24" t="shared"/>
        <v>2.9921765564799328E-2</v>
      </c>
      <c r="E76" s="18">
        <f si="24" t="shared"/>
        <v>2.2735133617597242E-2</v>
      </c>
      <c r="F76" s="18">
        <f si="24" t="shared"/>
        <v>5.7251002778368601E-2</v>
      </c>
      <c r="H76" s="12">
        <v>0.33333333333333331</v>
      </c>
      <c r="I76" s="17">
        <f ref="I76:M76" si="25" t="shared">I19/I$59</f>
        <v>9.6857478090045343E-2</v>
      </c>
      <c r="J76" s="17">
        <f si="25" t="shared"/>
        <v>8.8049176207835783E-2</v>
      </c>
      <c r="K76" s="17">
        <f si="25" t="shared"/>
        <v>2.7864678099728875E-2</v>
      </c>
      <c r="L76" s="17">
        <f si="25" t="shared"/>
        <v>2.4909072681917555E-2</v>
      </c>
      <c r="M76" s="18">
        <f si="25" t="shared"/>
        <v>5.3197663708279469E-2</v>
      </c>
    </row>
    <row r="77" spans="1:13" x14ac:dyDescent="0.25">
      <c r="A77" s="12">
        <v>0.35416666666666669</v>
      </c>
      <c r="B77" s="18">
        <f ref="B77:F77" si="26" t="shared">B20/B$59</f>
        <v>8.9666003345626369E-2</v>
      </c>
      <c r="C77" s="18">
        <f si="26" t="shared"/>
        <v>9.2077176812513747E-2</v>
      </c>
      <c r="D77" s="18">
        <f si="26" t="shared"/>
        <v>3.3444588428965014E-2</v>
      </c>
      <c r="E77" s="18">
        <f si="26" t="shared"/>
        <v>2.9078513064808926E-2</v>
      </c>
      <c r="F77" s="18">
        <f si="26" t="shared"/>
        <v>5.5723925706119989E-2</v>
      </c>
      <c r="H77" s="12">
        <v>0.35416666666666669</v>
      </c>
      <c r="I77" s="17">
        <f ref="I77:M77" si="27" t="shared">I20/I$59</f>
        <v>9.0119407809538532E-2</v>
      </c>
      <c r="J77" s="17">
        <f si="27" t="shared"/>
        <v>8.2417398144973036E-2</v>
      </c>
      <c r="K77" s="17">
        <f si="27" t="shared"/>
        <v>3.1063538012566266E-2</v>
      </c>
      <c r="L77" s="17">
        <f si="27" t="shared"/>
        <v>3.2820752932395787E-2</v>
      </c>
      <c r="M77" s="18">
        <f si="27" t="shared"/>
        <v>5.2963633103097436E-2</v>
      </c>
    </row>
    <row r="78" spans="1:13" x14ac:dyDescent="0.25">
      <c r="A78" s="12">
        <v>0.375</v>
      </c>
      <c r="B78" s="18">
        <f ref="B78:F78" si="28" t="shared">B21/B$59</f>
        <v>7.4081575653805409E-2</v>
      </c>
      <c r="C78" s="18">
        <f si="28" t="shared"/>
        <v>7.4356822560310953E-2</v>
      </c>
      <c r="D78" s="18">
        <f si="28" t="shared"/>
        <v>3.5305953449514219E-2</v>
      </c>
      <c r="E78" s="18">
        <f si="28" t="shared"/>
        <v>3.5892389813588048E-2</v>
      </c>
      <c r="F78" s="18">
        <f si="28" t="shared"/>
        <v>5.0634950538265291E-2</v>
      </c>
      <c r="H78" s="12">
        <v>0.375</v>
      </c>
      <c r="I78" s="17">
        <f ref="I78:M78" si="29" t="shared">I21/I$59</f>
        <v>7.6778409445247511E-2</v>
      </c>
      <c r="J78" s="17">
        <f si="29" t="shared"/>
        <v>6.9397393253599629E-2</v>
      </c>
      <c r="K78" s="17">
        <f si="29" t="shared"/>
        <v>3.306817135160918E-2</v>
      </c>
      <c r="L78" s="17">
        <f si="29" t="shared"/>
        <v>4.2098274863603069E-2</v>
      </c>
      <c r="M78" s="18">
        <f si="29" t="shared"/>
        <v>4.9438221861300868E-2</v>
      </c>
    </row>
    <row r="79" spans="1:13" x14ac:dyDescent="0.25">
      <c r="A79" s="12">
        <v>0.39583333333333331</v>
      </c>
      <c r="B79" s="18">
        <f ref="B79:F79" si="30" t="shared">B22/B$59</f>
        <v>5.7010670034489681E-2</v>
      </c>
      <c r="C79" s="18">
        <f si="30" t="shared"/>
        <v>5.5211712390681865E-2</v>
      </c>
      <c r="D79" s="18">
        <f si="30" t="shared"/>
        <v>3.5917730574256547E-2</v>
      </c>
      <c r="E79" s="18">
        <f si="30" t="shared"/>
        <v>4.3619867162272577E-2</v>
      </c>
      <c r="F79" s="18">
        <f si="30" t="shared"/>
        <v>4.4331811306160193E-2</v>
      </c>
      <c r="H79" s="12">
        <v>0.39583333333333331</v>
      </c>
      <c r="I79" s="17">
        <f ref="I79:M79" si="31" t="shared">I22/I$59</f>
        <v>6.0661517874064277E-2</v>
      </c>
      <c r="J79" s="17">
        <f si="31" t="shared"/>
        <v>5.3804731820202817E-2</v>
      </c>
      <c r="K79" s="17">
        <f si="31" t="shared"/>
        <v>3.4144919939657035E-2</v>
      </c>
      <c r="L79" s="17">
        <f si="31" t="shared"/>
        <v>5.2372623487185833E-2</v>
      </c>
      <c r="M79" s="18">
        <f si="31" t="shared"/>
        <v>4.4405379982739773E-2</v>
      </c>
    </row>
    <row r="80" spans="1:13" x14ac:dyDescent="0.25">
      <c r="A80" s="12">
        <v>0.41666666666666669</v>
      </c>
      <c r="B80" s="18">
        <f ref="B80:F80" si="32" t="shared">B23/B$59</f>
        <v>4.2213842765356044E-2</v>
      </c>
      <c r="C80" s="18">
        <f si="32" t="shared"/>
        <v>3.9527468564766313E-2</v>
      </c>
      <c r="D80" s="18">
        <f si="32" t="shared"/>
        <v>3.5893379253251069E-2</v>
      </c>
      <c r="E80" s="18">
        <f si="32" t="shared"/>
        <v>5.2894961627125238E-2</v>
      </c>
      <c r="F80" s="18">
        <f si="32" t="shared"/>
        <v>3.885619719109943E-2</v>
      </c>
      <c r="H80" s="12">
        <v>0.41666666666666669</v>
      </c>
      <c r="I80" s="17">
        <f ref="I80:M80" si="33" t="shared">I23/I$59</f>
        <v>4.5469097025690117E-2</v>
      </c>
      <c r="J80" s="17">
        <f si="33" t="shared"/>
        <v>4.0040165403155498E-2</v>
      </c>
      <c r="K80" s="17">
        <f si="33" t="shared"/>
        <v>3.4644264241404515E-2</v>
      </c>
      <c r="L80" s="17">
        <f si="33" t="shared"/>
        <v>6.2745679388314643E-2</v>
      </c>
      <c r="M80" s="18">
        <f si="33" t="shared"/>
        <v>3.9568742640019181E-2</v>
      </c>
    </row>
    <row r="81" spans="1:13" x14ac:dyDescent="0.25">
      <c r="A81" s="12">
        <v>0.4375</v>
      </c>
      <c r="B81" s="18">
        <f ref="B81:F81" si="34" t="shared">B24/B$59</f>
        <v>3.1365689509781997E-2</v>
      </c>
      <c r="C81" s="18">
        <f si="34" t="shared"/>
        <v>2.9054000329247053E-2</v>
      </c>
      <c r="D81" s="18">
        <f si="34" t="shared"/>
        <v>3.5658301498794634E-2</v>
      </c>
      <c r="E81" s="18">
        <f si="34" t="shared"/>
        <v>6.375532509493774E-2</v>
      </c>
      <c r="F81" s="18">
        <f si="34" t="shared"/>
        <v>3.5116309975270051E-2</v>
      </c>
      <c r="H81" s="12">
        <v>0.4375</v>
      </c>
      <c r="I81" s="17">
        <f ref="I81:M81" si="35" t="shared">I24/I$59</f>
        <v>3.3542120213015177E-2</v>
      </c>
      <c r="J81" s="17">
        <f si="35" t="shared"/>
        <v>3.036633738951984E-2</v>
      </c>
      <c r="K81" s="17">
        <f si="35" t="shared"/>
        <v>3.4829387796654648E-2</v>
      </c>
      <c r="L81" s="17">
        <f si="35" t="shared"/>
        <v>7.1897520630577749E-2</v>
      </c>
      <c r="M81" s="18">
        <f si="35" t="shared"/>
        <v>3.5900674110902905E-2</v>
      </c>
    </row>
    <row r="82" spans="1:13" x14ac:dyDescent="0.25">
      <c r="A82" s="12">
        <v>0.45833333333333331</v>
      </c>
      <c r="B82" s="18">
        <f ref="B82:F82" si="36" t="shared">B25/B$59</f>
        <v>2.4213119453480581E-2</v>
      </c>
      <c r="C82" s="18">
        <f si="36" t="shared"/>
        <v>2.3035610924974668E-2</v>
      </c>
      <c r="D82" s="18">
        <f si="36" t="shared"/>
        <v>3.5356825512166422E-2</v>
      </c>
      <c r="E82" s="18">
        <f si="36" t="shared"/>
        <v>7.4875973429312778E-2</v>
      </c>
      <c r="F82" s="18">
        <f si="36" t="shared"/>
        <v>3.2935297010315105E-2</v>
      </c>
      <c r="H82" s="12">
        <v>0.45833333333333331</v>
      </c>
      <c r="I82" s="17">
        <f ref="I82:M82" si="37" t="shared">I25/I$59</f>
        <v>2.5511309580846745E-2</v>
      </c>
      <c r="J82" s="17">
        <f si="37" t="shared"/>
        <v>2.4813850319468114E-2</v>
      </c>
      <c r="K82" s="17">
        <f si="37" t="shared"/>
        <v>3.4867344847361259E-2</v>
      </c>
      <c r="L82" s="17">
        <f si="37" t="shared"/>
        <v>7.8327959266685093E-2</v>
      </c>
      <c r="M82" s="18">
        <f si="37" t="shared"/>
        <v>3.3556277628032802E-2</v>
      </c>
    </row>
    <row r="83" spans="1:13" x14ac:dyDescent="0.25">
      <c r="A83" s="12">
        <v>0.47916666666666669</v>
      </c>
      <c r="B83" s="18">
        <f ref="B83:F83" si="38" t="shared">B26/B$59</f>
        <v>1.9654600920610579E-2</v>
      </c>
      <c r="C83" s="18">
        <f si="38" t="shared"/>
        <v>1.9858675835268996E-2</v>
      </c>
      <c r="D83" s="18">
        <f si="38" t="shared"/>
        <v>3.5010859125798439E-2</v>
      </c>
      <c r="E83" s="18">
        <f si="38" t="shared"/>
        <v>8.3585886773746232E-2</v>
      </c>
      <c r="F83" s="18">
        <f si="38" t="shared"/>
        <v>3.1659877604666153E-2</v>
      </c>
      <c r="H83" s="12">
        <v>0.47916666666666669</v>
      </c>
      <c r="I83" s="17">
        <f ref="I83:M83" si="39" t="shared">I26/I$59</f>
        <v>2.0740269865895104E-2</v>
      </c>
      <c r="J83" s="17">
        <f si="39" t="shared"/>
        <v>2.2184408150082633E-2</v>
      </c>
      <c r="K83" s="17">
        <f si="39" t="shared"/>
        <v>3.4888502919369423E-2</v>
      </c>
      <c r="L83" s="17">
        <f si="39" t="shared"/>
        <v>8.0689472133525966E-2</v>
      </c>
      <c r="M83" s="18">
        <f si="39" t="shared"/>
        <v>3.219034326738035E-2</v>
      </c>
    </row>
    <row r="84" spans="1:13" x14ac:dyDescent="0.25">
      <c r="A84" s="12">
        <v>0.5</v>
      </c>
      <c r="B84" s="18">
        <f ref="B84:F84" si="40" t="shared">B27/B$59</f>
        <v>1.6710608489924176E-2</v>
      </c>
      <c r="C84" s="18">
        <f si="40" t="shared"/>
        <v>1.82814132623191E-2</v>
      </c>
      <c r="D84" s="18">
        <f si="40" t="shared"/>
        <v>3.4707556700332244E-2</v>
      </c>
      <c r="E84" s="18">
        <f si="40" t="shared"/>
        <v>8.7000386513338163E-2</v>
      </c>
      <c r="F84" s="18">
        <f si="40" t="shared"/>
        <v>3.0751146096976868E-2</v>
      </c>
      <c r="H84" s="12">
        <v>0.5</v>
      </c>
      <c r="I84" s="17">
        <f ref="I84:M84" si="41" t="shared">I27/I$59</f>
        <v>1.8090419621270778E-2</v>
      </c>
      <c r="J84" s="17">
        <f si="41" t="shared"/>
        <v>2.1120326844190695E-2</v>
      </c>
      <c r="K84" s="17">
        <f si="41" t="shared"/>
        <v>3.4992795220953082E-2</v>
      </c>
      <c r="L84" s="17">
        <f si="41" t="shared"/>
        <v>7.8279630863300101E-2</v>
      </c>
      <c r="M84" s="18">
        <f si="41" t="shared"/>
        <v>3.1337577322341111E-2</v>
      </c>
    </row>
    <row r="85" spans="1:13" x14ac:dyDescent="0.25">
      <c r="A85" s="12">
        <v>0.52083333333333337</v>
      </c>
      <c r="B85" s="18">
        <f ref="B85:F85" si="42" t="shared">B28/B$59</f>
        <v>1.4825320013169647E-2</v>
      </c>
      <c r="C85" s="18">
        <f si="42" t="shared"/>
        <v>1.7705574614725786E-2</v>
      </c>
      <c r="D85" s="18">
        <f si="42" t="shared"/>
        <v>3.4655276874567667E-2</v>
      </c>
      <c r="E85" s="18">
        <f si="42" t="shared"/>
        <v>8.367429949586469E-2</v>
      </c>
      <c r="F85" s="18">
        <f si="42" t="shared"/>
        <v>3.0019408798424314E-2</v>
      </c>
      <c r="H85" s="12">
        <v>0.52083333333333337</v>
      </c>
      <c r="I85" s="17">
        <f ref="I85:M85" si="43" t="shared">I28/I$59</f>
        <v>1.6535594714924357E-2</v>
      </c>
      <c r="J85" s="17">
        <f si="43" t="shared"/>
        <v>2.0661069205789272E-2</v>
      </c>
      <c r="K85" s="17">
        <f si="43" t="shared"/>
        <v>3.5203663330067428E-2</v>
      </c>
      <c r="L85" s="17">
        <f si="43" t="shared"/>
        <v>7.1555364835145199E-2</v>
      </c>
      <c r="M85" s="18">
        <f si="43" t="shared"/>
        <v>3.0646748147099938E-2</v>
      </c>
    </row>
    <row r="86" spans="1:13" x14ac:dyDescent="0.25">
      <c r="A86" s="12">
        <v>0.54166666666666663</v>
      </c>
      <c r="B86" s="18">
        <f ref="B86:F86" si="44" t="shared">B29/B$59</f>
        <v>1.3660777339692943E-2</v>
      </c>
      <c r="C86" s="18">
        <f si="44" t="shared"/>
        <v>1.7844742532168136E-2</v>
      </c>
      <c r="D86" s="18">
        <f si="44" t="shared"/>
        <v>3.5077377482969893E-2</v>
      </c>
      <c r="E86" s="18">
        <f si="44" t="shared"/>
        <v>7.455795825922322E-2</v>
      </c>
      <c r="F86" s="18">
        <f si="44" t="shared"/>
        <v>2.9515654475435651E-2</v>
      </c>
      <c r="H86" s="12">
        <v>0.54166666666666663</v>
      </c>
      <c r="I86" s="17">
        <f ref="I86:M86" si="45" t="shared">I29/I$59</f>
        <v>1.5419667540448476E-2</v>
      </c>
      <c r="J86" s="17">
        <f si="45" t="shared"/>
        <v>2.0325663962918815E-2</v>
      </c>
      <c r="K86" s="17">
        <f si="45" t="shared"/>
        <v>3.5455911931848751E-2</v>
      </c>
      <c r="L86" s="17">
        <f si="45" t="shared"/>
        <v>6.2189092855926192E-2</v>
      </c>
      <c r="M86" s="18">
        <f si="45" t="shared"/>
        <v>2.9948945122200157E-2</v>
      </c>
    </row>
    <row r="87" spans="1:13" x14ac:dyDescent="0.25">
      <c r="A87" s="12">
        <v>0.5625</v>
      </c>
      <c r="B87" s="18">
        <f ref="B87:F87" si="46" t="shared">B30/B$59</f>
        <v>1.2857700726587968E-2</v>
      </c>
      <c r="C87" s="18">
        <f si="46" t="shared"/>
        <v>1.8375054810547544E-2</v>
      </c>
      <c r="D87" s="18">
        <f si="46" t="shared"/>
        <v>3.6019942571104573E-2</v>
      </c>
      <c r="E87" s="18">
        <f si="46" t="shared"/>
        <v>6.2453934934675201E-2</v>
      </c>
      <c r="F87" s="18">
        <f si="46" t="shared"/>
        <v>2.9283123288316549E-2</v>
      </c>
      <c r="H87" s="12">
        <v>0.5625</v>
      </c>
      <c r="I87" s="17">
        <f ref="I87:M87" si="47" t="shared">I30/I$59</f>
        <v>1.4424233081301125E-2</v>
      </c>
      <c r="J87" s="17">
        <f si="47" t="shared"/>
        <v>1.9992756087636711E-2</v>
      </c>
      <c r="K87" s="17">
        <f si="47" t="shared"/>
        <v>3.5661023117790666E-2</v>
      </c>
      <c r="L87" s="17">
        <f si="47" t="shared"/>
        <v>5.2351733441931905E-2</v>
      </c>
      <c r="M87" s="18">
        <f si="47" t="shared"/>
        <v>2.9226084961497291E-2</v>
      </c>
    </row>
    <row r="88" spans="1:13" x14ac:dyDescent="0.25">
      <c r="A88" s="12">
        <v>0.58333333333333337</v>
      </c>
      <c r="B88" s="18">
        <f ref="B88:F88" si="48" t="shared">B31/B$59</f>
        <v>1.2043220963789925E-2</v>
      </c>
      <c r="C88" s="18">
        <f si="48" t="shared"/>
        <v>1.8858841014026125E-2</v>
      </c>
      <c r="D88" s="18">
        <f si="48" t="shared"/>
        <v>3.7237714671666866E-2</v>
      </c>
      <c r="E88" s="18">
        <f si="48" t="shared"/>
        <v>5.0381266834053973E-2</v>
      </c>
      <c r="F88" s="18">
        <f si="48" t="shared"/>
        <v>2.9193837967100688E-2</v>
      </c>
      <c r="H88" s="12">
        <v>0.58333333333333337</v>
      </c>
      <c r="I88" s="17">
        <f ref="I88:M88" si="49" t="shared">I31/I$59</f>
        <v>1.3424690405777632E-2</v>
      </c>
      <c r="J88" s="17">
        <f si="49" t="shared"/>
        <v>1.9757013017808793E-2</v>
      </c>
      <c r="K88" s="17">
        <f si="49" t="shared"/>
        <v>3.5801287079184452E-2</v>
      </c>
      <c r="L88" s="17">
        <f si="49" t="shared"/>
        <v>4.3637606498096691E-2</v>
      </c>
      <c r="M88" s="18">
        <f si="49" t="shared"/>
        <v>2.854597284385655E-2</v>
      </c>
    </row>
    <row r="89" spans="1:13" x14ac:dyDescent="0.25">
      <c r="A89" s="12">
        <v>0.60416666666666663</v>
      </c>
      <c r="B89" s="18">
        <f ref="B89:F89" si="50" t="shared">B32/B$59</f>
        <v>1.1006823383842663E-2</v>
      </c>
      <c r="C89" s="18">
        <f si="50" t="shared"/>
        <v>1.8888634325641192E-2</v>
      </c>
      <c r="D89" s="18">
        <f si="50" t="shared"/>
        <v>3.8308856011499477E-2</v>
      </c>
      <c r="E89" s="18">
        <f si="50" t="shared"/>
        <v>4.0117652536869337E-2</v>
      </c>
      <c r="F89" s="18">
        <f si="50" t="shared"/>
        <v>2.8996122457340835E-2</v>
      </c>
      <c r="H89" s="12">
        <v>0.60416666666666663</v>
      </c>
      <c r="I89" s="17">
        <f ref="I89:M89" si="51" t="shared">I32/I$59</f>
        <v>1.2371681728348564E-2</v>
      </c>
      <c r="J89" s="17">
        <f si="51" t="shared"/>
        <v>1.9793599216253444E-2</v>
      </c>
      <c r="K89" s="17">
        <f si="51" t="shared"/>
        <v>3.596868713514214E-2</v>
      </c>
      <c r="L89" s="17">
        <f si="51" t="shared"/>
        <v>3.6486302735002855E-2</v>
      </c>
      <c r="M89" s="18">
        <f si="51" t="shared"/>
        <v>2.8001993348046265E-2</v>
      </c>
    </row>
    <row r="90" spans="1:13" x14ac:dyDescent="0.25">
      <c r="A90" s="12">
        <v>0.625</v>
      </c>
      <c r="B90" s="18">
        <f ref="B90:F90" si="52" t="shared">B33/B$59</f>
        <v>9.8018056532471823E-3</v>
      </c>
      <c r="C90" s="18">
        <f si="52" t="shared"/>
        <v>1.8275024257446686E-2</v>
      </c>
      <c r="D90" s="18">
        <f si="52" t="shared"/>
        <v>3.8930260002831278E-2</v>
      </c>
      <c r="E90" s="18">
        <f si="52" t="shared"/>
        <v>3.1890475730866161E-2</v>
      </c>
      <c r="F90" s="18">
        <f si="52" t="shared"/>
        <v>2.8515188340072665E-2</v>
      </c>
      <c r="H90" s="12">
        <v>0.625</v>
      </c>
      <c r="I90" s="17">
        <f ref="I90:M90" si="53" t="shared">I33/I$59</f>
        <v>1.1244247083842312E-2</v>
      </c>
      <c r="J90" s="17">
        <f si="53" t="shared"/>
        <v>2.0209131708213347E-2</v>
      </c>
      <c r="K90" s="17">
        <f si="53" t="shared"/>
        <v>3.6309263043171246E-2</v>
      </c>
      <c r="L90" s="17">
        <f si="53" t="shared"/>
        <v>3.0490430821707028E-2</v>
      </c>
      <c r="M90" s="18">
        <f si="53" t="shared"/>
        <v>2.7664643804127254E-2</v>
      </c>
    </row>
    <row r="91" spans="1:13" x14ac:dyDescent="0.25">
      <c r="A91" s="12">
        <v>0.64583333333333337</v>
      </c>
      <c r="B91" s="18">
        <f ref="B91:F91" si="54" t="shared">B34/B$59</f>
        <v>8.6453410396402329E-3</v>
      </c>
      <c r="C91" s="18">
        <f si="54" t="shared"/>
        <v>1.7136166140968939E-2</v>
      </c>
      <c r="D91" s="18">
        <f si="54" t="shared"/>
        <v>3.9123770729152713E-2</v>
      </c>
      <c r="E91" s="18">
        <f si="54" t="shared"/>
        <v>2.5112801877650772E-2</v>
      </c>
      <c r="F91" s="18">
        <f si="54" t="shared"/>
        <v>2.779977326458585E-2</v>
      </c>
      <c r="H91" s="12">
        <v>0.64583333333333337</v>
      </c>
      <c r="I91" s="17">
        <f ref="I91:M91" si="55" t="shared">I34/I$59</f>
        <v>1.005421934853698E-2</v>
      </c>
      <c r="J91" s="17">
        <f si="55" t="shared"/>
        <v>2.0904763633429038E-2</v>
      </c>
      <c r="K91" s="17">
        <f si="55" t="shared"/>
        <v>3.6910481205704095E-2</v>
      </c>
      <c r="L91" s="17">
        <f si="55" t="shared"/>
        <v>2.51419220608298E-2</v>
      </c>
      <c r="M91" s="18">
        <f si="55" t="shared"/>
        <v>2.7539946339282934E-2</v>
      </c>
    </row>
    <row r="92" spans="1:13" x14ac:dyDescent="0.25">
      <c r="A92" s="12">
        <v>0.66666666666666663</v>
      </c>
      <c r="B92" s="18">
        <f ref="B92:F92" si="56" t="shared">B35/B$59</f>
        <v>7.7080279827597816E-3</v>
      </c>
      <c r="C92" s="18">
        <f si="56" t="shared"/>
        <v>1.5813463437958884E-2</v>
      </c>
      <c r="D92" s="18">
        <f si="56" t="shared"/>
        <v>3.9132313024319965E-2</v>
      </c>
      <c r="E92" s="18">
        <f si="56" t="shared"/>
        <v>1.9293821710205168E-2</v>
      </c>
      <c r="F92" s="18">
        <f si="56" t="shared"/>
        <v>2.7053006179484699E-2</v>
      </c>
      <c r="H92" s="12">
        <v>0.66666666666666663</v>
      </c>
      <c r="I92" s="17">
        <f ref="I92:M92" si="57" t="shared">I35/I$59</f>
        <v>8.8560127686377887E-3</v>
      </c>
      <c r="J92" s="17">
        <f si="57" t="shared"/>
        <v>2.1541188379696957E-2</v>
      </c>
      <c r="K92" s="17">
        <f si="57" t="shared"/>
        <v>3.7709609394372144E-2</v>
      </c>
      <c r="L92" s="17">
        <f si="57" t="shared"/>
        <v>2.0306613329689721E-2</v>
      </c>
      <c r="M92" s="18">
        <f si="57" t="shared"/>
        <v>2.7542093816525965E-2</v>
      </c>
    </row>
    <row r="93" spans="1:13" x14ac:dyDescent="0.25">
      <c r="A93" s="12">
        <v>0.6875</v>
      </c>
      <c r="B93" s="18">
        <f ref="B93:F93" si="58" t="shared">B36/B$59</f>
        <v>6.9804896595547887E-3</v>
      </c>
      <c r="C93" s="18">
        <f si="58" t="shared"/>
        <v>1.4632780524850385E-2</v>
      </c>
      <c r="D93" s="18">
        <f si="58" t="shared"/>
        <v>3.9101395426308923E-2</v>
      </c>
      <c r="E93" s="18">
        <f si="58" t="shared"/>
        <v>1.4395071705034965E-2</v>
      </c>
      <c r="F93" s="18">
        <f si="58" t="shared"/>
        <v>2.6405843599223676E-2</v>
      </c>
      <c r="H93" s="12">
        <v>0.6875</v>
      </c>
      <c r="I93" s="17">
        <f ref="I93:M93" si="59" t="shared">I36/I$59</f>
        <v>7.7298375807822676E-3</v>
      </c>
      <c r="J93" s="17">
        <f si="59" t="shared"/>
        <v>2.1665407739699209E-2</v>
      </c>
      <c r="K93" s="17">
        <f si="59" t="shared"/>
        <v>3.8470923441091126E-2</v>
      </c>
      <c r="L93" s="17">
        <f si="59" t="shared"/>
        <v>1.6166367486476887E-2</v>
      </c>
      <c r="M93" s="18">
        <f si="59" t="shared"/>
        <v>2.7494642977746203E-2</v>
      </c>
    </row>
    <row r="94" spans="1:13" x14ac:dyDescent="0.25">
      <c r="A94" s="12">
        <v>0.70833333333333337</v>
      </c>
      <c r="B94" s="18">
        <f ref="B94:F94" si="60" t="shared">B37/B$59</f>
        <v>6.3131681974448184E-3</v>
      </c>
      <c r="C94" s="18">
        <f si="60" t="shared"/>
        <v>1.3660802976935522E-2</v>
      </c>
      <c r="D94" s="18">
        <f si="60" t="shared"/>
        <v>3.8862151997699164E-2</v>
      </c>
      <c r="E94" s="18">
        <f si="60" t="shared"/>
        <v>1.0597828245896612E-2</v>
      </c>
      <c r="F94" s="18">
        <f si="60" t="shared"/>
        <v>2.5752538798152848E-2</v>
      </c>
      <c r="H94" s="12">
        <v>0.70833333333333337</v>
      </c>
      <c r="I94" s="17">
        <f ref="I94:M94" si="61" t="shared">I37/I$59</f>
        <v>6.7432527595172216E-3</v>
      </c>
      <c r="J94" s="17">
        <f si="61" t="shared"/>
        <v>2.0930958240914909E-2</v>
      </c>
      <c r="K94" s="17">
        <f si="61" t="shared"/>
        <v>3.8823607650860917E-2</v>
      </c>
      <c r="L94" s="17">
        <f si="61" t="shared"/>
        <v>1.2894316909452879E-2</v>
      </c>
      <c r="M94" s="18">
        <f si="61" t="shared"/>
        <v>2.7160647989821388E-2</v>
      </c>
    </row>
    <row r="95" spans="1:13" x14ac:dyDescent="0.25">
      <c r="A95" s="12">
        <v>0.72916666666666663</v>
      </c>
      <c r="B95" s="18">
        <f ref="B95:F95" si="62" t="shared">B38/B$59</f>
        <v>5.5621483558983701E-3</v>
      </c>
      <c r="C95" s="18">
        <f si="62" t="shared"/>
        <v>1.2655898971288364E-2</v>
      </c>
      <c r="D95" s="18">
        <f si="62" t="shared"/>
        <v>3.8005051237575541E-2</v>
      </c>
      <c r="E95" s="18">
        <f si="62" t="shared"/>
        <v>7.935984558614835E-3</v>
      </c>
      <c r="F95" s="18">
        <f si="62" t="shared"/>
        <v>2.4795814268993639E-2</v>
      </c>
      <c r="H95" s="12">
        <v>0.72916666666666663</v>
      </c>
      <c r="I95" s="17">
        <f ref="I95:M95" si="63" t="shared">I38/I$59</f>
        <v>5.9207368563230882E-3</v>
      </c>
      <c r="J95" s="17">
        <f si="63" t="shared"/>
        <v>1.9257617339977096E-2</v>
      </c>
      <c r="K95" s="17">
        <f si="63" t="shared"/>
        <v>3.8346301459586035E-2</v>
      </c>
      <c r="L95" s="17">
        <f si="63" t="shared"/>
        <v>1.0437614251887413E-2</v>
      </c>
      <c r="M95" s="18">
        <f si="63" t="shared"/>
        <v>2.6296514828681828E-2</v>
      </c>
    </row>
    <row r="96" spans="1:13" x14ac:dyDescent="0.25">
      <c r="A96" s="12">
        <v>0.75</v>
      </c>
      <c r="B96" s="18">
        <f ref="B96:F96" si="64" t="shared">B39/B$59</f>
        <v>4.6981284960211011E-3</v>
      </c>
      <c r="C96" s="18">
        <f si="64" t="shared"/>
        <v>1.1272517689716044E-2</v>
      </c>
      <c r="D96" s="18">
        <f si="64" t="shared"/>
        <v>3.6141464161845896E-2</v>
      </c>
      <c r="E96" s="18">
        <f si="64" t="shared"/>
        <v>6.1796008582522535E-3</v>
      </c>
      <c r="F96" s="18">
        <f si="64" t="shared"/>
        <v>2.3243815640738647E-2</v>
      </c>
      <c r="H96" s="12">
        <v>0.75</v>
      </c>
      <c r="I96" s="17">
        <f ref="I96:M96" si="65" t="shared">I39/I$59</f>
        <v>5.2415098131682316E-3</v>
      </c>
      <c r="J96" s="17">
        <f si="65" t="shared"/>
        <v>1.6838249958448306E-2</v>
      </c>
      <c r="K96" s="17">
        <f si="65" t="shared"/>
        <v>3.6709964145663777E-2</v>
      </c>
      <c r="L96" s="17">
        <f si="65" t="shared"/>
        <v>8.5508977631341757E-3</v>
      </c>
      <c r="M96" s="18">
        <f si="65" t="shared"/>
        <v>2.473350686996937E-2</v>
      </c>
    </row>
    <row r="97" spans="1:13" x14ac:dyDescent="0.25">
      <c r="A97" s="12">
        <v>0.77083333333333337</v>
      </c>
      <c r="B97" s="18">
        <f ref="B97:F97" si="66" t="shared">B40/B$59</f>
        <v>3.7984320633551016E-3</v>
      </c>
      <c r="C97" s="18">
        <f si="66" t="shared"/>
        <v>9.352123135055285E-3</v>
      </c>
      <c r="D97" s="18">
        <f si="66" t="shared"/>
        <v>3.3123808319829619E-2</v>
      </c>
      <c r="E97" s="18">
        <f si="66" t="shared"/>
        <v>4.9880422980363619E-3</v>
      </c>
      <c r="F97" s="18">
        <f si="66" t="shared"/>
        <v>2.0987174630141388E-2</v>
      </c>
      <c r="H97" s="12">
        <v>0.77083333333333337</v>
      </c>
      <c r="I97" s="17">
        <f ref="I97:M97" si="67" t="shared">I40/I$59</f>
        <v>4.6600156820734411E-3</v>
      </c>
      <c r="J97" s="17">
        <f si="67" t="shared"/>
        <v>1.4028563745643841E-2</v>
      </c>
      <c r="K97" s="17">
        <f si="67" t="shared"/>
        <v>3.3849346179845988E-2</v>
      </c>
      <c r="L97" s="17">
        <f si="67" t="shared"/>
        <v>6.9765292178028213E-3</v>
      </c>
      <c r="M97" s="18">
        <f si="67" t="shared"/>
        <v>2.2469219916283582E-2</v>
      </c>
    </row>
    <row r="98" spans="1:13" x14ac:dyDescent="0.25">
      <c r="A98" s="12">
        <v>0.79166666666666663</v>
      </c>
      <c r="B98" s="18">
        <f ref="B98:F98" si="68" t="shared">B41/B$59</f>
        <v>2.9613224895657739E-3</v>
      </c>
      <c r="C98" s="18">
        <f si="68" t="shared"/>
        <v>7.0596265084508936E-3</v>
      </c>
      <c r="D98" s="18">
        <f si="68" t="shared"/>
        <v>2.9098631285357526E-2</v>
      </c>
      <c r="E98" s="18">
        <f si="68" t="shared"/>
        <v>4.1155628739295742E-3</v>
      </c>
      <c r="F98" s="18">
        <f si="68" t="shared"/>
        <v>1.8143227964167674E-2</v>
      </c>
      <c r="H98" s="12">
        <v>0.79166666666666663</v>
      </c>
      <c r="I98" s="17">
        <f ref="I98:M98" si="69" t="shared">I41/I$59</f>
        <v>4.1314297774144521E-3</v>
      </c>
      <c r="J98" s="17">
        <f si="69" t="shared"/>
        <v>1.1207898397622427E-2</v>
      </c>
      <c r="K98" s="17">
        <f si="69" t="shared"/>
        <v>3.0039402812142603E-2</v>
      </c>
      <c r="L98" s="17">
        <f si="69" t="shared"/>
        <v>5.5893276960636189E-3</v>
      </c>
      <c r="M98" s="18">
        <f si="69" t="shared"/>
        <v>1.9700868132878552E-2</v>
      </c>
    </row>
    <row r="99" spans="1:13" x14ac:dyDescent="0.25">
      <c r="A99" s="12">
        <v>0.8125</v>
      </c>
      <c r="B99" s="18">
        <f ref="B99:F99" si="70" t="shared">B42/B$59</f>
        <v>2.2391158189920624E-3</v>
      </c>
      <c r="C99" s="18">
        <f si="70" t="shared"/>
        <v>4.7779546018959637E-3</v>
      </c>
      <c r="D99" s="18">
        <f si="70" t="shared"/>
        <v>2.4422165693563348E-2</v>
      </c>
      <c r="E99" s="18">
        <f si="70" t="shared"/>
        <v>3.4852412821885664E-3</v>
      </c>
      <c r="F99" s="18">
        <f si="70" t="shared"/>
        <v>1.4980645889441743E-2</v>
      </c>
      <c r="H99" s="12">
        <v>0.8125</v>
      </c>
      <c r="I99" s="17">
        <f ref="I99:M99" si="71" t="shared">I42/I$59</f>
        <v>3.6299053600782247E-3</v>
      </c>
      <c r="J99" s="17">
        <f si="71" t="shared"/>
        <v>8.6666349463280987E-3</v>
      </c>
      <c r="K99" s="17">
        <f si="71" t="shared"/>
        <v>2.5770405268418266E-2</v>
      </c>
      <c r="L99" s="17">
        <f si="71" t="shared"/>
        <v>4.4026911291892949E-3</v>
      </c>
      <c r="M99" s="18">
        <f si="71" t="shared"/>
        <v>1.6742185264179435E-2</v>
      </c>
    </row>
    <row r="100" spans="1:13" x14ac:dyDescent="0.25">
      <c r="A100" s="12">
        <v>0.83333333333333337</v>
      </c>
      <c r="B100" s="18">
        <f ref="B100:F100" si="72" t="shared">B43/B$59</f>
        <v>1.639670622154467E-3</v>
      </c>
      <c r="C100" s="18">
        <f si="72" t="shared"/>
        <v>2.8795497463843158E-3</v>
      </c>
      <c r="D100" s="18">
        <f si="72" t="shared"/>
        <v>1.9531657469652155E-2</v>
      </c>
      <c r="E100" s="18">
        <f si="72" t="shared"/>
        <v>3.1091785656921188E-3</v>
      </c>
      <c r="F100" s="18">
        <f si="72" t="shared"/>
        <v>1.1805918729646394E-2</v>
      </c>
      <c r="H100" s="12">
        <v>0.83333333333333337</v>
      </c>
      <c r="I100" s="17">
        <f ref="I100:M100" si="73" t="shared">I43/I$59</f>
        <v>3.1545561682250122E-3</v>
      </c>
      <c r="J100" s="17">
        <f si="73" t="shared"/>
        <v>6.544600307877067E-3</v>
      </c>
      <c r="K100" s="17">
        <f si="73" t="shared"/>
        <v>2.1494619335168878E-2</v>
      </c>
      <c r="L100" s="17">
        <f si="73" t="shared"/>
        <v>3.467557334525243E-3</v>
      </c>
      <c r="M100" s="18">
        <f si="73" t="shared"/>
        <v>1.3868884280272643E-2</v>
      </c>
    </row>
    <row r="101" spans="1:13" x14ac:dyDescent="0.25">
      <c r="A101" s="12">
        <v>0.85416666666666663</v>
      </c>
      <c r="B101" s="18">
        <f ref="B101:F101" si="74" t="shared">B44/B$59</f>
        <v>1.1625964347731406E-3</v>
      </c>
      <c r="C101" s="18">
        <f si="74" t="shared"/>
        <v>1.5548872050310364E-3</v>
      </c>
      <c r="D101" s="18">
        <f si="74" t="shared"/>
        <v>1.4840849230652304E-2</v>
      </c>
      <c r="E101" s="18">
        <f si="74" t="shared"/>
        <v>2.9586955615252923E-3</v>
      </c>
      <c r="F101" s="18">
        <f si="74" t="shared"/>
        <v>8.8778537567310977E-3</v>
      </c>
      <c r="H101" s="12">
        <v>0.85416666666666663</v>
      </c>
      <c r="I101" s="17">
        <f ref="I101:M101" si="75" t="shared">I44/I$59</f>
        <v>2.7216499874745306E-3</v>
      </c>
      <c r="J101" s="17">
        <f si="75" t="shared"/>
        <v>4.8380526205016377E-3</v>
      </c>
      <c r="K101" s="17">
        <f si="75" t="shared"/>
        <v>1.7455000586606904E-2</v>
      </c>
      <c r="L101" s="17">
        <f si="75" t="shared"/>
        <v>2.7754226705180652E-3</v>
      </c>
      <c r="M101" s="18">
        <f si="75" t="shared"/>
        <v>1.1217856096939044E-2</v>
      </c>
    </row>
    <row r="102" spans="1:13" x14ac:dyDescent="0.25">
      <c r="A102" s="12">
        <v>0.875</v>
      </c>
      <c r="B102" s="18">
        <f ref="B102:F102" si="76" t="shared">B45/B$59</f>
        <v>8.1286275526088435E-4</v>
      </c>
      <c r="C102" s="18">
        <f si="76" t="shared"/>
        <v>7.8441582297083417E-4</v>
      </c>
      <c r="D102" s="18">
        <f si="76" t="shared"/>
        <v>1.0678242835568775E-2</v>
      </c>
      <c r="E102" s="18">
        <f si="76" t="shared"/>
        <v>2.9059995439107622E-3</v>
      </c>
      <c r="F102" s="18">
        <f si="76" t="shared"/>
        <v>6.3686454395161535E-3</v>
      </c>
      <c r="H102" s="12">
        <v>0.875</v>
      </c>
      <c r="I102" s="17">
        <f ref="I102:M102" si="77" t="shared">I45/I$59</f>
        <v>2.3467436418972277E-3</v>
      </c>
      <c r="J102" s="17">
        <f si="77" t="shared"/>
        <v>3.4679493927856002E-3</v>
      </c>
      <c r="K102" s="17">
        <f si="77" t="shared"/>
        <v>1.3717102792626773E-2</v>
      </c>
      <c r="L102" s="17">
        <f si="77" t="shared"/>
        <v>2.2471232884798951E-3</v>
      </c>
      <c r="M102" s="18">
        <f si="77" t="shared"/>
        <v>8.8113709384157104E-3</v>
      </c>
    </row>
    <row r="103" spans="1:13" x14ac:dyDescent="0.25">
      <c r="A103" s="12">
        <v>0.89583333333333337</v>
      </c>
      <c r="B103" s="18">
        <f ref="B103:F103" si="78" t="shared">B46/B$59</f>
        <v>5.8265238938434054E-4</v>
      </c>
      <c r="C103" s="18">
        <f si="78" t="shared"/>
        <v>4.1881866945039654E-4</v>
      </c>
      <c r="D103" s="18">
        <f si="78" t="shared"/>
        <v>7.2559956566007758E-3</v>
      </c>
      <c r="E103" s="18">
        <f si="78" t="shared"/>
        <v>2.7777104377139099E-3</v>
      </c>
      <c r="F103" s="18">
        <f si="78" t="shared"/>
        <v>4.3590534478091325E-3</v>
      </c>
      <c r="H103" s="12">
        <v>0.89583333333333337</v>
      </c>
      <c r="I103" s="17">
        <f ref="I103:M103" si="79" t="shared">I46/I$59</f>
        <v>2.0276970198918132E-3</v>
      </c>
      <c r="J103" s="17">
        <f si="79" t="shared"/>
        <v>2.3608141854307052E-3</v>
      </c>
      <c r="K103" s="17">
        <f si="79" t="shared"/>
        <v>1.0315883980974879E-2</v>
      </c>
      <c r="L103" s="17">
        <f si="79" t="shared"/>
        <v>1.7938741315165899E-3</v>
      </c>
      <c r="M103" s="18">
        <f si="79" t="shared"/>
        <v>6.6511565319948779E-3</v>
      </c>
    </row>
    <row r="104" spans="1:13" x14ac:dyDescent="0.25">
      <c r="A104" s="12">
        <v>0.91666666666666663</v>
      </c>
      <c r="B104" s="18">
        <f ref="B104:F104" si="80" t="shared">B47/B$59</f>
        <v>4.3779211954844964E-4</v>
      </c>
      <c r="C104" s="18">
        <f si="80" t="shared"/>
        <v>2.8233201227794764E-4</v>
      </c>
      <c r="D104" s="18">
        <f si="80" t="shared"/>
        <v>4.6559314606331691E-3</v>
      </c>
      <c r="E104" s="18">
        <f si="80" t="shared"/>
        <v>2.4586968736188771E-3</v>
      </c>
      <c r="F104" s="18">
        <f si="80" t="shared"/>
        <v>2.8506884263210836E-3</v>
      </c>
      <c r="H104" s="12">
        <v>0.91666666666666663</v>
      </c>
      <c r="I104" s="17">
        <f ref="I104:M104" si="81" t="shared">I47/I$59</f>
        <v>1.7409652737004238E-3</v>
      </c>
      <c r="J104" s="17">
        <f si="81" t="shared"/>
        <v>1.4872763790207042E-3</v>
      </c>
      <c r="K104" s="17">
        <f si="81" t="shared"/>
        <v>7.345325085589916E-3</v>
      </c>
      <c r="L104" s="17">
        <f si="81" t="shared"/>
        <v>1.3752699137942728E-3</v>
      </c>
      <c r="M104" s="18">
        <f si="81" t="shared"/>
        <v>4.7767260472218968E-3</v>
      </c>
    </row>
    <row r="105" spans="1:13" x14ac:dyDescent="0.25">
      <c r="A105" s="12">
        <v>0.9375</v>
      </c>
      <c r="B105" s="18">
        <f ref="B105:F105" si="82" t="shared">B48/B$59</f>
        <v>3.329264678399849E-4</v>
      </c>
      <c r="C105" s="18">
        <f si="82" t="shared"/>
        <v>2.3896403361524938E-4</v>
      </c>
      <c r="D105" s="18">
        <f si="82" t="shared"/>
        <v>2.8339432549747061E-3</v>
      </c>
      <c r="E105" s="18">
        <f si="82" t="shared"/>
        <v>1.953718317522838E-3</v>
      </c>
      <c r="F105" s="18">
        <f si="82" t="shared"/>
        <v>1.7863693277584193E-3</v>
      </c>
      <c r="H105" s="12">
        <v>0.9375</v>
      </c>
      <c r="I105" s="17">
        <f ref="I105:M105" si="83" t="shared">I48/I$59</f>
        <v>1.4550448797091746E-3</v>
      </c>
      <c r="J105" s="17">
        <f si="83" t="shared"/>
        <v>8.4599301655944334E-4</v>
      </c>
      <c r="K105" s="17">
        <f si="83" t="shared"/>
        <v>4.9235946079685582E-3</v>
      </c>
      <c r="L105" s="17">
        <f si="83" t="shared"/>
        <v>1.0020948364616871E-3</v>
      </c>
      <c r="M105" s="18">
        <f si="83" t="shared"/>
        <v>3.246672914490573E-3</v>
      </c>
    </row>
    <row r="106" spans="1:13" x14ac:dyDescent="0.25">
      <c r="A106" s="12">
        <v>0.95833333333333337</v>
      </c>
      <c r="B106" s="18">
        <f ref="B106:F106" si="84" t="shared">B49/B$59</f>
        <v>2.386725290243451E-4</v>
      </c>
      <c r="C106" s="18">
        <f si="84" t="shared"/>
        <v>2.1128061325958788E-4</v>
      </c>
      <c r="D106" s="18">
        <f si="84" t="shared"/>
        <v>1.651403051873331E-3</v>
      </c>
      <c r="E106" s="18">
        <f si="84" t="shared"/>
        <v>1.3671343563368555E-3</v>
      </c>
      <c r="F106" s="18">
        <f si="84" t="shared"/>
        <v>1.0756261050949188E-3</v>
      </c>
      <c r="H106" s="12">
        <v>0.95833333333333337</v>
      </c>
      <c r="I106" s="17">
        <f ref="I106:M106" si="85" t="shared">I49/I$59</f>
        <v>1.1519219630012918E-3</v>
      </c>
      <c r="J106" s="17">
        <f si="85" t="shared"/>
        <v>4.2621380279735663E-4</v>
      </c>
      <c r="K106" s="17">
        <f si="85" t="shared"/>
        <v>3.1061013828229088E-3</v>
      </c>
      <c r="L106" s="17">
        <f si="85" t="shared"/>
        <v>6.9809136940023183E-4</v>
      </c>
      <c r="M106" s="18">
        <f si="85" t="shared"/>
        <v>2.0871299952726226E-3</v>
      </c>
    </row>
    <row r="107" spans="1:13" x14ac:dyDescent="0.25">
      <c r="A107" s="12">
        <v>0.97916666666666663</v>
      </c>
      <c r="B107" s="18">
        <f ref="B107:F107" si="86" t="shared">B50/B$59</f>
        <v>1.5163342743168716E-4</v>
      </c>
      <c r="C107" s="18">
        <f si="86" t="shared"/>
        <v>1.7082883367831734E-4</v>
      </c>
      <c r="D107" s="18">
        <f si="86" t="shared"/>
        <v>9.2974716276845862E-4</v>
      </c>
      <c r="E107" s="18">
        <f si="86" t="shared"/>
        <v>8.299403617671163E-4</v>
      </c>
      <c r="F107" s="18">
        <f si="86" t="shared"/>
        <v>6.2148798601586151E-4</v>
      </c>
      <c r="H107" s="12">
        <v>0.97916666666666663</v>
      </c>
      <c r="I107" s="17">
        <f ref="I107:M107" si="87" t="shared">I50/I$59</f>
        <v>8.404819762137932E-4</v>
      </c>
      <c r="J107" s="17">
        <f si="87" t="shared"/>
        <v>1.8831002726115174E-4</v>
      </c>
      <c r="K107" s="17">
        <f si="87" t="shared"/>
        <v>1.8464548562753115E-3</v>
      </c>
      <c r="L107" s="17">
        <f si="87" t="shared"/>
        <v>4.6857401549018376E-4</v>
      </c>
      <c r="M107" s="18">
        <f si="87" t="shared"/>
        <v>1.2682392670935844E-3</v>
      </c>
    </row>
    <row r="108" spans="1:13" x14ac:dyDescent="0.25">
      <c r="A108" s="12">
        <v>1</v>
      </c>
      <c r="B108" s="18">
        <f ref="B108:F108" si="88" t="shared">B51/B$59</f>
        <v>8.2056163067997082E-5</v>
      </c>
      <c r="C108" s="18">
        <f si="88" t="shared"/>
        <v>1.1939827107899024E-4</v>
      </c>
      <c r="D108" s="18">
        <f si="88" t="shared"/>
        <v>5.0545968671647425E-4</v>
      </c>
      <c r="E108" s="18">
        <f si="88" t="shared"/>
        <v>4.3047926442886433E-4</v>
      </c>
      <c r="F108" s="18">
        <f si="88" t="shared"/>
        <v>3.4112021976705269E-4</v>
      </c>
      <c r="H108" s="12">
        <v>1</v>
      </c>
      <c r="I108" s="17">
        <f ref="I108:M108" si="89" t="shared">I51/I$59</f>
        <v>5.5156801008329325E-4</v>
      </c>
      <c r="J108" s="17">
        <f si="89" t="shared"/>
        <v>7.3497978039426388E-5</v>
      </c>
      <c r="K108" s="17">
        <f si="89" t="shared"/>
        <v>1.0297602338229118E-3</v>
      </c>
      <c r="L108" s="17">
        <f si="89" t="shared"/>
        <v>3.0039653973902813E-4</v>
      </c>
      <c r="M108" s="18">
        <f si="89" t="shared"/>
        <v>7.2303925114176133E-4</v>
      </c>
    </row>
    <row r="109" spans="1:13" x14ac:dyDescent="0.25">
      <c r="A109" s="12">
        <v>1.0208333333333333</v>
      </c>
      <c r="B109" s="18">
        <f ref="B109:F109" si="90" t="shared">B52/B$59</f>
        <v>3.686422772666001E-5</v>
      </c>
      <c r="C109" s="18">
        <f si="90" t="shared"/>
        <v>7.0267445805058027E-5</v>
      </c>
      <c r="D109" s="18">
        <f si="90" t="shared"/>
        <v>2.6065679267805444E-4</v>
      </c>
      <c r="E109" s="18">
        <f si="90" t="shared"/>
        <v>1.8740069445454837E-4</v>
      </c>
      <c r="F109" s="18">
        <f si="90" t="shared"/>
        <v>1.7425657445571498E-4</v>
      </c>
      <c r="H109" s="12">
        <v>1.0208333333333333</v>
      </c>
      <c r="I109" s="17">
        <f ref="I109:M109" si="91" t="shared">I52/I$59</f>
        <v>3.18651432988212E-4</v>
      </c>
      <c r="J109" s="17">
        <f si="91" t="shared"/>
        <v>2.6292493372115963E-5</v>
      </c>
      <c r="K109" s="17">
        <f si="91" t="shared"/>
        <v>5.3045478476347694E-4</v>
      </c>
      <c r="L109" s="17">
        <f si="91" t="shared"/>
        <v>1.7839340867076587E-4</v>
      </c>
      <c r="M109" s="18">
        <f si="91" t="shared"/>
        <v>3.7969376656237213E-4</v>
      </c>
    </row>
    <row r="110" spans="1:13" x14ac:dyDescent="0.25">
      <c r="A110" s="12">
        <v>4.1666666666666664E-2</v>
      </c>
      <c r="B110" s="18">
        <f ref="B110:F110" si="92" t="shared">B53/B$59</f>
        <v>1.3458769632547135E-5</v>
      </c>
      <c r="C110" s="18">
        <f si="92" t="shared"/>
        <v>3.4146988503402655E-5</v>
      </c>
      <c r="D110" s="18">
        <f si="92" t="shared"/>
        <v>1.2334115856090088E-4</v>
      </c>
      <c r="E110" s="18">
        <f si="92" t="shared"/>
        <v>6.6960858256267538E-5</v>
      </c>
      <c r="F110" s="18">
        <f si="92" t="shared"/>
        <v>8.0524681556362309E-5</v>
      </c>
      <c r="H110" s="12">
        <v>4.1666666666666664E-2</v>
      </c>
      <c r="I110" s="17">
        <f ref="I110:M110" si="93" t="shared">I53/I$59</f>
        <v>1.5883293693716045E-4</v>
      </c>
      <c r="J110" s="17">
        <f si="93" t="shared"/>
        <v>9.1910625517153373E-6</v>
      </c>
      <c r="K110" s="17">
        <f si="93" t="shared"/>
        <v>2.4579074907352176E-4</v>
      </c>
      <c r="L110" s="17">
        <f si="93" t="shared"/>
        <v>9.416558109148933E-5</v>
      </c>
      <c r="M110" s="18">
        <f si="93" t="shared"/>
        <v>1.7862071663134253E-4</v>
      </c>
    </row>
    <row r="111" spans="1:13" x14ac:dyDescent="0.25">
      <c r="A111" s="12">
        <v>6.25E-2</v>
      </c>
      <c r="B111" s="18">
        <f ref="B111:F111" si="94" t="shared">B54/B$59</f>
        <v>3.8989935496793836E-6</v>
      </c>
      <c r="C111" s="18">
        <f si="94" t="shared"/>
        <v>1.3416370253449262E-5</v>
      </c>
      <c r="D111" s="18">
        <f si="94" t="shared"/>
        <v>5.145454430151365E-5</v>
      </c>
      <c r="E111" s="18">
        <f si="94" t="shared"/>
        <v>1.9070334129587109E-5</v>
      </c>
      <c r="F111" s="18">
        <f si="94" t="shared"/>
        <v>3.2582798821619245E-5</v>
      </c>
      <c r="H111" s="12">
        <v>6.25E-2</v>
      </c>
      <c r="I111" s="17">
        <f ref="I111:M111" si="95" t="shared">I54/I$59</f>
        <v>6.6899848388062315E-5</v>
      </c>
      <c r="J111" s="17">
        <f si="95" t="shared"/>
        <v>3.2551155214884689E-6</v>
      </c>
      <c r="K111" s="17">
        <f si="95" t="shared"/>
        <v>9.9128143611527771E-5</v>
      </c>
      <c r="L111" s="17">
        <f si="95" t="shared"/>
        <v>4.2445925348424104E-5</v>
      </c>
      <c r="M111" s="18">
        <f si="95" t="shared"/>
        <v>7.2859149179239438E-5</v>
      </c>
    </row>
    <row r="112" spans="1:13" x14ac:dyDescent="0.25">
      <c r="A112" s="12">
        <v>8.3333333333333329E-2</v>
      </c>
      <c r="B112" s="18">
        <f ref="B112:F112" si="96" t="shared">B55/B$59</f>
        <v>8.6798099129066292E-7</v>
      </c>
      <c r="C112" s="18">
        <f si="96" t="shared"/>
        <v>4.1471436101937606E-6</v>
      </c>
      <c r="D112" s="18">
        <f si="96" t="shared"/>
        <v>1.8166101360316487E-5</v>
      </c>
      <c r="E112" s="18">
        <f si="96" t="shared"/>
        <v>4.1532873439328925E-6</v>
      </c>
      <c r="F112" s="18">
        <f si="96" t="shared"/>
        <v>1.1148801747624549E-5</v>
      </c>
      <c r="H112" s="12">
        <v>8.3333333333333329E-2</v>
      </c>
      <c r="I112" s="17">
        <f ref="I112:M112" si="97" t="shared">I55/I$59</f>
        <v>2.3247835970354473E-5</v>
      </c>
      <c r="J112" s="17">
        <f si="97" t="shared"/>
        <v>1.1076242704809956E-6</v>
      </c>
      <c r="K112" s="17">
        <f si="97" t="shared"/>
        <v>3.3579234392290657E-5</v>
      </c>
      <c r="L112" s="17">
        <f si="97" t="shared"/>
        <v>1.5762256413215678E-5</v>
      </c>
      <c r="M112" s="18">
        <f si="97" t="shared"/>
        <v>2.4892240280199981E-5</v>
      </c>
    </row>
    <row r="113" spans="1:13" x14ac:dyDescent="0.25">
      <c r="A113" s="12">
        <v>0.10416666666666667</v>
      </c>
      <c r="B113" s="18">
        <f ref="B113:F113" si="98" t="shared">B56/B$59</f>
        <v>1.4152958664720523E-7</v>
      </c>
      <c r="C113" s="18">
        <f si="98" t="shared"/>
        <v>9.6969483108726557E-7</v>
      </c>
      <c r="D113" s="18">
        <f si="98" t="shared"/>
        <v>5.2031410108413296E-6</v>
      </c>
      <c r="E113" s="18">
        <f si="98" t="shared"/>
        <v>6.484364516421524E-7</v>
      </c>
      <c r="F113" s="18">
        <f si="98" t="shared"/>
        <v>3.1028691974054221E-6</v>
      </c>
      <c r="H113" s="12">
        <v>0.10416666666666667</v>
      </c>
      <c r="I113" s="17">
        <f ref="I113:M113" si="99" t="shared">I56/I$59</f>
        <v>6.4657699403880629E-6</v>
      </c>
      <c r="J113" s="17">
        <f si="99" t="shared"/>
        <v>3.2561778063424659E-7</v>
      </c>
      <c r="K113" s="17">
        <f si="99" t="shared"/>
        <v>9.1895439849348052E-6</v>
      </c>
      <c r="L113" s="17">
        <f si="99" t="shared"/>
        <v>4.6515987680791826E-6</v>
      </c>
      <c r="M113" s="18">
        <f si="99" t="shared"/>
        <v>6.8584336433539925E-6</v>
      </c>
    </row>
    <row r="114" spans="1:13" x14ac:dyDescent="0.25">
      <c r="A114" s="12">
        <v>0.125</v>
      </c>
      <c r="B114" s="18">
        <f ref="B114:F114" si="100" t="shared">B57/B$59</f>
        <v>1.5595325355349488E-8</v>
      </c>
      <c r="C114" s="18">
        <f si="100" t="shared"/>
        <v>1.602473783281468E-7</v>
      </c>
      <c r="D114" s="18">
        <f si="100" t="shared"/>
        <v>1.1327924585735886E-6</v>
      </c>
      <c r="E114" s="18">
        <f si="100" t="shared"/>
        <v>6.4536329310356398E-8</v>
      </c>
      <c r="F114" s="18">
        <f si="100" t="shared"/>
        <v>6.5936299746778847E-7</v>
      </c>
      <c r="H114" s="12">
        <v>0.125</v>
      </c>
      <c r="I114" s="17">
        <f ref="I114:M114" si="101" t="shared">I57/I$59</f>
        <v>1.3598939701210582E-6</v>
      </c>
      <c r="J114" s="17">
        <f si="101" t="shared"/>
        <v>7.3718905816173617E-8</v>
      </c>
      <c r="K114" s="17">
        <f si="101" t="shared"/>
        <v>1.9104443556660263E-6</v>
      </c>
      <c r="L114" s="17">
        <f si="101" t="shared"/>
        <v>1.0278863650409237E-6</v>
      </c>
      <c r="M114" s="18">
        <f si="101" t="shared"/>
        <v>1.433805573983607E-6</v>
      </c>
    </row>
    <row ht="15.75" r="115" spans="1:13" thickBot="1" x14ac:dyDescent="0.3">
      <c r="A115" s="13" t="s">
        <v>34</v>
      </c>
      <c r="B115" s="20">
        <f ref="B115:F115" si="102" t="shared">B58/B$59</f>
        <v>0</v>
      </c>
      <c r="C115" s="20">
        <f si="102" t="shared"/>
        <v>0</v>
      </c>
      <c r="D115" s="20">
        <f si="102" t="shared"/>
        <v>0</v>
      </c>
      <c r="E115" s="20">
        <f si="102" t="shared"/>
        <v>0</v>
      </c>
      <c r="F115" s="20">
        <f si="102" t="shared"/>
        <v>0</v>
      </c>
      <c r="H115" s="13" t="s">
        <v>34</v>
      </c>
      <c r="I115" s="19">
        <f ref="I115:M115" si="103" t="shared">I58/I$59</f>
        <v>0</v>
      </c>
      <c r="J115" s="19">
        <f si="103" t="shared"/>
        <v>0</v>
      </c>
      <c r="K115" s="19">
        <f si="103" t="shared"/>
        <v>0</v>
      </c>
      <c r="L115" s="19">
        <f si="103" t="shared"/>
        <v>0</v>
      </c>
      <c r="M115" s="20">
        <f si="103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R115"/>
  <sheetViews>
    <sheetView workbookViewId="0">
      <selection activeCell="U5" sqref="U5"/>
    </sheetView>
  </sheetViews>
  <sheetFormatPr defaultRowHeight="15" x14ac:dyDescent="0.25"/>
  <cols>
    <col min="1" max="1" customWidth="true" width="12.7109375" collapsed="true"/>
    <col min="2" max="6" customWidth="true" width="10.7109375" collapsed="true"/>
    <col min="7" max="7" customWidth="true" width="6.42578125" collapsed="true"/>
    <col min="8" max="8" customWidth="true" width="12.7109375" collapsed="true"/>
    <col min="9" max="13" customWidth="true" width="10.7109375" collapsed="true"/>
  </cols>
  <sheetData>
    <row r="1" spans="1:17" x14ac:dyDescent="0.25">
      <c r="A1" t="s">
        <v>10</v>
      </c>
    </row>
    <row r="2" spans="1:17" x14ac:dyDescent="0.25">
      <c r="A2" t="s">
        <v>59</v>
      </c>
    </row>
    <row r="3" spans="1:17" x14ac:dyDescent="0.25">
      <c r="A3" t="s">
        <v>7</v>
      </c>
    </row>
    <row ht="15.75" r="6" spans="1:17" thickBot="1" x14ac:dyDescent="0.3">
      <c r="A6" s="3" t="s">
        <v>49</v>
      </c>
      <c r="B6" s="1"/>
      <c r="C6" s="1"/>
      <c r="D6" s="1"/>
      <c r="E6" s="1"/>
      <c r="F6" s="1"/>
      <c r="H6" s="3" t="s">
        <v>11</v>
      </c>
      <c r="I6" s="1"/>
      <c r="J6" s="1"/>
      <c r="K6" s="1"/>
      <c r="L6" s="1"/>
      <c r="M6" s="1"/>
      <c r="O6" s="11"/>
      <c r="P6" s="5"/>
      <c r="Q6" s="5"/>
    </row>
    <row r="7" spans="1:17" x14ac:dyDescent="0.25">
      <c r="A7" s="2" t="s">
        <v>4</v>
      </c>
      <c r="B7" s="4" t="s">
        <v>1</v>
      </c>
      <c r="C7" s="4" t="s">
        <v>2</v>
      </c>
      <c r="D7" s="4" t="s">
        <v>16</v>
      </c>
      <c r="E7" s="4" t="s">
        <v>3</v>
      </c>
      <c r="F7" s="4" t="s">
        <v>0</v>
      </c>
      <c r="H7" s="2" t="s">
        <v>4</v>
      </c>
      <c r="I7" s="4" t="s">
        <v>1</v>
      </c>
      <c r="J7" s="4" t="s">
        <v>2</v>
      </c>
      <c r="K7" s="4" t="s">
        <v>16</v>
      </c>
      <c r="L7" s="4" t="s">
        <v>3</v>
      </c>
      <c r="M7" s="4" t="s">
        <v>0</v>
      </c>
      <c r="O7" s="5"/>
      <c r="P7" s="14"/>
      <c r="Q7" s="14"/>
    </row>
    <row r="8" spans="1:17" x14ac:dyDescent="0.25">
      <c r="A8" t="s">
        <v>5</v>
      </c>
      <c r="B8" s="6" t="n">
        <v>7451.172493331112</v>
      </c>
      <c r="C8" s="6" t="n">
        <v>0.0</v>
      </c>
      <c r="D8" s="6" t="n">
        <v>2745.945405603409</v>
      </c>
      <c r="E8" s="6" t="n">
        <v>0.0</v>
      </c>
      <c r="F8" s="6">
        <f>SUM(B8:E8)</f>
        <v>11196.010073102747</v>
      </c>
      <c r="H8" t="s">
        <v>5</v>
      </c>
      <c r="I8" s="9" t="n">
        <v>5634.0</v>
      </c>
      <c r="J8" s="9" t="n">
        <v>3.0</v>
      </c>
      <c r="K8" s="9" t="n">
        <v>2172.0</v>
      </c>
      <c r="L8" s="9" t="n">
        <v>23.0</v>
      </c>
      <c r="M8">
        <f>SUM(I8:L8)</f>
        <v>14170</v>
      </c>
      <c r="O8" s="5"/>
      <c r="P8" s="16"/>
      <c r="Q8" s="16"/>
    </row>
    <row r="9" spans="1:17" x14ac:dyDescent="0.25">
      <c r="A9" s="12">
        <v>0.125</v>
      </c>
      <c r="B9" s="6" t="n">
        <v>4947.312945614848</v>
      </c>
      <c r="C9" s="6" t="n">
        <v>0.00990603372381348</v>
      </c>
      <c r="D9" s="6" t="n">
        <v>1888.0653255214008</v>
      </c>
      <c r="E9" s="6" t="n">
        <v>0.06824565585510407</v>
      </c>
      <c r="F9" s="6">
        <f ref="F9:F58" si="0" t="shared">SUM(B9:E9)</f>
        <v>7746.0979939021736</v>
      </c>
      <c r="H9" s="12">
        <v>0.125</v>
      </c>
      <c r="I9" s="9" t="n">
        <v>3768.077444076538</v>
      </c>
      <c r="J9" s="9" t="n">
        <v>3.9187049865722656</v>
      </c>
      <c r="K9" s="9" t="n">
        <v>1758.6388206481934</v>
      </c>
      <c r="L9" s="9" t="n">
        <v>18.748878479003906</v>
      </c>
      <c r="M9">
        <f ref="M9:M58" si="1" t="shared">SUM(I9:L9)</f>
        <v>10341.029677391052</v>
      </c>
      <c r="O9" s="5"/>
      <c r="P9" s="16"/>
      <c r="Q9" s="16"/>
    </row>
    <row r="10" spans="1:17" x14ac:dyDescent="0.25">
      <c r="A10" s="12">
        <v>0.14583333333333334</v>
      </c>
      <c r="B10" s="6" t="n">
        <v>2863.6216797185953</v>
      </c>
      <c r="C10" s="6" t="n">
        <v>0.06843676734659093</v>
      </c>
      <c r="D10" s="6" t="n">
        <v>1234.1270278995185</v>
      </c>
      <c r="E10" s="6" t="n">
        <v>0.45111426640393276</v>
      </c>
      <c r="F10" s="6">
        <f si="0" t="shared"/>
        <v>4995.0406647862055</v>
      </c>
      <c r="H10" s="12">
        <v>0.14583333333333334</v>
      </c>
      <c r="I10" s="9" t="n">
        <v>2222.1456394195557</v>
      </c>
      <c r="J10" s="9" t="n">
        <v>4.481571197509766</v>
      </c>
      <c r="K10" s="9" t="n">
        <v>1467.8240871429443</v>
      </c>
      <c r="L10" s="9" t="n">
        <v>15.992445945739746</v>
      </c>
      <c r="M10">
        <f si="1" t="shared"/>
        <v>7258.5979461669922</v>
      </c>
      <c r="O10" s="5"/>
      <c r="P10" s="16"/>
      <c r="Q10" s="16"/>
    </row>
    <row r="11" spans="1:17" x14ac:dyDescent="0.25">
      <c r="A11" s="12">
        <v>0.16666666666666666</v>
      </c>
      <c r="B11" s="6" t="n">
        <v>1428.0262168080717</v>
      </c>
      <c r="C11" s="6" t="n">
        <v>0.3603948421298233</v>
      </c>
      <c r="D11" s="6" t="n">
        <v>952.6090279272343</v>
      </c>
      <c r="E11" s="6" t="n">
        <v>2.142112101098124</v>
      </c>
      <c r="F11" s="6">
        <f si="0" t="shared"/>
        <v>3464.8795471806193</v>
      </c>
      <c r="H11" s="12">
        <v>0.16666666666666666</v>
      </c>
      <c r="I11" s="9" t="n">
        <v>1170.6952066421509</v>
      </c>
      <c r="J11" s="9" t="n">
        <v>5.500479698181152</v>
      </c>
      <c r="K11" s="9" t="n">
        <v>1429.7298364639282</v>
      </c>
      <c r="L11" s="9" t="n">
        <v>15.67085075378418</v>
      </c>
      <c r="M11">
        <f si="1" t="shared"/>
        <v>5388.7860107421875</v>
      </c>
      <c r="O11" s="5"/>
      <c r="P11" s="16"/>
      <c r="Q11" s="16"/>
    </row>
    <row r="12" spans="1:17" x14ac:dyDescent="0.25">
      <c r="A12" s="12">
        <v>0.1875</v>
      </c>
      <c r="B12" s="6" t="n">
        <v>621.9524207363877</v>
      </c>
      <c r="C12" s="6" t="n">
        <v>1.5311230365868012</v>
      </c>
      <c r="D12" s="6" t="n">
        <v>1187.1670979954524</v>
      </c>
      <c r="E12" s="6" t="n">
        <v>7.850422597528831</v>
      </c>
      <c r="F12" s="6">
        <f si="0" t="shared"/>
        <v>3471.8489693461311</v>
      </c>
      <c r="H12" s="12">
        <v>0.1875</v>
      </c>
      <c r="I12" s="9" t="n">
        <v>601.4381113052368</v>
      </c>
      <c r="J12" s="9" t="n">
        <v>9.747282028198242</v>
      </c>
      <c r="K12" s="9" t="n">
        <v>1805.650809288025</v>
      </c>
      <c r="L12" s="9" t="n">
        <v>18.17101764678955</v>
      </c>
      <c r="M12">
        <f si="1" t="shared"/>
        <v>4891.5402889251709</v>
      </c>
      <c r="O12" s="5"/>
      <c r="P12" s="5"/>
      <c r="Q12" s="5"/>
    </row>
    <row r="13" spans="1:17" x14ac:dyDescent="0.25">
      <c r="A13" s="12">
        <v>0.20833333333333334</v>
      </c>
      <c r="B13" s="6" t="n">
        <v>273.4250519184504</v>
      </c>
      <c r="C13" s="6" t="n">
        <v>5.3619558584450004</v>
      </c>
      <c r="D13" s="6" t="n">
        <v>2093.973296988635</v>
      </c>
      <c r="E13" s="6" t="n">
        <v>23.210783510941898</v>
      </c>
      <c r="F13" s="6">
        <f si="0" t="shared"/>
        <v>5247.1350176841534</v>
      </c>
      <c r="H13" s="12">
        <v>0.20833333333333334</v>
      </c>
      <c r="I13" s="9" t="n">
        <v>384.9270839691162</v>
      </c>
      <c r="J13" s="9" t="n">
        <v>21.892619132995605</v>
      </c>
      <c r="K13" s="9" t="n">
        <v>2803.638858795166</v>
      </c>
      <c r="L13" s="9" t="n">
        <v>24.06204605102539</v>
      </c>
      <c r="M13">
        <f si="1" t="shared"/>
        <v>5836.9115400314331</v>
      </c>
    </row>
    <row r="14" spans="1:17" x14ac:dyDescent="0.25">
      <c r="A14" s="12">
        <v>0.22916666666666666</v>
      </c>
      <c r="B14" s="6" t="n">
        <v>193.87921624741318</v>
      </c>
      <c r="C14" s="6" t="n">
        <v>15.63412556990653</v>
      </c>
      <c r="D14" s="6" t="n">
        <v>3823.8552047318108</v>
      </c>
      <c r="E14" s="6" t="n">
        <v>57.193031342573605</v>
      </c>
      <c r="F14" s="6">
        <f si="0" t="shared"/>
        <v>9055.3301339437548</v>
      </c>
      <c r="H14" s="12">
        <v>0.22916666666666666</v>
      </c>
      <c r="I14" s="9" t="n">
        <v>376.7369041442871</v>
      </c>
      <c r="J14" s="9" t="n">
        <v>46.845035552978516</v>
      </c>
      <c r="K14" s="9" t="n">
        <v>4637.34382724762</v>
      </c>
      <c r="L14" s="9" t="n">
        <v>35.17218589782715</v>
      </c>
      <c r="M14">
        <f si="1" t="shared"/>
        <v>8412.5678300857544</v>
      </c>
    </row>
    <row r="15" spans="1:17" x14ac:dyDescent="0.25">
      <c r="A15" s="12">
        <v>0.25</v>
      </c>
      <c r="B15" s="6" t="n">
        <v>260.2021377174171</v>
      </c>
      <c r="C15" s="6" t="n">
        <v>38.273235867614645</v>
      </c>
      <c r="D15" s="6" t="n">
        <v>6392.154270854117</v>
      </c>
      <c r="E15" s="6" t="n">
        <v>120.51377163392098</v>
      </c>
      <c r="F15" s="6">
        <f si="0" t="shared"/>
        <v>15125.081802463974</v>
      </c>
      <c r="H15" s="12">
        <v>0.25</v>
      </c>
      <c r="I15" s="9" t="n">
        <v>478.86681938171387</v>
      </c>
      <c r="J15" s="9" t="n">
        <v>86.28976821899414</v>
      </c>
      <c r="K15" s="9" t="n">
        <v>7412.125723838806</v>
      </c>
      <c r="L15" s="9" t="n">
        <v>55.51940727233887</v>
      </c>
      <c r="M15">
        <f si="1" t="shared"/>
        <v>12898.885936737061</v>
      </c>
    </row>
    <row r="16" spans="1:17" x14ac:dyDescent="0.25">
      <c r="A16" s="12">
        <v>0.27083333333333331</v>
      </c>
      <c r="B16" s="6" t="n">
        <v>423.27811184185066</v>
      </c>
      <c r="C16" s="6" t="n">
        <v>79.5555753055351</v>
      </c>
      <c r="D16" s="6" t="n">
        <v>9507.63795017386</v>
      </c>
      <c r="E16" s="6" t="n">
        <v>221.98574694345476</v>
      </c>
      <c r="F16" s="6">
        <f si="0" t="shared"/>
        <v>23339.747151389169</v>
      </c>
      <c r="H16" s="12">
        <v>0.27083333333333331</v>
      </c>
      <c r="I16" s="9" t="n">
        <v>648.0405712127686</v>
      </c>
      <c r="J16" s="9" t="n">
        <v>135.4504566192627</v>
      </c>
      <c r="K16" s="9" t="n">
        <v>10995.625531196594</v>
      </c>
      <c r="L16" s="9" t="n">
        <v>92.9880599975586</v>
      </c>
      <c r="M16">
        <f si="1" t="shared"/>
        <v>19422.212538719177</v>
      </c>
    </row>
    <row r="17" spans="1:13" x14ac:dyDescent="0.25">
      <c r="A17" s="12">
        <v>0.29166666666666669</v>
      </c>
      <c r="B17" s="6" t="n">
        <v>680.0842058106387</v>
      </c>
      <c r="C17" s="6" t="n">
        <v>142.79139946967462</v>
      </c>
      <c r="D17" s="6" t="n">
        <v>12549.390859285646</v>
      </c>
      <c r="E17" s="6" t="n">
        <v>364.9936935277402</v>
      </c>
      <c r="F17" s="6">
        <f si="0" t="shared"/>
        <v>32896.40438637387</v>
      </c>
      <c r="H17" s="12">
        <v>0.29166666666666669</v>
      </c>
      <c r="I17" s="9" t="n">
        <v>881.0045471191406</v>
      </c>
      <c r="J17" s="9" t="n">
        <v>183.99649333953857</v>
      </c>
      <c r="K17" s="9" t="n">
        <v>14976.46656703949</v>
      </c>
      <c r="L17" s="9" t="n">
        <v>165.17475986480713</v>
      </c>
      <c r="M17">
        <f si="1" t="shared"/>
        <v>27712.135062217712</v>
      </c>
    </row>
    <row r="18" spans="1:13" x14ac:dyDescent="0.25">
      <c r="A18" s="12">
        <v>0.3125</v>
      </c>
      <c r="B18" s="6" t="n">
        <v>1046.2656970531511</v>
      </c>
      <c r="C18" s="6" t="n">
        <v>226.94886441666353</v>
      </c>
      <c r="D18" s="6" t="n">
        <v>14815.841271541036</v>
      </c>
      <c r="E18" s="6" t="n">
        <v>548.3846889246529</v>
      </c>
      <c r="F18" s="6">
        <f si="0" t="shared"/>
        <v>42332.958829228228</v>
      </c>
      <c r="H18" s="12">
        <v>0.3125</v>
      </c>
      <c r="I18" s="9" t="n">
        <v>1204.589280128479</v>
      </c>
      <c r="J18" s="9" t="n">
        <v>222.8853931427002</v>
      </c>
      <c r="K18" s="9" t="n">
        <v>18779.081431388855</v>
      </c>
      <c r="L18" s="9" t="n">
        <v>312.5062847137451</v>
      </c>
      <c r="M18">
        <f si="1" t="shared"/>
        <v>37108.035354614258</v>
      </c>
    </row>
    <row r="19" spans="1:13" x14ac:dyDescent="0.25">
      <c r="A19" s="12">
        <v>0.33333333333333331</v>
      </c>
      <c r="B19" s="6" t="n">
        <v>1545.167384817992</v>
      </c>
      <c r="C19" s="6" t="n">
        <v>331.12154752488726</v>
      </c>
      <c r="D19" s="6" t="n">
        <v>15919.308621976106</v>
      </c>
      <c r="E19" s="6" t="n">
        <v>776.8010741244047</v>
      </c>
      <c r="F19" s="6">
        <f si="0" t="shared"/>
        <v>50150.16373442232</v>
      </c>
      <c r="H19" s="12">
        <v>0.33333333333333331</v>
      </c>
      <c r="I19" s="9" t="n">
        <v>1673.10613155365</v>
      </c>
      <c r="J19" s="9" t="n">
        <v>253.01948928833008</v>
      </c>
      <c r="K19" s="9" t="n">
        <v>21894.477672576904</v>
      </c>
      <c r="L19" s="9" t="n">
        <v>613.0639581680298</v>
      </c>
      <c r="M19">
        <f si="1" t="shared"/>
        <v>46855.577521324158</v>
      </c>
    </row>
    <row r="20" spans="1:13" x14ac:dyDescent="0.25">
      <c r="A20" s="12">
        <v>0.35416666666666669</v>
      </c>
      <c r="B20" s="6" t="n">
        <v>2215.3910021668107</v>
      </c>
      <c r="C20" s="6" t="n">
        <v>463.73615697283105</v>
      </c>
      <c r="D20" s="6" t="n">
        <v>16018.034806369282</v>
      </c>
      <c r="E20" s="6" t="n">
        <v>1083.882655879474</v>
      </c>
      <c r="F20" s="6">
        <f si="0" t="shared"/>
        <v>55714.101338964865</v>
      </c>
      <c r="H20" s="12">
        <v>0.35416666666666669</v>
      </c>
      <c r="I20" s="9" t="n">
        <v>2355.657036781311</v>
      </c>
      <c r="J20" s="9" t="n">
        <v>288.20312118530273</v>
      </c>
      <c r="K20" s="9" t="n">
        <v>24086.006519317627</v>
      </c>
      <c r="L20" s="9" t="n">
        <v>1179.9705324172974</v>
      </c>
      <c r="M20">
        <f si="1" t="shared"/>
        <v>56452.512469291687</v>
      </c>
    </row>
    <row r="21" spans="1:13" x14ac:dyDescent="0.25">
      <c r="A21" s="12">
        <v>0.375</v>
      </c>
      <c r="B21" s="6" t="n">
        <v>3123.198932469565</v>
      </c>
      <c r="C21" s="6" t="n">
        <v>648.8456806800763</v>
      </c>
      <c r="D21" s="6" t="n">
        <v>15697.873577935032</v>
      </c>
      <c r="E21" s="6" t="n">
        <v>1564.8501851891265</v>
      </c>
      <c r="F21" s="6">
        <f si="0" t="shared"/>
        <v>59728.243302316972</v>
      </c>
      <c r="H21" s="12">
        <v>0.375</v>
      </c>
      <c r="I21" s="9" t="n">
        <v>3299.440116882324</v>
      </c>
      <c r="J21" s="9" t="n">
        <v>349.8949775695801</v>
      </c>
      <c r="K21" s="9" t="n">
        <v>25430.390172958374</v>
      </c>
      <c r="L21" s="9" t="n">
        <v>2122.2467641830444</v>
      </c>
      <c r="M21">
        <f si="1" t="shared"/>
        <v>65719.437012672424</v>
      </c>
    </row>
    <row r="22" spans="1:13" x14ac:dyDescent="0.25">
      <c r="A22" s="12">
        <v>0.39583333333333331</v>
      </c>
      <c r="B22" s="6" t="n">
        <v>4345.876447853027</v>
      </c>
      <c r="C22" s="6" t="n">
        <v>920.7389538704205</v>
      </c>
      <c r="D22" s="6" t="n">
        <v>15619.713922750736</v>
      </c>
      <c r="E22" s="6" t="n">
        <v>2397.801098269182</v>
      </c>
      <c r="F22" s="6">
        <f si="0" t="shared"/>
        <v>63823.204271862611</v>
      </c>
      <c r="H22" s="12">
        <v>0.39583333333333331</v>
      </c>
      <c r="I22" s="9" t="n">
        <v>4484.675976753235</v>
      </c>
      <c r="J22" s="9" t="n">
        <v>462.4224967956543</v>
      </c>
      <c r="K22" s="9" t="n">
        <v>26179.67151069641</v>
      </c>
      <c r="L22" s="9" t="n">
        <v>3477.857882499695</v>
      </c>
      <c r="M22">
        <f si="1" t="shared"/>
        <v>74540.548686981201</v>
      </c>
    </row>
    <row r="23" spans="1:13" x14ac:dyDescent="0.25">
      <c r="A23" s="12">
        <v>0.41666666666666669</v>
      </c>
      <c r="B23" s="6" t="n">
        <v>5903.917578940195</v>
      </c>
      <c r="C23" s="6" t="n">
        <v>1305.480548840436</v>
      </c>
      <c r="D23" s="6" t="n">
        <v>16203.521893508692</v>
      </c>
      <c r="E23" s="6" t="n">
        <v>3810.6065100447836</v>
      </c>
      <c r="F23" s="6">
        <f si="0" t="shared"/>
        <v>69532.730579694486</v>
      </c>
      <c r="H23" s="12">
        <v>0.41666666666666669</v>
      </c>
      <c r="I23" s="9" t="n">
        <v>5814.463285446167</v>
      </c>
      <c r="J23" s="9" t="n">
        <v>664.3941497802734</v>
      </c>
      <c r="K23" s="9" t="n">
        <v>26581.564513206482</v>
      </c>
      <c r="L23" s="9" t="n">
        <v>5161.932017326355</v>
      </c>
      <c r="M23">
        <f si="1" t="shared"/>
        <v>82604.161176681519</v>
      </c>
    </row>
    <row r="24" spans="1:13" x14ac:dyDescent="0.25">
      <c r="A24" s="12">
        <v>0.4375</v>
      </c>
      <c r="B24" s="6" t="n">
        <v>7684.850600062479</v>
      </c>
      <c r="C24" s="6" t="n">
        <v>1804.85039419539</v>
      </c>
      <c r="D24" s="6" t="n">
        <v>17509.286620533316</v>
      </c>
      <c r="E24" s="6" t="n">
        <v>5953.873330271289</v>
      </c>
      <c r="F24" s="6">
        <f si="0" t="shared"/>
        <v>77395.52981430915</v>
      </c>
      <c r="H24" s="12">
        <v>0.4375</v>
      </c>
      <c r="I24" s="9" t="n">
        <v>7167.387047767639</v>
      </c>
      <c r="J24" s="9" t="n">
        <v>1043.9749088287354</v>
      </c>
      <c r="K24" s="9" t="n">
        <v>26821.731318473816</v>
      </c>
      <c r="L24" s="9" t="n">
        <v>6970.093353271484</v>
      </c>
      <c r="M24">
        <f si="1" t="shared"/>
        <v>89504.756383895874</v>
      </c>
    </row>
    <row r="25" spans="1:13" x14ac:dyDescent="0.25">
      <c r="A25" s="12">
        <v>0.45833333333333331</v>
      </c>
      <c r="B25" s="6" t="n">
        <v>9455.545400769792</v>
      </c>
      <c r="C25" s="6" t="n">
        <v>2421.491280936656</v>
      </c>
      <c r="D25" s="6" t="n">
        <v>19297.911399698372</v>
      </c>
      <c r="E25" s="6" t="n">
        <v>8708.12615765072</v>
      </c>
      <c r="F25" s="6">
        <f si="0" t="shared"/>
        <v>86771.685631426051</v>
      </c>
      <c r="H25" s="12">
        <v>0.45833333333333331</v>
      </c>
      <c r="I25" s="9" t="n">
        <v>8484.620089530945</v>
      </c>
      <c r="J25" s="9" t="n">
        <v>1781.2823886871338</v>
      </c>
      <c r="K25" s="9" t="n">
        <v>27105.31142616272</v>
      </c>
      <c r="L25" s="9" t="n">
        <v>8632.539937973022</v>
      </c>
      <c r="M25">
        <f si="1" t="shared"/>
        <v>95143.808960914612</v>
      </c>
    </row>
    <row r="26" spans="1:13" x14ac:dyDescent="0.25">
      <c r="A26" s="12">
        <v>0.47916666666666669</v>
      </c>
      <c r="B26" s="6" t="n">
        <v>11012.400755089106</v>
      </c>
      <c r="C26" s="6" t="n">
        <v>3267.1436299974894</v>
      </c>
      <c r="D26" s="6" t="n">
        <v>21197.96235287929</v>
      </c>
      <c r="E26" s="6" t="n">
        <v>11560.758164492705</v>
      </c>
      <c r="F26" s="6">
        <f si="0" t="shared"/>
        <v>96449.194697126732</v>
      </c>
      <c r="H26" s="12">
        <v>0.47916666666666669</v>
      </c>
      <c r="I26" s="9" t="n">
        <v>9828.844034194946</v>
      </c>
      <c r="J26" s="9" t="n">
        <v>3159.0539770126343</v>
      </c>
      <c r="K26" s="9" t="n">
        <v>27723.07162475586</v>
      </c>
      <c r="L26" s="9" t="n">
        <v>9882.557607650757</v>
      </c>
      <c r="M26">
        <f si="1" t="shared"/>
        <v>99979.933176040649</v>
      </c>
    </row>
    <row r="27" spans="1:13" x14ac:dyDescent="0.25">
      <c r="A27" s="12">
        <v>0.5</v>
      </c>
      <c r="B27" s="6" t="n">
        <v>12394.275713949264</v>
      </c>
      <c r="C27" s="6" t="n">
        <v>4728.0656517371945</v>
      </c>
      <c r="D27" s="6" t="n">
        <v>22919.057683951643</v>
      </c>
      <c r="E27" s="6" t="n">
        <v>13717.879591475965</v>
      </c>
      <c r="F27" s="6">
        <f si="0" t="shared"/>
        <v>105632.44300962803</v>
      </c>
      <c r="H27" s="12">
        <v>0.5</v>
      </c>
      <c r="I27" s="9" t="n">
        <v>11387.042428970337</v>
      </c>
      <c r="J27" s="9" t="n">
        <v>5511.72629070282</v>
      </c>
      <c r="K27" s="9" t="n">
        <v>28954.50178527832</v>
      </c>
      <c r="L27" s="9" t="n">
        <v>10518.073153495789</v>
      </c>
      <c r="M27">
        <f si="1" t="shared"/>
        <v>104826.72340393066</v>
      </c>
    </row>
    <row r="28" spans="1:13" x14ac:dyDescent="0.25">
      <c r="A28" s="12">
        <v>0.52083333333333337</v>
      </c>
      <c r="B28" s="6" t="n">
        <v>14015.62557190771</v>
      </c>
      <c r="C28" s="6" t="n">
        <v>7520.501262588774</v>
      </c>
      <c r="D28" s="6" t="n">
        <v>24419.08117990401</v>
      </c>
      <c r="E28" s="6" t="n">
        <v>14469.233278938063</v>
      </c>
      <c r="F28" s="6">
        <f si="0" t="shared"/>
        <v>114626.4862296682</v>
      </c>
      <c r="H28" s="12">
        <v>0.52083333333333337</v>
      </c>
      <c r="I28" s="9" t="n">
        <v>13451.775814056396</v>
      </c>
      <c r="J28" s="9" t="n">
        <v>9119.554273605347</v>
      </c>
      <c r="K28" s="9" t="n">
        <v>30860.746620178223</v>
      </c>
      <c r="L28" s="9" t="n">
        <v>10455.961351394653</v>
      </c>
      <c r="M28">
        <f si="1" t="shared"/>
        <v>110403.42154979706</v>
      </c>
    </row>
    <row r="29" spans="1:13" x14ac:dyDescent="0.25">
      <c r="A29" s="12">
        <v>0.54166666666666663</v>
      </c>
      <c r="B29" s="6" t="n">
        <v>16632.115652488785</v>
      </c>
      <c r="C29" s="6" t="n">
        <v>12392.559894146512</v>
      </c>
      <c r="D29" s="6" t="n">
        <v>25888.82343833441</v>
      </c>
      <c r="E29" s="6" t="n">
        <v>13586.928635299919</v>
      </c>
      <c r="F29" s="6">
        <f si="0" t="shared"/>
        <v>124604.48783793283</v>
      </c>
      <c r="H29" s="12">
        <v>0.54166666666666663</v>
      </c>
      <c r="I29" s="9" t="n">
        <v>16416.42727470398</v>
      </c>
      <c r="J29" s="9" t="n">
        <v>14066.301037788391</v>
      </c>
      <c r="K29" s="9" t="n">
        <v>33183.57118034363</v>
      </c>
      <c r="L29" s="9" t="n">
        <v>9762.087558746338</v>
      </c>
      <c r="M29">
        <f si="1" t="shared"/>
        <v>117070.80258846283</v>
      </c>
    </row>
    <row r="30" spans="1:13" x14ac:dyDescent="0.25">
      <c r="A30" s="12">
        <v>0.5625</v>
      </c>
      <c r="B30" s="6" t="n">
        <v>21142.165605073304</v>
      </c>
      <c r="C30" s="6" t="n">
        <v>19433.349954701218</v>
      </c>
      <c r="D30" s="6" t="n">
        <v>27507.765075024327</v>
      </c>
      <c r="E30" s="6" t="n">
        <v>11454.012764318897</v>
      </c>
      <c r="F30" s="6">
        <f si="0" t="shared"/>
        <v>136440.77699369731</v>
      </c>
      <c r="H30" s="12">
        <v>0.5625</v>
      </c>
      <c r="I30" s="9" t="n">
        <v>20742.717387199402</v>
      </c>
      <c r="J30" s="9" t="n">
        <v>20053.799647331238</v>
      </c>
      <c r="K30" s="9" t="n">
        <v>35479.100392341614</v>
      </c>
      <c r="L30" s="9" t="n">
        <v>8622.44388961792</v>
      </c>
      <c r="M30">
        <f si="1" t="shared"/>
        <v>124869.58316802979</v>
      </c>
    </row>
    <row r="31" spans="1:13" x14ac:dyDescent="0.25">
      <c r="A31" s="12">
        <v>0.58333333333333337</v>
      </c>
      <c r="B31" s="6" t="n">
        <v>28261.91959143013</v>
      </c>
      <c r="C31" s="6" t="n">
        <v>27426.22742783706</v>
      </c>
      <c r="D31" s="6" t="n">
        <v>29148.945176011686</v>
      </c>
      <c r="E31" s="6" t="n">
        <v>8817.393163074908</v>
      </c>
      <c r="F31" s="6">
        <f si="0" t="shared"/>
        <v>149471.31415062913</v>
      </c>
      <c r="H31" s="12">
        <v>0.58333333333333337</v>
      </c>
      <c r="I31" s="9" t="n">
        <v>26806.29656982422</v>
      </c>
      <c r="J31" s="9" t="n">
        <v>26208.789693832397</v>
      </c>
      <c r="K31" s="9" t="n">
        <v>37368.21690750122</v>
      </c>
      <c r="L31" s="9" t="n">
        <v>7258.30061340332</v>
      </c>
      <c r="M31">
        <f si="1" t="shared"/>
        <v>133581.01152420044</v>
      </c>
    </row>
    <row r="32" spans="1:13" x14ac:dyDescent="0.25">
      <c r="A32" s="12">
        <v>0.60416666666666663</v>
      </c>
      <c r="B32" s="6" t="n">
        <v>38120.11567596231</v>
      </c>
      <c r="C32" s="6" t="n">
        <v>33967.380512320015</v>
      </c>
      <c r="D32" s="6" t="n">
        <v>30339.358173399814</v>
      </c>
      <c r="E32" s="6" t="n">
        <v>6367.139650787946</v>
      </c>
      <c r="F32" s="6">
        <f si="0" t="shared"/>
        <v>161358.6892803869</v>
      </c>
      <c r="H32" s="12">
        <v>0.60416666666666663</v>
      </c>
      <c r="I32" s="9" t="n">
        <v>34603.45487976074</v>
      </c>
      <c r="J32" s="9" t="n">
        <v>31083.72674179077</v>
      </c>
      <c r="K32" s="9" t="n">
        <v>38681.156871795654</v>
      </c>
      <c r="L32" s="9" t="n">
        <v>5845.990154266357</v>
      </c>
      <c r="M32">
        <f si="1" t="shared"/>
        <v>142601.92177295685</v>
      </c>
    </row>
    <row r="33" spans="1:13" x14ac:dyDescent="0.25">
      <c r="A33" s="12">
        <v>0.625</v>
      </c>
      <c r="B33" s="6" t="n">
        <v>49885.193639211895</v>
      </c>
      <c r="C33" s="6" t="n">
        <v>36622.97381978393</v>
      </c>
      <c r="D33" s="6" t="n">
        <v>30597.054209671693</v>
      </c>
      <c r="E33" s="6" t="n">
        <v>4455.605009456125</v>
      </c>
      <c r="F33" s="6">
        <f si="0" t="shared"/>
        <v>169345.13312036553</v>
      </c>
      <c r="H33" s="12">
        <v>0.625</v>
      </c>
      <c r="I33" s="9" t="n">
        <v>43461.78136062622</v>
      </c>
      <c r="J33" s="9" t="n">
        <v>33112.28037452698</v>
      </c>
      <c r="K33" s="9" t="n">
        <v>39426.990542411804</v>
      </c>
      <c r="L33" s="9" t="n">
        <v>4496.532577514648</v>
      </c>
      <c r="M33">
        <f si="1" t="shared"/>
        <v>150828.57353210449</v>
      </c>
    </row>
    <row r="34" spans="1:13" x14ac:dyDescent="0.25">
      <c r="A34" s="12">
        <v>0.64583333333333337</v>
      </c>
      <c r="B34" s="6" t="n">
        <v>61642.63662265078</v>
      </c>
      <c r="C34" s="6" t="n">
        <v>34411.898567545984</v>
      </c>
      <c r="D34" s="6" t="n">
        <v>29885.048849805175</v>
      </c>
      <c r="E34" s="6" t="n">
        <v>3097.834121156578</v>
      </c>
      <c r="F34" s="6">
        <f si="0" t="shared"/>
        <v>171776.23194957917</v>
      </c>
      <c r="H34" s="12">
        <v>0.64583333333333337</v>
      </c>
      <c r="I34" s="9" t="n">
        <v>51972.779247283936</v>
      </c>
      <c r="J34" s="9" t="n">
        <v>31439.286365509033</v>
      </c>
      <c r="K34" s="9" t="n">
        <v>39710.20752429962</v>
      </c>
      <c r="L34" s="9" t="n">
        <v>3283.870842933655</v>
      </c>
      <c r="M34">
        <f si="1" t="shared"/>
        <v>156841.16775512695</v>
      </c>
    </row>
    <row r="35" spans="1:13" x14ac:dyDescent="0.25">
      <c r="A35" s="12">
        <v>0.66666666666666663</v>
      </c>
      <c r="B35" s="6" t="n">
        <v>70754.47978026047</v>
      </c>
      <c r="C35" s="6" t="n">
        <v>28407.590753483786</v>
      </c>
      <c r="D35" s="6" t="n">
        <v>28755.79980381997</v>
      </c>
      <c r="E35" s="6" t="n">
        <v>2148.658897463381</v>
      </c>
      <c r="F35" s="6">
        <f si="0" t="shared"/>
        <v>168516.95692821278</v>
      </c>
      <c r="H35" s="12">
        <v>0.66666666666666663</v>
      </c>
      <c r="I35" s="9" t="n">
        <v>58273.612345695496</v>
      </c>
      <c r="J35" s="9" t="n">
        <v>26533.76997280121</v>
      </c>
      <c r="K35" s="9" t="n">
        <v>39712.43118286133</v>
      </c>
      <c r="L35" s="9" t="n">
        <v>2269.166253089905</v>
      </c>
      <c r="M35">
        <f si="1" t="shared"/>
        <v>159325.78649997711</v>
      </c>
    </row>
    <row r="36" spans="1:13" x14ac:dyDescent="0.25">
      <c r="A36" s="12">
        <v>0.6875</v>
      </c>
      <c r="B36" s="6" t="n">
        <v>74733.57891250068</v>
      </c>
      <c r="C36" s="6" t="n">
        <v>20953.532327582467</v>
      </c>
      <c r="D36" s="6" t="n">
        <v>28034.163477817463</v>
      </c>
      <c r="E36" s="6" t="n">
        <v>1467.6625805973595</v>
      </c>
      <c r="F36" s="6">
        <f si="0" t="shared"/>
        <v>160222.70966823271</v>
      </c>
      <c r="H36" s="12">
        <v>0.6875</v>
      </c>
      <c r="I36" s="9" t="n">
        <v>60633.06318092346</v>
      </c>
      <c r="J36" s="9" t="n">
        <v>19993.36644268036</v>
      </c>
      <c r="K36" s="9" t="n">
        <v>39709.745171546936</v>
      </c>
      <c r="L36" s="9" t="n">
        <v>1494.395344734192</v>
      </c>
      <c r="M36">
        <f si="1" t="shared"/>
        <v>157432.37425804138</v>
      </c>
    </row>
    <row r="37" spans="1:13" x14ac:dyDescent="0.25">
      <c r="A37" s="12">
        <v>0.70833333333333337</v>
      </c>
      <c r="B37" s="6" t="n">
        <v>72298.42155987976</v>
      </c>
      <c r="C37" s="6" t="n">
        <v>14218.92360292945</v>
      </c>
      <c r="D37" s="6" t="n">
        <v>28316.925982209665</v>
      </c>
      <c r="E37" s="6" t="n">
        <v>977.2602813459438</v>
      </c>
      <c r="F37" s="6">
        <f si="0" t="shared"/>
        <v>147691.41682462613</v>
      </c>
      <c r="H37" s="12">
        <v>0.70833333333333337</v>
      </c>
      <c r="I37" s="9" t="n">
        <v>58141.004101753235</v>
      </c>
      <c r="J37" s="9" t="n">
        <v>13640.56203842163</v>
      </c>
      <c r="K37" s="9" t="n">
        <v>40017.925879478455</v>
      </c>
      <c r="L37" s="9" t="n">
        <v>963.315188407898</v>
      </c>
      <c r="M37">
        <f si="1" t="shared"/>
        <v>150972.29950904846</v>
      </c>
    </row>
    <row r="38" spans="1:13" x14ac:dyDescent="0.25">
      <c r="A38" s="12">
        <v>0.72916666666666663</v>
      </c>
      <c r="B38" s="6" t="n">
        <v>64012.02331351143</v>
      </c>
      <c r="C38" s="6" t="n">
        <v>9262.109454809246</v>
      </c>
      <c r="D38" s="6" t="n">
        <v>29685.847914309168</v>
      </c>
      <c r="E38" s="6" t="n">
        <v>641.3001753310638</v>
      </c>
      <c r="F38" s="6">
        <f si="0" t="shared"/>
        <v>132060.31412319449</v>
      </c>
      <c r="H38" s="12">
        <v>0.72916666666666663</v>
      </c>
      <c r="I38" s="9" t="n">
        <v>51185.56221294403</v>
      </c>
      <c r="J38" s="9" t="n">
        <v>8649.266503334045</v>
      </c>
      <c r="K38" s="9" t="n">
        <v>40830.92743206024</v>
      </c>
      <c r="L38" s="9" t="n">
        <v>637.5679454803467</v>
      </c>
      <c r="M38">
        <f si="1" t="shared"/>
        <v>140552.95554637909</v>
      </c>
    </row>
    <row r="39" spans="1:13" x14ac:dyDescent="0.25">
      <c r="A39" s="12">
        <v>0.75</v>
      </c>
      <c r="B39" s="6" t="n">
        <v>52059.83081811342</v>
      </c>
      <c r="C39" s="6" t="n">
        <v>6072.1322295066175</v>
      </c>
      <c r="D39" s="6" t="n">
        <v>31760.20381365393</v>
      </c>
      <c r="E39" s="6" t="n">
        <v>430.49579070688526</v>
      </c>
      <c r="F39" s="6">
        <f si="0" t="shared"/>
        <v>115196.74613682197</v>
      </c>
      <c r="H39" s="12">
        <v>0.75</v>
      </c>
      <c r="I39" s="9" t="n">
        <v>41403.35111904144</v>
      </c>
      <c r="J39" s="9" t="n">
        <v>5298.448708534241</v>
      </c>
      <c r="K39" s="9" t="n">
        <v>42041.88798618317</v>
      </c>
      <c r="L39" s="9" t="n">
        <v>454.1272964477539</v>
      </c>
      <c r="M39">
        <f si="1" t="shared"/>
        <v>127553.0074262619</v>
      </c>
    </row>
    <row r="40" spans="1:13" x14ac:dyDescent="0.25">
      <c r="A40" s="12">
        <v>0.77083333333333337</v>
      </c>
      <c r="B40" s="6" t="n">
        <v>39270.02657387211</v>
      </c>
      <c r="C40" s="6" t="n">
        <v>4153.832154057689</v>
      </c>
      <c r="D40" s="6" t="n">
        <v>33909.85035635521</v>
      </c>
      <c r="E40" s="6" t="n">
        <v>309.26175868297383</v>
      </c>
      <c r="F40" s="6">
        <f si="0" t="shared"/>
        <v>99303.702028006795</v>
      </c>
      <c r="H40" s="12">
        <v>0.77083333333333337</v>
      </c>
      <c r="I40" s="9" t="n">
        <v>31032.523458480835</v>
      </c>
      <c r="J40" s="9" t="n">
        <v>3288.0972576141357</v>
      </c>
      <c r="K40" s="9" t="n">
        <v>43181.984563827515</v>
      </c>
      <c r="L40" s="9" t="n">
        <v>350.6421766281128</v>
      </c>
      <c r="M40">
        <f si="1" t="shared"/>
        <v>113682.71193981171</v>
      </c>
    </row>
    <row r="41" spans="1:13" x14ac:dyDescent="0.25">
      <c r="A41" s="12">
        <v>0.79166666666666663</v>
      </c>
      <c r="B41" s="6" t="n">
        <v>27984.533170056686</v>
      </c>
      <c r="C41" s="6" t="n">
        <v>3016.1513512504575</v>
      </c>
      <c r="D41" s="6" t="n">
        <v>35424.249587715814</v>
      </c>
      <c r="E41" s="6" t="n">
        <v>240.6930776079616</v>
      </c>
      <c r="F41" s="6">
        <f si="0" t="shared"/>
        <v>85853.883871559563</v>
      </c>
      <c r="H41" s="12">
        <v>0.79166666666666663</v>
      </c>
      <c r="I41" s="9" t="n">
        <v>22001.83321762085</v>
      </c>
      <c r="J41" s="9" t="n">
        <v>2164.509690284729</v>
      </c>
      <c r="K41" s="9" t="n">
        <v>43546.813356399536</v>
      </c>
      <c r="L41" s="9" t="n">
        <v>283.19552421569824</v>
      </c>
      <c r="M41">
        <f si="1" t="shared"/>
        <v>100226.32859706879</v>
      </c>
    </row>
    <row r="42" spans="1:13" x14ac:dyDescent="0.25">
      <c r="A42" s="12">
        <v>0.8125</v>
      </c>
      <c r="B42" s="6" t="n">
        <v>19407.990732949977</v>
      </c>
      <c r="C42" s="6" t="n">
        <v>2327.358862593347</v>
      </c>
      <c r="D42" s="6" t="n">
        <v>35624.22063383453</v>
      </c>
      <c r="E42" s="6" t="n">
        <v>195.2127158070615</v>
      </c>
      <c r="F42" s="6">
        <f si="0" t="shared"/>
        <v>74881.524537802805</v>
      </c>
      <c r="H42" s="12">
        <v>0.8125</v>
      </c>
      <c r="I42" s="9" t="n">
        <v>15295.595827102661</v>
      </c>
      <c r="J42" s="9" t="n">
        <v>1553.3781833648682</v>
      </c>
      <c r="K42" s="9" t="n">
        <v>42467.52302360535</v>
      </c>
      <c r="L42" s="9" t="n">
        <v>230.15645599365234</v>
      </c>
      <c r="M42">
        <f si="1" t="shared"/>
        <v>87547.185683250427</v>
      </c>
    </row>
    <row r="43" spans="1:13" x14ac:dyDescent="0.25">
      <c r="A43" s="12">
        <v>0.83333333333333337</v>
      </c>
      <c r="B43" s="6" t="n">
        <v>13631.94550053</v>
      </c>
      <c r="C43" s="6" t="n">
        <v>1877.9926888443854</v>
      </c>
      <c r="D43" s="6" t="n">
        <v>34023.42823915711</v>
      </c>
      <c r="E43" s="6" t="n">
        <v>155.18453869390424</v>
      </c>
      <c r="F43" s="6">
        <f si="0" t="shared"/>
        <v>65302.524785431793</v>
      </c>
      <c r="H43" s="12">
        <v>0.83333333333333337</v>
      </c>
      <c r="I43" s="9" t="n">
        <v>10910.08643913269</v>
      </c>
      <c r="J43" s="9" t="n">
        <v>1207.2245931625366</v>
      </c>
      <c r="K43" s="9" t="n">
        <v>39605.0921125412</v>
      </c>
      <c r="L43" s="9" t="n">
        <v>185.40995693206787</v>
      </c>
      <c r="M43">
        <f si="1" t="shared"/>
        <v>75321.348738670349</v>
      </c>
    </row>
    <row r="44" spans="1:13" x14ac:dyDescent="0.25">
      <c r="A44" s="12">
        <v>0.85416666666666663</v>
      </c>
      <c r="B44" s="6" t="n">
        <v>10084.618904269502</v>
      </c>
      <c r="C44" s="6" t="n">
        <v>1532.4881260099496</v>
      </c>
      <c r="D44" s="6" t="n">
        <v>30546.125563283636</v>
      </c>
      <c r="E44" s="6" t="n">
        <v>114.867934182764</v>
      </c>
      <c r="F44" s="6">
        <f si="0" t="shared"/>
        <v>55918.913536636741</v>
      </c>
      <c r="H44" s="12">
        <v>0.85416666666666663</v>
      </c>
      <c r="I44" s="9" t="n">
        <v>8268.787854194641</v>
      </c>
      <c r="J44" s="9" t="n">
        <v>985.2901887893677</v>
      </c>
      <c r="K44" s="9" t="n">
        <v>35125.36632061005</v>
      </c>
      <c r="L44" s="9" t="n">
        <v>148.683988571167</v>
      </c>
      <c r="M44">
        <f si="1" t="shared"/>
        <v>63272.433400154114</v>
      </c>
    </row>
    <row r="45" spans="1:13" x14ac:dyDescent="0.25">
      <c r="A45" s="12">
        <v>0.875</v>
      </c>
      <c r="B45" s="6" t="n">
        <v>8019.831411640704</v>
      </c>
      <c r="C45" s="6" t="n">
        <v>1217.4389631277538</v>
      </c>
      <c r="D45" s="6" t="n">
        <v>25637.10188702327</v>
      </c>
      <c r="E45" s="6" t="n">
        <v>76.83628053885968</v>
      </c>
      <c r="F45" s="6">
        <f si="0" t="shared"/>
        <v>46239.161769581231</v>
      </c>
      <c r="H45" s="12">
        <v>0.875</v>
      </c>
      <c r="I45" s="9" t="n">
        <v>6706.107068061829</v>
      </c>
      <c r="J45" s="9" t="n">
        <v>825.8116483688354</v>
      </c>
      <c r="K45" s="9" t="n">
        <v>29648.243578910828</v>
      </c>
      <c r="L45" s="9" t="n">
        <v>119.3063850402832</v>
      </c>
      <c r="M45">
        <f si="1" t="shared"/>
        <v>51687.268176078796</v>
      </c>
    </row>
    <row r="46" spans="1:13" x14ac:dyDescent="0.25">
      <c r="A46" s="12">
        <v>0.89583333333333337</v>
      </c>
      <c r="B46" s="6" t="n">
        <v>6803.105583092547</v>
      </c>
      <c r="C46" s="6" t="n">
        <v>914.7871414552282</v>
      </c>
      <c r="D46" s="6" t="n">
        <v>20110.568676810486</v>
      </c>
      <c r="E46" s="6" t="n">
        <v>46.28318432452218</v>
      </c>
      <c r="F46" s="6">
        <f si="0" t="shared"/>
        <v>36574.249037931972</v>
      </c>
      <c r="H46" s="12">
        <v>0.89583333333333337</v>
      </c>
      <c r="I46" s="9" t="n">
        <v>5727.074088096619</v>
      </c>
      <c r="J46" s="9" t="n">
        <v>712.9084014892578</v>
      </c>
      <c r="K46" s="9" t="n">
        <v>23973.745221138</v>
      </c>
      <c r="L46" s="9" t="n">
        <v>95.05673313140869</v>
      </c>
      <c r="M46">
        <f si="1" t="shared"/>
        <v>41253.495001792908</v>
      </c>
    </row>
    <row r="47" spans="1:13" x14ac:dyDescent="0.25">
      <c r="A47" s="12">
        <v>0.91666666666666663</v>
      </c>
      <c r="B47" s="6" t="n">
        <v>5975.151755304699</v>
      </c>
      <c r="C47" s="6" t="n">
        <v>639.5890353583858</v>
      </c>
      <c r="D47" s="6" t="n">
        <v>14802.191593634876</v>
      </c>
      <c r="E47" s="6" t="n">
        <v>25.972607511778513</v>
      </c>
      <c r="F47" s="6">
        <f si="0" t="shared"/>
        <v>27572.947108131386</v>
      </c>
      <c r="H47" s="12">
        <v>0.91666666666666663</v>
      </c>
      <c r="I47" s="9" t="n">
        <v>5020.600136756897</v>
      </c>
      <c r="J47" s="9" t="n">
        <v>640.2605428695679</v>
      </c>
      <c r="K47" s="9" t="n">
        <v>18739.465739250183</v>
      </c>
      <c r="L47" s="9" t="n">
        <v>73.77853298187256</v>
      </c>
      <c r="M47">
        <f si="1" t="shared"/>
        <v>32469.271817207336</v>
      </c>
    </row>
    <row r="48" spans="1:13" x14ac:dyDescent="0.25">
      <c r="A48" s="12">
        <v>0.9375</v>
      </c>
      <c r="B48" s="6" t="n">
        <v>5216.307031085425</v>
      </c>
      <c r="C48" s="6" t="n">
        <v>412.7140071045775</v>
      </c>
      <c r="D48" s="6" t="n">
        <v>10267.966122848482</v>
      </c>
      <c r="E48" s="6" t="n">
        <v>14.623393456578784</v>
      </c>
      <c r="F48" s="6">
        <f si="0" t="shared"/>
        <v>19745.981166672424</v>
      </c>
      <c r="H48" s="12">
        <v>0.9375</v>
      </c>
      <c r="I48" s="9" t="n">
        <v>4380.278326034546</v>
      </c>
      <c r="J48" s="9" t="n">
        <v>588.6707744598389</v>
      </c>
      <c r="K48" s="9" t="n">
        <v>14228.20082950592</v>
      </c>
      <c r="L48" s="9" t="n">
        <v>54.679115295410156</v>
      </c>
      <c r="M48">
        <f si="1" t="shared"/>
        <v>25262.35692024231</v>
      </c>
    </row>
    <row r="49" spans="1:13" x14ac:dyDescent="0.25">
      <c r="A49" s="12">
        <v>0.95833333333333337</v>
      </c>
      <c r="B49" s="6" t="n">
        <v>4335.9851733015885</v>
      </c>
      <c r="C49" s="6" t="n">
        <v>244.3212704265247</v>
      </c>
      <c r="D49" s="6" t="n">
        <v>6710.37321717976</v>
      </c>
      <c r="E49" s="6" t="n">
        <v>8.763759440199124</v>
      </c>
      <c r="F49" s="6">
        <f si="0" t="shared"/>
        <v>13323.400826561854</v>
      </c>
      <c r="H49" s="12">
        <v>0.95833333333333337</v>
      </c>
      <c r="I49" s="9" t="n">
        <v>3669.980284690857</v>
      </c>
      <c r="J49" s="9" t="n">
        <v>528.8583278656006</v>
      </c>
      <c r="K49" s="9" t="n">
        <v>10427.460014343262</v>
      </c>
      <c r="L49" s="9" t="n">
        <v>38.1396427154541</v>
      </c>
      <c r="M49">
        <f si="1" t="shared"/>
        <v>19160.304136276245</v>
      </c>
    </row>
    <row r="50" spans="1:13" x14ac:dyDescent="0.25">
      <c r="A50" s="12">
        <v>0.97916666666666663</v>
      </c>
      <c r="B50" s="6" t="n">
        <v>3301.958481247196</v>
      </c>
      <c r="C50" s="6" t="n">
        <v>131.4962734683991</v>
      </c>
      <c r="D50" s="6" t="n">
        <v>4094.661265151769</v>
      </c>
      <c r="E50" s="6" t="n">
        <v>5.389043472120505</v>
      </c>
      <c r="F50" s="6">
        <f si="0" t="shared"/>
        <v>8351.6854716090384</v>
      </c>
      <c r="H50" s="12">
        <v>0.97916666666666663</v>
      </c>
      <c r="I50" s="9" t="n">
        <v>2849.003632545471</v>
      </c>
      <c r="J50" s="9" t="n">
        <v>440.5349187850952</v>
      </c>
      <c r="K50" s="9" t="n">
        <v>7237.928423881531</v>
      </c>
      <c r="L50" s="9" t="n">
        <v>24.77933692932129</v>
      </c>
      <c r="M50">
        <f si="1" t="shared"/>
        <v>13768.471546173096</v>
      </c>
    </row>
    <row r="51" spans="1:13" x14ac:dyDescent="0.25">
      <c r="A51" s="12">
        <v>1</v>
      </c>
      <c r="B51" s="6" t="n">
        <v>2232.9951987812265</v>
      </c>
      <c r="C51" s="6" t="n">
        <v>63.3738870910381</v>
      </c>
      <c r="D51" s="6" t="n">
        <v>2292.651804227701</v>
      </c>
      <c r="E51" s="6" t="n">
        <v>3.0782879311989007</v>
      </c>
      <c r="F51" s="6">
        <f si="0" t="shared"/>
        <v>4779.3838694739807</v>
      </c>
      <c r="H51" s="12">
        <v>1</v>
      </c>
      <c r="I51" s="9" t="n">
        <v>1986.2580862045288</v>
      </c>
      <c r="J51" s="9" t="n">
        <v>326.71681785583496</v>
      </c>
      <c r="K51" s="9" t="n">
        <v>4632.261624336243</v>
      </c>
      <c r="L51" s="9" t="n">
        <v>14.822711944580078</v>
      </c>
      <c r="M51">
        <f si="1" t="shared"/>
        <v>9067.5484132766724</v>
      </c>
    </row>
    <row r="52" spans="1:13" x14ac:dyDescent="0.25">
      <c r="A52" s="12">
        <v>1.0208333333333333</v>
      </c>
      <c r="B52" s="6" t="n">
        <v>1308.6864484715147</v>
      </c>
      <c r="C52" s="6" t="n">
        <v>26.75314883593903</v>
      </c>
      <c r="D52" s="6" t="n">
        <v>1151.7950845564553</v>
      </c>
      <c r="E52" s="6" t="n">
        <v>1.5046715052707793</v>
      </c>
      <c r="F52" s="6">
        <f si="0" t="shared"/>
        <v>2452.580355319109</v>
      </c>
      <c r="H52" s="12">
        <v>1.0208333333333333</v>
      </c>
      <c r="I52" s="9" t="n">
        <v>1212.139627456665</v>
      </c>
      <c r="J52" s="9" t="n">
        <v>209.7810411453247</v>
      </c>
      <c r="K52" s="9" t="n">
        <v>2656.211625099182</v>
      </c>
      <c r="L52" s="9" t="n">
        <v>8.02623176574707</v>
      </c>
      <c r="M52">
        <f si="1" t="shared"/>
        <v>5308.1502294540405</v>
      </c>
    </row>
    <row r="53" spans="1:13" x14ac:dyDescent="0.25">
      <c r="A53" s="12">
        <v>4.1666666666666664E-2</v>
      </c>
      <c r="B53" s="6" t="n">
        <v>651.2906007899641</v>
      </c>
      <c r="C53" s="6" t="n">
        <v>9.616845607425827</v>
      </c>
      <c r="D53" s="6" t="n">
        <v>506.89067772433157</v>
      </c>
      <c r="E53" s="6" t="n">
        <v>0.5986753489378269</v>
      </c>
      <c r="F53" s="6">
        <f si="0" t="shared"/>
        <v>1108.8633700341502</v>
      </c>
      <c r="H53" s="12">
        <v>4.1666666666666664E-2</v>
      </c>
      <c r="I53" s="9" t="n">
        <v>633.4443292617798</v>
      </c>
      <c r="J53" s="9" t="n">
        <v>114.19936275482178</v>
      </c>
      <c r="K53" s="9" t="n">
        <v>1327.8608922958374</v>
      </c>
      <c r="L53" s="9" t="n">
        <v>3.8440465927124023</v>
      </c>
      <c r="M53">
        <f si="1" t="shared"/>
        <v>2690.1997566223145</v>
      </c>
    </row>
    <row r="54" spans="1:13" x14ac:dyDescent="0.25">
      <c r="A54" s="12">
        <v>6.25E-2</v>
      </c>
      <c r="B54" s="6" t="n">
        <v>269.9296179662829</v>
      </c>
      <c r="C54" s="6" t="n">
        <v>2.8442199278573086</v>
      </c>
      <c r="D54" s="6" t="n">
        <v>190.70767231030192</v>
      </c>
      <c r="E54" s="6" t="n">
        <v>0.18694413865059123</v>
      </c>
      <c r="F54" s="6">
        <f si="0" t="shared"/>
        <v>433.4554877345962</v>
      </c>
      <c r="H54" s="12">
        <v>6.25E-2</v>
      </c>
      <c r="I54" s="9" t="n">
        <v>277.5494270324707</v>
      </c>
      <c r="J54" s="9" t="n">
        <v>51.70383071899414</v>
      </c>
      <c r="K54" s="9" t="n">
        <v>563.757884979248</v>
      </c>
      <c r="L54" s="9" t="n">
        <v>1.583786964416504</v>
      </c>
      <c r="M54">
        <f si="1" t="shared"/>
        <v>1152.0244550704956</v>
      </c>
    </row>
    <row r="55" spans="1:13" x14ac:dyDescent="0.25">
      <c r="A55" s="12">
        <v>8.3333333333333329E-2</v>
      </c>
      <c r="B55" s="6" t="n">
        <v>91.15679888776816</v>
      </c>
      <c r="C55" s="6" t="n">
        <v>0.6631584640010937</v>
      </c>
      <c r="D55" s="6" t="n">
        <v>59.76210332456502</v>
      </c>
      <c r="E55" s="6" t="n">
        <v>0.04398685615308029</v>
      </c>
      <c r="F55" s="6">
        <f si="0" t="shared"/>
        <v>143.15260353189717</v>
      </c>
      <c r="H55" s="12">
        <v>8.3333333333333329E-2</v>
      </c>
      <c r="I55" s="9" t="n">
        <v>99.61407852172852</v>
      </c>
      <c r="J55" s="9" t="n">
        <v>19.05453872680664</v>
      </c>
      <c r="K55" s="9" t="n">
        <v>197.80194091796875</v>
      </c>
      <c r="L55" s="9" t="n">
        <v>0.5440578460693359</v>
      </c>
      <c r="M55">
        <f si="1" t="shared"/>
        <v>406.34969711303711</v>
      </c>
    </row>
    <row r="56" spans="1:13" x14ac:dyDescent="0.25">
      <c r="A56" s="12">
        <v>0.10416666666666667</v>
      </c>
      <c r="B56" s="6" t="n">
        <v>24.389273201683082</v>
      </c>
      <c r="C56" s="6" t="n">
        <v>0.11505515522111755</v>
      </c>
      <c r="D56" s="6" t="n">
        <v>15.120226588309738</v>
      </c>
      <c r="E56" s="6" t="n">
        <v>0.007331142692180048</v>
      </c>
      <c r="F56" s="6">
        <f si="0" t="shared"/>
        <v>38.713342049193564</v>
      </c>
      <c r="H56" s="12">
        <v>0.10416666666666667</v>
      </c>
      <c r="I56" s="9" t="n">
        <v>28.43658447265625</v>
      </c>
      <c r="J56" s="9" t="n">
        <v>5.558342933654785</v>
      </c>
      <c r="K56" s="9" t="n">
        <v>55.533477783203125</v>
      </c>
      <c r="L56" s="9" t="n">
        <v>0.15027332305908203</v>
      </c>
      <c r="M56">
        <f si="1" t="shared"/>
        <v>114.46590423583984</v>
      </c>
    </row>
    <row r="57" spans="1:13" x14ac:dyDescent="0.25">
      <c r="A57" s="12">
        <v>0.125</v>
      </c>
      <c r="B57" s="6" t="n">
        <v>4.902611211105889</v>
      </c>
      <c r="C57" s="6" t="n">
        <v>0.013564879286681132</v>
      </c>
      <c r="D57" s="6" t="n">
        <v>2.9240257837445665</v>
      </c>
      <c r="E57" s="6" t="n">
        <v>7.716992307557946E-4</v>
      </c>
      <c r="F57" s="6">
        <f si="0" t="shared"/>
        <v>8.0755371120637172</v>
      </c>
      <c r="H57" s="12">
        <v>0.125</v>
      </c>
      <c r="I57" s="9" t="n">
        <v>6.104517936706543</v>
      </c>
      <c r="J57" s="9" t="n">
        <v>1.2142372131347656</v>
      </c>
      <c r="K57" s="9" t="n">
        <v>11.775032043457031</v>
      </c>
      <c r="L57" s="9" t="n">
        <v>0.0314178466796875</v>
      </c>
      <c r="M57">
        <f si="1" t="shared"/>
        <v>24.325437545776367</v>
      </c>
    </row>
    <row r="58" spans="1:13" x14ac:dyDescent="0.25">
      <c r="A58" s="21" t="s">
        <v>6</v>
      </c>
      <c r="B58" s="22" t="n">
        <v>0.0</v>
      </c>
      <c r="C58" s="22" t="n">
        <v>0.0</v>
      </c>
      <c r="D58" s="22" t="n">
        <v>0.0</v>
      </c>
      <c r="E58" s="22" t="n">
        <v>0.0</v>
      </c>
      <c r="F58" s="22">
        <f si="0" t="shared"/>
        <v>0</v>
      </c>
      <c r="G58" s="5"/>
      <c r="H58" s="21" t="s">
        <v>6</v>
      </c>
      <c r="I58" s="24" t="n">
        <v>0.0</v>
      </c>
      <c r="J58" s="24" t="n">
        <v>0.0</v>
      </c>
      <c r="K58" s="24" t="n">
        <v>0.0</v>
      </c>
      <c r="L58" s="24" t="n">
        <v>0.0</v>
      </c>
      <c r="M58" s="23">
        <f si="1" t="shared"/>
        <v>0</v>
      </c>
    </row>
    <row ht="15.75" r="59" spans="1:13" thickBot="1" x14ac:dyDescent="0.3">
      <c r="A59" s="1"/>
      <c r="B59" s="7">
        <f>SUM(B8:B58)</f>
        <v>703789.12151804171</v>
      </c>
      <c r="C59" s="7">
        <f>SUM(C8:C58)</f>
        <v>522093.80449639482</v>
      </c>
      <c r="D59" s="7">
        <f>SUM(D8:D58)</f>
        <v>1722007.4428876948</v>
      </c>
      <c r="E59" s="7">
        <f>SUM(E8:E58)</f>
        <v>169520.92399554868</v>
      </c>
      <c r="F59" s="7">
        <f>SUM(F8:F58)</f>
        <v>3117411.2928976794</v>
      </c>
      <c r="H59" s="1"/>
      <c r="I59" s="7">
        <f>SUM(I8:I58)</f>
        <v>726534.7776222229</v>
      </c>
      <c r="J59" s="7">
        <f>SUM(J8:J58)</f>
        <v>520716.50690078735</v>
      </c>
      <c r="K59" s="7">
        <f>SUM(K8:K58)</f>
        <v>1757257.9704713821</v>
      </c>
      <c r="L59" s="7">
        <f>SUM(L8:L58)</f>
        <v>179006.05096340179</v>
      </c>
      <c r="M59" s="7">
        <f>SUM(M8:M58)</f>
        <v>3183515.3059577942</v>
      </c>
    </row>
    <row ht="15.75" r="63" spans="1:13" thickBot="1" x14ac:dyDescent="0.3">
      <c r="A63" s="3" t="s">
        <v>47</v>
      </c>
      <c r="B63" s="1"/>
      <c r="C63" s="1"/>
      <c r="D63" s="1"/>
      <c r="E63" s="1"/>
      <c r="F63" s="1"/>
      <c r="H63" s="3" t="s">
        <v>12</v>
      </c>
      <c r="I63" s="1"/>
      <c r="J63" s="1"/>
      <c r="K63" s="1"/>
      <c r="L63" s="1"/>
      <c r="M63" s="1"/>
    </row>
    <row r="64" spans="1:13" x14ac:dyDescent="0.25">
      <c r="A64" s="2" t="s">
        <v>4</v>
      </c>
      <c r="B64" s="4" t="s">
        <v>48</v>
      </c>
      <c r="C64" s="4" t="s">
        <v>48</v>
      </c>
      <c r="D64" s="4" t="s">
        <v>48</v>
      </c>
      <c r="E64" s="4" t="s">
        <v>48</v>
      </c>
      <c r="F64" s="4" t="s">
        <v>48</v>
      </c>
      <c r="H64" s="2" t="s">
        <v>4</v>
      </c>
      <c r="I64" s="4" t="s">
        <v>35</v>
      </c>
      <c r="J64" s="4" t="s">
        <v>35</v>
      </c>
      <c r="K64" s="4" t="s">
        <v>35</v>
      </c>
      <c r="L64" s="4" t="s">
        <v>35</v>
      </c>
      <c r="M64" s="4" t="s">
        <v>35</v>
      </c>
    </row>
    <row r="65" spans="1:13" x14ac:dyDescent="0.25">
      <c r="A65" t="s">
        <v>5</v>
      </c>
      <c r="B65" s="18">
        <f>B8/B$59</f>
        <v>4.0475094342041825E-3</v>
      </c>
      <c r="C65" s="18">
        <f ref="C65:F65" si="2" t="shared">C8/C$59</f>
        <v>1.2799224505894866E-5</v>
      </c>
      <c r="D65" s="18">
        <f si="2" t="shared"/>
        <v>4.8436112182328565E-3</v>
      </c>
      <c r="E65" s="18">
        <f si="2" t="shared"/>
        <v>0</v>
      </c>
      <c r="F65" s="18">
        <f si="2" t="shared"/>
        <v>3.5914446382517245E-3</v>
      </c>
      <c r="H65" t="s">
        <v>5</v>
      </c>
      <c r="I65" s="17">
        <f ref="I65:M80" si="3" t="shared">I8/I$59</f>
        <v>9.738005967387834E-3</v>
      </c>
      <c r="J65" s="17">
        <f si="3" t="shared"/>
        <v>3.8408615311691317E-5</v>
      </c>
      <c r="K65" s="17">
        <f si="3" t="shared"/>
        <v>3.9834788731231419E-3</v>
      </c>
      <c r="L65" s="17">
        <f si="3" t="shared"/>
        <v>4.1898025008849522E-4</v>
      </c>
      <c r="M65" s="18">
        <f si="3" t="shared"/>
        <v>4.4510544596664996E-3</v>
      </c>
    </row>
    <row r="66" spans="1:13" x14ac:dyDescent="0.25">
      <c r="A66" s="12">
        <v>0.125</v>
      </c>
      <c r="B66" s="18">
        <f ref="B66:F81" si="4" t="shared">B9/B$59</f>
        <v>2.709592268337929E-3</v>
      </c>
      <c r="C66" s="18">
        <f si="4" t="shared"/>
        <v>2.1590375580872875E-5</v>
      </c>
      <c r="D66" s="18">
        <f si="4" t="shared"/>
        <v>3.3817522244527025E-3</v>
      </c>
      <c r="E66" s="18">
        <f si="4" t="shared"/>
        <v>2.6201661451333256E-5</v>
      </c>
      <c r="F66" s="18">
        <f si="4" t="shared"/>
        <v>2.4847853767483025E-3</v>
      </c>
      <c r="H66" s="12">
        <v>0.125</v>
      </c>
      <c r="I66" s="17">
        <f si="3" t="shared"/>
        <v>6.5289765729358018E-3</v>
      </c>
      <c r="J66" s="17">
        <f si="3" t="shared"/>
        <v>2.7375958727578058E-5</v>
      </c>
      <c r="K66" s="17">
        <f si="3" t="shared"/>
        <v>3.1363132219060764E-3</v>
      </c>
      <c r="L66" s="17">
        <f si="3" t="shared"/>
        <v>4.0185576853056076E-4</v>
      </c>
      <c r="M66" s="18">
        <f si="3" t="shared"/>
        <v>3.2483053114393131E-3</v>
      </c>
    </row>
    <row r="67" spans="1:13" x14ac:dyDescent="0.25">
      <c r="A67" s="12">
        <v>0.14583333333333334</v>
      </c>
      <c r="B67" s="18">
        <f si="4" t="shared"/>
        <v>1.619876369360263E-3</v>
      </c>
      <c r="C67" s="18">
        <f si="4" t="shared"/>
        <v>4.84572763274139E-5</v>
      </c>
      <c r="D67" s="18">
        <f si="4" t="shared"/>
        <v>2.2158859323662024E-3</v>
      </c>
      <c r="E67" s="18">
        <f si="4" t="shared"/>
        <v>8.2101876395059489E-5</v>
      </c>
      <c r="F67" s="18">
        <f si="4" t="shared"/>
        <v>1.6023040258326782E-3</v>
      </c>
      <c r="H67" s="12">
        <v>0.14583333333333334</v>
      </c>
      <c r="I67" s="17">
        <f si="3" t="shared"/>
        <v>3.8770471676559054E-3</v>
      </c>
      <c r="J67" s="17">
        <f si="3" t="shared"/>
        <v>2.6677859023867629E-5</v>
      </c>
      <c r="K67" s="17">
        <f si="3" t="shared"/>
        <v>2.4745243503984291E-3</v>
      </c>
      <c r="L67" s="17">
        <f si="3" t="shared"/>
        <v>4.4422579309253871E-4</v>
      </c>
      <c r="M67" s="18">
        <f si="3" t="shared"/>
        <v>2.2800574988858634E-3</v>
      </c>
    </row>
    <row r="68" spans="1:13" x14ac:dyDescent="0.25">
      <c r="A68" s="12">
        <v>0.16666666666666666</v>
      </c>
      <c r="B68" s="18">
        <f si="4" t="shared"/>
        <v>9.2610335708767156E-4</v>
      </c>
      <c r="C68" s="18">
        <f si="4" t="shared"/>
        <v>1.5267340785405614E-4</v>
      </c>
      <c r="D68" s="18">
        <f si="4" t="shared"/>
        <v>1.567422593450836E-3</v>
      </c>
      <c r="E68" s="18">
        <f si="4" t="shared"/>
        <v>2.0218664356295554E-4</v>
      </c>
      <c r="F68" s="18">
        <f si="4" t="shared"/>
        <v>1.1114605105442994E-3</v>
      </c>
      <c r="H68" s="12">
        <v>0.16666666666666666</v>
      </c>
      <c r="I68" s="17">
        <f si="3" t="shared"/>
        <v>2.0926879848539429E-3</v>
      </c>
      <c r="J68" s="17">
        <f si="3" t="shared"/>
        <v>6.3371563302250196E-5</v>
      </c>
      <c r="K68" s="17">
        <f si="3" t="shared"/>
        <v>2.1220195301440057E-3</v>
      </c>
      <c r="L68" s="17">
        <f si="3" t="shared"/>
        <v>5.9462268755546682E-4</v>
      </c>
      <c r="M68" s="18">
        <f si="3" t="shared"/>
        <v>1.6927155967044784E-3</v>
      </c>
    </row>
    <row r="69" spans="1:13" x14ac:dyDescent="0.25">
      <c r="A69" s="12">
        <v>0.1875</v>
      </c>
      <c r="B69" s="18">
        <f si="4" t="shared"/>
        <v>6.4500915456025423E-4</v>
      </c>
      <c r="C69" s="18">
        <f si="4" t="shared"/>
        <v>4.8740422298774696E-4</v>
      </c>
      <c r="D69" s="18">
        <f si="4" t="shared"/>
        <v>1.5633185030234176E-3</v>
      </c>
      <c r="E69" s="18">
        <f si="4" t="shared"/>
        <v>4.2107911216489709E-4</v>
      </c>
      <c r="F69" s="18">
        <f si="4" t="shared"/>
        <v>1.1136961546447074E-3</v>
      </c>
      <c r="H69" s="12">
        <v>0.1875</v>
      </c>
      <c r="I69" s="17">
        <f si="3" t="shared"/>
        <v>1.1722310785879065E-3</v>
      </c>
      <c r="J69" s="17">
        <f si="3" t="shared"/>
        <v>2.0810568829976315E-4</v>
      </c>
      <c r="K69" s="17">
        <f si="3" t="shared"/>
        <v>2.1464227309036608E-3</v>
      </c>
      <c r="L69" s="17">
        <f si="3" t="shared"/>
        <v>8.9209902739573633E-4</v>
      </c>
      <c r="M69" s="18">
        <f si="3" t="shared"/>
        <v>1.5365216808510048E-3</v>
      </c>
    </row>
    <row r="70" spans="1:13" x14ac:dyDescent="0.25">
      <c r="A70" s="12">
        <v>0.20833333333333334</v>
      </c>
      <c r="B70" s="18">
        <f si="4" t="shared"/>
        <v>7.0913244176381088E-4</v>
      </c>
      <c r="C70" s="18">
        <f si="4" t="shared"/>
        <v>1.3390518663510959E-3</v>
      </c>
      <c r="D70" s="18">
        <f si="4" t="shared"/>
        <v>2.2762444124171922E-3</v>
      </c>
      <c r="E70" s="18">
        <f si="4" t="shared"/>
        <v>7.6235318374902718E-4</v>
      </c>
      <c r="F70" s="18">
        <f si="4" t="shared"/>
        <v>1.6831705940241414E-3</v>
      </c>
      <c r="H70" s="12">
        <v>0.20833333333333334</v>
      </c>
      <c r="I70" s="17">
        <f si="3" t="shared"/>
        <v>9.1922786071523715E-4</v>
      </c>
      <c r="J70" s="17">
        <f si="3" t="shared"/>
        <v>6.0500322644936133E-4</v>
      </c>
      <c r="K70" s="17">
        <f si="3" t="shared"/>
        <v>2.6212684729950459E-3</v>
      </c>
      <c r="L70" s="17">
        <f si="3" t="shared"/>
        <v>1.3842015153827671E-3</v>
      </c>
      <c r="M70" s="18">
        <f si="3" t="shared"/>
        <v>1.8334799676030886E-3</v>
      </c>
    </row>
    <row r="71" spans="1:13" x14ac:dyDescent="0.25">
      <c r="A71" s="12">
        <v>0.22916666666666666</v>
      </c>
      <c r="B71" s="18">
        <f si="4" t="shared"/>
        <v>1.0413888347217263E-3</v>
      </c>
      <c r="C71" s="18">
        <f si="4" t="shared"/>
        <v>3.0798285969431366E-3</v>
      </c>
      <c r="D71" s="18">
        <f si="4" t="shared"/>
        <v>3.7770797792598702E-3</v>
      </c>
      <c r="E71" s="18">
        <f si="4" t="shared"/>
        <v>1.2405139979111467E-3</v>
      </c>
      <c r="F71" s="18">
        <f si="4" t="shared"/>
        <v>2.9047595210084367E-3</v>
      </c>
      <c r="H71" s="12">
        <v>0.22916666666666666</v>
      </c>
      <c r="I71" s="17">
        <f si="3" t="shared"/>
        <v>1.1174400843311076E-3</v>
      </c>
      <c r="J71" s="17">
        <f si="3" t="shared"/>
        <v>1.4711639824908636E-3</v>
      </c>
      <c r="K71" s="17">
        <f si="3" t="shared"/>
        <v>3.6700920546058518E-3</v>
      </c>
      <c r="L71" s="17">
        <f si="3" t="shared"/>
        <v>2.1527253379170033E-3</v>
      </c>
      <c r="M71" s="18">
        <f si="3" t="shared"/>
        <v>2.6425404063055839E-3</v>
      </c>
    </row>
    <row r="72" spans="1:13" x14ac:dyDescent="0.25">
      <c r="A72" s="12">
        <v>0.25</v>
      </c>
      <c r="B72" s="18">
        <f si="4" t="shared"/>
        <v>1.6020787520489989E-3</v>
      </c>
      <c r="C72" s="18">
        <f si="4" t="shared"/>
        <v>5.9705140756259418E-3</v>
      </c>
      <c r="D72" s="18">
        <f si="4" t="shared"/>
        <v>6.1318860263296767E-3</v>
      </c>
      <c r="E72" s="18">
        <f si="4" t="shared"/>
        <v>1.8949543959750014E-3</v>
      </c>
      <c r="F72" s="18">
        <f si="4" t="shared"/>
        <v>4.8518082413196717E-3</v>
      </c>
      <c r="H72" s="12">
        <v>0.25</v>
      </c>
      <c r="I72" s="17">
        <f si="3" t="shared"/>
        <v>1.6286470122602859E-3</v>
      </c>
      <c r="J72" s="17">
        <f si="3" t="shared"/>
        <v>3.0263028832760927E-3</v>
      </c>
      <c r="K72" s="17">
        <f si="3" t="shared"/>
        <v>5.4311995495905912E-3</v>
      </c>
      <c r="L72" s="17">
        <f si="3" t="shared"/>
        <v>3.3281147464634224E-3</v>
      </c>
      <c r="M72" s="18">
        <f si="3" t="shared"/>
        <v>4.0517744370813678E-3</v>
      </c>
    </row>
    <row r="73" spans="1:13" x14ac:dyDescent="0.25">
      <c r="A73" s="12">
        <v>0.27083333333333331</v>
      </c>
      <c r="B73" s="18">
        <f si="4" t="shared"/>
        <v>2.3835136187707199E-3</v>
      </c>
      <c r="C73" s="18">
        <f si="4" t="shared"/>
        <v>9.877545047045258E-3</v>
      </c>
      <c r="D73" s="18">
        <f si="4" t="shared"/>
        <v>9.3052039890804388E-3</v>
      </c>
      <c r="E73" s="18">
        <f si="4" t="shared"/>
        <v>2.8410687287176214E-3</v>
      </c>
      <c r="F73" s="18">
        <f si="4" t="shared"/>
        <v>7.4869001740525973E-3</v>
      </c>
      <c r="H73" s="12">
        <v>0.27083333333333331</v>
      </c>
      <c r="I73" s="17">
        <f si="3" t="shared"/>
        <v>2.39605409151376E-3</v>
      </c>
      <c r="J73" s="17">
        <f si="3" t="shared"/>
        <v>5.3594930792903563E-3</v>
      </c>
      <c r="K73" s="17">
        <f si="3" t="shared"/>
        <v>7.9566491149950687E-3</v>
      </c>
      <c r="L73" s="17">
        <f si="3" t="shared"/>
        <v>5.076556444340706E-3</v>
      </c>
      <c r="M73" s="18">
        <f si="3" t="shared"/>
        <v>6.1008698473575583E-3</v>
      </c>
    </row>
    <row r="74" spans="1:13" x14ac:dyDescent="0.25">
      <c r="A74" s="12">
        <v>0.29166666666666669</v>
      </c>
      <c r="B74" s="18">
        <f si="4" t="shared"/>
        <v>3.3654214517280664E-3</v>
      </c>
      <c r="C74" s="18">
        <f si="4" t="shared"/>
        <v>1.4129261968229665E-2</v>
      </c>
      <c r="D74" s="18">
        <f si="4" t="shared"/>
        <v>1.302213602680732E-2</v>
      </c>
      <c r="E74" s="18">
        <f si="4" t="shared"/>
        <v>4.287624595332217E-3</v>
      </c>
      <c r="F74" s="18">
        <f si="4" t="shared"/>
        <v>1.0552474888803069E-2</v>
      </c>
      <c r="H74" s="12">
        <v>0.29166666666666669</v>
      </c>
      <c r="I74" s="17">
        <f si="3" t="shared"/>
        <v>3.4075711482929334E-3</v>
      </c>
      <c r="J74" s="17">
        <f si="3" t="shared"/>
        <v>8.3198892755651285E-3</v>
      </c>
      <c r="K74" s="17">
        <f si="3" t="shared"/>
        <v>1.112489964184271E-2</v>
      </c>
      <c r="L74" s="17">
        <f si="3" t="shared"/>
        <v>7.5684249821357779E-3</v>
      </c>
      <c r="M74" s="18">
        <f si="3" t="shared"/>
        <v>8.7048851344787934E-3</v>
      </c>
    </row>
    <row r="75" spans="1:13" x14ac:dyDescent="0.25">
      <c r="A75" s="12">
        <v>0.3125</v>
      </c>
      <c r="B75" s="18">
        <f si="4" t="shared"/>
        <v>4.4757166387895692E-3</v>
      </c>
      <c r="C75" s="18">
        <f si="4" t="shared"/>
        <v>1.7724473868366879E-2</v>
      </c>
      <c r="D75" s="18">
        <f si="4" t="shared"/>
        <v>1.6741619029336768E-2</v>
      </c>
      <c r="E75" s="18">
        <f si="4" t="shared"/>
        <v>6.4886832420695227E-3</v>
      </c>
      <c r="F75" s="18">
        <f si="4" t="shared"/>
        <v>1.3579523152968091E-2</v>
      </c>
      <c r="H75" s="12">
        <v>0.3125</v>
      </c>
      <c r="I75" s="17">
        <f si="3" t="shared"/>
        <v>4.6690179624187906E-3</v>
      </c>
      <c r="J75" s="17">
        <f si="3" t="shared"/>
        <v>1.1544240061326575E-2</v>
      </c>
      <c r="K75" s="17">
        <f si="3" t="shared"/>
        <v>1.4648969038971137E-2</v>
      </c>
      <c r="L75" s="17">
        <f si="3" t="shared"/>
        <v>1.0963525839116832E-2</v>
      </c>
      <c r="M75" s="18">
        <f si="3" t="shared"/>
        <v>1.1656308133706276E-2</v>
      </c>
    </row>
    <row r="76" spans="1:13" x14ac:dyDescent="0.25">
      <c r="A76" s="12">
        <v>0.33333333333333331</v>
      </c>
      <c r="B76" s="18">
        <f si="4" t="shared"/>
        <v>5.6062575527250288E-3</v>
      </c>
      <c r="C76" s="18">
        <f si="4" t="shared"/>
        <v>1.9843642605141959E-2</v>
      </c>
      <c r="D76" s="18">
        <f si="4" t="shared"/>
        <v>1.9863038536885327E-2</v>
      </c>
      <c r="E76" s="18">
        <f si="4" t="shared"/>
        <v>9.6743077849327421E-3</v>
      </c>
      <c r="F76" s="18">
        <f si="4" t="shared"/>
        <v>1.6087118131854525E-2</v>
      </c>
      <c r="H76" s="12">
        <v>0.33333333333333331</v>
      </c>
      <c r="I76" s="17">
        <f si="3" t="shared"/>
        <v>6.1978076751975E-3</v>
      </c>
      <c r="J76" s="17">
        <f si="3" t="shared"/>
        <v>1.4636875154297695E-2</v>
      </c>
      <c r="K76" s="17">
        <f si="3" t="shared"/>
        <v>1.8192104083361076E-2</v>
      </c>
      <c r="L76" s="17">
        <f si="3" t="shared"/>
        <v>1.5433960377261477E-2</v>
      </c>
      <c r="M76" s="18">
        <f si="3" t="shared"/>
        <v>1.4718188234759299E-2</v>
      </c>
    </row>
    <row r="77" spans="1:13" x14ac:dyDescent="0.25">
      <c r="A77" s="12">
        <v>0.35416666666666669</v>
      </c>
      <c r="B77" s="18">
        <f si="4" t="shared"/>
        <v>6.6930163009919592E-3</v>
      </c>
      <c r="C77" s="18">
        <f si="4" t="shared"/>
        <v>2.0320866148391369E-2</v>
      </c>
      <c r="D77" s="18">
        <f si="4" t="shared"/>
        <v>2.2074511305863735E-2</v>
      </c>
      <c r="E77" s="18">
        <f si="4" t="shared"/>
        <v>1.4049936345113194E-2</v>
      </c>
      <c r="F77" s="18">
        <f si="4" t="shared"/>
        <v>1.7871912335050852E-2</v>
      </c>
      <c r="H77" s="12">
        <v>0.35416666666666669</v>
      </c>
      <c r="I77" s="17">
        <f si="3" t="shared"/>
        <v>8.0181502735040006E-3</v>
      </c>
      <c r="J77" s="17">
        <f si="3" t="shared"/>
        <v>1.7363253978525093E-2</v>
      </c>
      <c r="K77" s="17">
        <f si="3" t="shared"/>
        <v>2.1507297360461204E-2</v>
      </c>
      <c r="L77" s="17">
        <f si="3" t="shared"/>
        <v>2.1182774285478167E-2</v>
      </c>
      <c r="M77" s="18">
        <f si="3" t="shared"/>
        <v>1.773275987197032E-2</v>
      </c>
    </row>
    <row r="78" spans="1:13" x14ac:dyDescent="0.25">
      <c r="A78" s="12">
        <v>0.375</v>
      </c>
      <c r="B78" s="18">
        <f si="4" t="shared"/>
        <v>7.8063624754227783E-3</v>
      </c>
      <c r="C78" s="18">
        <f si="4" t="shared"/>
        <v>1.972598535098978E-2</v>
      </c>
      <c r="D78" s="18">
        <f si="4" t="shared"/>
        <v>2.355618758628833E-2</v>
      </c>
      <c r="E78" s="18">
        <f si="4" t="shared"/>
        <v>1.9888195185808848E-2</v>
      </c>
      <c r="F78" s="18">
        <f si="4" t="shared"/>
        <v>1.9159564680603532E-2</v>
      </c>
      <c r="H78" s="12">
        <v>0.375</v>
      </c>
      <c r="I78" s="17">
        <f si="3" t="shared"/>
        <v>1.0136756855085154E-2</v>
      </c>
      <c r="J78" s="17">
        <f si="3" t="shared"/>
        <v>1.9682524798667275E-2</v>
      </c>
      <c r="K78" s="17">
        <f si="3" t="shared"/>
        <v>2.4484482887379873E-2</v>
      </c>
      <c r="L78" s="17">
        <f si="3" t="shared"/>
        <v>2.8379835938186514E-2</v>
      </c>
      <c r="M78" s="18">
        <f si="3" t="shared"/>
        <v>2.064366924502662E-2</v>
      </c>
    </row>
    <row r="79" spans="1:13" x14ac:dyDescent="0.25">
      <c r="A79" s="12">
        <v>0.39583333333333331</v>
      </c>
      <c r="B79" s="18">
        <f si="4" t="shared"/>
        <v>9.1661601961440502E-3</v>
      </c>
      <c r="C79" s="18">
        <f si="4" t="shared"/>
        <v>1.9010253010661195E-2</v>
      </c>
      <c r="D79" s="18">
        <f si="4" t="shared"/>
        <v>2.4836374941043723E-2</v>
      </c>
      <c r="E79" s="18">
        <f si="4" t="shared"/>
        <v>2.7598968362428977E-2</v>
      </c>
      <c r="F79" s="18">
        <f si="4" t="shared"/>
        <v>2.0473142064144512E-2</v>
      </c>
      <c r="H79" s="12">
        <v>0.39583333333333331</v>
      </c>
      <c r="I79" s="17">
        <f si="3" t="shared"/>
        <v>1.25031815398635E-2</v>
      </c>
      <c r="J79" s="17">
        <f si="3" t="shared"/>
        <v>2.1612699143845487E-2</v>
      </c>
      <c r="K79" s="17">
        <f si="3" t="shared"/>
        <v>2.7075871635410313E-2</v>
      </c>
      <c r="L79" s="17">
        <f si="3" t="shared"/>
        <v>3.6999710289316784E-2</v>
      </c>
      <c r="M79" s="18">
        <f si="3" t="shared"/>
        <v>2.3414540695778089E-2</v>
      </c>
    </row>
    <row r="80" spans="1:13" x14ac:dyDescent="0.25">
      <c r="A80" s="12">
        <v>0.41666666666666669</v>
      </c>
      <c r="B80" s="18">
        <f si="4" t="shared"/>
        <v>1.1034538511383593E-2</v>
      </c>
      <c r="C80" s="18">
        <f si="4" t="shared"/>
        <v>1.8992772342856481E-2</v>
      </c>
      <c r="D80" s="18">
        <f si="4" t="shared"/>
        <v>2.6409052505805251E-2</v>
      </c>
      <c r="E80" s="18">
        <f si="4" t="shared"/>
        <v>3.7600955204525582E-2</v>
      </c>
      <c r="F80" s="18">
        <f si="4" t="shared"/>
        <v>2.2304638062391437E-2</v>
      </c>
      <c r="H80" s="12">
        <v>0.41666666666666669</v>
      </c>
      <c r="I80" s="17">
        <f si="3" t="shared"/>
        <v>1.4989314666666446E-2</v>
      </c>
      <c r="J80" s="17">
        <f si="3" t="shared"/>
        <v>2.3129573364192479E-2</v>
      </c>
      <c r="K80" s="17">
        <f si="3" t="shared"/>
        <v>2.9203547653758301E-2</v>
      </c>
      <c r="L80" s="17">
        <f si="3" t="shared"/>
        <v>4.6656440968119148E-2</v>
      </c>
      <c r="M80" s="18">
        <f si="3" t="shared"/>
        <v>2.5947467889377459E-2</v>
      </c>
    </row>
    <row r="81" spans="1:13" x14ac:dyDescent="0.25">
      <c r="A81" s="12">
        <v>0.4375</v>
      </c>
      <c r="B81" s="18">
        <f si="4" t="shared"/>
        <v>1.3532336698697441E-2</v>
      </c>
      <c r="C81" s="18">
        <f si="4" t="shared"/>
        <v>2.0038252809445461E-2</v>
      </c>
      <c r="D81" s="18">
        <f si="4" t="shared"/>
        <v>2.842322941291767E-2</v>
      </c>
      <c r="E81" s="18">
        <f si="4" t="shared"/>
        <v>4.9933412423920957E-2</v>
      </c>
      <c r="F81" s="18">
        <f si="4" t="shared"/>
        <v>2.4826858743547078E-2</v>
      </c>
      <c r="H81" s="12">
        <v>0.4375</v>
      </c>
      <c r="I81" s="17">
        <f ref="I81:M96" si="5" t="shared">I24/I$59</f>
        <v>1.7421209595369927E-2</v>
      </c>
      <c r="J81" s="17">
        <f si="5" t="shared"/>
        <v>2.428009311261577E-2</v>
      </c>
      <c r="K81" s="17">
        <f si="5" t="shared"/>
        <v>3.0776153677245892E-2</v>
      </c>
      <c r="L81" s="17">
        <f si="5" t="shared"/>
        <v>5.6550910248635566E-2</v>
      </c>
      <c r="M81" s="18">
        <f si="5" t="shared"/>
        <v>2.8115070223281816E-2</v>
      </c>
    </row>
    <row r="82" spans="1:13" x14ac:dyDescent="0.25">
      <c r="A82" s="12">
        <v>0.45833333333333331</v>
      </c>
      <c r="B82" s="18">
        <f ref="B82:F97" si="6" t="shared">B25/B$59</f>
        <v>1.6515979065887303E-2</v>
      </c>
      <c r="C82" s="18">
        <f si="6" t="shared"/>
        <v>2.2115171308041422E-2</v>
      </c>
      <c r="D82" s="18">
        <f si="6" t="shared"/>
        <v>3.0656700262948214E-2</v>
      </c>
      <c r="E82" s="18">
        <f si="6" t="shared"/>
        <v>6.3771828434818406E-2</v>
      </c>
      <c r="F82" s="18">
        <f si="6" t="shared"/>
        <v>2.7834532398440918E-2</v>
      </c>
      <c r="H82" s="12">
        <v>0.45833333333333331</v>
      </c>
      <c r="I82" s="17">
        <f si="5" t="shared"/>
        <v>1.9656382402676083E-2</v>
      </c>
      <c r="J82" s="17">
        <f si="5" t="shared"/>
        <v>2.5416408179471765E-2</v>
      </c>
      <c r="K82" s="17">
        <f si="5" t="shared"/>
        <v>3.1806511738523148E-2</v>
      </c>
      <c r="L82" s="17">
        <f si="5" t="shared"/>
        <v>6.5560766965010911E-2</v>
      </c>
      <c r="M82" s="18">
        <f si="5" t="shared"/>
        <v>2.9886399095634186E-2</v>
      </c>
    </row>
    <row r="83" spans="1:13" x14ac:dyDescent="0.25">
      <c r="A83" s="12">
        <v>0.47916666666666669</v>
      </c>
      <c r="B83" s="18">
        <f si="6" t="shared"/>
        <v>1.9659014658439694E-2</v>
      </c>
      <c r="C83" s="18">
        <f si="6" t="shared"/>
        <v>2.5192550782665947E-2</v>
      </c>
      <c r="D83" s="18">
        <f si="6" t="shared"/>
        <v>3.2739454032265039E-2</v>
      </c>
      <c r="E83" s="18">
        <f si="6" t="shared"/>
        <v>7.7175935156925252E-2</v>
      </c>
      <c r="F83" s="18">
        <f si="6" t="shared"/>
        <v>3.0938873839606772E-2</v>
      </c>
      <c r="H83" s="12">
        <v>0.47916666666666669</v>
      </c>
      <c r="I83" s="17">
        <f si="5" t="shared"/>
        <v>2.1665198372244607E-2</v>
      </c>
      <c r="J83" s="17">
        <f si="5" t="shared"/>
        <v>2.7240022395076589E-2</v>
      </c>
      <c r="K83" s="17">
        <f si="5" t="shared"/>
        <v>3.2486306387892135E-2</v>
      </c>
      <c r="L83" s="17">
        <f si="5" t="shared"/>
        <v>7.2445947407719924E-2</v>
      </c>
      <c r="M83" s="18">
        <f si="5" t="shared"/>
        <v>3.1405513580830935E-2</v>
      </c>
    </row>
    <row r="84" spans="1:13" x14ac:dyDescent="0.25">
      <c r="A84" s="12">
        <v>0.5</v>
      </c>
      <c r="B84" s="18">
        <f si="6" t="shared"/>
        <v>2.2753761357379124E-2</v>
      </c>
      <c r="C84" s="18">
        <f si="6" t="shared"/>
        <v>2.9702673852329133E-2</v>
      </c>
      <c r="D84" s="18">
        <f si="6" t="shared"/>
        <v>3.4434162529733893E-2</v>
      </c>
      <c r="E84" s="18">
        <f si="6" t="shared"/>
        <v>8.7394091433760618E-2</v>
      </c>
      <c r="F84" s="18">
        <f si="6" t="shared"/>
        <v>3.3884666822850032E-2</v>
      </c>
      <c r="H84" s="12">
        <v>0.5</v>
      </c>
      <c r="I84" s="17">
        <f si="5" t="shared"/>
        <v>2.3586866234677307E-2</v>
      </c>
      <c r="J84" s="17">
        <f si="5" t="shared"/>
        <v>3.0486049646409146E-2</v>
      </c>
      <c r="K84" s="17">
        <f si="5" t="shared"/>
        <v>3.3109559803632095E-2</v>
      </c>
      <c r="L84" s="17">
        <f si="5" t="shared"/>
        <v>7.6161769790050932E-2</v>
      </c>
      <c r="M84" s="18">
        <f si="5" t="shared"/>
        <v>3.2927978454431343E-2</v>
      </c>
    </row>
    <row r="85" spans="1:13" x14ac:dyDescent="0.25">
      <c r="A85" s="12">
        <v>0.52083333333333337</v>
      </c>
      <c r="B85" s="18">
        <f si="6" t="shared"/>
        <v>2.604170713357374E-2</v>
      </c>
      <c r="C85" s="18">
        <f si="6" t="shared"/>
        <v>3.6608792776397343E-2</v>
      </c>
      <c r="D85" s="18">
        <f si="6" t="shared"/>
        <v>3.5783240985428816E-2</v>
      </c>
      <c r="E85" s="18">
        <f si="6" t="shared"/>
        <v>9.1825743219209333E-2</v>
      </c>
      <c r="F85" s="18">
        <f si="6" t="shared"/>
        <v>3.6769766790419628E-2</v>
      </c>
      <c r="H85" s="12">
        <v>0.52083333333333337</v>
      </c>
      <c r="I85" s="17">
        <f si="5" t="shared"/>
        <v>2.5764327469693097E-2</v>
      </c>
      <c r="J85" s="17">
        <f si="5" t="shared"/>
        <v>3.546226836050706E-2</v>
      </c>
      <c r="K85" s="17">
        <f si="5" t="shared"/>
        <v>3.390181293326508E-2</v>
      </c>
      <c r="L85" s="17">
        <f si="5" t="shared"/>
        <v>7.6224921167250104E-2</v>
      </c>
      <c r="M85" s="18">
        <f si="5" t="shared"/>
        <v>3.4679720667019388E-2</v>
      </c>
    </row>
    <row r="86" spans="1:13" x14ac:dyDescent="0.25">
      <c r="A86" s="12">
        <v>0.54166666666666663</v>
      </c>
      <c r="B86" s="18">
        <f si="6" t="shared"/>
        <v>3.0277794765090044E-2</v>
      </c>
      <c r="C86" s="18">
        <f si="6" t="shared"/>
        <v>4.670544732543952E-2</v>
      </c>
      <c r="D86" s="18">
        <f si="6" t="shared"/>
        <v>3.7035307811921103E-2</v>
      </c>
      <c r="E86" s="18">
        <f si="6" t="shared"/>
        <v>8.9284582194079837E-2</v>
      </c>
      <c r="F86" s="18">
        <f si="6" t="shared"/>
        <v>3.9970499921462441E-2</v>
      </c>
      <c r="H86" s="12">
        <v>0.54166666666666663</v>
      </c>
      <c r="I86" s="17">
        <f si="5" t="shared"/>
        <v>2.8755204717979582E-2</v>
      </c>
      <c r="J86" s="17">
        <f si="5" t="shared"/>
        <v>4.1836305589098968E-2</v>
      </c>
      <c r="K86" s="17">
        <f si="5" t="shared"/>
        <v>3.4906820459883595E-2</v>
      </c>
      <c r="L86" s="17">
        <f si="5" t="shared"/>
        <v>7.2924925543100719E-2</v>
      </c>
      <c r="M86" s="18">
        <f si="5" t="shared"/>
        <v>3.677406619323316E-2</v>
      </c>
    </row>
    <row r="87" spans="1:13" x14ac:dyDescent="0.25">
      <c r="A87" s="12">
        <v>0.5625</v>
      </c>
      <c r="B87" s="18">
        <f si="6" t="shared"/>
        <v>3.6386482541287624E-2</v>
      </c>
      <c r="C87" s="18">
        <f si="6" t="shared"/>
        <v>5.9384473970842074E-2</v>
      </c>
      <c r="D87" s="18">
        <f si="6" t="shared"/>
        <v>3.8408010076246051E-2</v>
      </c>
      <c r="E87" s="18">
        <f si="6" t="shared"/>
        <v>8.0752398741862783E-2</v>
      </c>
      <c r="F87" s="18">
        <f si="6" t="shared"/>
        <v>4.376733262773088E-2</v>
      </c>
      <c r="H87" s="12">
        <v>0.5625</v>
      </c>
      <c r="I87" s="17">
        <f si="5" t="shared"/>
        <v>3.3260354005082038E-2</v>
      </c>
      <c r="J87" s="17">
        <f si="5" t="shared"/>
        <v>4.8796489467681094E-2</v>
      </c>
      <c r="K87" s="17">
        <f si="5" t="shared"/>
        <v>3.6006892901893739E-2</v>
      </c>
      <c r="L87" s="17">
        <f si="5" t="shared"/>
        <v>6.7161093796627616E-2</v>
      </c>
      <c r="M87" s="18">
        <f si="5" t="shared"/>
        <v>3.9223804872036402E-2</v>
      </c>
    </row>
    <row r="88" spans="1:13" x14ac:dyDescent="0.25">
      <c r="A88" s="12">
        <v>0.58333333333333337</v>
      </c>
      <c r="B88" s="18">
        <f si="6" t="shared"/>
        <v>4.489517849416174E-2</v>
      </c>
      <c r="C88" s="18">
        <f si="6" t="shared"/>
        <v>7.1903144040769015E-2</v>
      </c>
      <c r="D88" s="18">
        <f si="6" t="shared"/>
        <v>3.9866147991847435E-2</v>
      </c>
      <c r="E88" s="18">
        <f si="6" t="shared"/>
        <v>6.8927103827095659E-2</v>
      </c>
      <c r="F88" s="18">
        <f si="6" t="shared"/>
        <v>4.7947254984020207E-2</v>
      </c>
      <c r="H88" s="12">
        <v>0.58333333333333337</v>
      </c>
      <c r="I88" s="17">
        <f si="5" t="shared"/>
        <v>3.9890093726284666E-2</v>
      </c>
      <c r="J88" s="17">
        <f si="5" t="shared"/>
        <v>5.5334360002806796E-2</v>
      </c>
      <c r="K88" s="17">
        <f si="5" t="shared"/>
        <v>3.7017910400081407E-2</v>
      </c>
      <c r="L88" s="17">
        <f si="5" t="shared"/>
        <v>5.9975282057078867E-2</v>
      </c>
      <c r="M88" s="18">
        <f si="5" t="shared"/>
        <v>4.1960222799686267E-2</v>
      </c>
    </row>
    <row r="89" spans="1:13" x14ac:dyDescent="0.25">
      <c r="A89" s="12">
        <v>0.60416666666666663</v>
      </c>
      <c r="B89" s="18">
        <f si="6" t="shared"/>
        <v>5.5519164500910476E-2</v>
      </c>
      <c r="C89" s="18">
        <f si="6" t="shared"/>
        <v>8.0239210530826624E-2</v>
      </c>
      <c r="D89" s="18">
        <f si="6" t="shared"/>
        <v>4.1098578420871126E-2</v>
      </c>
      <c r="E89" s="18">
        <f si="6" t="shared"/>
        <v>5.675082705694745E-2</v>
      </c>
      <c r="F89" s="18">
        <f si="6" t="shared"/>
        <v>5.1760474996676374E-2</v>
      </c>
      <c r="H89" s="12">
        <v>0.60416666666666663</v>
      </c>
      <c r="I89" s="17">
        <f si="5" t="shared"/>
        <v>4.8779305021675046E-2</v>
      </c>
      <c r="J89" s="17">
        <f si="5" t="shared"/>
        <v>6.0415215862649613E-2</v>
      </c>
      <c r="K89" s="17">
        <f si="5" t="shared"/>
        <v>3.7767761022861585E-2</v>
      </c>
      <c r="L89" s="17">
        <f si="5" t="shared"/>
        <v>5.2149974508059055E-2</v>
      </c>
      <c r="M89" s="18">
        <f si="5" t="shared"/>
        <v>4.4793854612881642E-2</v>
      </c>
    </row>
    <row r="90" spans="1:13" x14ac:dyDescent="0.25">
      <c r="A90" s="12">
        <v>0.625</v>
      </c>
      <c r="B90" s="18">
        <f si="6" t="shared"/>
        <v>6.7097532834130419E-2</v>
      </c>
      <c r="C90" s="18">
        <f si="6" t="shared"/>
        <v>8.13578345819089E-2</v>
      </c>
      <c r="D90" s="18">
        <f si="6" t="shared"/>
        <v>4.1722969320957967E-2</v>
      </c>
      <c r="E90" s="18">
        <f si="6" t="shared"/>
        <v>4.6005732830290337E-2</v>
      </c>
      <c r="F90" s="18">
        <f si="6" t="shared"/>
        <v>5.4322358267637101E-2</v>
      </c>
      <c r="H90" s="12">
        <v>0.625</v>
      </c>
      <c r="I90" s="17">
        <f si="5" t="shared"/>
        <v>5.9216589700980697E-2</v>
      </c>
      <c r="J90" s="17">
        <f si="5" t="shared"/>
        <v>6.3135973562129188E-2</v>
      </c>
      <c r="K90" s="17">
        <f si="5" t="shared"/>
        <v>3.8142542211908853E-2</v>
      </c>
      <c r="L90" s="17">
        <f si="5" t="shared"/>
        <v>4.4151757611822884E-2</v>
      </c>
      <c r="M90" s="18">
        <f si="5" t="shared"/>
        <v>4.7377995403331701E-2</v>
      </c>
    </row>
    <row r="91" spans="1:13" x14ac:dyDescent="0.25">
      <c r="A91" s="12">
        <v>0.64583333333333337</v>
      </c>
      <c r="B91" s="18">
        <f si="6" t="shared"/>
        <v>7.775068944026263E-2</v>
      </c>
      <c r="C91" s="18">
        <f si="6" t="shared"/>
        <v>7.5149634357462303E-2</v>
      </c>
      <c r="D91" s="18">
        <f si="6" t="shared"/>
        <v>4.1551441325391715E-2</v>
      </c>
      <c r="E91" s="18">
        <f si="6" t="shared"/>
        <v>3.6981233053702232E-2</v>
      </c>
      <c r="F91" s="18">
        <f si="6" t="shared"/>
        <v>5.51022036588283E-2</v>
      </c>
      <c r="H91" s="12">
        <v>0.64583333333333337</v>
      </c>
      <c r="I91" s="17">
        <f si="5" t="shared"/>
        <v>6.952449286200213E-2</v>
      </c>
      <c r="J91" s="17">
        <f si="5" t="shared"/>
        <v>6.3025349392302019E-2</v>
      </c>
      <c r="K91" s="17">
        <f si="5" t="shared"/>
        <v>3.8132481439881703E-2</v>
      </c>
      <c r="L91" s="17">
        <f si="5" t="shared"/>
        <v>3.6324241742076512E-2</v>
      </c>
      <c r="M91" s="18">
        <f si="5" t="shared"/>
        <v>4.9266660493702145E-2</v>
      </c>
    </row>
    <row r="92" spans="1:13" x14ac:dyDescent="0.25">
      <c r="A92" s="12">
        <v>0.66666666666666663</v>
      </c>
      <c r="B92" s="18">
        <f si="6" t="shared"/>
        <v>8.5114141144118152E-2</v>
      </c>
      <c r="C92" s="18">
        <f si="6" t="shared"/>
        <v>6.4302093386938208E-2</v>
      </c>
      <c r="D92" s="18">
        <f si="6" t="shared"/>
        <v>4.0705086773138846E-2</v>
      </c>
      <c r="E92" s="18">
        <f si="6" t="shared"/>
        <v>2.9190280626110655E-2</v>
      </c>
      <c r="F92" s="18">
        <f si="6" t="shared"/>
        <v>5.4056696757383525E-2</v>
      </c>
      <c r="H92" s="12">
        <v>0.66666666666666663</v>
      </c>
      <c r="I92" s="17">
        <f si="5" t="shared"/>
        <v>7.7351984924180953E-2</v>
      </c>
      <c r="J92" s="17">
        <f si="5" t="shared"/>
        <v>6.0289169837600125E-2</v>
      </c>
      <c r="K92" s="17">
        <f si="5" t="shared"/>
        <v>3.7863061931212173E-2</v>
      </c>
      <c r="L92" s="17">
        <f si="5" t="shared"/>
        <v>2.9038940413555831E-2</v>
      </c>
      <c r="M92" s="18">
        <f si="5" t="shared"/>
        <v>5.0047124385363136E-2</v>
      </c>
    </row>
    <row r="93" spans="1:13" x14ac:dyDescent="0.25">
      <c r="A93" s="12">
        <v>0.6875</v>
      </c>
      <c r="B93" s="18">
        <f si="6" t="shared"/>
        <v>8.6833635383993829E-2</v>
      </c>
      <c r="C93" s="18">
        <f si="6" t="shared"/>
        <v>5.2281097373796881E-2</v>
      </c>
      <c r="D93" s="18">
        <f si="6" t="shared"/>
        <v>3.9512571817227199E-2</v>
      </c>
      <c r="E93" s="18">
        <f si="6" t="shared"/>
        <v>2.2260154240198372E-2</v>
      </c>
      <c r="F93" s="18">
        <f si="6" t="shared"/>
        <v>5.1396076620773182E-2</v>
      </c>
      <c r="H93" s="12">
        <v>0.6875</v>
      </c>
      <c r="I93" s="17">
        <f si="5" t="shared"/>
        <v>8.0380935202995094E-2</v>
      </c>
      <c r="J93" s="17">
        <f si="5" t="shared"/>
        <v>5.5666066608986181E-2</v>
      </c>
      <c r="K93" s="17">
        <f si="5" t="shared"/>
        <v>3.7552172064677071E-2</v>
      </c>
      <c r="L93" s="17">
        <f si="5" t="shared"/>
        <v>2.2668149633624596E-2</v>
      </c>
      <c r="M93" s="18">
        <f si="5" t="shared"/>
        <v>4.945236919810448E-2</v>
      </c>
    </row>
    <row r="94" spans="1:13" x14ac:dyDescent="0.25">
      <c r="A94" s="12">
        <v>0.70833333333333337</v>
      </c>
      <c r="B94" s="18">
        <f si="6" t="shared"/>
        <v>8.1543216182406675E-2</v>
      </c>
      <c r="C94" s="18">
        <f si="6" t="shared"/>
        <v>4.1352877201902769E-2</v>
      </c>
      <c r="D94" s="18">
        <f si="6" t="shared"/>
        <v>3.830208250312065E-2</v>
      </c>
      <c r="E94" s="18">
        <f si="6" t="shared"/>
        <v>1.6255434097567568E-2</v>
      </c>
      <c r="F94" s="18">
        <f si="6" t="shared"/>
        <v>4.7376301343716759E-2</v>
      </c>
      <c r="H94" s="12">
        <v>0.70833333333333337</v>
      </c>
      <c r="I94" s="17">
        <f si="5" t="shared"/>
        <v>7.7252347536851576E-2</v>
      </c>
      <c r="J94" s="17">
        <f si="5" t="shared"/>
        <v>4.9975256183193296E-2</v>
      </c>
      <c r="K94" s="17">
        <f si="5" t="shared"/>
        <v>3.7385290266092469E-2</v>
      </c>
      <c r="L94" s="17">
        <f si="5" t="shared"/>
        <v>1.7470036482426697E-2</v>
      </c>
      <c r="M94" s="18">
        <f si="5" t="shared"/>
        <v>4.7423142344097148E-2</v>
      </c>
    </row>
    <row r="95" spans="1:13" x14ac:dyDescent="0.25">
      <c r="A95" s="12">
        <v>0.72916666666666663</v>
      </c>
      <c r="B95" s="18">
        <f si="6" t="shared"/>
        <v>6.9903897394704401E-2</v>
      </c>
      <c r="C95" s="18">
        <f si="6" t="shared"/>
        <v>3.2179849408366448E-2</v>
      </c>
      <c r="D95" s="18">
        <f si="6" t="shared"/>
        <v>3.7237619873231431E-2</v>
      </c>
      <c r="E95" s="18">
        <f si="6" t="shared"/>
        <v>1.1434299415903812E-2</v>
      </c>
      <c r="F95" s="18">
        <f si="6" t="shared"/>
        <v>4.2362172236966041E-2</v>
      </c>
      <c r="H95" s="12">
        <v>0.72916666666666663</v>
      </c>
      <c r="I95" s="17">
        <f si="5" t="shared"/>
        <v>6.8295846246955422E-2</v>
      </c>
      <c r="J95" s="17">
        <f si="5" t="shared"/>
        <v>4.3813443352400026E-2</v>
      </c>
      <c r="K95" s="17">
        <f si="5" t="shared"/>
        <v>3.7387881773728378E-2</v>
      </c>
      <c r="L95" s="17">
        <f si="5" t="shared"/>
        <v>1.351413342802156E-2</v>
      </c>
      <c r="M95" s="18">
        <f si="5" t="shared"/>
        <v>4.4150237092732386E-2</v>
      </c>
    </row>
    <row r="96" spans="1:13" x14ac:dyDescent="0.25">
      <c r="A96" s="12">
        <v>0.75</v>
      </c>
      <c r="B96" s="18">
        <f si="6" t="shared"/>
        <v>5.4714540612114337E-2</v>
      </c>
      <c r="C96" s="18">
        <f si="6" t="shared"/>
        <v>2.4680208533060202E-2</v>
      </c>
      <c r="D96" s="18">
        <f si="6" t="shared"/>
        <v>3.6273713100805585E-2</v>
      </c>
      <c r="E96" s="18">
        <f si="6" t="shared"/>
        <v>7.906161221986386E-3</v>
      </c>
      <c r="F96" s="18">
        <f si="6" t="shared"/>
        <v>3.6952694179068331E-2</v>
      </c>
      <c r="H96" s="12">
        <v>0.75</v>
      </c>
      <c r="I96" s="17">
        <f si="5" t="shared"/>
        <v>5.5564413666168079E-2</v>
      </c>
      <c r="J96" s="17">
        <f si="5" t="shared"/>
        <v>3.7608687738005388E-2</v>
      </c>
      <c r="K96" s="17">
        <f si="5" t="shared"/>
        <v>3.7380947736776776E-2</v>
      </c>
      <c r="L96" s="17">
        <f si="5" t="shared"/>
        <v>1.0681737444240946E-2</v>
      </c>
      <c r="M96" s="18">
        <f si="5" t="shared"/>
        <v>4.0066717187617298E-2</v>
      </c>
    </row>
    <row r="97" spans="1:13" x14ac:dyDescent="0.25">
      <c r="A97" s="12">
        <v>0.77083333333333337</v>
      </c>
      <c r="B97" s="18">
        <f si="6" t="shared"/>
        <v>3.9650533965812876E-2</v>
      </c>
      <c r="C97" s="18">
        <f si="6" t="shared"/>
        <v>1.8828794471597396E-2</v>
      </c>
      <c r="D97" s="18">
        <f si="6" t="shared"/>
        <v>3.5208965382037133E-2</v>
      </c>
      <c r="E97" s="18">
        <f si="6" t="shared"/>
        <v>5.5308227113639377E-3</v>
      </c>
      <c r="F97" s="18">
        <f si="6" t="shared"/>
        <v>3.1854539776078938E-2</v>
      </c>
      <c r="H97" s="12">
        <v>0.77083333333333337</v>
      </c>
      <c r="I97" s="17">
        <f ref="I97:M112" si="7" t="shared">I40/I$59</f>
        <v>4.1996360011641448E-2</v>
      </c>
      <c r="J97" s="17">
        <f si="7" t="shared"/>
        <v>3.1756176976183818E-2</v>
      </c>
      <c r="K97" s="17">
        <f si="7" t="shared"/>
        <v>3.7031875732313847E-2</v>
      </c>
      <c r="L97" s="17">
        <f si="7" t="shared"/>
        <v>8.7168646519892919E-3</v>
      </c>
      <c r="M97" s="18">
        <f si="7" t="shared"/>
        <v>3.5709805361092514E-2</v>
      </c>
    </row>
    <row r="98" spans="1:13" x14ac:dyDescent="0.25">
      <c r="A98" s="12">
        <v>0.79166666666666663</v>
      </c>
      <c r="B98" s="18">
        <f ref="B98:F113" si="8" t="shared">B41/B$59</f>
        <v>2.7475188088895874E-2</v>
      </c>
      <c r="C98" s="18">
        <f si="8" t="shared"/>
        <v>1.47012210395878E-2</v>
      </c>
      <c r="D98" s="18">
        <f si="8" t="shared"/>
        <v>3.3772352221018612E-2</v>
      </c>
      <c r="E98" s="18">
        <f si="8" t="shared"/>
        <v>4.0436723388253999E-3</v>
      </c>
      <c r="F98" s="18">
        <f si="8" t="shared"/>
        <v>2.7540120890419025E-2</v>
      </c>
      <c r="H98" s="12">
        <v>0.79166666666666663</v>
      </c>
      <c r="I98" s="17">
        <f si="7" t="shared"/>
        <v>3.0148691862933071E-2</v>
      </c>
      <c r="J98" s="17">
        <f si="7" t="shared"/>
        <v>2.6553545940629274E-2</v>
      </c>
      <c r="K98" s="17">
        <f si="7" t="shared"/>
        <v>3.5957780674730266E-2</v>
      </c>
      <c r="L98" s="17">
        <f si="7" t="shared"/>
        <v>7.3086304771542076E-3</v>
      </c>
      <c r="M98" s="18">
        <f si="7" t="shared"/>
        <v>3.1482910859420114E-2</v>
      </c>
    </row>
    <row r="99" spans="1:13" x14ac:dyDescent="0.25">
      <c r="A99" s="12">
        <v>0.8125</v>
      </c>
      <c r="B99" s="18">
        <f si="8" t="shared"/>
        <v>1.9084284825528104E-2</v>
      </c>
      <c r="C99" s="18">
        <f si="8" t="shared"/>
        <v>1.2109904575597505E-2</v>
      </c>
      <c r="D99" s="18">
        <f si="8" t="shared"/>
        <v>3.16972688855542E-2</v>
      </c>
      <c r="E99" s="18">
        <f si="8" t="shared"/>
        <v>3.2136056169662459E-3</v>
      </c>
      <c r="F99" s="18">
        <f si="8" t="shared"/>
        <v>2.4020418707150871E-2</v>
      </c>
      <c r="H99" s="12">
        <v>0.8125</v>
      </c>
      <c r="I99" s="17">
        <f si="7" t="shared"/>
        <v>2.1300627157043905E-2</v>
      </c>
      <c r="J99" s="17">
        <f si="7" t="shared"/>
        <v>2.2045002142599801E-2</v>
      </c>
      <c r="K99" s="17">
        <f si="7" t="shared"/>
        <v>3.3850976510375802E-2</v>
      </c>
      <c r="L99" s="17">
        <f si="7" t="shared"/>
        <v>6.1866315195552718E-3</v>
      </c>
      <c r="M99" s="18">
        <f si="7" t="shared"/>
        <v>2.7500161698425046E-2</v>
      </c>
    </row>
    <row r="100" spans="1:13" x14ac:dyDescent="0.25">
      <c r="A100" s="12">
        <v>0.83333333333333337</v>
      </c>
      <c r="B100" s="18">
        <f si="8" t="shared"/>
        <v>1.3871985830872955E-2</v>
      </c>
      <c r="C100" s="18">
        <f si="8" t="shared"/>
        <v>1.0456829210304287E-2</v>
      </c>
      <c r="D100" s="18">
        <f si="8" t="shared"/>
        <v>2.8797451801178823E-2</v>
      </c>
      <c r="E100" s="18">
        <f si="8" t="shared"/>
        <v>2.8946278078185532E-3</v>
      </c>
      <c r="F100" s="18">
        <f si="8" t="shared"/>
        <v>2.094767698256849E-2</v>
      </c>
      <c r="H100" s="12">
        <v>0.83333333333333337</v>
      </c>
      <c r="I100" s="17">
        <f si="7" t="shared"/>
        <v>1.5407866508342374E-2</v>
      </c>
      <c r="J100" s="17">
        <f si="7" t="shared"/>
        <v>1.8046541732495872E-2</v>
      </c>
      <c r="K100" s="17">
        <f si="7" t="shared"/>
        <v>3.0616389599861051E-2</v>
      </c>
      <c r="L100" s="17">
        <f si="7" t="shared"/>
        <v>5.1896069568696229E-3</v>
      </c>
      <c r="M100" s="18">
        <f si="7" t="shared"/>
        <v>2.3659804178641799E-2</v>
      </c>
    </row>
    <row r="101" spans="1:13" x14ac:dyDescent="0.25">
      <c r="A101" s="12">
        <v>0.85416666666666663</v>
      </c>
      <c r="B101" s="18">
        <f si="8" t="shared"/>
        <v>1.0731199853169018E-2</v>
      </c>
      <c r="C101" s="18">
        <f si="8" t="shared"/>
        <v>9.0031384544988699E-3</v>
      </c>
      <c r="D101" s="18">
        <f si="8" t="shared"/>
        <v>2.5065566374475573E-2</v>
      </c>
      <c r="E101" s="18">
        <f si="8" t="shared"/>
        <v>2.9662247121423359E-3</v>
      </c>
      <c r="F101" s="18">
        <f si="8" t="shared"/>
        <v>1.7937611781940806E-2</v>
      </c>
      <c r="H101" s="12">
        <v>0.85416666666666663</v>
      </c>
      <c r="I101" s="17">
        <f si="7" t="shared"/>
        <v>1.1705116165332966E-2</v>
      </c>
      <c r="J101" s="17">
        <f si="7" t="shared"/>
        <v>1.4372546149162025E-2</v>
      </c>
      <c r="K101" s="17">
        <f si="7" t="shared"/>
        <v>2.6472900030212049E-2</v>
      </c>
      <c r="L101" s="17">
        <f si="7" t="shared"/>
        <v>4.270932854910715E-3</v>
      </c>
      <c r="M101" s="18">
        <f si="7" t="shared"/>
        <v>1.9875020949873503E-2</v>
      </c>
    </row>
    <row r="102" spans="1:13" x14ac:dyDescent="0.25">
      <c r="A102" s="12">
        <v>0.875</v>
      </c>
      <c r="B102" s="18">
        <f si="8" t="shared"/>
        <v>8.7621305245101245E-3</v>
      </c>
      <c r="C102" s="18">
        <f si="8" t="shared"/>
        <v>7.29237180273405E-3</v>
      </c>
      <c r="D102" s="18">
        <f si="8" t="shared"/>
        <v>2.0739965028786091E-2</v>
      </c>
      <c r="E102" s="18">
        <f si="8" t="shared"/>
        <v>3.2491171534228549E-3</v>
      </c>
      <c r="F102" s="18">
        <f si="8" t="shared"/>
        <v>1.4832550929332541E-2</v>
      </c>
      <c r="H102" s="12">
        <v>0.875</v>
      </c>
      <c r="I102" s="17">
        <f si="7" t="shared"/>
        <v>9.368740346076548E-3</v>
      </c>
      <c r="J102" s="17">
        <f si="7" t="shared"/>
        <v>1.1024154930430848E-2</v>
      </c>
      <c r="K102" s="17">
        <f si="7" t="shared"/>
        <v>2.1922087365035883E-2</v>
      </c>
      <c r="L102" s="17">
        <f si="7" t="shared"/>
        <v>3.4486560109725571E-3</v>
      </c>
      <c r="M102" s="18">
        <f si="7" t="shared"/>
        <v>1.6235910058088488E-2</v>
      </c>
    </row>
    <row r="103" spans="1:13" x14ac:dyDescent="0.25">
      <c r="A103" s="12">
        <v>0.89583333333333337</v>
      </c>
      <c r="B103" s="18">
        <f si="8" t="shared"/>
        <v>7.3990127274846289E-3</v>
      </c>
      <c r="C103" s="18">
        <f si="8" t="shared"/>
        <v>5.350434129526546E-3</v>
      </c>
      <c r="D103" s="18">
        <f si="8" t="shared"/>
        <v>1.624942561092951E-2</v>
      </c>
      <c r="E103" s="18">
        <f si="8" t="shared"/>
        <v>3.4912741232337985E-3</v>
      </c>
      <c r="F103" s="18">
        <f si="8" t="shared"/>
        <v>1.1732250127295738E-2</v>
      </c>
      <c r="H103" s="12">
        <v>0.89583333333333337</v>
      </c>
      <c r="I103" s="17">
        <f si="7" t="shared"/>
        <v>7.825691469492713E-3</v>
      </c>
      <c r="J103" s="17">
        <f si="7" t="shared"/>
        <v>8.1590074397819654E-3</v>
      </c>
      <c r="K103" s="17">
        <f si="7" t="shared"/>
        <v>1.7543080249526999E-2</v>
      </c>
      <c r="L103" s="17">
        <f si="7" t="shared"/>
        <v>2.7463347674442575E-3</v>
      </c>
      <c r="M103" s="18">
        <f si="7" t="shared"/>
        <v>1.2958472329185601E-2</v>
      </c>
    </row>
    <row r="104" spans="1:13" x14ac:dyDescent="0.25">
      <c r="A104" s="12">
        <v>0.91666666666666663</v>
      </c>
      <c r="B104" s="18">
        <f si="8" t="shared"/>
        <v>6.2661941409400592E-3</v>
      </c>
      <c r="C104" s="18">
        <f si="8" t="shared"/>
        <v>3.5192567128739367E-3</v>
      </c>
      <c r="D104" s="18">
        <f si="8" t="shared"/>
        <v>1.204414053934616E-2</v>
      </c>
      <c r="E104" s="18">
        <f si="8" t="shared"/>
        <v>3.4531787962040757E-3</v>
      </c>
      <c r="F104" s="18">
        <f si="8" t="shared"/>
        <v>8.844821718247492E-3</v>
      </c>
      <c r="H104" s="12">
        <v>0.91666666666666663</v>
      </c>
      <c r="I104" s="17">
        <f si="7" t="shared"/>
        <v>6.7183117278566858E-3</v>
      </c>
      <c r="J104" s="17">
        <f si="7" t="shared"/>
        <v>5.9109085684854222E-3</v>
      </c>
      <c r="K104" s="17">
        <f si="7" t="shared"/>
        <v>1.3727654003329003E-2</v>
      </c>
      <c r="L104" s="17">
        <f si="7" t="shared"/>
        <v>2.163321420215295E-3</v>
      </c>
      <c r="M104" s="18">
        <f si="7" t="shared"/>
        <v>1.0199188223296013E-2</v>
      </c>
    </row>
    <row r="105" spans="1:13" x14ac:dyDescent="0.25">
      <c r="A105" s="12">
        <v>0.9375</v>
      </c>
      <c r="B105" s="18">
        <f si="8" t="shared"/>
        <v>5.1109901838565673E-3</v>
      </c>
      <c r="C105" s="18">
        <f si="8" t="shared"/>
        <v>2.1148115048804446E-3</v>
      </c>
      <c r="D105" s="18">
        <f si="8" t="shared"/>
        <v>8.4384485644670715E-3</v>
      </c>
      <c r="E105" s="18">
        <f si="8" t="shared"/>
        <v>3.0304262398257592E-3</v>
      </c>
      <c r="F105" s="18">
        <f si="8" t="shared"/>
        <v>6.3340956041505339E-3</v>
      </c>
      <c r="H105" s="12">
        <v>0.9375</v>
      </c>
      <c r="I105" s="17">
        <f si="7" t="shared"/>
        <v>5.7787439718583206E-3</v>
      </c>
      <c r="J105" s="17">
        <f si="7" t="shared"/>
        <v>4.2582529393034004E-3</v>
      </c>
      <c r="K105" s="17">
        <f si="7" t="shared"/>
        <v>1.0554092648536609E-2</v>
      </c>
      <c r="L105" s="17">
        <f si="7" t="shared"/>
        <v>1.6775546318565885E-3</v>
      </c>
      <c r="M105" s="18">
        <f si="7" t="shared"/>
        <v>7.9353653092118122E-3</v>
      </c>
    </row>
    <row r="106" spans="1:13" x14ac:dyDescent="0.25">
      <c r="A106" s="12">
        <v>0.95833333333333337</v>
      </c>
      <c r="B106" s="18">
        <f si="8" t="shared"/>
        <v>3.8536791692405227E-3</v>
      </c>
      <c r="C106" s="18">
        <f si="8" t="shared"/>
        <v>1.215629051117039E-3</v>
      </c>
      <c r="D106" s="18">
        <f si="8" t="shared"/>
        <v>5.5661623570505787E-3</v>
      </c>
      <c r="E106" s="18">
        <f si="8" t="shared"/>
        <v>2.3099092246779062E-3</v>
      </c>
      <c r="F106" s="18">
        <f si="8" t="shared"/>
        <v>4.2738668641241623E-3</v>
      </c>
      <c r="H106" s="12">
        <v>0.95833333333333337</v>
      </c>
      <c r="I106" s="17">
        <f si="7" t="shared"/>
        <v>4.8022024244979656E-3</v>
      </c>
      <c r="J106" s="17">
        <f si="7" t="shared"/>
        <v>3.0479312270912527E-3</v>
      </c>
      <c r="K106" s="17">
        <f si="7" t="shared"/>
        <v>7.8862987100506588E-3</v>
      </c>
      <c r="L106" s="17">
        <f si="7" t="shared"/>
        <v>1.2623467021426478E-3</v>
      </c>
      <c r="M106" s="18">
        <f si="7" t="shared"/>
        <v>6.0185996594452262E-3</v>
      </c>
    </row>
    <row r="107" spans="1:13" x14ac:dyDescent="0.25">
      <c r="A107" s="12">
        <v>0.97916666666666663</v>
      </c>
      <c r="B107" s="18">
        <f si="8" t="shared"/>
        <v>2.5996710059883197E-3</v>
      </c>
      <c r="C107" s="18">
        <f si="8" t="shared"/>
        <v>6.9973029538171071E-4</v>
      </c>
      <c r="D107" s="18">
        <f si="8" t="shared"/>
        <v>3.427019096360273E-3</v>
      </c>
      <c r="E107" s="18">
        <f si="8" t="shared"/>
        <v>1.5065282158763225E-3</v>
      </c>
      <c r="F107" s="18">
        <f si="8" t="shared"/>
        <v>2.6790451072774631E-3</v>
      </c>
      <c r="H107" s="12">
        <v>0.97916666666666663</v>
      </c>
      <c r="I107" s="17">
        <f si="7" t="shared"/>
        <v>3.7088385368122105E-3</v>
      </c>
      <c r="J107" s="17">
        <f si="7" t="shared"/>
        <v>2.1141815829889082E-3</v>
      </c>
      <c r="K107" s="17">
        <f si="7" t="shared"/>
        <v>5.5834974153050288E-3</v>
      </c>
      <c r="L107" s="17">
        <f si="7" t="shared"/>
        <v>9.0129232350590798E-4</v>
      </c>
      <c r="M107" s="18">
        <f si="7" t="shared"/>
        <v>4.3249270768091078E-3</v>
      </c>
    </row>
    <row r="108" spans="1:13" x14ac:dyDescent="0.25">
      <c r="A108" s="12">
        <v>1</v>
      </c>
      <c r="B108" s="18">
        <f si="8" t="shared"/>
        <v>1.533941650475767E-3</v>
      </c>
      <c r="C108" s="18">
        <f si="8" t="shared"/>
        <v>4.0188990625841006E-4</v>
      </c>
      <c r="D108" s="18">
        <f si="8" t="shared"/>
        <v>1.9450710610425758E-3</v>
      </c>
      <c r="E108" s="18">
        <f si="8" t="shared"/>
        <v>8.2916813632671188E-4</v>
      </c>
      <c r="F108" s="18">
        <f si="8" t="shared"/>
        <v>1.5331258600245442E-3</v>
      </c>
      <c r="H108" s="12">
        <v>1</v>
      </c>
      <c r="I108" s="17">
        <f si="7" t="shared"/>
        <v>2.5747872452824799E-3</v>
      </c>
      <c r="J108" s="17">
        <f si="7" t="shared"/>
        <v>1.3674974859876953E-3</v>
      </c>
      <c r="K108" s="17">
        <f si="7" t="shared"/>
        <v>3.6297693515377222E-3</v>
      </c>
      <c r="L108" s="17">
        <f si="7" t="shared"/>
        <v>5.9414916963366473E-4</v>
      </c>
      <c r="M108" s="18">
        <f si="7" t="shared"/>
        <v>2.8482817080562471E-3</v>
      </c>
    </row>
    <row r="109" spans="1:13" x14ac:dyDescent="0.25">
      <c r="A109" s="12">
        <v>1.0208333333333333</v>
      </c>
      <c r="B109" s="18">
        <f si="8" t="shared"/>
        <v>7.7983747843434381E-4</v>
      </c>
      <c r="C109" s="18">
        <f si="8" t="shared"/>
        <v>2.1699365874305835E-4</v>
      </c>
      <c r="D109" s="18">
        <f si="8" t="shared"/>
        <v>1.0024201479083795E-3</v>
      </c>
      <c r="E109" s="18">
        <f si="8" t="shared"/>
        <v>3.7914624039611617E-4</v>
      </c>
      <c r="F109" s="18">
        <f si="8" t="shared"/>
        <v>7.8673621312233067E-4</v>
      </c>
      <c r="H109" s="12">
        <v>1.0208333333333333</v>
      </c>
      <c r="I109" s="17">
        <f si="7" t="shared"/>
        <v>1.5648741157869325E-3</v>
      </c>
      <c r="J109" s="17">
        <f si="7" t="shared"/>
        <v>7.9419297133587197E-4</v>
      </c>
      <c r="K109" s="17">
        <f si="7" t="shared"/>
        <v>2.1025707786278091E-3</v>
      </c>
      <c r="L109" s="17">
        <f si="7" t="shared"/>
        <v>3.5141891758597448E-4</v>
      </c>
      <c r="M109" s="18">
        <f si="7" t="shared"/>
        <v>1.6673864327022695E-3</v>
      </c>
    </row>
    <row r="110" spans="1:13" x14ac:dyDescent="0.25">
      <c r="A110" s="12">
        <v>4.1666666666666664E-2</v>
      </c>
      <c r="B110" s="18">
        <f si="8" t="shared"/>
        <v>3.3792672736989587E-4</v>
      </c>
      <c r="C110" s="18">
        <f si="8" t="shared"/>
        <v>1.0255716033934597E-4</v>
      </c>
      <c r="D110" s="18">
        <f si="8" t="shared"/>
        <v>4.6082939096606887E-4</v>
      </c>
      <c r="E110" s="18">
        <f si="8" t="shared"/>
        <v>1.4121039286432225E-4</v>
      </c>
      <c r="F110" s="18">
        <f si="8" t="shared"/>
        <v>3.5570005554302252E-4</v>
      </c>
      <c r="H110" s="12">
        <v>4.1666666666666664E-2</v>
      </c>
      <c r="I110" s="17">
        <f si="7" t="shared"/>
        <v>8.1455960634225881E-4</v>
      </c>
      <c r="J110" s="17">
        <f si="7" t="shared"/>
        <v>4.012270035406067E-4</v>
      </c>
      <c r="K110" s="17">
        <f si="7" t="shared"/>
        <v>1.0567640042934417E-3</v>
      </c>
      <c r="L110" s="17">
        <f si="7" t="shared"/>
        <v>1.8134236682978909E-4</v>
      </c>
      <c r="M110" s="18">
        <f si="7" t="shared"/>
        <v>8.4504062273165024E-4</v>
      </c>
    </row>
    <row r="111" spans="1:13" x14ac:dyDescent="0.25">
      <c r="A111" s="12">
        <v>6.25E-2</v>
      </c>
      <c r="B111" s="18">
        <f si="8" t="shared"/>
        <v>1.2363326251748979E-4</v>
      </c>
      <c r="C111" s="18">
        <f si="8" t="shared"/>
        <v>4.0135252105689272E-5</v>
      </c>
      <c r="D111" s="18">
        <f si="8" t="shared"/>
        <v>1.8491287014271479E-4</v>
      </c>
      <c r="E111" s="18">
        <f si="8" t="shared"/>
        <v>4.1694188614889303E-5</v>
      </c>
      <c r="F111" s="18">
        <f si="8" t="shared"/>
        <v>1.3904340717637326E-4</v>
      </c>
      <c r="H111" s="12">
        <v>6.25E-2</v>
      </c>
      <c r="I111" s="17">
        <f si="7" t="shared"/>
        <v>3.5564106358313135E-4</v>
      </c>
      <c r="J111" s="17">
        <f si="7" t="shared"/>
        <v>1.7159731001508013E-4</v>
      </c>
      <c r="K111" s="17">
        <f si="7" t="shared"/>
        <v>4.4960026987311748E-4</v>
      </c>
      <c r="L111" s="17">
        <f si="7" t="shared"/>
        <v>7.9447841707082519E-5</v>
      </c>
      <c r="M111" s="18">
        <f si="7" t="shared"/>
        <v>3.6187181287130547E-4</v>
      </c>
    </row>
    <row r="112" spans="1:13" x14ac:dyDescent="0.25">
      <c r="A112" s="12">
        <v>8.3333333333333329E-2</v>
      </c>
      <c r="B112" s="18">
        <f si="8" t="shared"/>
        <v>3.7750660284780779E-5</v>
      </c>
      <c r="C112" s="18">
        <f si="8" t="shared"/>
        <v>1.2453420399200251E-5</v>
      </c>
      <c r="D112" s="18">
        <f si="8" t="shared"/>
        <v>6.3003181264449298E-5</v>
      </c>
      <c r="E112" s="18">
        <f si="8" t="shared"/>
        <v>9.3811357186285578E-6</v>
      </c>
      <c r="F112" s="18">
        <f si="8" t="shared"/>
        <v>4.5920345466778218E-5</v>
      </c>
      <c r="H112" s="12">
        <v>8.3333333333333329E-2</v>
      </c>
      <c r="I112" s="17">
        <f si="7" t="shared"/>
        <v>1.2726344535402787E-4</v>
      </c>
      <c r="J112" s="17">
        <f si="7" t="shared"/>
        <v>6.0481007094065968E-5</v>
      </c>
      <c r="K112" s="17">
        <f si="7" t="shared"/>
        <v>1.5777566527831874E-4</v>
      </c>
      <c r="L112" s="17">
        <f si="7" t="shared"/>
        <v>2.8727375477087418E-5</v>
      </c>
      <c r="M112" s="18">
        <f si="7" t="shared"/>
        <v>1.2764182297241461E-4</v>
      </c>
    </row>
    <row r="113" spans="1:13" x14ac:dyDescent="0.25">
      <c r="A113" s="12">
        <v>0.10416666666666667</v>
      </c>
      <c r="B113" s="18">
        <f si="8" t="shared"/>
        <v>9.4438071279570424E-6</v>
      </c>
      <c r="C113" s="18">
        <f si="8" t="shared"/>
        <v>2.9296732715337483E-6</v>
      </c>
      <c r="D113" s="18">
        <f si="8" t="shared"/>
        <v>1.7584920931824519E-5</v>
      </c>
      <c r="E113" s="18">
        <f si="8" t="shared"/>
        <v>1.5099276793092448E-6</v>
      </c>
      <c r="F113" s="18">
        <f si="8" t="shared"/>
        <v>1.2418426191434287E-5</v>
      </c>
      <c r="H113" s="12">
        <v>0.10416666666666667</v>
      </c>
      <c r="I113" s="17">
        <f ref="I113:M115" si="9" t="shared">I56/I$59</f>
        <v>3.6246237665133062E-5</v>
      </c>
      <c r="J113" s="17">
        <f si="9" t="shared"/>
        <v>1.7022995618924609E-5</v>
      </c>
      <c r="K113" s="17">
        <f si="9" t="shared"/>
        <v>4.4263640851728021E-5</v>
      </c>
      <c r="L113" s="17">
        <f si="9" t="shared"/>
        <v>8.2955939294375791E-6</v>
      </c>
      <c r="M113" s="18">
        <f si="9" t="shared"/>
        <v>3.5955820291368621E-5</v>
      </c>
    </row>
    <row r="114" spans="1:13" x14ac:dyDescent="0.25">
      <c r="A114" s="12">
        <v>0.125</v>
      </c>
      <c r="B114" s="18">
        <f ref="B114:F115" si="10" t="shared">B57/B$59</f>
        <v>1.8465322922250466E-6</v>
      </c>
      <c r="C114" s="18">
        <f si="10" t="shared"/>
        <v>4.8805273232730813E-7</v>
      </c>
      <c r="D114" s="18">
        <f si="10" t="shared"/>
        <v>3.7717178435902141E-6</v>
      </c>
      <c r="E114" s="18">
        <f si="10" t="shared"/>
        <v>1.5474352484266259E-7</v>
      </c>
      <c r="F114" s="18">
        <f si="10" t="shared"/>
        <v>2.5904625194827555E-6</v>
      </c>
      <c r="H114" s="12">
        <v>0.125</v>
      </c>
      <c r="I114" s="17">
        <f si="9" t="shared"/>
        <v>7.7684770114215996E-6</v>
      </c>
      <c r="J114" s="17">
        <f si="9" t="shared"/>
        <v>3.6136737305915212E-6</v>
      </c>
      <c r="K114" s="17">
        <f si="9" t="shared"/>
        <v>9.3764008580891774E-6</v>
      </c>
      <c r="L114" s="17">
        <f si="9" t="shared"/>
        <v>1.8039285364782267E-6</v>
      </c>
      <c r="M114" s="18">
        <f si="9" t="shared"/>
        <v>7.641061910477545E-6</v>
      </c>
    </row>
    <row ht="15.75" r="115" spans="1:13" thickBot="1" x14ac:dyDescent="0.3">
      <c r="A115" s="13" t="s">
        <v>34</v>
      </c>
      <c r="B115" s="20">
        <f si="10" t="shared"/>
        <v>0</v>
      </c>
      <c r="C115" s="20">
        <f si="10" t="shared"/>
        <v>0</v>
      </c>
      <c r="D115" s="20">
        <f si="10" t="shared"/>
        <v>0</v>
      </c>
      <c r="E115" s="20">
        <f si="10" t="shared"/>
        <v>0</v>
      </c>
      <c r="F115" s="20">
        <f si="10" t="shared"/>
        <v>0</v>
      </c>
      <c r="H115" s="13" t="s">
        <v>34</v>
      </c>
      <c r="I115" s="19">
        <f si="9" t="shared"/>
        <v>0</v>
      </c>
      <c r="J115" s="19">
        <f si="9" t="shared"/>
        <v>0</v>
      </c>
      <c r="K115" s="19">
        <f si="9" t="shared"/>
        <v>0</v>
      </c>
      <c r="L115" s="19">
        <f si="9" t="shared"/>
        <v>0</v>
      </c>
      <c r="M115" s="20">
        <f si="9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R113"/>
  <sheetViews>
    <sheetView workbookViewId="0">
      <selection activeCell="B8" sqref="B8:E56"/>
    </sheetView>
  </sheetViews>
  <sheetFormatPr defaultRowHeight="15" x14ac:dyDescent="0.25"/>
  <cols>
    <col min="1" max="1" customWidth="true" width="12.7109375" collapsed="true"/>
    <col min="2" max="6" customWidth="true" width="10.7109375" collapsed="true"/>
    <col min="7" max="7" customWidth="true" width="6.42578125" collapsed="true"/>
    <col min="8" max="8" customWidth="true" width="12.7109375" collapsed="true"/>
    <col min="9" max="13" customWidth="true" width="10.7109375" collapsed="true"/>
  </cols>
  <sheetData>
    <row r="1" spans="1:17" x14ac:dyDescent="0.25">
      <c r="A1" t="s">
        <v>10</v>
      </c>
    </row>
    <row r="2" spans="1:17" x14ac:dyDescent="0.25">
      <c r="A2" t="s">
        <v>46</v>
      </c>
    </row>
    <row r="3" spans="1:17" x14ac:dyDescent="0.25">
      <c r="A3" t="s">
        <v>7</v>
      </c>
    </row>
    <row r="5" spans="1:17" x14ac:dyDescent="0.25">
      <c r="O5" s="5"/>
      <c r="P5" s="5"/>
      <c r="Q5" s="5"/>
    </row>
    <row ht="15.75" r="6" spans="1:17" thickBot="1" x14ac:dyDescent="0.3">
      <c r="A6" s="3" t="s">
        <v>50</v>
      </c>
      <c r="B6" s="1"/>
      <c r="C6" s="1"/>
      <c r="D6" s="1"/>
      <c r="E6" s="1"/>
      <c r="F6" s="1"/>
      <c r="H6" s="3" t="s">
        <v>15</v>
      </c>
      <c r="I6" s="1"/>
      <c r="J6" s="1"/>
      <c r="K6" s="1"/>
      <c r="L6" s="1"/>
      <c r="M6" s="1"/>
      <c r="O6" s="11"/>
      <c r="P6" s="5"/>
      <c r="Q6" s="5"/>
    </row>
    <row r="7" spans="1:17" x14ac:dyDescent="0.25">
      <c r="A7" s="2" t="s">
        <v>14</v>
      </c>
      <c r="B7" s="4" t="s">
        <v>1</v>
      </c>
      <c r="C7" s="4" t="s">
        <v>2</v>
      </c>
      <c r="D7" s="4" t="s">
        <v>16</v>
      </c>
      <c r="E7" s="4" t="s">
        <v>3</v>
      </c>
      <c r="F7" s="4" t="s">
        <v>0</v>
      </c>
      <c r="H7" s="2" t="s">
        <v>14</v>
      </c>
      <c r="I7" s="4" t="s">
        <v>1</v>
      </c>
      <c r="J7" s="4" t="s">
        <v>2</v>
      </c>
      <c r="K7" s="4" t="s">
        <v>16</v>
      </c>
      <c r="L7" s="4" t="s">
        <v>3</v>
      </c>
      <c r="M7" s="4" t="s">
        <v>0</v>
      </c>
      <c r="O7" s="5"/>
      <c r="P7" s="14"/>
      <c r="Q7" s="14"/>
    </row>
    <row r="8" spans="1:17" x14ac:dyDescent="0.25">
      <c r="A8" s="15">
        <v>0</v>
      </c>
      <c r="B8" s="6" t="n">
        <v>18072.545883267692</v>
      </c>
      <c r="C8" s="6" t="n">
        <v>2451.233123487941</v>
      </c>
      <c r="D8" s="6" t="n">
        <v>339361.5110984781</v>
      </c>
      <c r="E8" s="6" t="n">
        <v>61190.38083780767</v>
      </c>
      <c r="F8" s="6">
        <f>SUM(B8:E8)</f>
        <v>1032188.9527184427</v>
      </c>
      <c r="H8" s="15">
        <v>0</v>
      </c>
      <c r="I8" s="14" t="n">
        <v>16352.0</v>
      </c>
      <c r="J8" s="14" t="n">
        <v>5824.0</v>
      </c>
      <c r="K8" s="14" t="n">
        <v>545769.0</v>
      </c>
      <c r="L8" s="14" t="n">
        <v>71442.0</v>
      </c>
      <c r="M8" s="14">
        <f>SUM(I8:L8)</f>
        <v>980720</v>
      </c>
      <c r="O8" s="5"/>
      <c r="P8" s="14"/>
      <c r="Q8" s="14"/>
    </row>
    <row r="9" spans="1:17" x14ac:dyDescent="0.25">
      <c r="A9" s="12">
        <v>2.0833333333333332E-2</v>
      </c>
      <c r="B9" s="6" t="n">
        <v>16464.179022177817</v>
      </c>
      <c r="C9" s="6" t="n">
        <v>3053.8012174481355</v>
      </c>
      <c r="D9" s="6" t="n">
        <v>252944.05676106605</v>
      </c>
      <c r="E9" s="6" t="n">
        <v>44501.588127756586</v>
      </c>
      <c r="F9" s="6">
        <f ref="F9:F56" si="0" t="shared">SUM(B9:E9)</f>
        <v>753546.38397223351</v>
      </c>
      <c r="H9" s="12">
        <v>2.0833333333333332E-2</v>
      </c>
      <c r="I9" s="9" t="n">
        <v>15511.775729179382</v>
      </c>
      <c r="J9" s="9" t="n">
        <v>4511.487367630005</v>
      </c>
      <c r="K9" s="9" t="n">
        <v>388021.92721652985</v>
      </c>
      <c r="L9" s="9" t="n">
        <v>49552.94599533081</v>
      </c>
      <c r="M9" s="14">
        <f ref="M9:M56" si="1" t="shared">SUM(I9:L9)</f>
        <v>730295.84416866302</v>
      </c>
      <c r="O9" s="5"/>
      <c r="P9" s="16"/>
      <c r="Q9" s="16"/>
    </row>
    <row r="10" spans="1:17" x14ac:dyDescent="0.25">
      <c r="A10" s="12">
        <v>4.1666666666666664E-2</v>
      </c>
      <c r="B10" s="6" t="n">
        <v>15201.418913736774</v>
      </c>
      <c r="C10" s="6" t="n">
        <v>3504.4823446195232</v>
      </c>
      <c r="D10" s="6" t="n">
        <v>176758.21129645564</v>
      </c>
      <c r="E10" s="6" t="n">
        <v>29737.979544122354</v>
      </c>
      <c r="F10" s="6">
        <f si="0" t="shared"/>
        <v>512021.1149846866</v>
      </c>
      <c r="H10" s="12">
        <v>4.1666666666666664E-2</v>
      </c>
      <c r="I10" s="9" t="n">
        <v>14901.855547904968</v>
      </c>
      <c r="J10" s="9" t="n">
        <v>3403.2990732192993</v>
      </c>
      <c r="K10" s="9" t="n">
        <v>253204.36947155</v>
      </c>
      <c r="L10" s="9" t="n">
        <v>30904.56892490387</v>
      </c>
      <c r="M10" s="14">
        <f si="1" t="shared"/>
        <v>511536.22663497925</v>
      </c>
      <c r="O10" s="5"/>
      <c r="P10" s="16"/>
      <c r="Q10" s="16"/>
    </row>
    <row r="11" spans="1:17" x14ac:dyDescent="0.25">
      <c r="A11" s="12">
        <v>6.25E-2</v>
      </c>
      <c r="B11" s="6" t="n">
        <v>14500.312146081385</v>
      </c>
      <c r="C11" s="6" t="n">
        <v>3743.8249035708977</v>
      </c>
      <c r="D11" s="6" t="n">
        <v>117061.00538184601</v>
      </c>
      <c r="E11" s="6" t="n">
        <v>18169.88331975285</v>
      </c>
      <c r="F11" s="6">
        <f si="0" t="shared"/>
        <v>329714.66776339966</v>
      </c>
      <c r="H11" s="12">
        <v>6.25E-2</v>
      </c>
      <c r="I11" s="9" t="n">
        <v>14610.511796951294</v>
      </c>
      <c r="J11" s="9" t="n">
        <v>2634.7918243408203</v>
      </c>
      <c r="K11" s="9" t="n">
        <v>154503.68892383575</v>
      </c>
      <c r="L11" s="9" t="n">
        <v>17348.620182991028</v>
      </c>
      <c r="M11" s="14">
        <f si="1" t="shared"/>
        <v>343454.19151306152</v>
      </c>
      <c r="O11" s="5"/>
      <c r="P11" s="16"/>
      <c r="Q11" s="16"/>
    </row>
    <row r="12" spans="1:17" x14ac:dyDescent="0.25">
      <c r="A12" s="12">
        <v>8.3333333333333329E-2</v>
      </c>
      <c r="B12" s="6" t="n">
        <v>14404.360154695656</v>
      </c>
      <c r="C12" s="6" t="n">
        <v>3819.4314125081683</v>
      </c>
      <c r="D12" s="6" t="n">
        <v>74755.54436389107</v>
      </c>
      <c r="E12" s="6" t="n">
        <v>10124.24463248678</v>
      </c>
      <c r="F12" s="6">
        <f si="0" t="shared"/>
        <v>208531.17592163905</v>
      </c>
      <c r="H12" s="12">
        <v>8.3333333333333329E-2</v>
      </c>
      <c r="I12" s="9" t="n">
        <v>14568.405933380127</v>
      </c>
      <c r="J12" s="9" t="n">
        <v>2263.000157356262</v>
      </c>
      <c r="K12" s="9" t="n">
        <v>92090.62350082397</v>
      </c>
      <c r="L12" s="9" t="n">
        <v>8898.055452346802</v>
      </c>
      <c r="M12" s="14">
        <f si="1" t="shared"/>
        <v>228085.16788005829</v>
      </c>
      <c r="O12" s="5"/>
      <c r="P12" s="16"/>
      <c r="Q12" s="16"/>
    </row>
    <row r="13" spans="1:17" x14ac:dyDescent="0.25">
      <c r="A13" s="12">
        <v>0.10416666666666667</v>
      </c>
      <c r="B13" s="6" t="n">
        <v>14821.492335263036</v>
      </c>
      <c r="C13" s="6" t="n">
        <v>3824.468431466502</v>
      </c>
      <c r="D13" s="6" t="n">
        <v>46909.14854338891</v>
      </c>
      <c r="E13" s="6" t="n">
        <v>5144.688159408759</v>
      </c>
      <c r="F13" s="6">
        <f si="0" t="shared"/>
        <v>136048.02608732786</v>
      </c>
      <c r="H13" s="12">
        <v>0.10416666666666667</v>
      </c>
      <c r="I13" s="9" t="n">
        <v>14649.208625793457</v>
      </c>
      <c r="J13" s="9" t="n">
        <v>2322.42777633667</v>
      </c>
      <c r="K13" s="9" t="n">
        <v>57136.60213088989</v>
      </c>
      <c r="L13" s="9" t="n">
        <v>4317.99863243103</v>
      </c>
      <c r="M13" s="14">
        <f si="1" t="shared"/>
        <v>155416.47887706757</v>
      </c>
      <c r="O13" s="5"/>
      <c r="P13" s="5"/>
      <c r="Q13" s="5"/>
    </row>
    <row r="14" spans="1:17" x14ac:dyDescent="0.25">
      <c r="A14" s="12">
        <v>0.125</v>
      </c>
      <c r="B14" s="6" t="n">
        <v>15574.935224126984</v>
      </c>
      <c r="C14" s="6" t="n">
        <v>3837.3848956199513</v>
      </c>
      <c r="D14" s="6" t="n">
        <v>29361.600413489592</v>
      </c>
      <c r="E14" s="6" t="n">
        <v>2394.960418800986</v>
      </c>
      <c r="F14" s="6">
        <f si="0" t="shared"/>
        <v>95690.852756129301</v>
      </c>
      <c r="H14" s="12">
        <v>0.125</v>
      </c>
      <c r="I14" s="9" t="n">
        <v>14775.803660392761</v>
      </c>
      <c r="J14" s="9" t="n">
        <v>2894.940044403076</v>
      </c>
      <c r="K14" s="9" t="n">
        <v>38641.36975097656</v>
      </c>
      <c r="L14" s="9" t="n">
        <v>2089.0901851654053</v>
      </c>
      <c r="M14" s="14">
        <f si="1" t="shared"/>
        <v>111782.95185089111</v>
      </c>
    </row>
    <row r="15" spans="1:17" x14ac:dyDescent="0.25">
      <c r="A15" s="12">
        <v>0.14583333333333334</v>
      </c>
      <c r="B15" s="6" t="n">
        <v>16445.414749195803</v>
      </c>
      <c r="C15" s="6" t="n">
        <v>3946.7723168682887</v>
      </c>
      <c r="D15" s="6" t="n">
        <v>18547.11099124396</v>
      </c>
      <c r="E15" s="6" t="n">
        <v>1035.9752169546339</v>
      </c>
      <c r="F15" s="6">
        <f si="0" t="shared"/>
        <v>74034.001319658069</v>
      </c>
      <c r="H15" s="12">
        <v>0.14583333333333334</v>
      </c>
      <c r="I15" s="9" t="n">
        <v>14965.563956260681</v>
      </c>
      <c r="J15" s="9" t="n">
        <v>4134.989036560059</v>
      </c>
      <c r="K15" s="9" t="n">
        <v>28227.416263580322</v>
      </c>
      <c r="L15" s="9" t="n">
        <v>1053.2928743362427</v>
      </c>
      <c r="M15" s="14">
        <f si="1" t="shared"/>
        <v>85797.138266563416</v>
      </c>
    </row>
    <row r="16" spans="1:17" x14ac:dyDescent="0.25">
      <c r="A16" s="12">
        <v>0.16666666666666666</v>
      </c>
      <c r="B16" s="6" t="n">
        <v>17248.20493475097</v>
      </c>
      <c r="C16" s="6" t="n">
        <v>4387.573740971082</v>
      </c>
      <c r="D16" s="6" t="n">
        <v>12006.965001110893</v>
      </c>
      <c r="E16" s="6" t="n">
        <v>431.6974416915425</v>
      </c>
      <c r="F16" s="6">
        <f si="0" t="shared"/>
        <v>62922.105477442579</v>
      </c>
      <c r="H16" s="12">
        <v>0.16666666666666666</v>
      </c>
      <c r="I16" s="9" t="n">
        <v>15346.378944396973</v>
      </c>
      <c r="J16" s="9" t="n">
        <v>6234.656245231628</v>
      </c>
      <c r="K16" s="9" t="n">
        <v>21342.312708854675</v>
      </c>
      <c r="L16" s="9" t="n">
        <v>555.4012365341187</v>
      </c>
      <c r="M16" s="14">
        <f si="1" t="shared"/>
        <v>70155.909008979797</v>
      </c>
    </row>
    <row r="17" spans="1:13" x14ac:dyDescent="0.25">
      <c r="A17" s="12">
        <v>0.1875</v>
      </c>
      <c r="B17" s="6" t="n">
        <v>17973.96557622622</v>
      </c>
      <c r="C17" s="6" t="n">
        <v>5709.424516695996</v>
      </c>
      <c r="D17" s="6" t="n">
        <v>8149.373171682074</v>
      </c>
      <c r="E17" s="6" t="n">
        <v>187.66744559073632</v>
      </c>
      <c r="F17" s="6">
        <f si="0" t="shared"/>
        <v>58232.463920073227</v>
      </c>
      <c r="H17" s="12">
        <v>0.1875</v>
      </c>
      <c r="I17" s="9" t="n">
        <v>16185.955892562866</v>
      </c>
      <c r="J17" s="9" t="n">
        <v>9355.095072746277</v>
      </c>
      <c r="K17" s="9" t="n">
        <v>16185.573579788208</v>
      </c>
      <c r="L17" s="9" t="n">
        <v>296.5068292617798</v>
      </c>
      <c r="M17" s="14">
        <f si="1" t="shared"/>
        <v>60952.749404907227</v>
      </c>
    </row>
    <row r="18" spans="1:13" x14ac:dyDescent="0.25">
      <c r="A18" s="12">
        <v>0.20833333333333334</v>
      </c>
      <c r="B18" s="6" t="n">
        <v>18944.703593340273</v>
      </c>
      <c r="C18" s="6" t="n">
        <v>8758.66609857479</v>
      </c>
      <c r="D18" s="6" t="n">
        <v>5911.772171658062</v>
      </c>
      <c r="E18" s="6" t="n">
        <v>96.96861394709249</v>
      </c>
      <c r="F18" s="6">
        <f si="0" t="shared"/>
        <v>57878.014946996431</v>
      </c>
      <c r="H18" s="12">
        <v>0.20833333333333334</v>
      </c>
      <c r="I18" s="9" t="n">
        <v>17904.163723945618</v>
      </c>
      <c r="J18" s="9" t="n">
        <v>13538.980791091919</v>
      </c>
      <c r="K18" s="9" t="n">
        <v>12220.685405731201</v>
      </c>
      <c r="L18" s="9" t="n">
        <v>154.59988689422607</v>
      </c>
      <c r="M18" s="14">
        <f si="1" t="shared"/>
        <v>56391.666440963745</v>
      </c>
    </row>
    <row r="19" spans="1:13" x14ac:dyDescent="0.25">
      <c r="A19" s="12">
        <v>0.22916666666666666</v>
      </c>
      <c r="B19" s="6" t="n">
        <v>20886.686267976078</v>
      </c>
      <c r="C19" s="6" t="n">
        <v>14220.259021118487</v>
      </c>
      <c r="D19" s="6" t="n">
        <v>4576.2945458753475</v>
      </c>
      <c r="E19" s="6" t="n">
        <v>65.33729868329159</v>
      </c>
      <c r="F19" s="6">
        <f si="0" t="shared"/>
        <v>60477.675558242576</v>
      </c>
      <c r="H19" s="12">
        <v>0.22916666666666666</v>
      </c>
      <c r="I19" s="9" t="n">
        <v>21000.868178367615</v>
      </c>
      <c r="J19" s="9" t="n">
        <v>18580.685571670532</v>
      </c>
      <c r="K19" s="9" t="n">
        <v>9236.258392333984</v>
      </c>
      <c r="L19" s="9" t="n">
        <v>77.24820327758789</v>
      </c>
      <c r="M19" s="14">
        <f si="1" t="shared"/>
        <v>55674.159536361694</v>
      </c>
    </row>
    <row r="20" spans="1:13" x14ac:dyDescent="0.25">
      <c r="A20" s="12">
        <v>0.25</v>
      </c>
      <c r="B20" s="6" t="n">
        <v>24821.611246770528</v>
      </c>
      <c r="C20" s="6" t="n">
        <v>21784.486937487403</v>
      </c>
      <c r="D20" s="6" t="n">
        <v>3693.0418235355974</v>
      </c>
      <c r="E20" s="6" t="n">
        <v>53.69011499162181</v>
      </c>
      <c r="F20" s="6">
        <f si="0" t="shared"/>
        <v>64899.66388713479</v>
      </c>
      <c r="H20" s="12">
        <v>0.25</v>
      </c>
      <c r="I20" s="9" t="n">
        <v>25881.63626384735</v>
      </c>
      <c r="J20" s="9" t="n">
        <v>23868.314748764038</v>
      </c>
      <c r="K20" s="9" t="n">
        <v>7020.463327407837</v>
      </c>
      <c r="L20" s="9" t="n">
        <v>37.355525970458984</v>
      </c>
      <c r="M20" s="14">
        <f si="1" t="shared"/>
        <v>58139.993014335632</v>
      </c>
    </row>
    <row r="21" spans="1:13" x14ac:dyDescent="0.25">
      <c r="A21" s="12">
        <v>0.27083333333333331</v>
      </c>
      <c r="B21" s="6" t="n">
        <v>31685.683970652317</v>
      </c>
      <c r="C21" s="6" t="n">
        <v>29599.325365178298</v>
      </c>
      <c r="D21" s="6" t="n">
        <v>3022.038591199087</v>
      </c>
      <c r="E21" s="6" t="n">
        <v>46.24611375904051</v>
      </c>
      <c r="F21" s="6">
        <f si="0" t="shared"/>
        <v>70242.559667769718</v>
      </c>
      <c r="H21" s="12">
        <v>0.27083333333333331</v>
      </c>
      <c r="I21" s="9" t="n">
        <v>32625.820274353027</v>
      </c>
      <c r="J21" s="9" t="n">
        <v>28339.965351104736</v>
      </c>
      <c r="K21" s="9" t="n">
        <v>5355.64817905426</v>
      </c>
      <c r="L21" s="9" t="n">
        <v>18.467217445373535</v>
      </c>
      <c r="M21" s="14">
        <f si="1" t="shared"/>
        <v>62727.866897583008</v>
      </c>
    </row>
    <row r="22" spans="1:13" x14ac:dyDescent="0.25">
      <c r="A22" s="12">
        <v>0.29166666666666669</v>
      </c>
      <c r="B22" s="6" t="n">
        <v>41660.58144419237</v>
      </c>
      <c r="C22" s="6" t="n">
        <v>34831.63902386605</v>
      </c>
      <c r="D22" s="6" t="n">
        <v>2465.029304761589</v>
      </c>
      <c r="E22" s="6" t="n">
        <v>37.25109963305929</v>
      </c>
      <c r="F22" s="6">
        <f si="0" t="shared"/>
        <v>75702.055054486264</v>
      </c>
      <c r="H22" s="12">
        <v>0.29166666666666669</v>
      </c>
      <c r="I22" s="9" t="n">
        <v>40749.77080345154</v>
      </c>
      <c r="J22" s="9" t="n">
        <v>30742.973423957825</v>
      </c>
      <c r="K22" s="9" t="n">
        <v>4075.0846071243286</v>
      </c>
      <c r="L22" s="9" t="n">
        <v>10.145625114440918</v>
      </c>
      <c r="M22" s="14">
        <f si="1" t="shared"/>
        <v>67874.739546775818</v>
      </c>
    </row>
    <row r="23" spans="1:13" x14ac:dyDescent="0.25">
      <c r="A23" s="12">
        <v>0.3125</v>
      </c>
      <c r="B23" s="6" t="n">
        <v>53472.25579984445</v>
      </c>
      <c r="C23" s="6" t="n">
        <v>35297.11053132123</v>
      </c>
      <c r="D23" s="6" t="n">
        <v>1997.8660390307932</v>
      </c>
      <c r="E23" s="6" t="n">
        <v>26.327309280123252</v>
      </c>
      <c r="F23" s="6">
        <f si="0" t="shared"/>
        <v>80148.256861960748</v>
      </c>
      <c r="H23" s="12">
        <v>0.3125</v>
      </c>
      <c r="I23" s="9" t="n">
        <v>49031.962445259094</v>
      </c>
      <c r="J23" s="9" t="n">
        <v>30184.3787651062</v>
      </c>
      <c r="K23" s="9" t="n">
        <v>3077.214267730713</v>
      </c>
      <c r="L23" s="9" t="n">
        <v>6.302238464355469</v>
      </c>
      <c r="M23" s="14">
        <f si="1" t="shared"/>
        <v>71786.751289367676</v>
      </c>
    </row>
    <row r="24" spans="1:13" x14ac:dyDescent="0.25">
      <c r="A24" s="12">
        <v>0.33333333333333331</v>
      </c>
      <c r="B24" s="6" t="n">
        <v>64258.205944091635</v>
      </c>
      <c r="C24" s="6" t="n">
        <v>30913.090188785445</v>
      </c>
      <c r="D24" s="6" t="n">
        <v>1617.569485556931</v>
      </c>
      <c r="E24" s="6" t="n">
        <v>15.74391917518417</v>
      </c>
      <c r="F24" s="6">
        <f si="0" t="shared"/>
        <v>81857.519737922965</v>
      </c>
      <c r="H24" s="12">
        <v>0.33333333333333331</v>
      </c>
      <c r="I24" s="9" t="n">
        <v>55563.064717292786</v>
      </c>
      <c r="J24" s="9" t="n">
        <v>26646.873273849487</v>
      </c>
      <c r="K24" s="9" t="n">
        <v>2303.404101371765</v>
      </c>
      <c r="L24" s="9" t="n">
        <v>4.052026748657227</v>
      </c>
      <c r="M24" s="14">
        <f si="1" t="shared"/>
        <v>72837.459487915039</v>
      </c>
    </row>
    <row r="25" spans="1:13" x14ac:dyDescent="0.25">
      <c r="A25" s="12">
        <v>0.35416666666666669</v>
      </c>
      <c r="B25" s="6" t="n">
        <v>70516.48926753797</v>
      </c>
      <c r="C25" s="6" t="n">
        <v>23671.675371713587</v>
      </c>
      <c r="D25" s="6" t="n">
        <v>1312.463254291909</v>
      </c>
      <c r="E25" s="6" t="n">
        <v>7.767731541924611</v>
      </c>
      <c r="F25" s="6">
        <f si="0" t="shared"/>
        <v>78995.641338024725</v>
      </c>
      <c r="H25" s="12">
        <v>0.35416666666666669</v>
      </c>
      <c r="I25" s="9" t="n">
        <v>58239.978160858154</v>
      </c>
      <c r="J25" s="9" t="n">
        <v>21070.192797660828</v>
      </c>
      <c r="K25" s="9" t="n">
        <v>1713.4616012573242</v>
      </c>
      <c r="L25" s="9" t="n">
        <v>2.440937042236328</v>
      </c>
      <c r="M25" s="14">
        <f si="1" t="shared"/>
        <v>69931.913642883301</v>
      </c>
    </row>
    <row r="26" spans="1:13" x14ac:dyDescent="0.25">
      <c r="A26" s="12">
        <v>0.375</v>
      </c>
      <c r="B26" s="6" t="n">
        <v>69846.9040478029</v>
      </c>
      <c r="C26" s="6" t="n">
        <v>16204.88187172205</v>
      </c>
      <c r="D26" s="6" t="n">
        <v>1058.4084064708888</v>
      </c>
      <c r="E26" s="6" t="n">
        <v>3.0890253370727754</v>
      </c>
      <c r="F26" s="6">
        <f si="0" t="shared"/>
        <v>70743.660075956737</v>
      </c>
      <c r="H26" s="12">
        <v>0.375</v>
      </c>
      <c r="I26" s="9" t="n">
        <v>55686.25852012634</v>
      </c>
      <c r="J26" s="9" t="n">
        <v>14904.201395988464</v>
      </c>
      <c r="K26" s="9" t="n">
        <v>1273.6487035751343</v>
      </c>
      <c r="L26" s="9" t="n">
        <v>1.3051090240478516</v>
      </c>
      <c r="M26" s="14">
        <f si="1" t="shared"/>
        <v>62831.264352798462</v>
      </c>
    </row>
    <row r="27" spans="1:13" x14ac:dyDescent="0.25">
      <c r="A27" s="12">
        <v>0.39583333333333331</v>
      </c>
      <c r="B27" s="6" t="n">
        <v>62309.53269327647</v>
      </c>
      <c r="C27" s="6" t="n">
        <v>10276.32270079978</v>
      </c>
      <c r="D27" s="6" t="n">
        <v>833.1378754877356</v>
      </c>
      <c r="E27" s="6" t="n">
        <v>0.9631012079217656</v>
      </c>
      <c r="F27" s="6">
        <f si="0" t="shared"/>
        <v>58118.570884331944</v>
      </c>
      <c r="H27" s="12">
        <v>0.39583333333333331</v>
      </c>
      <c r="I27" s="9" t="n">
        <v>48102.73905467987</v>
      </c>
      <c r="J27" s="9" t="n">
        <v>9446.165550231934</v>
      </c>
      <c r="K27" s="9" t="n">
        <v>952.6498098373413</v>
      </c>
      <c r="L27" s="9" t="n">
        <v>0.6075363159179688</v>
      </c>
      <c r="M27" s="14">
        <f si="1" t="shared"/>
        <v>52361.138367652893</v>
      </c>
    </row>
    <row r="28" spans="1:13" x14ac:dyDescent="0.25">
      <c r="A28" s="12">
        <v>0.41666666666666669</v>
      </c>
      <c r="B28" s="6" t="n">
        <v>50327.282721232434</v>
      </c>
      <c r="C28" s="6" t="n">
        <v>6311.361063697122</v>
      </c>
      <c r="D28" s="6" t="n">
        <v>630.252904464274</v>
      </c>
      <c r="E28" s="6" t="n">
        <v>0.22644116267393027</v>
      </c>
      <c r="F28" s="6">
        <f si="0" t="shared"/>
        <v>43658.362302164285</v>
      </c>
      <c r="H28" s="12">
        <v>0.41666666666666669</v>
      </c>
      <c r="I28" s="9" t="n">
        <v>37357.25335979462</v>
      </c>
      <c r="J28" s="9" t="n">
        <v>5393.350443840027</v>
      </c>
      <c r="K28" s="9" t="n">
        <v>719.9012117385864</v>
      </c>
      <c r="L28" s="9" t="n">
        <v>0.2453784942626953</v>
      </c>
      <c r="M28" s="14">
        <f si="1" t="shared"/>
        <v>40264.74187374115</v>
      </c>
    </row>
    <row r="29" spans="1:13" x14ac:dyDescent="0.25">
      <c r="A29" s="12">
        <v>0.4375</v>
      </c>
      <c r="B29" s="6" t="n">
        <v>37244.881800751275</v>
      </c>
      <c r="C29" s="6" t="n">
        <v>3890.9496591743805</v>
      </c>
      <c r="D29" s="6" t="n">
        <v>458.78565600330455</v>
      </c>
      <c r="E29" s="6" t="n">
        <v>0.03773403893235783</v>
      </c>
      <c r="F29" s="6">
        <f si="0" t="shared"/>
        <v>30168.266058834612</v>
      </c>
      <c r="H29" s="12">
        <v>0.4375</v>
      </c>
      <c r="I29" s="9" t="n">
        <v>26114.305901527405</v>
      </c>
      <c r="J29" s="9" t="n">
        <v>2806.19122505188</v>
      </c>
      <c r="K29" s="9" t="n">
        <v>546.6834526062012</v>
      </c>
      <c r="L29" s="9" t="n">
        <v>0.08597087860107422</v>
      </c>
      <c r="M29" s="14">
        <f si="1" t="shared"/>
        <v>28594.886384010315</v>
      </c>
    </row>
    <row r="30" spans="1:13" x14ac:dyDescent="0.25">
      <c r="A30" s="12">
        <v>0.45833333333333331</v>
      </c>
      <c r="B30" s="6" t="n">
        <v>25713.556664781943</v>
      </c>
      <c r="C30" s="6" t="n">
        <v>2430.9376404132827</v>
      </c>
      <c r="D30" s="6" t="n">
        <v>330.40789416178455</v>
      </c>
      <c r="E30" s="6" t="n">
        <v>0.00397200409814293</v>
      </c>
      <c r="F30" s="6">
        <f si="0" t="shared"/>
        <v>19502.942659544922</v>
      </c>
      <c r="H30" s="12">
        <v>0.45833333333333331</v>
      </c>
      <c r="I30" s="9" t="n">
        <v>16593.91668510437</v>
      </c>
      <c r="J30" s="9" t="n">
        <v>1360.146538734436</v>
      </c>
      <c r="K30" s="9" t="n">
        <v>410.5507974624634</v>
      </c>
      <c r="L30" s="9" t="n">
        <v>0.025941848754882812</v>
      </c>
      <c r="M30" s="14">
        <f si="1" t="shared"/>
        <v>18937.240681648254</v>
      </c>
    </row>
    <row r="31" spans="1:13" x14ac:dyDescent="0.25">
      <c r="A31" s="12">
        <v>0.47916666666666669</v>
      </c>
      <c r="B31" s="6" t="n">
        <v>16943.48069121696</v>
      </c>
      <c r="C31" s="6" t="n">
        <v>1521.5805610414204</v>
      </c>
      <c r="D31" s="6" t="n">
        <v>246.8047114123993</v>
      </c>
      <c r="E31" s="6" t="n">
        <v>1.9860020490714646E-4</v>
      </c>
      <c r="F31" s="6">
        <f si="0" t="shared"/>
        <v>12140.60424844768</v>
      </c>
      <c r="H31" s="12">
        <v>0.47916666666666669</v>
      </c>
      <c r="I31" s="9" t="n">
        <v>9807.241822242737</v>
      </c>
      <c r="J31" s="9" t="n">
        <v>638.8200435638428</v>
      </c>
      <c r="K31" s="9" t="n">
        <v>299.4140043258667</v>
      </c>
      <c r="L31" s="9" t="n">
        <v>0.006585121154785156</v>
      </c>
      <c r="M31" s="14">
        <f si="1" t="shared"/>
        <v>11945.926198959351</v>
      </c>
    </row>
    <row r="32" spans="1:13" x14ac:dyDescent="0.25">
      <c r="A32" s="12">
        <v>0.5</v>
      </c>
      <c r="B32" s="6" t="n">
        <v>10921.098298424928</v>
      </c>
      <c r="C32" s="6" t="n">
        <v>942.8438247101745</v>
      </c>
      <c r="D32" s="6" t="n">
        <v>196.74611571512693</v>
      </c>
      <c r="E32" s="6" t="n">
        <v>0.0</v>
      </c>
      <c r="F32" s="6">
        <f si="0" t="shared"/>
        <v>7539.4296094416404</v>
      </c>
      <c r="H32" s="12">
        <v>0.5</v>
      </c>
      <c r="I32" s="9" t="n">
        <v>5612.615323066711</v>
      </c>
      <c r="J32" s="9" t="n">
        <v>309.26409244537354</v>
      </c>
      <c r="K32" s="9" t="n">
        <v>210.7958116531372</v>
      </c>
      <c r="L32" s="9" t="n">
        <v>0.0013418197631835938</v>
      </c>
      <c r="M32" s="14">
        <f si="1" t="shared"/>
        <v>7411.1983919143677</v>
      </c>
    </row>
    <row r="33" spans="1:13" x14ac:dyDescent="0.25">
      <c r="A33" s="12">
        <v>0.52083333333333337</v>
      </c>
      <c r="B33" s="6" t="n">
        <v>7029.697837669265</v>
      </c>
      <c r="C33" s="6" t="n">
        <v>578.9523213456637</v>
      </c>
      <c r="D33" s="6" t="n">
        <v>163.1888607981882</v>
      </c>
      <c r="E33" s="6" t="n">
        <v>0.0</v>
      </c>
      <c r="F33" s="6">
        <f si="0" t="shared"/>
        <v>4783.9684113378325</v>
      </c>
      <c r="H33" s="12">
        <v>0.52083333333333337</v>
      </c>
      <c r="I33" s="9" t="n">
        <v>3275.7707834243774</v>
      </c>
      <c r="J33" s="9" t="n">
        <v>165.57504177093506</v>
      </c>
      <c r="K33" s="9" t="n">
        <v>146.19380474090576</v>
      </c>
      <c r="L33" s="9" t="n">
        <v>2.0313262939453125E-4</v>
      </c>
      <c r="M33" s="14">
        <f si="1" t="shared"/>
        <v>4672.6464176177979</v>
      </c>
    </row>
    <row r="34" spans="1:13" x14ac:dyDescent="0.25">
      <c r="A34" s="12">
        <v>0.54166666666666663</v>
      </c>
      <c r="B34" s="6" t="n">
        <v>4565.115897320679</v>
      </c>
      <c r="C34" s="6" t="n">
        <v>358.5692848571233</v>
      </c>
      <c r="D34" s="6" t="n">
        <v>133.51054680549666</v>
      </c>
      <c r="E34" s="6" t="n">
        <v>0.0</v>
      </c>
      <c r="F34" s="6">
        <f si="0" t="shared"/>
        <v>3079.6419362030242</v>
      </c>
      <c r="H34" s="12">
        <v>0.54166666666666663</v>
      </c>
      <c r="I34" s="9" t="n">
        <v>2021.3897972106934</v>
      </c>
      <c r="J34" s="9" t="n">
        <v>101.72723960876465</v>
      </c>
      <c r="K34" s="9" t="n">
        <v>104.91606426239014</v>
      </c>
      <c r="L34" s="9" t="n">
        <v>2.002716064453125E-5</v>
      </c>
      <c r="M34" s="14">
        <f si="1" t="shared"/>
        <v>3039.3164539337158</v>
      </c>
    </row>
    <row r="35" spans="1:13" x14ac:dyDescent="0.25">
      <c r="A35" s="12">
        <v>0.5625</v>
      </c>
      <c r="B35" s="6" t="n">
        <v>2985.960771349126</v>
      </c>
      <c r="C35" s="6" t="n">
        <v>230.1935800321769</v>
      </c>
      <c r="D35" s="6" t="n">
        <v>104.46806260624209</v>
      </c>
      <c r="E35" s="6" t="n">
        <v>0.0</v>
      </c>
      <c r="F35" s="6">
        <f si="0" t="shared"/>
        <v>1942.8950080964134</v>
      </c>
      <c r="H35" s="12">
        <v>0.5625</v>
      </c>
      <c r="I35" s="9" t="n">
        <v>1308.96568775177</v>
      </c>
      <c r="J35" s="9" t="n">
        <v>70.34053134918213</v>
      </c>
      <c r="K35" s="9" t="n">
        <v>81.68342208862305</v>
      </c>
      <c r="L35" s="9" t="n">
        <v>9.5367431640625E-7</v>
      </c>
      <c r="M35" s="14">
        <f si="1" t="shared"/>
        <v>2015.5234241485596</v>
      </c>
    </row>
    <row r="36" spans="1:13" x14ac:dyDescent="0.25">
      <c r="A36" s="12">
        <v>0.58333333333333337</v>
      </c>
      <c r="B36" s="6" t="n">
        <v>1954.112599514184</v>
      </c>
      <c r="C36" s="6" t="n">
        <v>154.52658914725205</v>
      </c>
      <c r="D36" s="6" t="n">
        <v>78.88978331333169</v>
      </c>
      <c r="E36" s="6" t="n">
        <v>0.0</v>
      </c>
      <c r="F36" s="6">
        <f si="0" t="shared"/>
        <v>1158.0831737511464</v>
      </c>
      <c r="H36" s="12">
        <v>0.58333333333333337</v>
      </c>
      <c r="I36" s="9" t="n">
        <v>857.8751811981201</v>
      </c>
      <c r="J36" s="9" t="n">
        <v>52.37513256072998</v>
      </c>
      <c r="K36" s="9" t="n">
        <v>68.58822727203369</v>
      </c>
      <c r="L36" s="9" t="n">
        <v>0.0</v>
      </c>
      <c r="M36" s="14">
        <f si="1" t="shared"/>
        <v>1329.6354818344116</v>
      </c>
    </row>
    <row r="37" spans="1:13" x14ac:dyDescent="0.25">
      <c r="A37" s="12">
        <v>0.60416666666666663</v>
      </c>
      <c r="B37" s="6" t="n">
        <v>1273.5168019676203</v>
      </c>
      <c r="C37" s="6" t="n">
        <v>104.54107338022928</v>
      </c>
      <c r="D37" s="6" t="n">
        <v>59.08915243422098</v>
      </c>
      <c r="E37" s="6" t="n">
        <v>0.0</v>
      </c>
      <c r="F37" s="6">
        <f si="0" t="shared"/>
        <v>646.00087499161327</v>
      </c>
      <c r="H37" s="12">
        <v>0.60416666666666663</v>
      </c>
      <c r="I37" s="9" t="n">
        <v>556.7500982284546</v>
      </c>
      <c r="J37" s="9" t="n">
        <v>40.504767417907715</v>
      </c>
      <c r="K37" s="9" t="n">
        <v>58.717647552490234</v>
      </c>
      <c r="L37" s="9" t="n">
        <v>0.0</v>
      </c>
      <c r="M37" s="14">
        <f si="1" t="shared"/>
        <v>860.2904748916626</v>
      </c>
    </row>
    <row r="38" spans="1:13" x14ac:dyDescent="0.25">
      <c r="A38" s="12">
        <v>0.625</v>
      </c>
      <c r="B38" s="6" t="n">
        <v>820.9523870340399</v>
      </c>
      <c r="C38" s="6" t="n">
        <v>66.66484231691516</v>
      </c>
      <c r="D38" s="6" t="n">
        <v>43.994409337715545</v>
      </c>
      <c r="E38" s="6" t="n">
        <v>0.0</v>
      </c>
      <c r="F38" s="6">
        <f si="0" t="shared"/>
        <v>356.62613442709835</v>
      </c>
      <c r="H38" s="12">
        <v>0.625</v>
      </c>
      <c r="I38" s="9" t="n">
        <v>364.899941444397</v>
      </c>
      <c r="J38" s="9" t="n">
        <v>31.638230323791504</v>
      </c>
      <c r="K38" s="9" t="n">
        <v>48.44766426086426</v>
      </c>
      <c r="L38" s="9" t="n">
        <v>0.0</v>
      </c>
      <c r="M38" s="14">
        <f si="1" t="shared"/>
        <v>550.8863353729248</v>
      </c>
    </row>
    <row r="39" spans="1:13" x14ac:dyDescent="0.25">
      <c r="A39" s="12">
        <v>0.64583333333333337</v>
      </c>
      <c r="B39" s="6" t="n">
        <v>513.3389320314095</v>
      </c>
      <c r="C39" s="6" t="n">
        <v>37.64437854499337</v>
      </c>
      <c r="D39" s="6" t="n">
        <v>31.24255152553925</v>
      </c>
      <c r="E39" s="6" t="n">
        <v>0.0</v>
      </c>
      <c r="F39" s="6">
        <f si="0" t="shared"/>
        <v>226.20157220357177</v>
      </c>
      <c r="H39" s="12">
        <v>0.64583333333333337</v>
      </c>
      <c r="I39" s="9" t="n">
        <v>254.03737545013428</v>
      </c>
      <c r="J39" s="9" t="n">
        <v>24.21938133239746</v>
      </c>
      <c r="K39" s="9" t="n">
        <v>37.35794258117676</v>
      </c>
      <c r="L39" s="9" t="n">
        <v>0.0</v>
      </c>
      <c r="M39" s="14">
        <f si="1" t="shared"/>
        <v>358.84299755096436</v>
      </c>
    </row>
    <row r="40" spans="1:13" x14ac:dyDescent="0.25">
      <c r="A40" s="12">
        <v>0.66666666666666663</v>
      </c>
      <c r="B40" s="6" t="n">
        <v>300.8168882457024</v>
      </c>
      <c r="C40" s="6" t="n">
        <v>17.98291622621346</v>
      </c>
      <c r="D40" s="6" t="n">
        <v>19.968574025722766</v>
      </c>
      <c r="E40" s="6" t="n">
        <v>0.0</v>
      </c>
      <c r="F40" s="6">
        <f si="0" t="shared"/>
        <v>182.32873396953528</v>
      </c>
      <c r="H40" s="12">
        <v>0.66666666666666663</v>
      </c>
      <c r="I40" s="9" t="n">
        <v>192.76999282836914</v>
      </c>
      <c r="J40" s="9" t="n">
        <v>17.558250427246094</v>
      </c>
      <c r="K40" s="9" t="n">
        <v>26.663959503173828</v>
      </c>
      <c r="L40" s="9" t="n">
        <v>0.0</v>
      </c>
      <c r="M40" s="14">
        <f si="1" t="shared"/>
        <v>242.93341159820557</v>
      </c>
    </row>
    <row r="41" spans="1:13" x14ac:dyDescent="0.25">
      <c r="A41" s="12">
        <v>0.6875</v>
      </c>
      <c r="B41" s="6" t="n">
        <v>158.7223155651875</v>
      </c>
      <c r="C41" s="6" t="n">
        <v>7.019180382032604</v>
      </c>
      <c r="D41" s="6" t="n">
        <v>10.953603745141649</v>
      </c>
      <c r="E41" s="6" t="n">
        <v>0.0</v>
      </c>
      <c r="F41" s="6">
        <f si="0" t="shared"/>
        <v>164.77998065075371</v>
      </c>
      <c r="H41" s="12">
        <v>0.6875</v>
      </c>
      <c r="I41" s="9" t="n">
        <v>153.241961479187</v>
      </c>
      <c r="J41" s="9" t="n">
        <v>11.6597318649292</v>
      </c>
      <c r="K41" s="9" t="n">
        <v>17.635342597961426</v>
      </c>
      <c r="L41" s="9" t="n">
        <v>0.0</v>
      </c>
      <c r="M41" s="14">
        <f si="1" t="shared"/>
        <v>169.24385547637939</v>
      </c>
    </row>
    <row r="42" spans="1:13" x14ac:dyDescent="0.25">
      <c r="A42" s="12">
        <v>0.70833333333333337</v>
      </c>
      <c r="B42" s="6" t="n">
        <v>72.69680830034318</v>
      </c>
      <c r="C42" s="6" t="n">
        <v>2.164879996249038</v>
      </c>
      <c r="D42" s="6" t="n">
        <v>4.987645176933048</v>
      </c>
      <c r="E42" s="6" t="n">
        <v>0.0</v>
      </c>
      <c r="F42" s="6">
        <f si="0" t="shared"/>
        <v>140.23212543073649</v>
      </c>
      <c r="H42" s="12">
        <v>0.70833333333333337</v>
      </c>
      <c r="I42" s="9" t="n">
        <v>118.99560737609863</v>
      </c>
      <c r="J42" s="9" t="n">
        <v>6.895891189575195</v>
      </c>
      <c r="K42" s="9" t="n">
        <v>10.842818260192871</v>
      </c>
      <c r="L42" s="9" t="n">
        <v>0.0</v>
      </c>
      <c r="M42" s="14">
        <f si="1" t="shared"/>
        <v>116.92003726959229</v>
      </c>
    </row>
    <row r="43" spans="1:13" x14ac:dyDescent="0.25">
      <c r="A43" s="12">
        <v>0.72916666666666663</v>
      </c>
      <c r="B43" s="6" t="n">
        <v>28.00688905896778</v>
      </c>
      <c r="C43" s="6" t="n">
        <v>0.5059380007810897</v>
      </c>
      <c r="D43" s="6" t="n">
        <v>1.8355299922428134</v>
      </c>
      <c r="E43" s="6" t="n">
        <v>0.0</v>
      </c>
      <c r="F43" s="6">
        <f si="0" t="shared"/>
        <v>102.86960924259158</v>
      </c>
      <c r="H43" s="12">
        <v>0.72916666666666663</v>
      </c>
      <c r="I43" s="9" t="n">
        <v>85.43904876708984</v>
      </c>
      <c r="J43" s="9" t="n">
        <v>3.5532426834106445</v>
      </c>
      <c r="K43" s="9" t="n">
        <v>6.189375877380371</v>
      </c>
      <c r="L43" s="9" t="n">
        <v>0.0</v>
      </c>
      <c r="M43" s="14">
        <f si="1" t="shared"/>
        <v>77.034435272216797</v>
      </c>
    </row>
    <row r="44" spans="1:13" x14ac:dyDescent="0.25">
      <c r="A44" s="12">
        <v>0.75</v>
      </c>
      <c r="B44" s="6" t="n">
        <v>8.810053006320874</v>
      </c>
      <c r="C44" s="6" t="n">
        <v>0.08405812337963588</v>
      </c>
      <c r="D44" s="6" t="n">
        <v>0.5305956551627629</v>
      </c>
      <c r="E44" s="6" t="n">
        <v>0.0</v>
      </c>
      <c r="F44" s="6">
        <f si="0" t="shared"/>
        <v>62.79526289069419</v>
      </c>
      <c r="H44" s="12">
        <v>0.75</v>
      </c>
      <c r="I44" s="9" t="n">
        <v>54.866379737854004</v>
      </c>
      <c r="J44" s="9" t="n">
        <v>1.567850112915039</v>
      </c>
      <c r="K44" s="9" t="n">
        <v>3.2496862411499023</v>
      </c>
      <c r="L44" s="9" t="n">
        <v>0.0</v>
      </c>
      <c r="M44" s="14">
        <f si="1" t="shared"/>
        <v>47.290019989013672</v>
      </c>
    </row>
    <row r="45" spans="1:13" x14ac:dyDescent="0.25">
      <c r="A45" s="12">
        <v>0.77083333333333337</v>
      </c>
      <c r="B45" s="6" t="n">
        <v>2.1885050041934266</v>
      </c>
      <c r="C45" s="6" t="n">
        <v>0.008838694656030427</v>
      </c>
      <c r="D45" s="6" t="n">
        <v>0.11589060879583506</v>
      </c>
      <c r="E45" s="6" t="n">
        <v>0.0</v>
      </c>
      <c r="F45" s="6">
        <f si="0" t="shared"/>
        <v>31.291787083131023</v>
      </c>
      <c r="H45" s="12">
        <v>0.77083333333333337</v>
      </c>
      <c r="I45" s="9" t="n">
        <v>30.841551780700684</v>
      </c>
      <c r="J45" s="9" t="n">
        <v>0.5841712951660156</v>
      </c>
      <c r="K45" s="9" t="n">
        <v>1.5425395965576172</v>
      </c>
      <c r="L45" s="9" t="n">
        <v>0.0</v>
      </c>
      <c r="M45" s="14">
        <f si="1" t="shared"/>
        <v>27.046208381652832</v>
      </c>
    </row>
    <row r="46" spans="1:13" x14ac:dyDescent="0.25">
      <c r="A46" s="12">
        <v>0.79166666666666663</v>
      </c>
      <c r="B46" s="6" t="n">
        <v>0.41066224743252755</v>
      </c>
      <c r="C46" s="6" t="n">
        <v>4.419347328015213E-4</v>
      </c>
      <c r="D46" s="6" t="n">
        <v>0.017979642947359743</v>
      </c>
      <c r="E46" s="6" t="n">
        <v>0.0</v>
      </c>
      <c r="F46" s="6">
        <f si="0" t="shared"/>
        <v>12.495608031689949</v>
      </c>
      <c r="H46" s="12">
        <v>0.79166666666666663</v>
      </c>
      <c r="I46" s="9" t="n">
        <v>14.906785011291504</v>
      </c>
      <c r="J46" s="9" t="n">
        <v>0.181640625</v>
      </c>
      <c r="K46" s="9" t="n">
        <v>0.6472663879394531</v>
      </c>
      <c r="L46" s="9" t="n">
        <v>0.0</v>
      </c>
      <c r="M46" s="14">
        <f si="1" t="shared"/>
        <v>14.844918251037598</v>
      </c>
    </row>
    <row r="47" spans="1:13" x14ac:dyDescent="0.25">
      <c r="A47" s="12">
        <v>0.8125</v>
      </c>
      <c r="B47" s="6" t="n">
        <v>0.054378417081521635</v>
      </c>
      <c r="C47" s="6" t="n">
        <v>0.0</v>
      </c>
      <c r="D47" s="6" t="n">
        <v>0.0017660768716429736</v>
      </c>
      <c r="E47" s="6" t="n">
        <v>0.0</v>
      </c>
      <c r="F47" s="6">
        <f si="0" t="shared"/>
        <v>3.9009450572419953</v>
      </c>
      <c r="H47" s="12">
        <v>0.8125</v>
      </c>
      <c r="I47" s="9" t="n">
        <v>6.0806732177734375</v>
      </c>
      <c r="J47" s="9" t="n">
        <v>0.046662330627441406</v>
      </c>
      <c r="K47" s="9" t="n">
        <v>0.23413562774658203</v>
      </c>
      <c r="L47" s="9" t="n">
        <v>0.0</v>
      </c>
      <c r="M47" s="14">
        <f si="1" t="shared"/>
        <v>8.2655572891235352</v>
      </c>
    </row>
    <row r="48" spans="1:13" x14ac:dyDescent="0.25">
      <c r="A48" s="12">
        <v>0.83333333333333337</v>
      </c>
      <c r="B48" s="6" t="n">
        <v>0.0044948641939328475</v>
      </c>
      <c r="C48" s="6" t="n">
        <v>0.0</v>
      </c>
      <c r="D48" s="6" t="n">
        <v>8.258044993095112E-5</v>
      </c>
      <c r="E48" s="6" t="n">
        <v>0.0</v>
      </c>
      <c r="F48" s="6">
        <f si="0" t="shared"/>
        <v>0.91724665281000572</v>
      </c>
      <c r="H48" s="12">
        <v>0.83333333333333337</v>
      </c>
      <c r="I48" s="9" t="n">
        <v>2.047224998474121</v>
      </c>
      <c r="J48" s="9" t="n">
        <v>0.009809494018554688</v>
      </c>
      <c r="K48" s="9" t="n">
        <v>0.07103729248046875</v>
      </c>
      <c r="L48" s="9" t="n">
        <v>0.0</v>
      </c>
      <c r="M48" s="14">
        <f si="1" t="shared"/>
        <v>4.8561763763427734</v>
      </c>
    </row>
    <row r="49" spans="1:13" x14ac:dyDescent="0.25">
      <c r="A49" s="12">
        <v>0.85416666666666663</v>
      </c>
      <c r="B49" s="6" t="n">
        <v>1.7257705419924642E-4</v>
      </c>
      <c r="C49" s="6" t="n">
        <v>0.0</v>
      </c>
      <c r="D49" s="6" t="n">
        <v>0.0</v>
      </c>
      <c r="E49" s="6" t="n">
        <v>0.0</v>
      </c>
      <c r="F49" s="6">
        <f si="0" t="shared"/>
        <v>0.15280153518797465</v>
      </c>
      <c r="H49" s="12">
        <v>0.85416666666666663</v>
      </c>
      <c r="I49" s="9" t="n">
        <v>0.5525846481323242</v>
      </c>
      <c r="J49" s="9" t="n">
        <v>0.0016622543334960938</v>
      </c>
      <c r="K49" s="9" t="n">
        <v>0.017508506774902344</v>
      </c>
      <c r="L49" s="9" t="n">
        <v>0.0</v>
      </c>
      <c r="M49" s="14">
        <f si="1" t="shared"/>
        <v>2.9257106781005859</v>
      </c>
    </row>
    <row r="50" spans="1:13" x14ac:dyDescent="0.25">
      <c r="A50" s="12">
        <v>0.875</v>
      </c>
      <c r="B50" s="6" t="n">
        <v>0.0</v>
      </c>
      <c r="C50" s="6" t="n">
        <v>0.0</v>
      </c>
      <c r="D50" s="6" t="n">
        <v>0.0</v>
      </c>
      <c r="E50" s="6" t="n">
        <v>0.0</v>
      </c>
      <c r="F50" s="6">
        <f si="0" t="shared"/>
        <v>1.607908683031458E-2</v>
      </c>
      <c r="H50" s="12">
        <v>0.875</v>
      </c>
      <c r="I50" s="9" t="n">
        <v>0.11475086212158203</v>
      </c>
      <c r="J50" s="9" t="n">
        <v>2.1839141845703125E-4</v>
      </c>
      <c r="K50" s="9" t="n">
        <v>0.003360748291015625</v>
      </c>
      <c r="L50" s="9" t="n">
        <v>0.0</v>
      </c>
      <c r="M50" s="14">
        <f si="1" t="shared"/>
        <v>1.6737079620361328</v>
      </c>
    </row>
    <row r="51" spans="1:13" x14ac:dyDescent="0.25">
      <c r="A51" s="12">
        <v>0.89583333333333337</v>
      </c>
      <c r="B51" s="6" t="n">
        <v>0.0</v>
      </c>
      <c r="C51" s="6" t="n">
        <v>0.0</v>
      </c>
      <c r="D51" s="6" t="n">
        <v>0.0</v>
      </c>
      <c r="E51" s="6" t="n">
        <v>0.0</v>
      </c>
      <c r="F51" s="6">
        <f si="0" t="shared"/>
        <v>8.0378193728349034E-4</v>
      </c>
      <c r="H51" s="12">
        <v>0.89583333333333337</v>
      </c>
      <c r="I51" s="9" t="n">
        <v>0.017187118530273438</v>
      </c>
      <c r="J51" s="9" t="n">
        <v>2.002716064453125E-5</v>
      </c>
      <c r="K51" s="9" t="n">
        <v>4.711151123046875E-4</v>
      </c>
      <c r="L51" s="9" t="n">
        <v>0.0</v>
      </c>
      <c r="M51" s="14">
        <f si="1" t="shared"/>
        <v>0.84735393524169922</v>
      </c>
    </row>
    <row r="52" spans="1:13" x14ac:dyDescent="0.25">
      <c r="A52" s="12">
        <v>0.91666666666666663</v>
      </c>
      <c r="B52" s="6" t="n">
        <v>0.0</v>
      </c>
      <c r="C52" s="6" t="n">
        <v>0.0</v>
      </c>
      <c r="D52" s="6" t="n">
        <v>0.0</v>
      </c>
      <c r="E52" s="6" t="n">
        <v>0.0</v>
      </c>
      <c r="F52" s="6">
        <f si="0" t="shared"/>
        <v>0</v>
      </c>
      <c r="H52" s="12">
        <v>0.91666666666666663</v>
      </c>
      <c r="I52" s="9" t="n">
        <v>0.0016508102416992188</v>
      </c>
      <c r="J52" s="9" t="n">
        <v>9.5367431640625E-7</v>
      </c>
      <c r="K52" s="9" t="n">
        <v>4.291534423828125E-5</v>
      </c>
      <c r="L52" s="9" t="n">
        <v>0.0</v>
      </c>
      <c r="M52" s="14">
        <f si="1" t="shared"/>
        <v>0.36226272583007813</v>
      </c>
    </row>
    <row r="53" spans="1:13" x14ac:dyDescent="0.25">
      <c r="A53" s="12">
        <v>0.9375</v>
      </c>
      <c r="B53" s="6" t="n">
        <v>0.0</v>
      </c>
      <c r="C53" s="6" t="n">
        <v>0.0</v>
      </c>
      <c r="D53" s="6" t="n">
        <v>0.0</v>
      </c>
      <c r="E53" s="6" t="n">
        <v>0.0</v>
      </c>
      <c r="F53" s="6">
        <f si="0" t="shared"/>
        <v>0</v>
      </c>
      <c r="H53" s="12">
        <v>0.9375</v>
      </c>
      <c r="I53" s="9" t="n">
        <v>7.62939453125E-5</v>
      </c>
      <c r="J53" s="9" t="n">
        <v>0.0</v>
      </c>
      <c r="K53" s="9" t="n">
        <v>1.9073486328125E-6</v>
      </c>
      <c r="L53" s="9" t="n">
        <v>0.0</v>
      </c>
      <c r="M53" s="14">
        <f si="1" t="shared"/>
        <v>0.12652397155761719</v>
      </c>
    </row>
    <row r="54" spans="1:13" x14ac:dyDescent="0.25">
      <c r="A54" s="12">
        <v>0.95833333333333337</v>
      </c>
      <c r="B54" s="6" t="n">
        <v>0.0</v>
      </c>
      <c r="C54" s="6" t="n">
        <v>0.0</v>
      </c>
      <c r="D54" s="6" t="n">
        <v>0.0</v>
      </c>
      <c r="E54" s="6" t="n">
        <v>0.0</v>
      </c>
      <c r="F54" s="6">
        <f si="0" t="shared"/>
        <v>0</v>
      </c>
      <c r="H54" s="12">
        <v>0.95833333333333337</v>
      </c>
      <c r="I54" s="9" t="n">
        <v>0.0</v>
      </c>
      <c r="J54" s="9" t="n">
        <v>0.0</v>
      </c>
      <c r="K54" s="9" t="n">
        <v>0.0</v>
      </c>
      <c r="L54" s="9" t="n">
        <v>0.0</v>
      </c>
      <c r="M54" s="14">
        <f si="1" t="shared"/>
        <v>3.4971237182617188E-2</v>
      </c>
    </row>
    <row r="55" spans="1:13" x14ac:dyDescent="0.25">
      <c r="A55" s="12">
        <v>0.97916666666666663</v>
      </c>
      <c r="B55" s="6" t="n">
        <v>0.0</v>
      </c>
      <c r="C55" s="6" t="n">
        <v>0.0</v>
      </c>
      <c r="D55" s="6" t="n">
        <v>0.0</v>
      </c>
      <c r="E55" s="6" t="n">
        <v>0.0</v>
      </c>
      <c r="F55" s="6">
        <f si="0" t="shared"/>
        <v>0</v>
      </c>
      <c r="H55" s="12">
        <v>0.97916666666666663</v>
      </c>
      <c r="I55" s="9" t="n">
        <v>0.0</v>
      </c>
      <c r="J55" s="9" t="n">
        <v>0.0</v>
      </c>
      <c r="K55" s="9" t="n">
        <v>0.0</v>
      </c>
      <c r="L55" s="9" t="n">
        <v>0.0</v>
      </c>
      <c r="M55" s="14">
        <f si="1" t="shared"/>
        <v>7.2431564331054688E-3</v>
      </c>
    </row>
    <row r="56" spans="1:13" x14ac:dyDescent="0.25">
      <c r="A56" s="21" t="s">
        <v>13</v>
      </c>
      <c r="B56" s="22" t="n">
        <v>0.0</v>
      </c>
      <c r="C56" s="22" t="n">
        <v>0.0</v>
      </c>
      <c r="D56" s="22" t="n">
        <v>0.0</v>
      </c>
      <c r="E56" s="22" t="n">
        <v>0.0</v>
      </c>
      <c r="F56" s="22">
        <f si="0" t="shared"/>
        <v>0</v>
      </c>
      <c r="G56" s="5"/>
      <c r="H56" s="21" t="s">
        <v>13</v>
      </c>
      <c r="I56" s="24" t="n">
        <v>0.0</v>
      </c>
      <c r="J56" s="24" t="n">
        <v>0.0</v>
      </c>
      <c r="K56" s="24" t="n">
        <v>0.0</v>
      </c>
      <c r="L56" s="24" t="n">
        <v>0.0</v>
      </c>
      <c r="M56" s="27">
        <f si="1" t="shared"/>
        <v>0</v>
      </c>
    </row>
    <row ht="15.75" r="57" spans="1:13" thickBot="1" x14ac:dyDescent="0.3">
      <c r="A57" s="1"/>
      <c r="B57" s="7">
        <f>SUM(B8:B56)</f>
        <v>737211.55154903443</v>
      </c>
      <c r="C57" s="7">
        <f>SUM(C8:C56)</f>
        <v>676567.16620063386</v>
      </c>
      <c r="D57" s="7">
        <f>SUM(D8:D56)</f>
        <v>2414791.2629554877</v>
      </c>
      <c r="E57" s="7">
        <f>SUM(E8:E56)</f>
        <v>259328.18520156018</v>
      </c>
      <c r="F57" s="7">
        <f>SUM(F8:F56)</f>
        <v>4087898.1659067171</v>
      </c>
      <c r="H57" s="1"/>
      <c r="I57" s="7">
        <f>SUM(I8:I56)</f>
        <v>724024.96195793152</v>
      </c>
      <c r="J57" s="7">
        <f>SUM(J8:J56)</f>
        <v>590446.25089645386</v>
      </c>
      <c r="K57" s="7">
        <f>SUM(K8:K56)</f>
        <v>2445214.1336202621</v>
      </c>
      <c r="L57" s="7">
        <f>SUM(L8:L56)</f>
        <v>269763.81121635437</v>
      </c>
      <c r="M57" s="7">
        <f>SUM(M8:M56)</f>
        <v>4029449.1576910019</v>
      </c>
    </row>
    <row ht="15.75" r="63" spans="1:13" thickBot="1" x14ac:dyDescent="0.3">
      <c r="A63" s="3" t="s">
        <v>50</v>
      </c>
      <c r="B63" s="1"/>
      <c r="C63" s="1"/>
      <c r="D63" s="1"/>
      <c r="E63" s="1"/>
      <c r="F63" s="1"/>
      <c r="H63" s="3" t="s">
        <v>15</v>
      </c>
      <c r="I63" s="1"/>
      <c r="J63" s="1"/>
      <c r="K63" s="1"/>
      <c r="L63" s="1"/>
      <c r="M63" s="1"/>
    </row>
    <row r="64" spans="1:13" x14ac:dyDescent="0.25">
      <c r="A64" s="2" t="s">
        <v>14</v>
      </c>
      <c r="B64" s="4" t="s">
        <v>48</v>
      </c>
      <c r="C64" s="4" t="s">
        <v>48</v>
      </c>
      <c r="D64" s="4" t="s">
        <v>48</v>
      </c>
      <c r="E64" s="4" t="s">
        <v>48</v>
      </c>
      <c r="F64" s="4" t="s">
        <v>0</v>
      </c>
      <c r="H64" s="2" t="s">
        <v>14</v>
      </c>
      <c r="I64" s="4" t="s">
        <v>35</v>
      </c>
      <c r="J64" s="4" t="s">
        <v>35</v>
      </c>
      <c r="K64" s="4" t="s">
        <v>35</v>
      </c>
      <c r="L64" s="4" t="s">
        <v>35</v>
      </c>
      <c r="M64" s="4" t="s">
        <v>0</v>
      </c>
    </row>
    <row r="65" spans="1:13" x14ac:dyDescent="0.25">
      <c r="A65" s="15">
        <v>0</v>
      </c>
      <c r="B65" s="18">
        <f>B8/B$57</f>
        <v>5.5121517320689983E-2</v>
      </c>
      <c r="C65" s="18">
        <f ref="C65:F65" si="2" t="shared">C8/C$57</f>
        <v>0.19793796761072643</v>
      </c>
      <c r="D65" s="18">
        <f si="2" t="shared"/>
        <v>0.31778332181217739</v>
      </c>
      <c r="E65" s="18">
        <f si="2" t="shared"/>
        <v>0.34803010126203854</v>
      </c>
      <c r="F65" s="18">
        <f si="2" t="shared"/>
        <v>0.2524986951306547</v>
      </c>
      <c r="G65" s="18"/>
      <c r="H65" s="15">
        <v>0</v>
      </c>
      <c r="I65" s="18">
        <f ref="I65:M65" si="3" t="shared">I8/I$57</f>
        <v>3.8866063296910246E-2</v>
      </c>
      <c r="J65" s="18">
        <f si="3" t="shared"/>
        <v>0.15241861534959997</v>
      </c>
      <c r="K65" s="18">
        <f si="3" t="shared"/>
        <v>0.31479247130817484</v>
      </c>
      <c r="L65" s="18">
        <f si="3" t="shared"/>
        <v>0.34418997708159227</v>
      </c>
      <c r="M65" s="18">
        <f si="3" t="shared"/>
        <v>0.24338810631922272</v>
      </c>
    </row>
    <row r="66" spans="1:13" x14ac:dyDescent="0.25">
      <c r="A66" s="12">
        <v>2.0833333333333332E-2</v>
      </c>
      <c r="B66" s="18">
        <f ref="B66:F66" si="4" t="shared">B9/B$57</f>
        <v>4.2280087087113144E-2</v>
      </c>
      <c r="C66" s="18">
        <f si="4" t="shared"/>
        <v>0.14030837695888757</v>
      </c>
      <c r="D66" s="18">
        <f si="4" t="shared"/>
        <v>0.23316804027444205</v>
      </c>
      <c r="E66" s="18">
        <f si="4" t="shared"/>
        <v>0.24832174671874546</v>
      </c>
      <c r="F66" s="18">
        <f si="4" t="shared"/>
        <v>0.18433589913194254</v>
      </c>
      <c r="G66" s="18"/>
      <c r="H66" s="12">
        <v>2.0833333333333332E-2</v>
      </c>
      <c r="I66" s="18">
        <f ref="I66:M66" si="5" t="shared">I9/I$57</f>
        <v>3.5034329415150611E-2</v>
      </c>
      <c r="J66" s="18">
        <f si="5" t="shared"/>
        <v>0.11889911838420075</v>
      </c>
      <c r="K66" s="18">
        <f si="5" t="shared"/>
        <v>0.23224085015748208</v>
      </c>
      <c r="L66" s="18">
        <f si="5" t="shared"/>
        <v>0.24780183432060987</v>
      </c>
      <c r="M66" s="18">
        <f si="5" t="shared"/>
        <v>0.18123962248654973</v>
      </c>
    </row>
    <row r="67" spans="1:13" x14ac:dyDescent="0.25">
      <c r="A67" s="12">
        <v>4.1666666666666664E-2</v>
      </c>
      <c r="B67" s="18">
        <f ref="B67:F67" si="6" t="shared">B10/B$57</f>
        <v>3.1939132801994903E-2</v>
      </c>
      <c r="C67" s="18">
        <f si="6" t="shared"/>
        <v>9.180291914867425E-2</v>
      </c>
      <c r="D67" s="18">
        <f si="6" t="shared"/>
        <v>0.15914012832189647</v>
      </c>
      <c r="E67" s="18">
        <f si="6" t="shared"/>
        <v>0.1622430087543332</v>
      </c>
      <c r="F67" s="18">
        <f si="6" t="shared"/>
        <v>0.12525290362048871</v>
      </c>
      <c r="G67" s="18"/>
      <c r="H67" s="12">
        <v>4.1666666666666664E-2</v>
      </c>
      <c r="I67" s="18">
        <f ref="I67:M67" si="7" t="shared">I10/I$57</f>
        <v>3.2177493078123343E-2</v>
      </c>
      <c r="J67" s="18">
        <f si="7" t="shared"/>
        <v>8.9593083873427334E-2</v>
      </c>
      <c r="K67" s="18">
        <f si="7" t="shared"/>
        <v>0.15993070477180638</v>
      </c>
      <c r="L67" s="18">
        <f si="7" t="shared"/>
        <v>0.16412208163271266</v>
      </c>
      <c r="M67" s="18">
        <f si="7" t="shared"/>
        <v>0.12694941829917647</v>
      </c>
    </row>
    <row r="68" spans="1:13" x14ac:dyDescent="0.25">
      <c r="A68" s="12">
        <v>6.25E-2</v>
      </c>
      <c r="B68" s="18">
        <f ref="B68:F68" si="8" t="shared">B11/B$57</f>
        <v>2.546042841741878E-2</v>
      </c>
      <c r="C68" s="18">
        <f si="8" t="shared"/>
        <v>5.7428231331991382E-2</v>
      </c>
      <c r="D68" s="18">
        <f si="8" t="shared"/>
        <v>0.10215949106673161</v>
      </c>
      <c r="E68" s="18">
        <f si="8" t="shared"/>
        <v>9.7933989006359121E-2</v>
      </c>
      <c r="F68" s="18">
        <f si="8" t="shared"/>
        <v>8.065628212396217E-2</v>
      </c>
      <c r="G68" s="18"/>
      <c r="H68" s="12">
        <v>6.25E-2</v>
      </c>
      <c r="I68" s="18">
        <f ref="I68:M68" si="9" t="shared">I11/I$57</f>
        <v>3.0847210712030771E-2</v>
      </c>
      <c r="J68" s="18">
        <f si="9" t="shared"/>
        <v>6.6958023438772912E-2</v>
      </c>
      <c r="K68" s="18">
        <f si="9" t="shared"/>
        <v>0.10403646524435667</v>
      </c>
      <c r="L68" s="18">
        <f si="9" t="shared"/>
        <v>0.10080481771778917</v>
      </c>
      <c r="M68" s="18">
        <f si="9" t="shared"/>
        <v>8.523601566172169E-2</v>
      </c>
    </row>
    <row r="69" spans="1:13" x14ac:dyDescent="0.25">
      <c r="A69" s="12">
        <v>8.3333333333333329E-2</v>
      </c>
      <c r="B69" s="18">
        <f ref="B69:F69" si="10" t="shared">B12/B$57</f>
        <v>2.274667943620862E-2</v>
      </c>
      <c r="C69" s="18">
        <f si="10" t="shared"/>
        <v>3.6871804111431129E-2</v>
      </c>
      <c r="D69" s="18">
        <f si="10" t="shared"/>
        <v>6.3062895089520857E-2</v>
      </c>
      <c r="E69" s="18">
        <f si="10" t="shared"/>
        <v>5.6037414411237038E-2</v>
      </c>
      <c r="F69" s="18">
        <f si="10" t="shared"/>
        <v>5.1011832354533652E-2</v>
      </c>
      <c r="G69" s="18"/>
      <c r="H69" s="12">
        <v>8.3333333333333329E-2</v>
      </c>
      <c r="I69" s="18">
        <f ref="I69:M69" si="11" t="shared">I12/I$57</f>
        <v>3.0990042759984737E-2</v>
      </c>
      <c r="J69" s="18">
        <f si="11" t="shared"/>
        <v>5.1162700404067896E-2</v>
      </c>
      <c r="K69" s="18">
        <f si="11" t="shared"/>
        <v>6.5276779246532343E-2</v>
      </c>
      <c r="L69" s="18">
        <f si="11" t="shared"/>
        <v>5.8655293414594731E-2</v>
      </c>
      <c r="M69" s="18">
        <f si="11" t="shared"/>
        <v>5.6604552869146535E-2</v>
      </c>
    </row>
    <row r="70" spans="1:13" x14ac:dyDescent="0.25">
      <c r="A70" s="12">
        <v>0.10416666666666667</v>
      </c>
      <c r="B70" s="18">
        <f ref="B70:F70" si="12" t="shared">B13/B$57</f>
        <v>2.2764923530181193E-2</v>
      </c>
      <c r="C70" s="18">
        <f si="12" t="shared"/>
        <v>2.6436050903955229E-2</v>
      </c>
      <c r="D70" s="18">
        <f si="12" t="shared"/>
        <v>3.8572643661097965E-2</v>
      </c>
      <c r="E70" s="18">
        <f si="12" t="shared"/>
        <v>3.1754413955459568E-2</v>
      </c>
      <c r="F70" s="18">
        <f si="12" t="shared"/>
        <v>3.3280678863768051E-2</v>
      </c>
      <c r="G70" s="18"/>
      <c r="H70" s="12">
        <v>0.10416666666666667</v>
      </c>
      <c r="I70" s="18">
        <f ref="I70:M70" si="13" t="shared">I13/I$57</f>
        <v>3.2059362523325294E-2</v>
      </c>
      <c r="J70" s="18">
        <f si="13" t="shared"/>
        <v>4.0881562326918003E-2</v>
      </c>
      <c r="K70" s="18">
        <f si="13" t="shared"/>
        <v>4.0497622498177122E-2</v>
      </c>
      <c r="L70" s="18">
        <f si="13" t="shared"/>
        <v>3.3514413915183727E-2</v>
      </c>
      <c r="M70" s="18">
        <f si="13" t="shared"/>
        <v>3.8570155074527851E-2</v>
      </c>
    </row>
    <row r="71" spans="1:13" x14ac:dyDescent="0.25">
      <c r="A71" s="12">
        <v>0.125</v>
      </c>
      <c r="B71" s="18">
        <f ref="B71:F71" si="14" t="shared">B14/B$57</f>
        <v>2.4295482400827198E-2</v>
      </c>
      <c r="C71" s="18">
        <f si="14" t="shared"/>
        <v>2.1973754458258037E-2</v>
      </c>
      <c r="D71" s="18">
        <f si="14" t="shared"/>
        <v>2.404894455247529E-2</v>
      </c>
      <c r="E71" s="18">
        <f si="14" t="shared"/>
        <v>1.866376577151024E-2</v>
      </c>
      <c r="F71" s="18">
        <f si="14" t="shared"/>
        <v>2.3408325959339199E-2</v>
      </c>
      <c r="G71" s="18"/>
      <c r="H71" s="12">
        <v>0.125</v>
      </c>
      <c r="I71" s="18">
        <f ref="I71:M71" si="15" t="shared">I14/I$57</f>
        <v>3.330684626908495E-2</v>
      </c>
      <c r="J71" s="18">
        <f si="15" t="shared"/>
        <v>3.4504733780071864E-2</v>
      </c>
      <c r="K71" s="18">
        <f si="15" t="shared"/>
        <v>2.5356952710966562E-2</v>
      </c>
      <c r="L71" s="18">
        <f si="15" t="shared"/>
        <v>1.9615655158113716E-2</v>
      </c>
      <c r="M71" s="18">
        <f si="15" t="shared"/>
        <v>2.774149703254878E-2</v>
      </c>
    </row>
    <row r="72" spans="1:13" x14ac:dyDescent="0.25">
      <c r="A72" s="12">
        <v>0.14583333333333334</v>
      </c>
      <c r="B72" s="18">
        <f ref="B72:F72" si="16" t="shared">B15/B$57</f>
        <v>2.6388919747064345E-2</v>
      </c>
      <c r="C72" s="18">
        <f si="16" t="shared"/>
        <v>2.0753290535816749E-2</v>
      </c>
      <c r="D72" s="18">
        <f si="16" t="shared"/>
        <v>1.5543133268886469E-2</v>
      </c>
      <c r="E72" s="18">
        <f si="16" t="shared"/>
        <v>1.1589050619662209E-2</v>
      </c>
      <c r="F72" s="18">
        <f si="16" t="shared"/>
        <v>1.8110529742914216E-2</v>
      </c>
      <c r="G72" s="18"/>
      <c r="H72" s="12">
        <v>0.14583333333333334</v>
      </c>
      <c r="I72" s="18">
        <f ref="I72:M72" si="17" t="shared">I15/I$57</f>
        <v>3.4121722523853371E-2</v>
      </c>
      <c r="J72" s="18">
        <f si="17" t="shared"/>
        <v>3.0859735902876179E-2</v>
      </c>
      <c r="K72" s="18">
        <f si="17" t="shared"/>
        <v>1.6201166470849841E-2</v>
      </c>
      <c r="L72" s="18">
        <f si="17" t="shared"/>
        <v>1.2069160783451022E-2</v>
      </c>
      <c r="M72" s="18">
        <f si="17" t="shared"/>
        <v>2.1292522850872204E-2</v>
      </c>
    </row>
    <row r="73" spans="1:13" x14ac:dyDescent="0.25">
      <c r="A73" s="12">
        <v>0.16666666666666666</v>
      </c>
      <c r="B73" s="18">
        <f ref="B73:F73" si="18" t="shared">B16/B$57</f>
        <v>2.8482613043965207E-2</v>
      </c>
      <c r="C73" s="18">
        <f si="18" t="shared"/>
        <v>2.1723945305456686E-2</v>
      </c>
      <c r="D73" s="18">
        <f si="18" t="shared"/>
        <v>1.0473065328554703E-2</v>
      </c>
      <c r="E73" s="18">
        <f si="18" t="shared"/>
        <v>7.4670609207357378E-3</v>
      </c>
      <c r="F73" s="18">
        <f si="18" t="shared"/>
        <v>1.5392287900470761E-2</v>
      </c>
      <c r="G73" s="18"/>
      <c r="H73" s="12">
        <v>0.16666666666666666</v>
      </c>
      <c r="I73" s="18">
        <f ref="I73:M73" si="19" t="shared">I16/I$57</f>
        <v>3.4326868605263884E-2</v>
      </c>
      <c r="J73" s="18">
        <f si="19" t="shared"/>
        <v>2.9264202660645781E-2</v>
      </c>
      <c r="K73" s="18">
        <f si="19" t="shared"/>
        <v>1.0608971217675891E-2</v>
      </c>
      <c r="L73" s="18">
        <f si="19" t="shared"/>
        <v>7.7188046552497721E-3</v>
      </c>
      <c r="M73" s="18">
        <f si="19" t="shared"/>
        <v>1.7410793948119025E-2</v>
      </c>
    </row>
    <row r="74" spans="1:13" x14ac:dyDescent="0.25">
      <c r="A74" s="12">
        <v>0.1875</v>
      </c>
      <c r="B74" s="18">
        <f ref="B74:F74" si="20" t="shared">B17/B$57</f>
        <v>3.0376884216044196E-2</v>
      </c>
      <c r="C74" s="18">
        <f si="20" t="shared"/>
        <v>2.4779574990669708E-2</v>
      </c>
      <c r="D74" s="18">
        <f si="20" t="shared"/>
        <v>7.3768096321124143E-3</v>
      </c>
      <c r="E74" s="18">
        <f si="20" t="shared"/>
        <v>4.8578279131299253E-3</v>
      </c>
      <c r="F74" s="18">
        <f si="20" t="shared"/>
        <v>1.4245086730813159E-2</v>
      </c>
      <c r="G74" s="18"/>
      <c r="H74" s="12">
        <v>0.1875</v>
      </c>
      <c r="I74" s="18">
        <f ref="I74:M74" si="21" t="shared">I17/I$57</f>
        <v>3.4331281067311294E-2</v>
      </c>
      <c r="J74" s="18">
        <f si="21" t="shared"/>
        <v>2.9284290614446623E-2</v>
      </c>
      <c r="K74" s="18">
        <f si="21" t="shared"/>
        <v>7.1481280560430627E-3</v>
      </c>
      <c r="L74" s="18">
        <f si="21" t="shared"/>
        <v>4.9174185935932108E-3</v>
      </c>
      <c r="M74" s="18">
        <f si="21" t="shared"/>
        <v>1.5126819329278998E-2</v>
      </c>
    </row>
    <row r="75" spans="1:13" x14ac:dyDescent="0.25">
      <c r="A75" s="12">
        <v>0.20833333333333334</v>
      </c>
      <c r="B75" s="18">
        <f ref="B75:F75" si="22" t="shared">B18/B$57</f>
        <v>3.2233283833094234E-2</v>
      </c>
      <c r="C75" s="18">
        <f si="22" t="shared"/>
        <v>2.9777325760341925E-2</v>
      </c>
      <c r="D75" s="18">
        <f si="22" t="shared"/>
        <v>5.4449589441340068E-3</v>
      </c>
      <c r="E75" s="18">
        <f si="22" t="shared"/>
        <v>3.1638117857845614E-3</v>
      </c>
      <c r="F75" s="18">
        <f si="22" t="shared"/>
        <v>1.4158379831890647E-2</v>
      </c>
      <c r="G75" s="18"/>
      <c r="H75" s="12">
        <v>0.20833333333333334</v>
      </c>
      <c r="I75" s="18">
        <f ref="I75:M75" si="23" t="shared">I18/I$57</f>
        <v>3.5029017309636881E-2</v>
      </c>
      <c r="J75" s="18">
        <f si="23" t="shared"/>
        <v>3.0547612468919263E-2</v>
      </c>
      <c r="K75" s="18">
        <f si="23" t="shared"/>
        <v>4.9862354425828388E-3</v>
      </c>
      <c r="L75" s="18">
        <f si="23" t="shared"/>
        <v>2.9679551102392305E-3</v>
      </c>
      <c r="M75" s="18">
        <f si="23" t="shared"/>
        <v>1.3994882236776479E-2</v>
      </c>
    </row>
    <row r="76" spans="1:13" x14ac:dyDescent="0.25">
      <c r="A76" s="12">
        <v>0.22916666666666666</v>
      </c>
      <c r="B76" s="18">
        <f ref="B76:F76" si="24" t="shared">B19/B$57</f>
        <v>3.4641358229023742E-2</v>
      </c>
      <c r="C76" s="18">
        <f si="24" t="shared"/>
        <v>3.5835225959447645E-2</v>
      </c>
      <c r="D76" s="18">
        <f si="24" t="shared"/>
        <v>4.2018091088931557E-3</v>
      </c>
      <c r="E76" s="18">
        <f si="24" t="shared"/>
        <v>2.1140660346159338E-3</v>
      </c>
      <c r="F76" s="18">
        <f si="24" t="shared"/>
        <v>1.4794320480541695E-2</v>
      </c>
      <c r="G76" s="18"/>
      <c r="H76" s="12">
        <v>0.22916666666666666</v>
      </c>
      <c r="I76" s="18">
        <f ref="I76:M76" si="25" t="shared">I19/I$57</f>
        <v>3.7429879510263657E-2</v>
      </c>
      <c r="J76" s="18">
        <f si="25" t="shared"/>
        <v>3.2639644803740722E-2</v>
      </c>
      <c r="K76" s="18">
        <f si="25" t="shared"/>
        <v>3.6246344078212193E-3</v>
      </c>
      <c r="L76" s="18">
        <f si="25" t="shared"/>
        <v>1.6274579518362232E-3</v>
      </c>
      <c r="M76" s="18">
        <f si="25" t="shared"/>
        <v>1.3816816482247092E-2</v>
      </c>
    </row>
    <row r="77" spans="1:13" x14ac:dyDescent="0.25">
      <c r="A77" s="12">
        <v>0.25</v>
      </c>
      <c r="B77" s="18">
        <f ref="B77:F77" si="26" t="shared">B20/B$57</f>
        <v>3.8631318386474947E-2</v>
      </c>
      <c r="C77" s="18">
        <f si="26" t="shared"/>
        <v>4.1248567480725619E-2</v>
      </c>
      <c r="D77" s="18">
        <f si="26" t="shared"/>
        <v>3.3609172251237896E-3</v>
      </c>
      <c r="E77" s="18">
        <f si="26" t="shared"/>
        <v>1.5303764985387751E-3</v>
      </c>
      <c r="F77" s="18">
        <f si="26" t="shared"/>
        <v>1.5876047115948571E-2</v>
      </c>
      <c r="G77" s="18"/>
      <c r="H77" s="12">
        <v>0.25</v>
      </c>
      <c r="I77" s="18">
        <f ref="I77:M77" si="27" t="shared">I20/I$57</f>
        <v>4.2170782689135107E-2</v>
      </c>
      <c r="J77" s="18">
        <f si="27" t="shared"/>
        <v>3.4984363325632144E-2</v>
      </c>
      <c r="K77" s="18">
        <f si="27" t="shared"/>
        <v>2.7557727628560748E-3</v>
      </c>
      <c r="L77" s="18">
        <f si="27" t="shared"/>
        <v>7.8755192084556066E-4</v>
      </c>
      <c r="M77" s="18">
        <f si="27" t="shared"/>
        <v>1.4428769476682424E-2</v>
      </c>
    </row>
    <row r="78" spans="1:13" x14ac:dyDescent="0.25">
      <c r="A78" s="12">
        <v>0.27083333333333331</v>
      </c>
      <c r="B78" s="18">
        <f ref="B78:F78" si="28" t="shared">B21/B$57</f>
        <v>4.5321251964770194E-2</v>
      </c>
      <c r="C78" s="18">
        <f si="28" t="shared"/>
        <v>4.4117161838774982E-2</v>
      </c>
      <c r="D78" s="18">
        <f si="28" t="shared"/>
        <v>2.7582246028693253E-3</v>
      </c>
      <c r="E78" s="18">
        <f si="28" t="shared"/>
        <v>1.2434026408417568E-3</v>
      </c>
      <c r="F78" s="18">
        <f si="28" t="shared"/>
        <v>1.7183050266172555E-2</v>
      </c>
      <c r="G78" s="18"/>
      <c r="H78" s="12">
        <v>0.27083333333333331</v>
      </c>
      <c r="I78" s="18">
        <f ref="I78:M78" si="29" t="shared">I21/I$57</f>
        <v>4.9131703602981469E-2</v>
      </c>
      <c r="J78" s="18">
        <f si="29" t="shared"/>
        <v>3.6781280783606568E-2</v>
      </c>
      <c r="K78" s="18">
        <f si="29" t="shared"/>
        <v>2.187053132088332E-3</v>
      </c>
      <c r="L78" s="18">
        <f si="29" t="shared"/>
        <v>3.3401253373671966E-4</v>
      </c>
      <c r="M78" s="18">
        <f si="29" t="shared"/>
        <v>1.5567355348771295E-2</v>
      </c>
    </row>
    <row r="79" spans="1:13" x14ac:dyDescent="0.25">
      <c r="A79" s="12">
        <v>0.29166666666666669</v>
      </c>
      <c r="B79" s="18">
        <f ref="B79:F79" si="30" t="shared">B22/B$57</f>
        <v>5.5008922792173835E-2</v>
      </c>
      <c r="C79" s="18">
        <f si="30" t="shared"/>
        <v>4.3316652557576413E-2</v>
      </c>
      <c r="D79" s="18">
        <f si="30" t="shared"/>
        <v>2.3021245919190953E-3</v>
      </c>
      <c r="E79" s="18">
        <f si="30" t="shared"/>
        <v>1.0915377849446991E-3</v>
      </c>
      <c r="F79" s="18">
        <f si="30" t="shared"/>
        <v>1.8518576535454169E-2</v>
      </c>
      <c r="G79" s="18"/>
      <c r="H79" s="12">
        <v>0.29166666666666669</v>
      </c>
      <c r="I79" s="18">
        <f ref="I79:M79" si="31" t="shared">I22/I$57</f>
        <v>5.7295765898375928E-2</v>
      </c>
      <c r="J79" s="18">
        <f si="31" t="shared"/>
        <v>3.7188488105000923E-2</v>
      </c>
      <c r="K79" s="18">
        <f si="31" t="shared"/>
        <v>1.798302858112152E-3</v>
      </c>
      <c r="L79" s="18">
        <f si="31" t="shared"/>
        <v>1.3395376644477255E-4</v>
      </c>
      <c r="M79" s="18">
        <f si="31" t="shared"/>
        <v>1.6844669554205303E-2</v>
      </c>
    </row>
    <row r="80" spans="1:13" x14ac:dyDescent="0.25">
      <c r="A80" s="12">
        <v>0.3125</v>
      </c>
      <c r="B80" s="18">
        <f ref="B80:F80" si="32" t="shared">B23/B$57</f>
        <v>6.615514025603951E-2</v>
      </c>
      <c r="C80" s="18">
        <f si="32" t="shared"/>
        <v>3.9096920988297743E-2</v>
      </c>
      <c r="D80" s="18">
        <f si="32" t="shared"/>
        <v>1.9366364332670575E-3</v>
      </c>
      <c r="E80" s="18">
        <f si="32" t="shared"/>
        <v>9.6270866921219342E-4</v>
      </c>
      <c r="F80" s="18">
        <f si="32" t="shared"/>
        <v>1.9606226380686625E-2</v>
      </c>
      <c r="G80" s="18"/>
      <c r="H80" s="12">
        <v>0.3125</v>
      </c>
      <c r="I80" s="18">
        <f ref="I80:M80" si="33" t="shared">I23/I$57</f>
        <v>6.487008616052424E-2</v>
      </c>
      <c r="J80" s="18">
        <f si="33" t="shared"/>
        <v>3.5718929474205685E-2</v>
      </c>
      <c r="K80" s="18">
        <f si="33" t="shared"/>
        <v>1.5172299707641107E-3</v>
      </c>
      <c r="L80" s="18">
        <f si="33" t="shared"/>
        <v>7.091189198385238E-5</v>
      </c>
      <c r="M80" s="18">
        <f si="33" t="shared"/>
        <v>1.7815524772746776E-2</v>
      </c>
    </row>
    <row r="81" spans="1:13" x14ac:dyDescent="0.25">
      <c r="A81" s="12">
        <v>0.33333333333333331</v>
      </c>
      <c r="B81" s="18">
        <f ref="B81:F81" si="34" t="shared">B24/B$57</f>
        <v>7.5294660043812439E-2</v>
      </c>
      <c r="C81" s="18">
        <f si="34" t="shared"/>
        <v>3.2829526454763308E-2</v>
      </c>
      <c r="D81" s="18">
        <f si="34" t="shared"/>
        <v>1.6256920049975362E-3</v>
      </c>
      <c r="E81" s="18">
        <f si="34" t="shared"/>
        <v>8.1880823084955396E-4</v>
      </c>
      <c r="F81" s="18">
        <f si="34" t="shared"/>
        <v>2.0024353938319434E-2</v>
      </c>
      <c r="G81" s="18"/>
      <c r="H81" s="12">
        <v>0.33333333333333331</v>
      </c>
      <c r="I81" s="18">
        <f ref="I81:M81" si="35" t="shared">I24/I$57</f>
        <v>6.9667482445627357E-2</v>
      </c>
      <c r="J81" s="18">
        <f si="35" t="shared"/>
        <v>3.2508489282700316E-2</v>
      </c>
      <c r="K81" s="18">
        <f si="35" t="shared"/>
        <v>1.3020159311293183E-3</v>
      </c>
      <c r="L81" s="18">
        <f si="35" t="shared"/>
        <v>6.7613903282579639E-5</v>
      </c>
      <c r="M81" s="18">
        <f si="35" t="shared"/>
        <v>1.8076282051825949E-2</v>
      </c>
    </row>
    <row r="82" spans="1:13" x14ac:dyDescent="0.25">
      <c r="A82" s="12">
        <v>0.35416666666666669</v>
      </c>
      <c r="B82" s="18">
        <f ref="B82:F82" si="36" t="shared">B25/B$57</f>
        <v>7.8506193647651698E-2</v>
      </c>
      <c r="C82" s="18">
        <f si="36" t="shared"/>
        <v>2.6137565385568447E-2</v>
      </c>
      <c r="D82" s="18">
        <f si="36" t="shared"/>
        <v>1.3510380077420712E-3</v>
      </c>
      <c r="E82" s="18">
        <f si="36" t="shared"/>
        <v>6.6971197666509019E-4</v>
      </c>
      <c r="F82" s="18">
        <f si="36" t="shared"/>
        <v>1.932426839710746E-2</v>
      </c>
      <c r="G82" s="18"/>
      <c r="H82" s="12">
        <v>0.35416666666666669</v>
      </c>
      <c r="I82" s="18">
        <f ref="I82:M82" si="37" t="shared">I25/I$57</f>
        <v>6.9770616297308283E-2</v>
      </c>
      <c r="J82" s="18">
        <f si="37" t="shared"/>
        <v>2.8180184482637521E-2</v>
      </c>
      <c r="K82" s="18">
        <f si="37" t="shared"/>
        <v>1.1267129153437062E-3</v>
      </c>
      <c r="L82" s="18">
        <f si="37" t="shared"/>
        <v>8.2691632609965604E-5</v>
      </c>
      <c r="M82" s="18">
        <f si="37" t="shared"/>
        <v>1.7355204373134821E-2</v>
      </c>
    </row>
    <row r="83" spans="1:13" x14ac:dyDescent="0.25">
      <c r="A83" s="12">
        <v>0.375</v>
      </c>
      <c r="B83" s="18">
        <f ref="B83:F83" si="38" t="shared">B26/B$57</f>
        <v>7.3684619195684989E-2</v>
      </c>
      <c r="C83" s="18">
        <f si="38" t="shared"/>
        <v>2.0109921614716839E-2</v>
      </c>
      <c r="D83" s="18">
        <f si="38" t="shared"/>
        <v>1.1097089900625049E-3</v>
      </c>
      <c r="E83" s="18">
        <f si="38" t="shared"/>
        <v>5.2859422236558912E-4</v>
      </c>
      <c r="F83" s="18">
        <f si="38" t="shared"/>
        <v>1.7305631697472929E-2</v>
      </c>
      <c r="G83" s="18"/>
      <c r="H83" s="12">
        <v>0.375</v>
      </c>
      <c r="I83" s="18">
        <f ref="I83:M83" si="39" t="shared">I26/I$57</f>
        <v>6.4348229685697256E-2</v>
      </c>
      <c r="J83" s="18">
        <f si="39" t="shared"/>
        <v>2.3436934257273917E-2</v>
      </c>
      <c r="K83" s="18">
        <f si="39" t="shared"/>
        <v>9.7219484827130184E-4</v>
      </c>
      <c r="L83" s="18">
        <f si="39" t="shared"/>
        <v>9.6622501342558069E-5</v>
      </c>
      <c r="M83" s="18">
        <f si="39" t="shared"/>
        <v>1.5593015792958338E-2</v>
      </c>
    </row>
    <row r="84" spans="1:13" x14ac:dyDescent="0.25">
      <c r="A84" s="12">
        <v>0.39583333333333331</v>
      </c>
      <c r="B84" s="18">
        <f ref="B84:F84" si="40" t="shared">B27/B$57</f>
        <v>6.1876588623570386E-2</v>
      </c>
      <c r="C84" s="18">
        <f si="40" t="shared"/>
        <v>1.5092791381306939E-2</v>
      </c>
      <c r="D84" s="18">
        <f si="40" t="shared"/>
        <v>9.0632140730777353E-4</v>
      </c>
      <c r="E84" s="18">
        <f si="40" t="shared"/>
        <v>3.9552534486001937E-4</v>
      </c>
      <c r="F84" s="18">
        <f si="40" t="shared"/>
        <v>1.4217225705142032E-2</v>
      </c>
      <c r="G84" s="18"/>
      <c r="H84" s="12">
        <v>0.39583333333333331</v>
      </c>
      <c r="I84" s="18">
        <f ref="I84:M84" si="41" t="shared">I27/I$57</f>
        <v>5.4197024244559987E-2</v>
      </c>
      <c r="J84" s="18">
        <f si="41" t="shared"/>
        <v>1.8760078728006918E-2</v>
      </c>
      <c r="K84" s="18">
        <f si="41" t="shared"/>
        <v>8.2488892298050753E-4</v>
      </c>
      <c r="L84" s="18">
        <f si="41" t="shared"/>
        <v>1.0116904123080469E-4</v>
      </c>
      <c r="M84" s="18">
        <f si="41" t="shared"/>
        <v>1.2994614479180433E-2</v>
      </c>
    </row>
    <row r="85" spans="1:13" x14ac:dyDescent="0.25">
      <c r="A85" s="12">
        <v>0.41666666666666669</v>
      </c>
      <c r="B85" s="18">
        <f ref="B85:F85" si="42" t="shared">B28/B$57</f>
        <v>4.6601987001611195E-2</v>
      </c>
      <c r="C85" s="18">
        <f si="42" t="shared"/>
        <v>1.0988341623947991E-2</v>
      </c>
      <c r="D85" s="18">
        <f si="42" t="shared"/>
        <v>7.4472475540687149E-4</v>
      </c>
      <c r="E85" s="18">
        <f si="42" t="shared"/>
        <v>2.7044176845608794E-4</v>
      </c>
      <c r="F85" s="18">
        <f si="42" t="shared"/>
        <v>1.0679904569609218E-2</v>
      </c>
      <c r="G85" s="18"/>
      <c r="H85" s="12">
        <v>0.41666666666666669</v>
      </c>
      <c r="I85" s="18">
        <f ref="I85:M85" si="43" t="shared">I28/I$57</f>
        <v>4.1536938256314104E-2</v>
      </c>
      <c r="J85" s="18">
        <f si="43" t="shared"/>
        <v>1.4403258941356455E-2</v>
      </c>
      <c r="K85" s="18">
        <f si="43" t="shared"/>
        <v>6.7932108755632806E-4</v>
      </c>
      <c r="L85" s="18">
        <f si="43" t="shared"/>
        <v>9.4623387679456414E-5</v>
      </c>
      <c r="M85" s="18">
        <f si="43" t="shared"/>
        <v>9.9926169305022527E-3</v>
      </c>
    </row>
    <row r="86" spans="1:13" x14ac:dyDescent="0.25">
      <c r="A86" s="12">
        <v>0.4375</v>
      </c>
      <c r="B86" s="18">
        <f ref="B86:F86" si="44" t="shared">B29/B$57</f>
        <v>3.1802531527731888E-2</v>
      </c>
      <c r="C86" s="18">
        <f si="44" t="shared"/>
        <v>7.6503665389131845E-3</v>
      </c>
      <c r="D86" s="18">
        <f si="44" t="shared"/>
        <v>6.2315576068672869E-4</v>
      </c>
      <c r="E86" s="18">
        <f si="44" t="shared"/>
        <v>1.6309277011323511E-4</v>
      </c>
      <c r="F86" s="18">
        <f si="44" t="shared"/>
        <v>7.3798966692564692E-3</v>
      </c>
      <c r="G86" s="18"/>
      <c r="H86" s="12">
        <v>0.4375</v>
      </c>
      <c r="I86" s="18">
        <f ref="I86:M86" si="45" t="shared">I29/I$57</f>
        <v>2.9051320310358217E-2</v>
      </c>
      <c r="J86" s="18">
        <f si="45" t="shared"/>
        <v>1.0539911497251401E-2</v>
      </c>
      <c r="K86" s="18">
        <f si="45" t="shared"/>
        <v>5.3832946418180502E-4</v>
      </c>
      <c r="L86" s="18">
        <f si="45" t="shared"/>
        <v>7.9414872902471532E-5</v>
      </c>
      <c r="M86" s="18">
        <f si="45" t="shared"/>
        <v>7.0964752910286288E-3</v>
      </c>
    </row>
    <row r="87" spans="1:13" x14ac:dyDescent="0.25">
      <c r="A87" s="12">
        <v>0.45833333333333331</v>
      </c>
      <c r="B87" s="18">
        <f ref="B87:F87" si="46" t="shared">B30/B$57</f>
        <v>2.0042358674926302E-2</v>
      </c>
      <c r="C87" s="18">
        <f si="46" t="shared"/>
        <v>5.0528874974421507E-3</v>
      </c>
      <c r="D87" s="18">
        <f si="46" t="shared"/>
        <v>5.3287749767295055E-4</v>
      </c>
      <c r="E87" s="18">
        <f si="46" t="shared"/>
        <v>8.5137769355160574E-5</v>
      </c>
      <c r="F87" s="18">
        <f si="46" t="shared"/>
        <v>4.7708973824740738E-3</v>
      </c>
      <c r="G87" s="18"/>
      <c r="H87" s="12">
        <v>0.45833333333333331</v>
      </c>
      <c r="I87" s="18">
        <f ref="I87:M87" si="47" t="shared">I30/I$57</f>
        <v>1.8767640243199355E-2</v>
      </c>
      <c r="J87" s="18">
        <f si="47" t="shared"/>
        <v>7.3365586473691019E-3</v>
      </c>
      <c r="K87" s="18">
        <f si="47" t="shared"/>
        <v>4.093684515538507E-4</v>
      </c>
      <c r="L87" s="18">
        <f si="47" t="shared"/>
        <v>5.9917588775353419E-5</v>
      </c>
      <c r="M87" s="18">
        <f si="47" t="shared"/>
        <v>4.6997095485130464E-3</v>
      </c>
    </row>
    <row r="88" spans="1:13" x14ac:dyDescent="0.25">
      <c r="A88" s="12">
        <v>0.47916666666666669</v>
      </c>
      <c r="B88" s="18">
        <f ref="B88:F88" si="48" t="shared">B31/B$57</f>
        <v>1.2001944164825437E-2</v>
      </c>
      <c r="C88" s="18">
        <f si="48" t="shared"/>
        <v>3.2104379715815882E-3</v>
      </c>
      <c r="D88" s="18">
        <f si="48" t="shared"/>
        <v>4.5988103081020452E-4</v>
      </c>
      <c r="E88" s="18">
        <f si="48" t="shared"/>
        <v>3.8710613691008086E-5</v>
      </c>
      <c r="F88" s="18">
        <f si="48" t="shared"/>
        <v>2.9698891106683992E-3</v>
      </c>
      <c r="G88" s="18"/>
      <c r="H88" s="12">
        <v>0.47916666666666669</v>
      </c>
      <c r="I88" s="18">
        <f ref="I88:M88" si="49" t="shared">I31/I$57</f>
        <v>1.1477737704482101E-2</v>
      </c>
      <c r="J88" s="18">
        <f si="49" t="shared"/>
        <v>4.8970785705381922E-3</v>
      </c>
      <c r="K88" s="18">
        <f si="49" t="shared"/>
        <v>2.9991983144100068E-4</v>
      </c>
      <c r="L88" s="18">
        <f si="49" t="shared"/>
        <v>4.050840232100204E-5</v>
      </c>
      <c r="M88" s="18">
        <f si="49" t="shared"/>
        <v>2.9646549023104522E-3</v>
      </c>
    </row>
    <row r="89" spans="1:13" x14ac:dyDescent="0.25">
      <c r="A89" s="12">
        <v>0.5</v>
      </c>
      <c r="B89" s="18">
        <f ref="B89:F89" si="50" t="shared">B32/B$57</f>
        <v>7.069602647705015E-3</v>
      </c>
      <c r="C89" s="18">
        <f si="50" t="shared"/>
        <v>2.0420052602423736E-3</v>
      </c>
      <c r="D89" s="18">
        <f si="50" t="shared"/>
        <v>3.9007892684437038E-4</v>
      </c>
      <c r="E89" s="18">
        <f si="50" t="shared"/>
        <v>1.5902536752225113E-5</v>
      </c>
      <c r="F89" s="18">
        <f si="50" t="shared"/>
        <v>1.8443291157105807E-3</v>
      </c>
      <c r="G89" s="18"/>
      <c r="H89" s="12">
        <v>0.5</v>
      </c>
      <c r="I89" s="18">
        <f ref="I89:M89" si="51" t="shared">I32/I$57</f>
        <v>6.9007754399423964E-3</v>
      </c>
      <c r="J89" s="18">
        <f si="51" t="shared"/>
        <v>3.1897041889159686E-3</v>
      </c>
      <c r="K89" s="18">
        <f si="51" t="shared"/>
        <v>2.1468550072051309E-4</v>
      </c>
      <c r="L89" s="18">
        <f si="51" t="shared"/>
        <v>2.433171462458457E-5</v>
      </c>
      <c r="M89" s="18">
        <f si="51" t="shared"/>
        <v>1.8392584449833862E-3</v>
      </c>
    </row>
    <row r="90" spans="1:13" x14ac:dyDescent="0.25">
      <c r="A90" s="12">
        <v>0.52083333333333337</v>
      </c>
      <c r="B90" s="18">
        <f ref="B90:F90" si="52" t="shared">B33/B$57</f>
        <v>4.2145505923889288E-3</v>
      </c>
      <c r="C90" s="18">
        <f si="52" t="shared"/>
        <v>1.3494604489842424E-3</v>
      </c>
      <c r="D90" s="18">
        <f si="52" t="shared"/>
        <v>3.1569411419198382E-4</v>
      </c>
      <c r="E90" s="18">
        <f si="52" t="shared"/>
        <v>6.2353787470215974E-6</v>
      </c>
      <c r="F90" s="18">
        <f si="52" t="shared"/>
        <v>1.170275828110489E-3</v>
      </c>
      <c r="G90" s="18"/>
      <c r="H90" s="12">
        <v>0.52083333333333337</v>
      </c>
      <c r="I90" s="18">
        <f ref="I90:M90" si="53" t="shared">I33/I$57</f>
        <v>4.2473388482020631E-3</v>
      </c>
      <c r="J90" s="18">
        <f si="53" t="shared"/>
        <v>2.0596963921689164E-3</v>
      </c>
      <c r="K90" s="18">
        <f si="53" t="shared"/>
        <v>1.5453429176660074E-4</v>
      </c>
      <c r="L90" s="18">
        <f si="53" t="shared"/>
        <v>1.281722152606715E-5</v>
      </c>
      <c r="M90" s="18">
        <f si="53" t="shared"/>
        <v>1.1596241160405577E-3</v>
      </c>
    </row>
    <row r="91" spans="1:13" x14ac:dyDescent="0.25">
      <c r="A91" s="12">
        <v>0.54166666666666663</v>
      </c>
      <c r="B91" s="18">
        <f ref="B91:F91" si="54" t="shared">B34/B$57</f>
        <v>2.5585992007368151E-3</v>
      </c>
      <c r="C91" s="18">
        <f si="54" t="shared"/>
        <v>9.1373912223430894E-4</v>
      </c>
      <c r="D91" s="18">
        <f si="54" t="shared"/>
        <v>2.3794541904407175E-4</v>
      </c>
      <c r="E91" s="18">
        <f si="54" t="shared"/>
        <v>2.3855567053328374E-6</v>
      </c>
      <c r="F91" s="18">
        <f si="54" t="shared"/>
        <v>7.5335583500768142E-4</v>
      </c>
      <c r="G91" s="18"/>
      <c r="H91" s="12">
        <v>0.54166666666666663</v>
      </c>
      <c r="I91" s="18">
        <f ref="I91:M91" si="55" t="shared">I34/I$57</f>
        <v>2.7295833325435663E-3</v>
      </c>
      <c r="J91" s="18">
        <f si="55" t="shared"/>
        <v>1.3160375566070891E-3</v>
      </c>
      <c r="K91" s="18">
        <f si="55" t="shared"/>
        <v>1.1631272660328171E-4</v>
      </c>
      <c r="L91" s="18">
        <f si="55" t="shared"/>
        <v>5.8236910018931663E-6</v>
      </c>
      <c r="M91" s="18">
        <f si="55" t="shared"/>
        <v>7.5427591588606555E-4</v>
      </c>
    </row>
    <row r="92" spans="1:13" x14ac:dyDescent="0.25">
      <c r="A92" s="12">
        <v>0.5625</v>
      </c>
      <c r="B92" s="18">
        <f ref="B92:F92" si="56" t="shared">B35/B$57</f>
        <v>1.5521985976476907E-3</v>
      </c>
      <c r="C92" s="18">
        <f si="56" t="shared"/>
        <v>5.9431631194967931E-4</v>
      </c>
      <c r="D92" s="18">
        <f si="56" t="shared"/>
        <v>1.6410606471685125E-4</v>
      </c>
      <c r="E92" s="18">
        <f si="56" t="shared"/>
        <v>8.4633042600702168E-7</v>
      </c>
      <c r="F92" s="18">
        <f si="56" t="shared"/>
        <v>4.7527969857474894E-4</v>
      </c>
      <c r="G92" s="18"/>
      <c r="H92" s="12">
        <v>0.5625</v>
      </c>
      <c r="I92" s="18">
        <f ref="I92:M92" si="57" t="shared">I35/I$57</f>
        <v>1.8048090631884468E-3</v>
      </c>
      <c r="J92" s="18">
        <f si="57" t="shared"/>
        <v>8.1175356039956369E-4</v>
      </c>
      <c r="K92" s="18">
        <f si="57" t="shared"/>
        <v>9.3609915681647359E-5</v>
      </c>
      <c r="L92" s="18">
        <f si="57" t="shared"/>
        <v>2.2370516191836978E-6</v>
      </c>
      <c r="M92" s="18">
        <f si="57" t="shared"/>
        <v>5.0019825173908301E-4</v>
      </c>
    </row>
    <row r="93" spans="1:13" x14ac:dyDescent="0.25">
      <c r="A93" s="12">
        <v>0.58333333333333337</v>
      </c>
      <c r="B93" s="18">
        <f ref="B93:F93" si="58" t="shared">B36/B$57</f>
        <v>9.1836635369253912E-4</v>
      </c>
      <c r="C93" s="18">
        <f si="58" t="shared"/>
        <v>3.4656536823908773E-4</v>
      </c>
      <c r="D93" s="18">
        <f si="58" t="shared"/>
        <v>1.0208425894014196E-4</v>
      </c>
      <c r="E93" s="18">
        <f si="58" t="shared"/>
        <v>2.5436335911537115E-7</v>
      </c>
      <c r="F93" s="18">
        <f si="58" t="shared"/>
        <v>2.8329550462132842E-4</v>
      </c>
      <c r="G93" s="18"/>
      <c r="H93" s="12">
        <v>0.58333333333333337</v>
      </c>
      <c r="I93" s="18">
        <f ref="I93:M93" si="59" t="shared">I36/I$57</f>
        <v>1.1896791454590622E-3</v>
      </c>
      <c r="J93" s="18">
        <f si="59" t="shared"/>
        <v>4.6610521272779049E-4</v>
      </c>
      <c r="K93" s="18">
        <f si="59" t="shared"/>
        <v>7.8879297411466563E-5</v>
      </c>
      <c r="L93" s="18">
        <f si="59" t="shared"/>
        <v>7.0889991298347164E-7</v>
      </c>
      <c r="M93" s="18">
        <f si="59" t="shared"/>
        <v>3.2997946612542287E-4</v>
      </c>
    </row>
    <row r="94" spans="1:13" x14ac:dyDescent="0.25">
      <c r="A94" s="12">
        <v>0.60416666666666663</v>
      </c>
      <c r="B94" s="18">
        <f ref="B94:F94" si="60" t="shared">B37/B$57</f>
        <v>5.3289084462235952E-4</v>
      </c>
      <c r="C94" s="18">
        <f si="60" t="shared"/>
        <v>1.7252241970845241E-4</v>
      </c>
      <c r="D94" s="18">
        <f si="60" t="shared"/>
        <v>5.6489015353957479E-5</v>
      </c>
      <c r="E94" s="18">
        <f si="60" t="shared"/>
        <v>5.9396873337540639E-8</v>
      </c>
      <c r="F94" s="18">
        <f si="60" t="shared"/>
        <v>1.580276339511816E-4</v>
      </c>
      <c r="G94" s="18"/>
      <c r="H94" s="12">
        <v>0.60416666666666663</v>
      </c>
      <c r="I94" s="18">
        <f ref="I94:M94" si="61" t="shared">I37/I$57</f>
        <v>7.6841864403903476E-4</v>
      </c>
      <c r="J94" s="18">
        <f si="61" t="shared"/>
        <v>2.4056450494207407E-4</v>
      </c>
      <c r="K94" s="18">
        <f si="61" t="shared"/>
        <v>6.6189435607915908E-5</v>
      </c>
      <c r="L94" s="18">
        <f si="61" t="shared"/>
        <v>1.7957148026428347E-7</v>
      </c>
      <c r="M94" s="18">
        <f si="61" t="shared"/>
        <v>2.135007643041302E-4</v>
      </c>
    </row>
    <row r="95" spans="1:13" x14ac:dyDescent="0.25">
      <c r="A95" s="12">
        <v>0.625</v>
      </c>
      <c r="B95" s="18">
        <f ref="B95:F95" si="62" t="shared">B38/B$57</f>
        <v>3.2866158303301401E-4</v>
      </c>
      <c r="C95" s="18">
        <f si="62" t="shared"/>
        <v>7.0938187430312702E-5</v>
      </c>
      <c r="D95" s="18">
        <f si="62" t="shared"/>
        <v>2.7470698699045316E-5</v>
      </c>
      <c r="E95" s="18">
        <f si="62" t="shared"/>
        <v>9.8994788895901043E-9</v>
      </c>
      <c r="F95" s="18">
        <f si="62" t="shared"/>
        <v>8.7239485905343437E-5</v>
      </c>
      <c r="G95" s="18"/>
      <c r="H95" s="12">
        <v>0.625</v>
      </c>
      <c r="I95" s="18">
        <f ref="I95:M95" si="63" t="shared">I38/I$57</f>
        <v>4.9370584895112835E-4</v>
      </c>
      <c r="J95" s="18">
        <f si="63" t="shared"/>
        <v>1.083796083301623E-4</v>
      </c>
      <c r="K95" s="18">
        <f si="63" t="shared"/>
        <v>5.293166465557511E-5</v>
      </c>
      <c r="L95" s="18">
        <f si="63" t="shared"/>
        <v>3.4804237094239011E-8</v>
      </c>
      <c r="M95" s="18">
        <f si="63" t="shared"/>
        <v>1.367150480907419E-4</v>
      </c>
    </row>
    <row r="96" spans="1:13" x14ac:dyDescent="0.25">
      <c r="A96" s="12">
        <v>0.64583333333333337</v>
      </c>
      <c r="B96" s="18">
        <f ref="B96:F96" si="64" t="shared">B39/B$57</f>
        <v>2.4694951057291153E-4</v>
      </c>
      <c r="C96" s="18">
        <f si="64" t="shared"/>
        <v>2.344726588815745E-5</v>
      </c>
      <c r="D96" s="18">
        <f si="64" t="shared"/>
        <v>1.1712656213224541E-5</v>
      </c>
      <c r="E96" s="18">
        <f si="64" t="shared"/>
        <v>1.0420504094305375E-9</v>
      </c>
      <c r="F96" s="18">
        <f si="64" t="shared"/>
        <v>5.5334444015779218E-5</v>
      </c>
      <c r="G96" s="18"/>
      <c r="H96" s="12">
        <v>0.64583333333333337</v>
      </c>
      <c r="I96" s="18">
        <f ref="I96:M96" si="65" t="shared">I39/I$57</f>
        <v>3.2840168179319165E-4</v>
      </c>
      <c r="J96" s="18">
        <f si="65" t="shared"/>
        <v>4.1543904716014736E-5</v>
      </c>
      <c r="K96" s="18">
        <f si="65" t="shared"/>
        <v>3.9481711030428888E-5</v>
      </c>
      <c r="L96" s="18">
        <f si="65" t="shared"/>
        <v>4.8255747723348152E-9</v>
      </c>
      <c r="M96" s="18">
        <f si="65" t="shared"/>
        <v>8.9055099967210515E-5</v>
      </c>
    </row>
    <row r="97" spans="1:13" x14ac:dyDescent="0.25">
      <c r="A97" s="12">
        <v>0.66666666666666663</v>
      </c>
      <c r="B97" s="18">
        <f ref="B97:F97" si="66" t="shared">B40/B$57</f>
        <v>2.2699341608517392E-4</v>
      </c>
      <c r="C97" s="18">
        <f si="66" t="shared"/>
        <v>6.048940844578649E-6</v>
      </c>
      <c r="D97" s="18">
        <f si="66" t="shared"/>
        <v>4.5113784349424216E-6</v>
      </c>
      <c r="E97" s="18">
        <f si="66" t="shared"/>
        <v>5.210252047152687E-11</v>
      </c>
      <c r="F97" s="18">
        <f si="66" t="shared"/>
        <v>4.4602073380928711E-5</v>
      </c>
      <c r="G97" s="18"/>
      <c r="H97" s="12">
        <v>0.66666666666666663</v>
      </c>
      <c r="I97" s="18">
        <f ref="I97:M97" si="67" t="shared">I40/I$57</f>
        <v>2.3207141634428986E-4</v>
      </c>
      <c r="J97" s="18">
        <f si="67" t="shared"/>
        <v>1.3200167110359688E-5</v>
      </c>
      <c r="K97" s="18">
        <f si="67" t="shared"/>
        <v>2.7447007058725745E-5</v>
      </c>
      <c r="L97" s="18">
        <f si="67" t="shared"/>
        <v>4.2422635361185185E-10</v>
      </c>
      <c r="M97" s="18">
        <f si="67" t="shared"/>
        <v>6.0289484267227703E-5</v>
      </c>
    </row>
    <row r="98" spans="1:13" x14ac:dyDescent="0.25">
      <c r="A98" s="12">
        <v>0.6875</v>
      </c>
      <c r="B98" s="18">
        <f ref="B98:F98" si="68" t="shared">B41/B$57</f>
        <v>2.1673872518196443E-4</v>
      </c>
      <c r="C98" s="18">
        <f si="68" t="shared"/>
        <v>1.1718706270033682E-6</v>
      </c>
      <c r="D98" s="18">
        <f si="68" t="shared"/>
        <v>1.7412849109724456E-6</v>
      </c>
      <c r="E98" s="18">
        <f si="68" t="shared"/>
        <v>0</v>
      </c>
      <c r="F98" s="18">
        <f si="68" t="shared"/>
        <v>4.0309218567386856E-5</v>
      </c>
      <c r="G98" s="18"/>
      <c r="H98" s="12">
        <v>0.6875</v>
      </c>
      <c r="I98" s="18">
        <f ref="I98:M98" si="69" t="shared">I41/I$57</f>
        <v>1.7018463796079732E-4</v>
      </c>
      <c r="J98" s="18">
        <f si="69" t="shared"/>
        <v>3.3697487140770512E-6</v>
      </c>
      <c r="K98" s="18">
        <f si="69" t="shared"/>
        <v>1.8009166797481798E-5</v>
      </c>
      <c r="L98" s="18">
        <f si="69" t="shared"/>
        <v>1.7676098067160494E-11</v>
      </c>
      <c r="M98" s="18">
        <f si="69" t="shared"/>
        <v>4.2001734940207392E-5</v>
      </c>
    </row>
    <row r="99" spans="1:13" x14ac:dyDescent="0.25">
      <c r="A99" s="12">
        <v>0.70833333333333337</v>
      </c>
      <c r="B99" s="18">
        <f ref="B99:F99" si="70" t="shared">B42/B$57</f>
        <v>1.874868771189663E-4</v>
      </c>
      <c r="C99" s="18">
        <f si="70" t="shared"/>
        <v>1.6120773734309276E-7</v>
      </c>
      <c r="D99" s="18">
        <f si="70" t="shared"/>
        <v>7.891224479684873E-7</v>
      </c>
      <c r="E99" s="18">
        <f si="70" t="shared"/>
        <v>0</v>
      </c>
      <c r="F99" s="18">
        <f si="70" t="shared"/>
        <v>3.4304212027657559E-5</v>
      </c>
      <c r="G99" s="18"/>
      <c r="H99" s="12">
        <v>0.70833333333333337</v>
      </c>
      <c r="I99" s="18">
        <f ref="I99:M99" si="71" t="shared">I42/I$57</f>
        <v>1.2269388713576415E-4</v>
      </c>
      <c r="J99" s="18">
        <f si="71" t="shared"/>
        <v>6.623027123106616E-7</v>
      </c>
      <c r="K99" s="18">
        <f si="71" t="shared"/>
        <v>1.1326429767197065E-5</v>
      </c>
      <c r="L99" s="18">
        <f si="71" t="shared"/>
        <v>0</v>
      </c>
      <c r="M99" s="18">
        <f si="71" t="shared"/>
        <v>2.9016382312809985E-5</v>
      </c>
    </row>
    <row r="100" spans="1:13" x14ac:dyDescent="0.25">
      <c r="A100" s="12">
        <v>0.72916666666666663</v>
      </c>
      <c r="B100" s="18">
        <f ref="B100:F100" si="72" t="shared">B43/B$57</f>
        <v>1.3812930041748336E-4</v>
      </c>
      <c r="C100" s="18">
        <f si="72" t="shared"/>
        <v>1.4438617631324418E-8</v>
      </c>
      <c r="D100" s="18">
        <f si="72" t="shared"/>
        <v>4.2625823962999528E-7</v>
      </c>
      <c r="E100" s="18">
        <f si="72" t="shared"/>
        <v>0</v>
      </c>
      <c r="F100" s="18">
        <f si="72" t="shared"/>
        <v>2.5164425596637768E-5</v>
      </c>
      <c r="G100" s="18"/>
      <c r="H100" s="12">
        <v>0.72916666666666663</v>
      </c>
      <c r="I100" s="18">
        <f ref="I100:M100" si="73" t="shared">I43/I$57</f>
        <v>8.3143992643637033E-5</v>
      </c>
      <c r="J100" s="18">
        <f si="73" t="shared"/>
        <v>9.3857848097482134E-8</v>
      </c>
      <c r="K100" s="18">
        <f si="73" t="shared"/>
        <v>6.8626673288551344E-6</v>
      </c>
      <c r="L100" s="18">
        <f si="73" t="shared"/>
        <v>0</v>
      </c>
      <c r="M100" s="18">
        <f si="73" t="shared"/>
        <v>1.9117857617133925E-5</v>
      </c>
    </row>
    <row r="101" spans="1:13" x14ac:dyDescent="0.25">
      <c r="A101" s="12">
        <v>0.75</v>
      </c>
      <c r="B101" s="18">
        <f ref="B101:F101" si="74" t="shared">B44/B$57</f>
        <v>8.4415281634685188E-5</v>
      </c>
      <c r="C101" s="18">
        <f si="74" t="shared"/>
        <v>7.3159315493916019E-10</v>
      </c>
      <c r="D101" s="18">
        <f si="74" t="shared"/>
        <v>2.3308315673739942E-7</v>
      </c>
      <c r="E101" s="18">
        <f si="74" t="shared"/>
        <v>0</v>
      </c>
      <c r="F101" s="18">
        <f si="74" t="shared"/>
        <v>1.5361259097501484E-5</v>
      </c>
      <c r="G101" s="18"/>
      <c r="H101" s="12">
        <v>0.75</v>
      </c>
      <c r="I101" s="18">
        <f ref="I101:M101" si="75" t="shared">I44/I$57</f>
        <v>5.1963928482986002E-5</v>
      </c>
      <c r="J101" s="18">
        <f si="75" t="shared"/>
        <v>8.520050743662334E-9</v>
      </c>
      <c r="K101" s="18">
        <f si="75" t="shared"/>
        <v>3.9513136625017065E-6</v>
      </c>
      <c r="L101" s="18">
        <f si="75" t="shared"/>
        <v>0</v>
      </c>
      <c r="M101" s="18">
        <f si="75" t="shared"/>
        <v>1.1736100429199188E-5</v>
      </c>
    </row>
    <row r="102" spans="1:13" x14ac:dyDescent="0.25">
      <c r="A102" s="12">
        <v>0.77083333333333337</v>
      </c>
      <c r="B102" s="18">
        <f ref="B102:F102" si="76" t="shared">B45/B$57</f>
        <v>4.2078459659243393E-5</v>
      </c>
      <c r="C102" s="18">
        <f si="76" t="shared"/>
        <v>1.6632122177991421E-11</v>
      </c>
      <c r="D102" s="18">
        <f si="76" t="shared"/>
        <v>1.1224543601637786E-7</v>
      </c>
      <c r="E102" s="18">
        <f si="76" t="shared"/>
        <v>0</v>
      </c>
      <c r="F102" s="18">
        <f si="76" t="shared"/>
        <v>7.6547374257280065E-6</v>
      </c>
      <c r="G102" s="18"/>
      <c r="H102" s="12">
        <v>0.77083333333333337</v>
      </c>
      <c r="I102" s="18">
        <f ref="I102:M102" si="77" t="shared">I45/I$57</f>
        <v>3.0263481704168556E-5</v>
      </c>
      <c r="J102" s="18">
        <f si="77" t="shared"/>
        <v>3.7149036417864207E-10</v>
      </c>
      <c r="K102" s="18">
        <f si="77" t="shared"/>
        <v>2.0998049931042312E-6</v>
      </c>
      <c r="L102" s="18">
        <f si="77" t="shared"/>
        <v>0</v>
      </c>
      <c r="M102" s="18">
        <f si="77" t="shared"/>
        <v>6.7121354118663558E-6</v>
      </c>
    </row>
    <row r="103" spans="1:13" x14ac:dyDescent="0.25">
      <c r="A103" s="12">
        <v>0.79166666666666663</v>
      </c>
      <c r="B103" s="18">
        <f ref="B103:F103" si="78" t="shared">B46/B$57</f>
        <v>1.6804368203581544E-5</v>
      </c>
      <c r="C103" s="18">
        <f si="78" t="shared"/>
        <v>0</v>
      </c>
      <c r="D103" s="18">
        <f si="78" t="shared"/>
        <v>4.440701652825092E-8</v>
      </c>
      <c r="E103" s="18">
        <f si="78" t="shared"/>
        <v>0</v>
      </c>
      <c r="F103" s="18">
        <f si="78" t="shared"/>
        <v>3.0567317297441431E-6</v>
      </c>
      <c r="G103" s="18"/>
      <c r="H103" s="12">
        <v>0.79166666666666663</v>
      </c>
      <c r="I103" s="18">
        <f ref="I103:M103" si="79" t="shared">I46/I$57</f>
        <v>1.7143509370902013E-5</v>
      </c>
      <c r="J103" s="18">
        <f si="79" t="shared"/>
        <v>0</v>
      </c>
      <c r="K103" s="18">
        <f si="79" t="shared"/>
        <v>9.9483701549821049E-7</v>
      </c>
      <c r="L103" s="18">
        <f si="79" t="shared"/>
        <v>0</v>
      </c>
      <c r="M103" s="18">
        <f si="79" t="shared"/>
        <v>3.6841061073330905E-6</v>
      </c>
    </row>
    <row r="104" spans="1:13" x14ac:dyDescent="0.25">
      <c r="A104" s="12">
        <v>0.8125</v>
      </c>
      <c r="B104" s="18">
        <f ref="B104:F104" si="80" t="shared">B47/B$57</f>
        <v>5.2461528792348836E-6</v>
      </c>
      <c r="C104" s="18">
        <f si="80" t="shared"/>
        <v>0</v>
      </c>
      <c r="D104" s="18">
        <f si="80" t="shared"/>
        <v>1.3839934734942213E-8</v>
      </c>
      <c r="E104" s="18">
        <f si="80" t="shared"/>
        <v>0</v>
      </c>
      <c r="F104" s="18">
        <f si="80" t="shared"/>
        <v>9.5426669132222499E-7</v>
      </c>
      <c r="G104" s="18"/>
      <c r="H104" s="12">
        <v>0.8125</v>
      </c>
      <c r="I104" s="18">
        <f ref="I104:M104" si="81" t="shared">I47/I$57</f>
        <v>1.0043787177481158E-5</v>
      </c>
      <c r="J104" s="18">
        <f si="81" t="shared"/>
        <v>0</v>
      </c>
      <c r="K104" s="18">
        <f si="81" t="shared"/>
        <v>4.0634668611337454E-7</v>
      </c>
      <c r="L104" s="18">
        <f si="81" t="shared"/>
        <v>0</v>
      </c>
      <c r="M104" s="18">
        <f si="81" t="shared"/>
        <v>2.0512871525744609E-6</v>
      </c>
    </row>
    <row r="105" spans="1:13" x14ac:dyDescent="0.25">
      <c r="A105" s="12">
        <v>0.83333333333333337</v>
      </c>
      <c r="B105" s="18">
        <f ref="B105:F105" si="82" t="shared">B48/B$57</f>
        <v>1.2335484419540979E-6</v>
      </c>
      <c r="C105" s="18">
        <f si="82" t="shared"/>
        <v>0</v>
      </c>
      <c r="D105" s="18">
        <f si="82" t="shared"/>
        <v>3.2551434679743682E-9</v>
      </c>
      <c r="E105" s="18">
        <f si="82" t="shared"/>
        <v>0</v>
      </c>
      <c r="F105" s="18">
        <f si="82" t="shared"/>
        <v>2.2438099374879013E-7</v>
      </c>
      <c r="G105" s="18"/>
      <c r="H105" s="12">
        <v>0.83333333333333337</v>
      </c>
      <c r="I105" s="18">
        <f ref="I105:M105" si="83" t="shared">I48/I$57</f>
        <v>6.2391793431997164E-6</v>
      </c>
      <c r="J105" s="18">
        <f si="83" t="shared"/>
        <v>0</v>
      </c>
      <c r="K105" s="18">
        <f si="83" t="shared"/>
        <v>1.3857877928760178E-7</v>
      </c>
      <c r="L105" s="18">
        <f si="83" t="shared"/>
        <v>0</v>
      </c>
      <c r="M105" s="18">
        <f si="83" t="shared"/>
        <v>1.2051712743598709E-6</v>
      </c>
    </row>
    <row r="106" spans="1:13" x14ac:dyDescent="0.25">
      <c r="A106" s="12">
        <v>0.85416666666666663</v>
      </c>
      <c r="B106" s="18">
        <f ref="B106:F106" si="84" t="shared">B49/B$57</f>
        <v>2.054925114353374E-7</v>
      </c>
      <c r="C106" s="18">
        <f si="84" t="shared"/>
        <v>0</v>
      </c>
      <c r="D106" s="18">
        <f si="84" t="shared"/>
        <v>5.4252391132906133E-10</v>
      </c>
      <c r="E106" s="18">
        <f si="84" t="shared"/>
        <v>0</v>
      </c>
      <c r="F106" s="18">
        <f si="84" t="shared"/>
        <v>3.7378997466802718E-8</v>
      </c>
      <c r="G106" s="18"/>
      <c r="H106" s="12">
        <v>0.85416666666666663</v>
      </c>
      <c r="I106" s="18">
        <f ref="I106:M106" si="85" t="shared">I49/I$57</f>
        <v>3.9121427609514555E-6</v>
      </c>
      <c r="J106" s="18">
        <f si="85" t="shared"/>
        <v>0</v>
      </c>
      <c r="K106" s="18">
        <f si="85" t="shared"/>
        <v>3.8124131194469907E-8</v>
      </c>
      <c r="L106" s="18">
        <f si="85" t="shared"/>
        <v>0</v>
      </c>
      <c r="M106" s="18">
        <f si="85" t="shared"/>
        <v>7.2608204337714195E-7</v>
      </c>
    </row>
    <row r="107" spans="1:13" x14ac:dyDescent="0.25">
      <c r="A107" s="12">
        <v>0.875</v>
      </c>
      <c r="B107" s="18">
        <f ref="B107:F107" si="86" t="shared">B50/B$57</f>
        <v>2.1623621372033891E-8</v>
      </c>
      <c r="C107" s="18">
        <f si="86" t="shared"/>
        <v>0</v>
      </c>
      <c r="D107" s="18">
        <f si="86" t="shared"/>
        <v>5.7107780139901207E-11</v>
      </c>
      <c r="E107" s="18">
        <f si="86" t="shared"/>
        <v>0</v>
      </c>
      <c r="F107" s="18">
        <f si="86" t="shared"/>
        <v>3.9333383997710603E-9</v>
      </c>
      <c r="G107" s="18"/>
      <c r="H107" s="12">
        <v>0.875</v>
      </c>
      <c r="I107" s="18">
        <f ref="I107:M107" si="87" t="shared">I50/I$57</f>
        <v>2.2843202952332118E-6</v>
      </c>
      <c r="J107" s="18">
        <f si="87" t="shared"/>
        <v>0</v>
      </c>
      <c r="K107" s="18">
        <f si="87" t="shared"/>
        <v>8.0986965140989009E-9</v>
      </c>
      <c r="L107" s="18">
        <f si="87" t="shared"/>
        <v>0</v>
      </c>
      <c r="M107" s="18">
        <f si="87" t="shared"/>
        <v>4.1536892427133113E-7</v>
      </c>
    </row>
    <row r="108" spans="1:13" x14ac:dyDescent="0.25">
      <c r="A108" s="12">
        <v>0.89583333333333337</v>
      </c>
      <c r="B108" s="18">
        <f ref="B108:F108" si="88" t="shared">B51/B$57</f>
        <v>1.080947208684719E-9</v>
      </c>
      <c r="C108" s="18">
        <f si="88" t="shared"/>
        <v>0</v>
      </c>
      <c r="D108" s="18">
        <f si="88" t="shared"/>
        <v>2.85538900699506E-12</v>
      </c>
      <c r="E108" s="18">
        <f si="88" t="shared"/>
        <v>0</v>
      </c>
      <c r="F108" s="18">
        <f si="88" t="shared"/>
        <v>1.9662474569133678E-10</v>
      </c>
      <c r="G108" s="18"/>
      <c r="H108" s="12">
        <v>0.89583333333333337</v>
      </c>
      <c r="I108" s="18">
        <f ref="I108:M108" si="89" t="shared">I51/I$57</f>
        <v>1.1661361949305567E-6</v>
      </c>
      <c r="J108" s="18">
        <f si="89" t="shared"/>
        <v>0</v>
      </c>
      <c r="K108" s="18">
        <f si="89" t="shared"/>
        <v>1.2441532328425472E-9</v>
      </c>
      <c r="L108" s="18">
        <f si="89" t="shared"/>
        <v>0</v>
      </c>
      <c r="M108" s="18">
        <f si="89" t="shared"/>
        <v>2.1029026600927731E-7</v>
      </c>
    </row>
    <row r="109" spans="1:13" x14ac:dyDescent="0.25">
      <c r="A109" s="12">
        <v>0.91666666666666663</v>
      </c>
      <c r="B109" s="18">
        <f ref="B109:F109" si="90" t="shared">B52/B$57</f>
        <v>0</v>
      </c>
      <c r="C109" s="18">
        <f si="90" t="shared"/>
        <v>0</v>
      </c>
      <c r="D109" s="18">
        <f si="90" t="shared"/>
        <v>0</v>
      </c>
      <c r="E109" s="18">
        <f si="90" t="shared"/>
        <v>0</v>
      </c>
      <c r="F109" s="18">
        <f si="90" t="shared"/>
        <v>0</v>
      </c>
      <c r="G109" s="18"/>
      <c r="H109" s="12">
        <v>0.91666666666666663</v>
      </c>
      <c r="I109" s="18">
        <f ref="I109:M109" si="91" t="shared">I52/I$57</f>
        <v>4.9993071708685297E-7</v>
      </c>
      <c r="J109" s="18">
        <f si="91" t="shared"/>
        <v>0</v>
      </c>
      <c r="K109" s="18">
        <f si="91" t="shared"/>
        <v>1.228552565346089E-10</v>
      </c>
      <c r="L109" s="18">
        <f si="91" t="shared"/>
        <v>0</v>
      </c>
      <c r="M109" s="18">
        <f si="91" t="shared"/>
        <v>8.9903783781122524E-8</v>
      </c>
    </row>
    <row r="110" spans="1:13" x14ac:dyDescent="0.25">
      <c r="A110" s="12">
        <v>0.9375</v>
      </c>
      <c r="B110" s="18">
        <f ref="B110:F110" si="92" t="shared">B53/B$57</f>
        <v>0</v>
      </c>
      <c r="C110" s="18">
        <f si="92" t="shared"/>
        <v>0</v>
      </c>
      <c r="D110" s="18">
        <f si="92" t="shared"/>
        <v>0</v>
      </c>
      <c r="E110" s="18">
        <f si="92" t="shared"/>
        <v>0</v>
      </c>
      <c r="F110" s="18">
        <f si="92" t="shared"/>
        <v>0</v>
      </c>
      <c r="G110" s="18"/>
      <c r="H110" s="12">
        <v>0.9375</v>
      </c>
      <c r="I110" s="18">
        <f ref="I110:M110" si="93" t="shared">I53/I$57</f>
        <v>1.7473108399572248E-7</v>
      </c>
      <c r="J110" s="18">
        <f si="93" t="shared"/>
        <v>0</v>
      </c>
      <c r="K110" s="18">
        <f si="93" t="shared"/>
        <v>5.8502503111718523E-12</v>
      </c>
      <c r="L110" s="18">
        <f si="93" t="shared"/>
        <v>0</v>
      </c>
      <c r="M110" s="18">
        <f si="93" t="shared"/>
        <v>3.1399818338971003E-8</v>
      </c>
    </row>
    <row r="111" spans="1:13" x14ac:dyDescent="0.25">
      <c r="A111" s="12">
        <v>0.95833333333333337</v>
      </c>
      <c r="B111" s="18">
        <f ref="B111:F111" si="94" t="shared">B54/B$57</f>
        <v>0</v>
      </c>
      <c r="C111" s="18">
        <f si="94" t="shared"/>
        <v>0</v>
      </c>
      <c r="D111" s="18">
        <f si="94" t="shared"/>
        <v>0</v>
      </c>
      <c r="E111" s="18">
        <f si="94" t="shared"/>
        <v>0</v>
      </c>
      <c r="F111" s="18">
        <f si="94" t="shared"/>
        <v>0</v>
      </c>
      <c r="G111" s="18"/>
      <c r="H111" s="12">
        <v>0.95833333333333337</v>
      </c>
      <c r="I111" s="18">
        <f ref="I111:M111" si="95" t="shared">I54/I$57</f>
        <v>4.830114846875838E-8</v>
      </c>
      <c r="J111" s="18">
        <f si="95" t="shared"/>
        <v>0</v>
      </c>
      <c r="K111" s="18">
        <f si="95" t="shared"/>
        <v>0</v>
      </c>
      <c r="L111" s="18">
        <f si="95" t="shared"/>
        <v>0</v>
      </c>
      <c r="M111" s="18">
        <f si="95" t="shared"/>
        <v>8.6789126290048001E-9</v>
      </c>
    </row>
    <row r="112" spans="1:13" x14ac:dyDescent="0.25">
      <c r="A112" s="12">
        <v>0.97916666666666663</v>
      </c>
      <c r="B112" s="18">
        <f ref="B112:F112" si="96" t="shared">B55/B$57</f>
        <v>0</v>
      </c>
      <c r="C112" s="18">
        <f si="96" t="shared"/>
        <v>0</v>
      </c>
      <c r="D112" s="18">
        <f si="96" t="shared"/>
        <v>0</v>
      </c>
      <c r="E112" s="18">
        <f si="96" t="shared"/>
        <v>0</v>
      </c>
      <c r="F112" s="18">
        <f si="96" t="shared"/>
        <v>0</v>
      </c>
      <c r="G112" s="18"/>
      <c r="H112" s="12">
        <v>0.97916666666666663</v>
      </c>
      <c r="I112" s="18">
        <f ref="I112:M112" si="97" t="shared">I55/I$57</f>
        <v>1.0004014797388053E-8</v>
      </c>
      <c r="J112" s="18">
        <f si="97" t="shared"/>
        <v>0</v>
      </c>
      <c r="K112" s="18">
        <f si="97" t="shared"/>
        <v>0</v>
      </c>
      <c r="L112" s="18">
        <f si="97" t="shared"/>
        <v>0</v>
      </c>
      <c r="M112" s="18">
        <f si="97" t="shared"/>
        <v>1.7975549881999305E-9</v>
      </c>
    </row>
    <row ht="15.75" r="113" spans="1:13" thickBot="1" x14ac:dyDescent="0.3">
      <c r="A113" s="13" t="s">
        <v>13</v>
      </c>
      <c r="B113" s="18">
        <f ref="B113:F113" si="98" t="shared">B56/B$57</f>
        <v>0</v>
      </c>
      <c r="C113" s="18">
        <f si="98" t="shared"/>
        <v>0</v>
      </c>
      <c r="D113" s="18">
        <f si="98" t="shared"/>
        <v>0</v>
      </c>
      <c r="E113" s="18">
        <f si="98" t="shared"/>
        <v>0</v>
      </c>
      <c r="F113" s="18">
        <f si="98" t="shared"/>
        <v>0</v>
      </c>
      <c r="G113" s="28"/>
      <c r="H113" s="13" t="s">
        <v>13</v>
      </c>
      <c r="I113" s="18">
        <f ref="I113:M113" si="99" t="shared">I56/I$57</f>
        <v>0</v>
      </c>
      <c r="J113" s="18">
        <f si="99" t="shared"/>
        <v>0</v>
      </c>
      <c r="K113" s="18">
        <f si="99" t="shared"/>
        <v>0</v>
      </c>
      <c r="L113" s="18">
        <f si="99" t="shared"/>
        <v>0</v>
      </c>
      <c r="M113" s="18">
        <f si="99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A58"/>
  <sheetViews>
    <sheetView workbookViewId="0">
      <selection activeCell="M8" sqref="M8:T58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25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51</v>
      </c>
      <c r="B6" s="1"/>
      <c r="C6" s="1"/>
      <c r="D6" s="1"/>
      <c r="E6" s="1"/>
      <c r="F6" s="1"/>
      <c r="G6" s="1"/>
      <c r="H6" s="1"/>
      <c r="I6" s="1"/>
      <c r="J6" s="1"/>
      <c r="L6" s="3" t="s">
        <v>26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51.785126183268503</v>
      </c>
      <c r="L8" t="s">
        <v>5</v>
      </c>
      <c r="M8" s="9" t="n">
        <v>457.0</v>
      </c>
      <c r="N8" s="9" t="n">
        <v>89.0</v>
      </c>
      <c r="O8" s="9" t="n">
        <v>0.0</v>
      </c>
      <c r="P8" s="9" t="n">
        <v>0.0</v>
      </c>
      <c r="Q8" s="9" t="n">
        <v>27.0</v>
      </c>
      <c r="R8" s="9" t="n">
        <v>18.0</v>
      </c>
      <c r="S8" s="9" t="n">
        <v>0.0</v>
      </c>
      <c r="T8" s="9" t="n">
        <v>0.0</v>
      </c>
      <c r="U8">
        <f>SUM(M8:T8)</f>
        <v>1590</v>
      </c>
      <c r="W8" s="5"/>
      <c r="X8" s="16"/>
      <c r="Y8" s="16"/>
      <c r="Z8" s="5"/>
    </row>
    <row r="9" spans="1:26" x14ac:dyDescent="0.25">
      <c r="A9" s="12">
        <v>0.125</v>
      </c>
      <c r="B9" s="6" t="n">
        <v>1184.1380565686732</v>
      </c>
      <c r="C9" s="6" t="n">
        <v>58.85431079145205</v>
      </c>
      <c r="D9" s="6" t="n">
        <v>0.47101275847666096</v>
      </c>
      <c r="E9" s="6" t="n">
        <v>51.57089141456864</v>
      </c>
      <c r="F9" s="6" t="n">
        <v>48.551730228500944</v>
      </c>
      <c r="G9" s="6" t="n">
        <v>0.0</v>
      </c>
      <c r="H9" s="6" t="n">
        <v>0.003092297246177177</v>
      </c>
      <c r="I9" s="6" t="n">
        <v>0.0</v>
      </c>
      <c r="J9" s="6">
        <f ref="J9:J58" si="0" t="shared">SUM(B9:I9)</f>
        <v>1200.6087067480396</v>
      </c>
      <c r="L9" s="12">
        <v>0.125</v>
      </c>
      <c r="M9" s="9" t="n">
        <v>1828.120265007019</v>
      </c>
      <c r="N9" s="9" t="n">
        <v>116.58529376983643</v>
      </c>
      <c r="O9" s="9" t="n">
        <v>0.0</v>
      </c>
      <c r="P9" s="9" t="n">
        <v>0.0</v>
      </c>
      <c r="Q9" s="9" t="n">
        <v>27.692020416259766</v>
      </c>
      <c r="R9" s="9" t="n">
        <v>12.199488639831543</v>
      </c>
      <c r="S9" s="9" t="n">
        <v>0.0</v>
      </c>
      <c r="T9" s="9" t="n">
        <v>0.0</v>
      </c>
      <c r="U9">
        <f ref="U9:U58" si="1" t="shared">SUM(M9:T9)</f>
        <v>2385.7593202590942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2976.527966166779</v>
      </c>
      <c r="C10" s="6" t="n">
        <v>140.67900781403105</v>
      </c>
      <c r="D10" s="6" t="n">
        <v>1.7914962059749377</v>
      </c>
      <c r="E10" s="6" t="n">
        <v>111.67491920370365</v>
      </c>
      <c r="F10" s="6" t="n">
        <v>88.27426553912747</v>
      </c>
      <c r="G10" s="6" t="n">
        <v>0.0</v>
      </c>
      <c r="H10" s="6" t="n">
        <v>0.029376823838683185</v>
      </c>
      <c r="I10" s="6" t="n">
        <v>0.0</v>
      </c>
      <c r="J10" s="6">
        <f si="0" t="shared"/>
        <v>2870.8023767440864</v>
      </c>
      <c r="L10" s="12">
        <v>0.14583333333333334</v>
      </c>
      <c r="M10" s="9" t="n">
        <v>3376.8313493728638</v>
      </c>
      <c r="N10" s="9" t="n">
        <v>166.08170318603516</v>
      </c>
      <c r="O10" s="9" t="n">
        <v>0.0</v>
      </c>
      <c r="P10" s="9" t="n">
        <v>0.0</v>
      </c>
      <c r="Q10" s="9" t="n">
        <v>32.05175590515137</v>
      </c>
      <c r="R10" s="9" t="n">
        <v>7.529740333557129</v>
      </c>
      <c r="S10" s="9" t="n">
        <v>0.0</v>
      </c>
      <c r="T10" s="9" t="n">
        <v>0.0</v>
      </c>
      <c r="U10">
        <f si="1" t="shared"/>
        <v>3427.6258850097656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6101.203544465938</v>
      </c>
      <c r="C11" s="6" t="n">
        <v>271.99473290066936</v>
      </c>
      <c r="D11" s="6" t="n">
        <v>5.458444733023656</v>
      </c>
      <c r="E11" s="6" t="n">
        <v>186.9511165020981</v>
      </c>
      <c r="F11" s="6" t="n">
        <v>114.4922002878956</v>
      </c>
      <c r="G11" s="6" t="n">
        <v>0.0</v>
      </c>
      <c r="H11" s="6" t="n">
        <v>0.1762609430320991</v>
      </c>
      <c r="I11" s="6" t="n">
        <v>0.0</v>
      </c>
      <c r="J11" s="6">
        <f si="0" t="shared"/>
        <v>5701.3151074662874</v>
      </c>
      <c r="L11" s="12">
        <v>0.16666666666666666</v>
      </c>
      <c r="M11" s="9" t="n">
        <v>5497.779745101929</v>
      </c>
      <c r="N11" s="9" t="n">
        <v>268.9946804046631</v>
      </c>
      <c r="O11" s="9" t="n">
        <v>0.0</v>
      </c>
      <c r="P11" s="9" t="n">
        <v>0.0</v>
      </c>
      <c r="Q11" s="9" t="n">
        <v>45.31190204620361</v>
      </c>
      <c r="R11" s="9" t="n">
        <v>4.802888870239258</v>
      </c>
      <c r="S11" s="9" t="n">
        <v>0.0</v>
      </c>
      <c r="T11" s="9" t="n">
        <v>0.0</v>
      </c>
      <c r="U11">
        <f si="1" t="shared"/>
        <v>5179.3634080886841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11415.570949754716</v>
      </c>
      <c r="C12" s="6" t="n">
        <v>489.38181011199214</v>
      </c>
      <c r="D12" s="6" t="n">
        <v>14.1583516860608</v>
      </c>
      <c r="E12" s="6" t="n">
        <v>283.9804419009526</v>
      </c>
      <c r="F12" s="6" t="n">
        <v>131.09863788695318</v>
      </c>
      <c r="G12" s="6" t="n">
        <v>7.061741208118687E-5</v>
      </c>
      <c r="H12" s="6" t="n">
        <v>0.7491090078864212</v>
      </c>
      <c r="I12" s="6" t="n">
        <v>0.0</v>
      </c>
      <c r="J12" s="6">
        <f si="0" t="shared"/>
        <v>10431.357144005608</v>
      </c>
      <c r="L12" s="12">
        <v>0.1875</v>
      </c>
      <c r="M12" s="9" t="n">
        <v>8895.622747421265</v>
      </c>
      <c r="N12" s="9" t="n">
        <v>473.3973569869995</v>
      </c>
      <c r="O12" s="9" t="n">
        <v>0.0</v>
      </c>
      <c r="P12" s="9" t="n">
        <v>0.0</v>
      </c>
      <c r="Q12" s="9" t="n">
        <v>75.67452144622803</v>
      </c>
      <c r="R12" s="9" t="n">
        <v>4.508282661437988</v>
      </c>
      <c r="S12" s="9" t="n">
        <v>0.0</v>
      </c>
      <c r="T12" s="9" t="n">
        <v>0.0</v>
      </c>
      <c r="U12">
        <f si="1" t="shared"/>
        <v>8424.1222190856934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19715.361070560026</v>
      </c>
      <c r="C13" s="6" t="n">
        <v>842.7996827248651</v>
      </c>
      <c r="D13" s="6" t="n">
        <v>31.843589299115713</v>
      </c>
      <c r="E13" s="6" t="n">
        <v>410.4050708696291</v>
      </c>
      <c r="F13" s="6" t="n">
        <v>152.00369350301952</v>
      </c>
      <c r="G13" s="6" t="n">
        <v>0.0014123482416237376</v>
      </c>
      <c r="H13" s="6" t="n">
        <v>2.397148825236548</v>
      </c>
      <c r="I13" s="6" t="n">
        <v>0.0</v>
      </c>
      <c r="J13" s="6">
        <f si="0" t="shared"/>
        <v>17699.112248258756</v>
      </c>
      <c r="L13" s="12">
        <v>0.20833333333333334</v>
      </c>
      <c r="M13" s="9" t="n">
        <v>14430.006276130676</v>
      </c>
      <c r="N13" s="9" t="n">
        <v>840.6262359619141</v>
      </c>
      <c r="O13" s="9" t="n">
        <v>0.0</v>
      </c>
      <c r="P13" s="9" t="n">
        <v>0.0</v>
      </c>
      <c r="Q13" s="9" t="n">
        <v>134.2170057296753</v>
      </c>
      <c r="R13" s="9" t="n">
        <v>7.065682411193848</v>
      </c>
      <c r="S13" s="9" t="n">
        <v>0.0</v>
      </c>
      <c r="T13" s="9" t="n">
        <v>0.0</v>
      </c>
      <c r="U13">
        <f si="1" t="shared"/>
        <v>14122.107172012329</v>
      </c>
    </row>
    <row r="14" spans="1:26" x14ac:dyDescent="0.25">
      <c r="A14" s="12">
        <v>0.22916666666666666</v>
      </c>
      <c r="B14" s="6" t="n">
        <v>31267.89897909945</v>
      </c>
      <c r="C14" s="6" t="n">
        <v>1382.7354771491332</v>
      </c>
      <c r="D14" s="6" t="n">
        <v>62.72076221259968</v>
      </c>
      <c r="E14" s="6" t="n">
        <v>568.2248288035437</v>
      </c>
      <c r="F14" s="6" t="n">
        <v>195.99666257580643</v>
      </c>
      <c r="G14" s="6" t="n">
        <v>0.013417308295425506</v>
      </c>
      <c r="H14" s="6" t="n">
        <v>5.99287206309137</v>
      </c>
      <c r="I14" s="6" t="n">
        <v>0.0</v>
      </c>
      <c r="J14" s="6">
        <f si="0" t="shared"/>
        <v>27710.459336080774</v>
      </c>
      <c r="L14" s="12">
        <v>0.22916666666666666</v>
      </c>
      <c r="M14" s="9" t="n">
        <v>22666.064344406128</v>
      </c>
      <c r="N14" s="9" t="n">
        <v>1422.9506540298462</v>
      </c>
      <c r="O14" s="9" t="n">
        <v>0.0</v>
      </c>
      <c r="P14" s="9" t="n">
        <v>0.0</v>
      </c>
      <c r="Q14" s="9" t="n">
        <v>231.33475399017334</v>
      </c>
      <c r="R14" s="9" t="n">
        <v>12.964531898498535</v>
      </c>
      <c r="S14" s="9" t="n">
        <v>0.0</v>
      </c>
      <c r="T14" s="9" t="n">
        <v>0.0</v>
      </c>
      <c r="U14">
        <f si="1" t="shared"/>
        <v>22962.45813369751</v>
      </c>
    </row>
    <row r="15" spans="1:26" x14ac:dyDescent="0.25">
      <c r="A15" s="12">
        <v>0.25</v>
      </c>
      <c r="B15" s="6" t="n">
        <v>45215.8352357393</v>
      </c>
      <c r="C15" s="6" t="n">
        <v>2126.181802638633</v>
      </c>
      <c r="D15" s="6" t="n">
        <v>108.85014674583253</v>
      </c>
      <c r="E15" s="6" t="n">
        <v>742.5247428779389</v>
      </c>
      <c r="F15" s="6" t="n">
        <v>276.2103420573324</v>
      </c>
      <c r="G15" s="6" t="n">
        <v>0.08050384977255302</v>
      </c>
      <c r="H15" s="6" t="n">
        <v>11.98574412618274</v>
      </c>
      <c r="I15" s="6" t="n">
        <v>0.0</v>
      </c>
      <c r="J15" s="6">
        <f si="0" t="shared"/>
        <v>39886.706615328825</v>
      </c>
      <c r="L15" s="12">
        <v>0.25</v>
      </c>
      <c r="M15" s="9" t="n">
        <v>33282.23957157135</v>
      </c>
      <c r="N15" s="9" t="n">
        <v>2223.9939346313477</v>
      </c>
      <c r="O15" s="9" t="n">
        <v>0.0</v>
      </c>
      <c r="P15" s="9" t="n">
        <v>0.0</v>
      </c>
      <c r="Q15" s="9" t="n">
        <v>369.4631185531616</v>
      </c>
      <c r="R15" s="9" t="n">
        <v>22.49669075012207</v>
      </c>
      <c r="S15" s="9" t="n">
        <v>0.0</v>
      </c>
      <c r="T15" s="9" t="n">
        <v>0.0</v>
      </c>
      <c r="U15">
        <f si="1" t="shared"/>
        <v>34744.884295463562</v>
      </c>
    </row>
    <row r="16" spans="1:26" x14ac:dyDescent="0.25">
      <c r="A16" s="12">
        <v>0.27083333333333331</v>
      </c>
      <c r="B16" s="6" t="n">
        <v>59258.577263881045</v>
      </c>
      <c r="C16" s="6" t="n">
        <v>3017.387536422271</v>
      </c>
      <c r="D16" s="6" t="n">
        <v>167.3212935327084</v>
      </c>
      <c r="E16" s="6" t="n">
        <v>899.5905781132989</v>
      </c>
      <c r="F16" s="6" t="n">
        <v>390.2674872849119</v>
      </c>
      <c r="G16" s="6" t="n">
        <v>0.3421413615333504</v>
      </c>
      <c r="H16" s="6" t="n">
        <v>19.476914696333726</v>
      </c>
      <c r="I16" s="6" t="n">
        <v>0.0</v>
      </c>
      <c r="J16" s="6">
        <f si="0" t="shared"/>
        <v>52634.39523273227</v>
      </c>
      <c r="L16" s="12">
        <v>0.27083333333333331</v>
      </c>
      <c r="M16" s="9" t="n">
        <v>44705.952266693115</v>
      </c>
      <c r="N16" s="9" t="n">
        <v>3161.8929319381714</v>
      </c>
      <c r="O16" s="9" t="n">
        <v>0.0</v>
      </c>
      <c r="P16" s="9" t="n">
        <v>0.0</v>
      </c>
      <c r="Q16" s="9" t="n">
        <v>535.5303039550781</v>
      </c>
      <c r="R16" s="9" t="n">
        <v>35.174882888793945</v>
      </c>
      <c r="S16" s="9" t="n">
        <v>0.0</v>
      </c>
      <c r="T16" s="9" t="n">
        <v>0.0</v>
      </c>
      <c r="U16">
        <f si="1" t="shared"/>
        <v>47953.076267242432</v>
      </c>
    </row>
    <row r="17" spans="1:21" x14ac:dyDescent="0.25">
      <c r="A17" s="12">
        <v>0.29166666666666669</v>
      </c>
      <c r="B17" s="6" t="n">
        <v>70077.47706588575</v>
      </c>
      <c r="C17" s="6" t="n">
        <v>3914.157342941745</v>
      </c>
      <c r="D17" s="6" t="n">
        <v>229.2390487445104</v>
      </c>
      <c r="E17" s="6" t="n">
        <v>1001.9333641556303</v>
      </c>
      <c r="F17" s="6" t="n">
        <v>517.699807126223</v>
      </c>
      <c r="G17" s="6" t="n">
        <v>1.095224228312001</v>
      </c>
      <c r="H17" s="6" t="n">
        <v>25.97072209913144</v>
      </c>
      <c r="I17" s="6" t="n">
        <v>0.0</v>
      </c>
      <c r="J17" s="6">
        <f si="0" t="shared"/>
        <v>63453.7815100769</v>
      </c>
      <c r="L17" s="12">
        <v>0.29166666666666669</v>
      </c>
      <c r="M17" s="9" t="n">
        <v>54366.39127826691</v>
      </c>
      <c r="N17" s="9" t="n">
        <v>4065.61545753479</v>
      </c>
      <c r="O17" s="9" t="n">
        <v>0.0</v>
      </c>
      <c r="P17" s="9" t="n">
        <v>0.0</v>
      </c>
      <c r="Q17" s="9" t="n">
        <v>699.2458391189575</v>
      </c>
      <c r="R17" s="9" t="n">
        <v>49.286343574523926</v>
      </c>
      <c r="S17" s="9" t="n">
        <v>0.0</v>
      </c>
      <c r="T17" s="9" t="n">
        <v>0.0</v>
      </c>
      <c r="U17">
        <f si="1" t="shared"/>
        <v>59920.057969093323</v>
      </c>
    </row>
    <row r="18" spans="1:21" x14ac:dyDescent="0.25">
      <c r="A18" s="12">
        <v>0.3125</v>
      </c>
      <c r="B18" s="6" t="n">
        <v>74587.09468079067</v>
      </c>
      <c r="C18" s="6" t="n">
        <v>4621.817122731315</v>
      </c>
      <c r="D18" s="6" t="n">
        <v>282.20324368689325</v>
      </c>
      <c r="E18" s="6" t="n">
        <v>1029.1431238173934</v>
      </c>
      <c r="F18" s="6" t="n">
        <v>627.4114107341741</v>
      </c>
      <c r="G18" s="6" t="n">
        <v>2.7448129170737605</v>
      </c>
      <c r="H18" s="6" t="n">
        <v>28.58131684522283</v>
      </c>
      <c r="I18" s="6" t="n">
        <v>0.0</v>
      </c>
      <c r="J18" s="6">
        <f si="0" t="shared"/>
        <v>69608.359688088647</v>
      </c>
      <c r="L18" s="12">
        <v>0.3125</v>
      </c>
      <c r="M18" s="9" t="n">
        <v>59632.66163921356</v>
      </c>
      <c r="N18" s="9" t="n">
        <v>4722.89928817749</v>
      </c>
      <c r="O18" s="9" t="n">
        <v>0.0</v>
      </c>
      <c r="P18" s="9" t="n">
        <v>0.0</v>
      </c>
      <c r="Q18" s="9" t="n">
        <v>821.4554920196533</v>
      </c>
      <c r="R18" s="9" t="n">
        <v>62.07344150543213</v>
      </c>
      <c r="S18" s="9" t="n">
        <v>0.0</v>
      </c>
      <c r="T18" s="9" t="n">
        <v>0.0</v>
      </c>
      <c r="U18">
        <f si="1" t="shared"/>
        <v>67698.8121509552</v>
      </c>
    </row>
    <row r="19" spans="1:21" x14ac:dyDescent="0.25">
      <c r="A19" s="12">
        <v>0.33333333333333331</v>
      </c>
      <c r="B19" s="6" t="n">
        <v>71421.5678379433</v>
      </c>
      <c r="C19" s="6" t="n">
        <v>4967.775655791462</v>
      </c>
      <c r="D19" s="6" t="n">
        <v>315.4167515152576</v>
      </c>
      <c r="E19" s="6" t="n">
        <v>986.5067923336486</v>
      </c>
      <c r="F19" s="6" t="n">
        <v>692.0340019930916</v>
      </c>
      <c r="G19" s="6" t="n">
        <v>5.549809285563967</v>
      </c>
      <c r="H19" s="6" t="n">
        <v>26.060872340319772</v>
      </c>
      <c r="I19" s="6" t="n">
        <v>0.0</v>
      </c>
      <c r="J19" s="6">
        <f si="0" t="shared"/>
        <v>69278.646420127261</v>
      </c>
      <c r="L19" s="12">
        <v>0.33333333333333331</v>
      </c>
      <c r="M19" s="9" t="n">
        <v>59002.04082775116</v>
      </c>
      <c r="N19" s="9" t="n">
        <v>4965.707983970642</v>
      </c>
      <c r="O19" s="9" t="n">
        <v>0.0</v>
      </c>
      <c r="P19" s="9" t="n">
        <v>0.0</v>
      </c>
      <c r="Q19" s="9" t="n">
        <v>870.267430305481</v>
      </c>
      <c r="R19" s="9" t="n">
        <v>70.6671257019043</v>
      </c>
      <c r="S19" s="9" t="n">
        <v>0.0</v>
      </c>
      <c r="T19" s="9" t="n">
        <v>0.0</v>
      </c>
      <c r="U19">
        <f si="1" t="shared"/>
        <v>69275.117473602295</v>
      </c>
    </row>
    <row r="20" spans="1:21" x14ac:dyDescent="0.25">
      <c r="A20" s="12">
        <v>0.35416666666666669</v>
      </c>
      <c r="B20" s="6" t="n">
        <v>61686.93935479322</v>
      </c>
      <c r="C20" s="6" t="n">
        <v>4879.555105427173</v>
      </c>
      <c r="D20" s="6" t="n">
        <v>324.49010997220836</v>
      </c>
      <c r="E20" s="6" t="n">
        <v>896.85062223401</v>
      </c>
      <c r="F20" s="6" t="n">
        <v>701.2729827390307</v>
      </c>
      <c r="G20" s="6" t="n">
        <v>9.366082175144355</v>
      </c>
      <c r="H20" s="6" t="n">
        <v>19.866814489473274</v>
      </c>
      <c r="I20" s="6" t="n">
        <v>0.0</v>
      </c>
      <c r="J20" s="6">
        <f si="0" t="shared"/>
        <v>62590.365248326969</v>
      </c>
      <c r="L20" s="12">
        <v>0.35416666666666669</v>
      </c>
      <c r="M20" s="9" t="n">
        <v>52826.09545707703</v>
      </c>
      <c r="N20" s="9" t="n">
        <v>4747.915334701538</v>
      </c>
      <c r="O20" s="9" t="n">
        <v>0.0</v>
      </c>
      <c r="P20" s="9" t="n">
        <v>0.0</v>
      </c>
      <c r="Q20" s="9" t="n">
        <v>836.0715408325195</v>
      </c>
      <c r="R20" s="9" t="n">
        <v>73.32970333099365</v>
      </c>
      <c r="S20" s="9" t="n">
        <v>0.0</v>
      </c>
      <c r="T20" s="9" t="n">
        <v>0.0</v>
      </c>
      <c r="U20">
        <f si="1" t="shared"/>
        <v>64455.865316390991</v>
      </c>
    </row>
    <row r="21" spans="1:21" x14ac:dyDescent="0.25">
      <c r="A21" s="12">
        <v>0.375</v>
      </c>
      <c r="B21" s="6" t="n">
        <v>48410.15373789261</v>
      </c>
      <c r="C21" s="6" t="n">
        <v>4419.4981167796595</v>
      </c>
      <c r="D21" s="6" t="n">
        <v>313.3706384583699</v>
      </c>
      <c r="E21" s="6" t="n">
        <v>786.7782319003935</v>
      </c>
      <c r="F21" s="6" t="n">
        <v>666.1053514435855</v>
      </c>
      <c r="G21" s="6" t="n">
        <v>13.941457731286055</v>
      </c>
      <c r="H21" s="6" t="n">
        <v>13.233681036346976</v>
      </c>
      <c r="I21" s="6" t="n">
        <v>0.0</v>
      </c>
      <c r="J21" s="6">
        <f si="0" t="shared"/>
        <v>51711.827284977546</v>
      </c>
      <c r="L21" s="12">
        <v>0.375</v>
      </c>
      <c r="M21" s="9" t="n">
        <v>43107.254853248596</v>
      </c>
      <c r="N21" s="9" t="n">
        <v>4167.138285636902</v>
      </c>
      <c r="O21" s="9" t="n">
        <v>0.0</v>
      </c>
      <c r="P21" s="9" t="n">
        <v>0.0</v>
      </c>
      <c r="Q21" s="9" t="n">
        <v>735.8891439437866</v>
      </c>
      <c r="R21" s="9" t="n">
        <v>70.25508403778076</v>
      </c>
      <c r="S21" s="9" t="n">
        <v>0.0</v>
      </c>
      <c r="T21" s="9" t="n">
        <v>0.0</v>
      </c>
      <c r="U21">
        <f si="1" t="shared"/>
        <v>54914.018397331238</v>
      </c>
    </row>
    <row r="22" spans="1:21" x14ac:dyDescent="0.25">
      <c r="A22" s="12">
        <v>0.39583333333333331</v>
      </c>
      <c r="B22" s="6" t="n">
        <v>35053.57206158375</v>
      </c>
      <c r="C22" s="6" t="n">
        <v>3751.5278160099874</v>
      </c>
      <c r="D22" s="6" t="n">
        <v>292.3416446019328</v>
      </c>
      <c r="E22" s="6" t="n">
        <v>678.5989870881865</v>
      </c>
      <c r="F22" s="6" t="n">
        <v>610.6805512257599</v>
      </c>
      <c r="G22" s="6" t="n">
        <v>19.9975558720133</v>
      </c>
      <c r="H22" s="6" t="n">
        <v>9.112714338501965</v>
      </c>
      <c r="I22" s="6" t="n">
        <v>0.0</v>
      </c>
      <c r="J22" s="6">
        <f si="0" t="shared"/>
        <v>39795.669789765547</v>
      </c>
      <c r="L22" s="12">
        <v>0.39583333333333331</v>
      </c>
      <c r="M22" s="9" t="n">
        <v>32514.432138442993</v>
      </c>
      <c r="N22" s="9" t="n">
        <v>3415.9535188674927</v>
      </c>
      <c r="O22" s="9" t="n">
        <v>0.0</v>
      </c>
      <c r="P22" s="9" t="n">
        <v>0.0</v>
      </c>
      <c r="Q22" s="9" t="n">
        <v>604.2813634872437</v>
      </c>
      <c r="R22" s="9" t="n">
        <v>63.444973945617676</v>
      </c>
      <c r="S22" s="9" t="n">
        <v>0.0</v>
      </c>
      <c r="T22" s="9" t="n">
        <v>0.0</v>
      </c>
      <c r="U22">
        <f si="1" t="shared"/>
        <v>43386.776733398438</v>
      </c>
    </row>
    <row r="23" spans="1:21" x14ac:dyDescent="0.25">
      <c r="A23" s="12">
        <v>0.41666666666666669</v>
      </c>
      <c r="B23" s="6" t="n">
        <v>24101.994779627646</v>
      </c>
      <c r="C23" s="6" t="n">
        <v>3059.598935146609</v>
      </c>
      <c r="D23" s="6" t="n">
        <v>272.22305583810885</v>
      </c>
      <c r="E23" s="6" t="n">
        <v>589.0431395762412</v>
      </c>
      <c r="F23" s="6" t="n">
        <v>556.8164902485003</v>
      </c>
      <c r="G23" s="6" t="n">
        <v>30.066945811691262</v>
      </c>
      <c r="H23" s="6" t="n">
        <v>8.636871013742107</v>
      </c>
      <c r="I23" s="6" t="n">
        <v>0.0</v>
      </c>
      <c r="J23" s="6">
        <f si="0" t="shared"/>
        <v>29466.907619764654</v>
      </c>
      <c r="L23" s="12">
        <v>0.41666666666666669</v>
      </c>
      <c r="M23" s="9" t="n">
        <v>23256.87525844574</v>
      </c>
      <c r="N23" s="9" t="n">
        <v>2694.0354833602905</v>
      </c>
      <c r="O23" s="9" t="n">
        <v>0.0</v>
      </c>
      <c r="P23" s="9" t="n">
        <v>0.0</v>
      </c>
      <c r="Q23" s="9" t="n">
        <v>477.1354331970215</v>
      </c>
      <c r="R23" s="9" t="n">
        <v>55.80113887786865</v>
      </c>
      <c r="S23" s="9" t="n">
        <v>0.0</v>
      </c>
      <c r="T23" s="9" t="n">
        <v>0.0</v>
      </c>
      <c r="U23">
        <f si="1" t="shared"/>
        <v>32520.741815567017</v>
      </c>
    </row>
    <row r="24" spans="1:21" x14ac:dyDescent="0.25">
      <c r="A24" s="12">
        <v>0.4375</v>
      </c>
      <c r="B24" s="6" t="n">
        <v>16507.168600267367</v>
      </c>
      <c r="C24" s="6" t="n">
        <v>2470.6712364973073</v>
      </c>
      <c r="D24" s="6" t="n">
        <v>257.11918532449306</v>
      </c>
      <c r="E24" s="6" t="n">
        <v>529.7063545599032</v>
      </c>
      <c r="F24" s="6" t="n">
        <v>512.6240779122743</v>
      </c>
      <c r="G24" s="6" t="n">
        <v>47.205488626422124</v>
      </c>
      <c r="H24" s="6" t="n">
        <v>10.889414989345418</v>
      </c>
      <c r="I24" s="6" t="n">
        <v>0.0</v>
      </c>
      <c r="J24" s="6">
        <f si="0" t="shared"/>
        <v>21894.47381875119</v>
      </c>
      <c r="L24" s="12">
        <v>0.4375</v>
      </c>
      <c r="M24" s="9" t="n">
        <v>16442.850560188293</v>
      </c>
      <c r="N24" s="9" t="n">
        <v>2134.936192512512</v>
      </c>
      <c r="O24" s="9" t="n">
        <v>0.0</v>
      </c>
      <c r="P24" s="9" t="n">
        <v>0.0</v>
      </c>
      <c r="Q24" s="9" t="n">
        <v>378.49098205566406</v>
      </c>
      <c r="R24" s="9" t="n">
        <v>50.00930881500244</v>
      </c>
      <c r="S24" s="9" t="n">
        <v>0.0</v>
      </c>
      <c r="T24" s="9" t="n">
        <v>0.0</v>
      </c>
      <c r="U24">
        <f si="1" t="shared"/>
        <v>23990.241785049438</v>
      </c>
    </row>
    <row r="25" spans="1:21" x14ac:dyDescent="0.25">
      <c r="A25" s="12">
        <v>0.45833333333333331</v>
      </c>
      <c r="B25" s="6" t="n">
        <v>12005.075190697502</v>
      </c>
      <c r="C25" s="6" t="n">
        <v>2027.046677350775</v>
      </c>
      <c r="D25" s="6" t="n">
        <v>241.25227046531404</v>
      </c>
      <c r="E25" s="6" t="n">
        <v>505.3359755919508</v>
      </c>
      <c r="F25" s="6" t="n">
        <v>475.14498585757684</v>
      </c>
      <c r="G25" s="6" t="n">
        <v>71.29869429809605</v>
      </c>
      <c r="H25" s="6" t="n">
        <v>13.704045283585149</v>
      </c>
      <c r="I25" s="6" t="n">
        <v>0.0</v>
      </c>
      <c r="J25" s="6">
        <f si="0" t="shared"/>
        <v>16901.701133628616</v>
      </c>
      <c r="L25" s="12">
        <v>0.45833333333333331</v>
      </c>
      <c r="M25" s="9" t="n">
        <v>12114.412456512451</v>
      </c>
      <c r="N25" s="9" t="n">
        <v>1782.5730895996094</v>
      </c>
      <c r="O25" s="9" t="n">
        <v>0.0</v>
      </c>
      <c r="P25" s="9" t="n">
        <v>0.0</v>
      </c>
      <c r="Q25" s="9" t="n">
        <v>316.5421018600464</v>
      </c>
      <c r="R25" s="9" t="n">
        <v>47.77949333190918</v>
      </c>
      <c r="S25" s="9" t="n">
        <v>0.0</v>
      </c>
      <c r="T25" s="9" t="n">
        <v>0.0</v>
      </c>
      <c r="U25">
        <f si="1" t="shared"/>
        <v>18246.386370658875</v>
      </c>
    </row>
    <row r="26" spans="1:21" x14ac:dyDescent="0.25">
      <c r="A26" s="12">
        <v>0.47916666666666669</v>
      </c>
      <c r="B26" s="6" t="n">
        <v>9771.028420017617</v>
      </c>
      <c r="C26" s="6" t="n">
        <v>1710.8792773601403</v>
      </c>
      <c r="D26" s="6" t="n">
        <v>214.3694229294141</v>
      </c>
      <c r="E26" s="6" t="n">
        <v>510.12937288783087</v>
      </c>
      <c r="F26" s="6" t="n">
        <v>444.09367564312345</v>
      </c>
      <c r="G26" s="6" t="n">
        <v>96.13594036726813</v>
      </c>
      <c r="H26" s="6" t="n">
        <v>14.956248375606233</v>
      </c>
      <c r="I26" s="6" t="n">
        <v>0.0</v>
      </c>
      <c r="J26" s="6">
        <f si="0" t="shared"/>
        <v>13719.677520244066</v>
      </c>
      <c r="L26" s="12">
        <v>0.47916666666666669</v>
      </c>
      <c r="M26" s="9" t="n">
        <v>9701.194526672363</v>
      </c>
      <c r="N26" s="9" t="n">
        <v>1613.1225700378418</v>
      </c>
      <c r="O26" s="9" t="n">
        <v>0.0</v>
      </c>
      <c r="P26" s="9" t="n">
        <v>0.0</v>
      </c>
      <c r="Q26" s="9" t="n">
        <v>287.60148906707764</v>
      </c>
      <c r="R26" s="9" t="n">
        <v>49.68647384643555</v>
      </c>
      <c r="S26" s="9" t="n">
        <v>0.0</v>
      </c>
      <c r="T26" s="9" t="n">
        <v>0.0</v>
      </c>
      <c r="U26">
        <f si="1" t="shared"/>
        <v>14834.008274078369</v>
      </c>
    </row>
    <row r="27" spans="1:21" x14ac:dyDescent="0.25">
      <c r="A27" s="12">
        <v>0.5</v>
      </c>
      <c r="B27" s="6" t="n">
        <v>8919.290161908193</v>
      </c>
      <c r="C27" s="6" t="n">
        <v>1487.184375139616</v>
      </c>
      <c r="D27" s="6" t="n">
        <v>172.3039990687338</v>
      </c>
      <c r="E27" s="6" t="n">
        <v>526.4749938954978</v>
      </c>
      <c r="F27" s="6" t="n">
        <v>430.6511665912253</v>
      </c>
      <c r="G27" s="6" t="n">
        <v>111.51640926275277</v>
      </c>
      <c r="H27" s="6" t="n">
        <v>13.783976699474346</v>
      </c>
      <c r="I27" s="6" t="n">
        <v>0.0</v>
      </c>
      <c r="J27" s="6">
        <f si="0" t="shared"/>
        <v>11664.656055590376</v>
      </c>
      <c r="L27" s="12">
        <v>0.5</v>
      </c>
      <c r="M27" s="9" t="n">
        <v>8498.238725662231</v>
      </c>
      <c r="N27" s="9" t="n">
        <v>1572.875207901001</v>
      </c>
      <c r="O27" s="9" t="n">
        <v>0.0</v>
      </c>
      <c r="P27" s="9" t="n">
        <v>0.0</v>
      </c>
      <c r="Q27" s="9" t="n">
        <v>282.60894107818604</v>
      </c>
      <c r="R27" s="9" t="n">
        <v>55.45976161956787</v>
      </c>
      <c r="S27" s="9" t="n">
        <v>0.0</v>
      </c>
      <c r="T27" s="9" t="n">
        <v>0.0</v>
      </c>
      <c r="U27">
        <f si="1" t="shared"/>
        <v>12938.762903213501</v>
      </c>
    </row>
    <row r="28" spans="1:21" x14ac:dyDescent="0.25">
      <c r="A28" s="12">
        <v>0.52083333333333337</v>
      </c>
      <c r="B28" s="6" t="n">
        <v>8718.37500866138</v>
      </c>
      <c r="C28" s="6" t="n">
        <v>1330.4057565789974</v>
      </c>
      <c r="D28" s="6" t="n">
        <v>122.66348024111468</v>
      </c>
      <c r="E28" s="6" t="n">
        <v>531.3681848420946</v>
      </c>
      <c r="F28" s="6" t="n">
        <v>448.7933180486169</v>
      </c>
      <c r="G28" s="6" t="n">
        <v>110.42529167838994</v>
      </c>
      <c r="H28" s="6" t="n">
        <v>11.08169433506626</v>
      </c>
      <c r="I28" s="6" t="n">
        <v>0.0</v>
      </c>
      <c r="J28" s="6">
        <f si="0" t="shared"/>
        <v>10348.651215900112</v>
      </c>
      <c r="L28" s="12">
        <v>0.52083333333333337</v>
      </c>
      <c r="M28" s="9" t="n">
        <v>7934.559436798096</v>
      </c>
      <c r="N28" s="9" t="n">
        <v>1606.3213176727295</v>
      </c>
      <c r="O28" s="9" t="n">
        <v>0.0</v>
      </c>
      <c r="P28" s="9" t="n">
        <v>0.0</v>
      </c>
      <c r="Q28" s="9" t="n">
        <v>291.8135652542114</v>
      </c>
      <c r="R28" s="9" t="n">
        <v>64.33372974395752</v>
      </c>
      <c r="S28" s="9" t="n">
        <v>0.0</v>
      </c>
      <c r="T28" s="9" t="n">
        <v>0.0</v>
      </c>
      <c r="U28">
        <f si="1" t="shared"/>
        <v>11826.709604263306</v>
      </c>
    </row>
    <row r="29" spans="1:21" x14ac:dyDescent="0.25">
      <c r="A29" s="12">
        <v>0.54166666666666663</v>
      </c>
      <c r="B29" s="6" t="n">
        <v>8642.678265424107</v>
      </c>
      <c r="C29" s="6" t="n">
        <v>1225.3480289491304</v>
      </c>
      <c r="D29" s="6" t="n">
        <v>79.85043795532911</v>
      </c>
      <c r="E29" s="6" t="n">
        <v>508.99327644566563</v>
      </c>
      <c r="F29" s="6" t="n">
        <v>496.8581571093459</v>
      </c>
      <c r="G29" s="6" t="n">
        <v>95.48000606208046</v>
      </c>
      <c r="H29" s="6" t="n">
        <v>8.956540962568845</v>
      </c>
      <c r="I29" s="6" t="n">
        <v>0.0</v>
      </c>
      <c r="J29" s="6">
        <f si="0" t="shared"/>
        <v>9535.7550394171267</v>
      </c>
      <c r="L29" s="12">
        <v>0.54166666666666663</v>
      </c>
      <c r="M29" s="9" t="n">
        <v>7630.464080810547</v>
      </c>
      <c r="N29" s="9" t="n">
        <v>1667.4697408676147</v>
      </c>
      <c r="O29" s="9" t="n">
        <v>0.0</v>
      </c>
      <c r="P29" s="9" t="n">
        <v>0.0</v>
      </c>
      <c r="Q29" s="9" t="n">
        <v>306.6838130950928</v>
      </c>
      <c r="R29" s="9" t="n">
        <v>75.17448043823242</v>
      </c>
      <c r="S29" s="9" t="n">
        <v>0.0</v>
      </c>
      <c r="T29" s="9" t="n">
        <v>0.0</v>
      </c>
      <c r="U29">
        <f si="1" t="shared"/>
        <v>11028.567967414856</v>
      </c>
    </row>
    <row r="30" spans="1:21" x14ac:dyDescent="0.25">
      <c r="A30" s="12">
        <v>0.5625</v>
      </c>
      <c r="B30" s="6" t="n">
        <v>8380.726131021345</v>
      </c>
      <c r="C30" s="6" t="n">
        <v>1156.4151113901562</v>
      </c>
      <c r="D30" s="6" t="n">
        <v>54.5465535994358</v>
      </c>
      <c r="E30" s="6" t="n">
        <v>459.4339923805429</v>
      </c>
      <c r="F30" s="6" t="n">
        <v>551.0915387501989</v>
      </c>
      <c r="G30" s="6" t="n">
        <v>78.43358081752251</v>
      </c>
      <c r="H30" s="6" t="n">
        <v>9.597927102770308</v>
      </c>
      <c r="I30" s="6" t="n">
        <v>0.0</v>
      </c>
      <c r="J30" s="6">
        <f si="0" t="shared"/>
        <v>8975.1762619413566</v>
      </c>
      <c r="L30" s="12">
        <v>0.5625</v>
      </c>
      <c r="M30" s="9" t="n">
        <v>7356.2399559021</v>
      </c>
      <c r="N30" s="9" t="n">
        <v>1720.7495822906494</v>
      </c>
      <c r="O30" s="9" t="n">
        <v>0.0</v>
      </c>
      <c r="P30" s="9" t="n">
        <v>0.0</v>
      </c>
      <c r="Q30" s="9" t="n">
        <v>320.266131401062</v>
      </c>
      <c r="R30" s="9" t="n">
        <v>86.4555492401123</v>
      </c>
      <c r="S30" s="9" t="n">
        <v>0.0</v>
      </c>
      <c r="T30" s="9" t="n">
        <v>0.0</v>
      </c>
      <c r="U30">
        <f si="1" t="shared"/>
        <v>10316.606016159058</v>
      </c>
    </row>
    <row r="31" spans="1:21" x14ac:dyDescent="0.25">
      <c r="A31" s="12">
        <v>0.58333333333333337</v>
      </c>
      <c r="B31" s="6" t="n">
        <v>7824.253708957108</v>
      </c>
      <c r="C31" s="6" t="n">
        <v>1102.4357302096744</v>
      </c>
      <c r="D31" s="6" t="n">
        <v>47.35451863123478</v>
      </c>
      <c r="E31" s="6" t="n">
        <v>395.4875559090415</v>
      </c>
      <c r="F31" s="6" t="n">
        <v>581.6286814040805</v>
      </c>
      <c r="G31" s="6" t="n">
        <v>72.64123712034674</v>
      </c>
      <c r="H31" s="6" t="n">
        <v>14.320462975933255</v>
      </c>
      <c r="I31" s="6" t="n">
        <v>0.0</v>
      </c>
      <c r="J31" s="6">
        <f si="0" t="shared"/>
        <v>8406.6376415190934</v>
      </c>
      <c r="L31" s="12">
        <v>0.58333333333333337</v>
      </c>
      <c r="M31" s="9" t="n">
        <v>6985.480834007263</v>
      </c>
      <c r="N31" s="9" t="n">
        <v>1739.4861536026</v>
      </c>
      <c r="O31" s="9" t="n">
        <v>0.0</v>
      </c>
      <c r="P31" s="9" t="n">
        <v>0.0</v>
      </c>
      <c r="Q31" s="9" t="n">
        <v>327.2280740737915</v>
      </c>
      <c r="R31" s="9" t="n">
        <v>96.37851428985596</v>
      </c>
      <c r="S31" s="9" t="n">
        <v>0.0</v>
      </c>
      <c r="T31" s="9" t="n">
        <v>0.0</v>
      </c>
      <c r="U31">
        <f si="1" t="shared"/>
        <v>9601.705756187439</v>
      </c>
    </row>
    <row r="32" spans="1:21" x14ac:dyDescent="0.25">
      <c r="A32" s="12">
        <v>0.60416666666666663</v>
      </c>
      <c r="B32" s="6" t="n">
        <v>7023.069483320793</v>
      </c>
      <c r="C32" s="6" t="n">
        <v>1043.332154087776</v>
      </c>
      <c r="D32" s="6" t="n">
        <v>50.59107893500829</v>
      </c>
      <c r="E32" s="6" t="n">
        <v>331.7389715793282</v>
      </c>
      <c r="F32" s="6" t="n">
        <v>575.9384343265663</v>
      </c>
      <c r="G32" s="6" t="n">
        <v>84.46991676805347</v>
      </c>
      <c r="H32" s="6" t="n">
        <v>23.074441993666117</v>
      </c>
      <c r="I32" s="6" t="n">
        <v>0.0</v>
      </c>
      <c r="J32" s="6">
        <f si="0" t="shared"/>
        <v>7683.191735032784</v>
      </c>
      <c r="L32" s="12">
        <v>0.60416666666666663</v>
      </c>
      <c r="M32" s="9" t="n">
        <v>6470.899888038635</v>
      </c>
      <c r="N32" s="9" t="n">
        <v>1706.1643419265747</v>
      </c>
      <c r="O32" s="9" t="n">
        <v>0.0</v>
      </c>
      <c r="P32" s="9" t="n">
        <v>0.0</v>
      </c>
      <c r="Q32" s="9" t="n">
        <v>324.09450244903564</v>
      </c>
      <c r="R32" s="9" t="n">
        <v>103.30313396453857</v>
      </c>
      <c r="S32" s="9" t="n">
        <v>0.0</v>
      </c>
      <c r="T32" s="9" t="n">
        <v>0.0</v>
      </c>
      <c r="U32">
        <f si="1" t="shared"/>
        <v>8848.565149307251</v>
      </c>
    </row>
    <row r="33" spans="1:21" x14ac:dyDescent="0.25">
      <c r="A33" s="12">
        <v>0.625</v>
      </c>
      <c r="B33" s="6" t="n">
        <v>6111.18994515546</v>
      </c>
      <c r="C33" s="6" t="n">
        <v>972.1749494250857</v>
      </c>
      <c r="D33" s="6" t="n">
        <v>54.6504841173202</v>
      </c>
      <c r="E33" s="6" t="n">
        <v>276.9106009251334</v>
      </c>
      <c r="F33" s="6" t="n">
        <v>545.5118537651971</v>
      </c>
      <c r="G33" s="6" t="n">
        <v>109.9194973006677</v>
      </c>
      <c r="H33" s="6" t="n">
        <v>34.24259149547501</v>
      </c>
      <c r="I33" s="6" t="n">
        <v>0.0</v>
      </c>
      <c r="J33" s="6">
        <f si="0" t="shared"/>
        <v>6842.0423910840209</v>
      </c>
      <c r="L33" s="12">
        <v>0.625</v>
      </c>
      <c r="M33" s="9" t="n">
        <v>5831.400450706482</v>
      </c>
      <c r="N33" s="9" t="n">
        <v>1615.0776529312134</v>
      </c>
      <c r="O33" s="9" t="n">
        <v>0.0</v>
      </c>
      <c r="P33" s="9" t="n">
        <v>0.0</v>
      </c>
      <c r="Q33" s="9" t="n">
        <v>309.76238346099854</v>
      </c>
      <c r="R33" s="9" t="n">
        <v>106.32726287841797</v>
      </c>
      <c r="S33" s="9" t="n">
        <v>0.0</v>
      </c>
      <c r="T33" s="9" t="n">
        <v>0.0</v>
      </c>
      <c r="U33">
        <f si="1" t="shared"/>
        <v>8042.1930551528931</v>
      </c>
    </row>
    <row r="34" spans="1:21" x14ac:dyDescent="0.25">
      <c r="A34" s="12">
        <v>0.64583333333333337</v>
      </c>
      <c r="B34" s="6" t="n">
        <v>5228.218560443673</v>
      </c>
      <c r="C34" s="6" t="n">
        <v>900.0682219527348</v>
      </c>
      <c r="D34" s="6" t="n">
        <v>53.39143720210336</v>
      </c>
      <c r="E34" s="6" t="n">
        <v>233.9260894220762</v>
      </c>
      <c r="F34" s="6" t="n">
        <v>510.20354161917976</v>
      </c>
      <c r="G34" s="6" t="n">
        <v>138.16113914093228</v>
      </c>
      <c r="H34" s="6" t="n">
        <v>44.727053837441254</v>
      </c>
      <c r="I34" s="6" t="n">
        <v>0.0</v>
      </c>
      <c r="J34" s="6">
        <f si="0" t="shared"/>
        <v>6034.785015248779</v>
      </c>
      <c r="L34" s="12">
        <v>0.64583333333333337</v>
      </c>
      <c r="M34" s="9" t="n">
        <v>5134.424844741821</v>
      </c>
      <c r="N34" s="9" t="n">
        <v>1474.723801612854</v>
      </c>
      <c r="O34" s="9" t="n">
        <v>0.0</v>
      </c>
      <c r="P34" s="9" t="n">
        <v>0.0</v>
      </c>
      <c r="Q34" s="9" t="n">
        <v>285.94872283935547</v>
      </c>
      <c r="R34" s="9" t="n">
        <v>105.62491989135742</v>
      </c>
      <c r="S34" s="9" t="n">
        <v>0.0</v>
      </c>
      <c r="T34" s="9" t="n">
        <v>0.0</v>
      </c>
      <c r="U34">
        <f si="1" t="shared"/>
        <v>7191.0526704788208</v>
      </c>
    </row>
    <row r="35" spans="1:21" x14ac:dyDescent="0.25">
      <c r="A35" s="12">
        <v>0.66666666666666663</v>
      </c>
      <c r="B35" s="6" t="n">
        <v>4458.814155678046</v>
      </c>
      <c r="C35" s="6" t="n">
        <v>846.3348653756767</v>
      </c>
      <c r="D35" s="6" t="n">
        <v>45.80346252908822</v>
      </c>
      <c r="E35" s="6" t="n">
        <v>202.7740103805118</v>
      </c>
      <c r="F35" s="6" t="n">
        <v>478.6676965504329</v>
      </c>
      <c r="G35" s="6" t="n">
        <v>158.61106497990747</v>
      </c>
      <c r="H35" s="6" t="n">
        <v>50.76962182882456</v>
      </c>
      <c r="I35" s="6" t="n">
        <v>0.0</v>
      </c>
      <c r="J35" s="6">
        <f si="0" t="shared"/>
        <v>5380.5039678819612</v>
      </c>
      <c r="L35" s="12">
        <v>0.66666666666666663</v>
      </c>
      <c r="M35" s="9" t="n">
        <v>4465.643500328064</v>
      </c>
      <c r="N35" s="9" t="n">
        <v>1305.3490543365479</v>
      </c>
      <c r="O35" s="9" t="n">
        <v>0.0</v>
      </c>
      <c r="P35" s="9" t="n">
        <v>0.0</v>
      </c>
      <c r="Q35" s="9" t="n">
        <v>256.70383644104004</v>
      </c>
      <c r="R35" s="9" t="n">
        <v>102.19836235046387</v>
      </c>
      <c r="S35" s="9" t="n">
        <v>0.0</v>
      </c>
      <c r="T35" s="9" t="n">
        <v>0.0</v>
      </c>
      <c r="U35">
        <f si="1" t="shared"/>
        <v>6334.0625524520874</v>
      </c>
    </row>
    <row r="36" spans="1:21" x14ac:dyDescent="0.25">
      <c r="A36" s="12">
        <v>0.6875</v>
      </c>
      <c r="B36" s="6" t="n">
        <v>3808.7969767360946</v>
      </c>
      <c r="C36" s="6" t="n">
        <v>820.1135478824107</v>
      </c>
      <c r="D36" s="6" t="n">
        <v>34.51950301641952</v>
      </c>
      <c r="E36" s="6" t="n">
        <v>181.1893832878091</v>
      </c>
      <c r="F36" s="6" t="n">
        <v>444.7437904440054</v>
      </c>
      <c r="G36" s="6" t="n">
        <v>166.05489041745025</v>
      </c>
      <c r="H36" s="6" t="n">
        <v>49.67718562801401</v>
      </c>
      <c r="I36" s="6" t="n">
        <v>0.0</v>
      </c>
      <c r="J36" s="6">
        <f si="0" t="shared"/>
        <v>4872.6538610133675</v>
      </c>
      <c r="L36" s="12">
        <v>0.6875</v>
      </c>
      <c r="M36" s="9" t="n">
        <v>3889.6996545791626</v>
      </c>
      <c r="N36" s="9" t="n">
        <v>1129.8913307189941</v>
      </c>
      <c r="O36" s="9" t="n">
        <v>0.0</v>
      </c>
      <c r="P36" s="9" t="n">
        <v>0.0</v>
      </c>
      <c r="Q36" s="9" t="n">
        <v>226.49153995513916</v>
      </c>
      <c r="R36" s="9" t="n">
        <v>97.0869493484497</v>
      </c>
      <c r="S36" s="9" t="n">
        <v>0.0</v>
      </c>
      <c r="T36" s="9" t="n">
        <v>0.0</v>
      </c>
      <c r="U36">
        <f si="1" t="shared"/>
        <v>5528.5912561416626</v>
      </c>
    </row>
    <row r="37" spans="1:21" x14ac:dyDescent="0.25">
      <c r="A37" s="12">
        <v>0.70833333333333337</v>
      </c>
      <c r="B37" s="6" t="n">
        <v>3227.237977214503</v>
      </c>
      <c r="C37" s="6" t="n">
        <v>808.8223345526796</v>
      </c>
      <c r="D37" s="6" t="n">
        <v>23.245692269940065</v>
      </c>
      <c r="E37" s="6" t="n">
        <v>164.2403766924351</v>
      </c>
      <c r="F37" s="6" t="n">
        <v>399.5500672945577</v>
      </c>
      <c r="G37" s="6" t="n">
        <v>160.86954383758678</v>
      </c>
      <c r="H37" s="6" t="n">
        <v>41.53172132004106</v>
      </c>
      <c r="I37" s="6" t="n">
        <v>0.0</v>
      </c>
      <c r="J37" s="6">
        <f si="0" t="shared"/>
        <v>4406.837470262546</v>
      </c>
      <c r="L37" s="12">
        <v>0.70833333333333337</v>
      </c>
      <c r="M37" s="9" t="n">
        <v>3419.6536922454834</v>
      </c>
      <c r="N37" s="9" t="n">
        <v>963.3764553070068</v>
      </c>
      <c r="O37" s="9" t="n">
        <v>0.0</v>
      </c>
      <c r="P37" s="9" t="n">
        <v>0.0</v>
      </c>
      <c r="Q37" s="9" t="n">
        <v>197.84272956848145</v>
      </c>
      <c r="R37" s="9" t="n">
        <v>90.59020137786865</v>
      </c>
      <c r="S37" s="9" t="n">
        <v>0.0</v>
      </c>
      <c r="T37" s="9" t="n">
        <v>0.0</v>
      </c>
      <c r="U37">
        <f si="1" t="shared"/>
        <v>4822.9588079452515</v>
      </c>
    </row>
    <row r="38" spans="1:21" x14ac:dyDescent="0.25">
      <c r="A38" s="12">
        <v>0.72916666666666663</v>
      </c>
      <c r="B38" s="6" t="n">
        <v>2659.3372963648067</v>
      </c>
      <c r="C38" s="6" t="n">
        <v>783.4669133213704</v>
      </c>
      <c r="D38" s="6" t="n">
        <v>14.806783389166586</v>
      </c>
      <c r="E38" s="6" t="n">
        <v>145.94521354651607</v>
      </c>
      <c r="F38" s="6" t="n">
        <v>343.04130008730846</v>
      </c>
      <c r="G38" s="6" t="n">
        <v>146.38218415236935</v>
      </c>
      <c r="H38" s="6" t="n">
        <v>29.362360686187568</v>
      </c>
      <c r="I38" s="6" t="n">
        <v>0.0</v>
      </c>
      <c r="J38" s="6">
        <f si="0" t="shared"/>
        <v>3882.5963483521464</v>
      </c>
      <c r="L38" s="12">
        <v>0.72916666666666663</v>
      </c>
      <c r="M38" s="9" t="n">
        <v>3016.720076560974</v>
      </c>
      <c r="N38" s="9" t="n">
        <v>808.9999303817749</v>
      </c>
      <c r="O38" s="9" t="n">
        <v>0.0</v>
      </c>
      <c r="P38" s="9" t="n">
        <v>0.0</v>
      </c>
      <c r="Q38" s="9" t="n">
        <v>170.52673149108887</v>
      </c>
      <c r="R38" s="9" t="n">
        <v>82.1994161605835</v>
      </c>
      <c r="S38" s="9" t="n">
        <v>0.0</v>
      </c>
      <c r="T38" s="9" t="n">
        <v>0.0</v>
      </c>
      <c r="U38">
        <f si="1" t="shared"/>
        <v>4234.6729373931885</v>
      </c>
    </row>
    <row r="39" spans="1:21" x14ac:dyDescent="0.25">
      <c r="A39" s="12">
        <v>0.75</v>
      </c>
      <c r="B39" s="6" t="n">
        <v>2091.603614645489</v>
      </c>
      <c r="C39" s="6" t="n">
        <v>716.5594817854596</v>
      </c>
      <c r="D39" s="6" t="n">
        <v>10.309378062025882</v>
      </c>
      <c r="E39" s="6" t="n">
        <v>122.54484670946917</v>
      </c>
      <c r="F39" s="6" t="n">
        <v>283.36180514195917</v>
      </c>
      <c r="G39" s="6" t="n">
        <v>127.12611655208971</v>
      </c>
      <c r="H39" s="6" t="n">
        <v>17.342809838210634</v>
      </c>
      <c r="I39" s="6" t="n">
        <v>0.0</v>
      </c>
      <c r="J39" s="6">
        <f si="0" t="shared"/>
        <v>3279.4768092435224</v>
      </c>
      <c r="L39" s="12">
        <v>0.75</v>
      </c>
      <c r="M39" s="9" t="n">
        <v>2624.130346298218</v>
      </c>
      <c r="N39" s="9" t="n">
        <v>663.7011318206787</v>
      </c>
      <c r="O39" s="9" t="n">
        <v>0.0</v>
      </c>
      <c r="P39" s="9" t="n">
        <v>0.0</v>
      </c>
      <c r="Q39" s="9" t="n">
        <v>143.0290880203247</v>
      </c>
      <c r="R39" s="9" t="n">
        <v>71.38940334320068</v>
      </c>
      <c r="S39" s="9" t="n">
        <v>0.0</v>
      </c>
      <c r="T39" s="9" t="n">
        <v>0.0</v>
      </c>
      <c r="U39">
        <f si="1" t="shared"/>
        <v>3748.8711786270142</v>
      </c>
    </row>
    <row r="40" spans="1:21" x14ac:dyDescent="0.25">
      <c r="A40" s="12">
        <v>0.77083333333333337</v>
      </c>
      <c r="B40" s="6" t="n">
        <v>1557.7568363587955</v>
      </c>
      <c r="C40" s="6" t="n">
        <v>599.5750113885194</v>
      </c>
      <c r="D40" s="6" t="n">
        <v>9.1538475140101</v>
      </c>
      <c r="E40" s="6" t="n">
        <v>94.45496158480772</v>
      </c>
      <c r="F40" s="6" t="n">
        <v>228.02293620020905</v>
      </c>
      <c r="G40" s="6" t="n">
        <v>108.2784959375891</v>
      </c>
      <c r="H40" s="6" t="n">
        <v>8.431758967247813</v>
      </c>
      <c r="I40" s="6" t="n">
        <v>0.0</v>
      </c>
      <c r="J40" s="6">
        <f si="0" t="shared"/>
        <v>2651.4536317620823</v>
      </c>
      <c r="L40" s="12">
        <v>0.77083333333333337</v>
      </c>
      <c r="M40" s="9" t="n">
        <v>2211.0348014831543</v>
      </c>
      <c r="N40" s="9" t="n">
        <v>527.2188167572021</v>
      </c>
      <c r="O40" s="9" t="n">
        <v>0.0</v>
      </c>
      <c r="P40" s="9" t="n">
        <v>0.0</v>
      </c>
      <c r="Q40" s="9" t="n">
        <v>114.92219543457031</v>
      </c>
      <c r="R40" s="9" t="n">
        <v>58.60647964477539</v>
      </c>
      <c r="S40" s="9" t="n">
        <v>0.0</v>
      </c>
      <c r="T40" s="9" t="n">
        <v>0.0</v>
      </c>
      <c r="U40">
        <f si="1" t="shared"/>
        <v>3332.9706716537476</v>
      </c>
    </row>
    <row r="41" spans="1:21" x14ac:dyDescent="0.25">
      <c r="A41" s="12">
        <v>0.79166666666666663</v>
      </c>
      <c r="B41" s="6" t="n">
        <v>1108.4737998267751</v>
      </c>
      <c r="C41" s="6" t="n">
        <v>448.5771105817727</v>
      </c>
      <c r="D41" s="6" t="n">
        <v>9.618236780108274</v>
      </c>
      <c r="E41" s="6" t="n">
        <v>65.41457677022252</v>
      </c>
      <c r="F41" s="6" t="n">
        <v>178.41917037754638</v>
      </c>
      <c r="G41" s="6" t="n">
        <v>93.82691583919953</v>
      </c>
      <c r="H41" s="6" t="n">
        <v>3.310157478481262</v>
      </c>
      <c r="I41" s="6" t="n">
        <v>0.0</v>
      </c>
      <c r="J41" s="6">
        <f si="0" t="shared"/>
        <v>2067.1185212254418</v>
      </c>
      <c r="L41" s="12">
        <v>0.79166666666666663</v>
      </c>
      <c r="M41" s="9" t="n">
        <v>1792.23091506958</v>
      </c>
      <c r="N41" s="9" t="n">
        <v>405.8657684326172</v>
      </c>
      <c r="O41" s="9" t="n">
        <v>0.0</v>
      </c>
      <c r="P41" s="9" t="n">
        <v>0.0</v>
      </c>
      <c r="Q41" s="9" t="n">
        <v>87.91838550567627</v>
      </c>
      <c r="R41" s="9" t="n">
        <v>45.52091693878174</v>
      </c>
      <c r="S41" s="9" t="n">
        <v>0.0</v>
      </c>
      <c r="T41" s="9" t="n">
        <v>0.0</v>
      </c>
      <c r="U41">
        <f si="1" t="shared"/>
        <v>2954.9115753173828</v>
      </c>
    </row>
    <row r="42" spans="1:21" x14ac:dyDescent="0.25">
      <c r="A42" s="12">
        <v>0.8125</v>
      </c>
      <c r="B42" s="6" t="n">
        <v>775.4875847543376</v>
      </c>
      <c r="C42" s="6" t="n">
        <v>294.9787191502853</v>
      </c>
      <c r="D42" s="6" t="n">
        <v>9.838843232234828</v>
      </c>
      <c r="E42" s="6" t="n">
        <v>39.962846811303834</v>
      </c>
      <c r="F42" s="6" t="n">
        <v>132.4613879878434</v>
      </c>
      <c r="G42" s="6" t="n">
        <v>83.76510108283648</v>
      </c>
      <c r="H42" s="6" t="n">
        <v>1.0219975439584201</v>
      </c>
      <c r="I42" s="6" t="n">
        <v>0.0</v>
      </c>
      <c r="J42" s="6">
        <f si="0" t="shared"/>
        <v>1562.9901157053844</v>
      </c>
      <c r="L42" s="12">
        <v>0.8125</v>
      </c>
      <c r="M42" s="9" t="n">
        <v>1410.2176151275635</v>
      </c>
      <c r="N42" s="9" t="n">
        <v>308.1571521759033</v>
      </c>
      <c r="O42" s="9" t="n">
        <v>0.0</v>
      </c>
      <c r="P42" s="9" t="n">
        <v>0.0</v>
      </c>
      <c r="Q42" s="9" t="n">
        <v>64.8053617477417</v>
      </c>
      <c r="R42" s="9" t="n">
        <v>34.23395919799805</v>
      </c>
      <c r="S42" s="9" t="n">
        <v>0.0</v>
      </c>
      <c r="T42" s="9" t="n">
        <v>0.0</v>
      </c>
      <c r="U42">
        <f si="1" t="shared"/>
        <v>2596.207594871521</v>
      </c>
    </row>
    <row r="43" spans="1:21" x14ac:dyDescent="0.25">
      <c r="A43" s="12">
        <v>0.83333333333333337</v>
      </c>
      <c r="B43" s="6" t="n">
        <v>556.3891149095093</v>
      </c>
      <c r="C43" s="6" t="n">
        <v>168.2001659323672</v>
      </c>
      <c r="D43" s="6" t="n">
        <v>8.771830248222612</v>
      </c>
      <c r="E43" s="6" t="n">
        <v>21.129955250240123</v>
      </c>
      <c r="F43" s="6" t="n">
        <v>89.98640930741513</v>
      </c>
      <c r="G43" s="6" t="n">
        <v>74.05307353737834</v>
      </c>
      <c r="H43" s="6" t="n">
        <v>0.2387040748882125</v>
      </c>
      <c r="I43" s="6" t="n">
        <v>0.0</v>
      </c>
      <c r="J43" s="6">
        <f si="0" t="shared"/>
        <v>1144.5540037288335</v>
      </c>
      <c r="L43" s="12">
        <v>0.83333333333333337</v>
      </c>
      <c r="M43" s="9" t="n">
        <v>1098.9217767715454</v>
      </c>
      <c r="N43" s="9" t="n">
        <v>237.43425846099854</v>
      </c>
      <c r="O43" s="9" t="n">
        <v>0.0</v>
      </c>
      <c r="P43" s="9" t="n">
        <v>0.0</v>
      </c>
      <c r="Q43" s="9" t="n">
        <v>47.45981025695801</v>
      </c>
      <c r="R43" s="9" t="n">
        <v>26.06931209564209</v>
      </c>
      <c r="S43" s="9" t="n">
        <v>0.0</v>
      </c>
      <c r="T43" s="9" t="n">
        <v>0.0</v>
      </c>
      <c r="U43">
        <f si="1" t="shared"/>
        <v>2256.2248516082764</v>
      </c>
    </row>
    <row r="44" spans="1:21" x14ac:dyDescent="0.25">
      <c r="A44" s="12">
        <v>0.85416666666666663</v>
      </c>
      <c r="B44" s="6" t="n">
        <v>422.87049059511537</v>
      </c>
      <c r="C44" s="6" t="n">
        <v>82.27549130348586</v>
      </c>
      <c r="D44" s="6" t="n">
        <v>6.547734457128703</v>
      </c>
      <c r="E44" s="6" t="n">
        <v>9.461779531535896</v>
      </c>
      <c r="F44" s="6" t="n">
        <v>54.10180795477953</v>
      </c>
      <c r="G44" s="6" t="n">
        <v>60.626202002480554</v>
      </c>
      <c r="H44" s="6" t="n">
        <v>0.039624129930535955</v>
      </c>
      <c r="I44" s="6" t="n">
        <v>0.0</v>
      </c>
      <c r="J44" s="6">
        <f si="0" t="shared"/>
        <v>811.53762600932271</v>
      </c>
      <c r="L44" s="12">
        <v>0.85416666666666663</v>
      </c>
      <c r="M44" s="9" t="n">
        <v>861.464358329773</v>
      </c>
      <c r="N44" s="9" t="n">
        <v>188.7890281677246</v>
      </c>
      <c r="O44" s="9" t="n">
        <v>0.0</v>
      </c>
      <c r="P44" s="9" t="n">
        <v>0.0</v>
      </c>
      <c r="Q44" s="9" t="n">
        <v>35.73521900177002</v>
      </c>
      <c r="R44" s="9" t="n">
        <v>20.925634384155273</v>
      </c>
      <c r="S44" s="9" t="n">
        <v>0.0</v>
      </c>
      <c r="T44" s="9" t="n">
        <v>0.0</v>
      </c>
      <c r="U44">
        <f si="1" t="shared"/>
        <v>1946.5985107421875</v>
      </c>
    </row>
    <row r="45" spans="1:21" x14ac:dyDescent="0.25">
      <c r="A45" s="12">
        <v>0.875</v>
      </c>
      <c r="B45" s="6" t="n">
        <v>338.77862880257726</v>
      </c>
      <c r="C45" s="6" t="n">
        <v>34.25993124470878</v>
      </c>
      <c r="D45" s="6" t="n">
        <v>4.025315333472866</v>
      </c>
      <c r="E45" s="6" t="n">
        <v>3.496843829268543</v>
      </c>
      <c r="F45" s="6" t="n">
        <v>28.08985184482442</v>
      </c>
      <c r="G45" s="6" t="n">
        <v>43.431256301988235</v>
      </c>
      <c r="H45" s="6" t="n">
        <v>0.0041640312887734985</v>
      </c>
      <c r="I45" s="6" t="n">
        <v>0.0</v>
      </c>
      <c r="J45" s="6">
        <f si="0" t="shared"/>
        <v>567.40988613519846</v>
      </c>
      <c r="L45" s="12">
        <v>0.875</v>
      </c>
      <c r="M45" s="9" t="n">
        <v>676.5857944488525</v>
      </c>
      <c r="N45" s="9" t="n">
        <v>152.63898372650146</v>
      </c>
      <c r="O45" s="9" t="n">
        <v>0.0</v>
      </c>
      <c r="P45" s="9" t="n">
        <v>0.0</v>
      </c>
      <c r="Q45" s="9" t="n">
        <v>27.933110237121582</v>
      </c>
      <c r="R45" s="9" t="n">
        <v>17.627835273742676</v>
      </c>
      <c r="S45" s="9" t="n">
        <v>0.0</v>
      </c>
      <c r="T45" s="9" t="n">
        <v>0.0</v>
      </c>
      <c r="U45">
        <f si="1" t="shared"/>
        <v>1678.4552383422852</v>
      </c>
    </row>
    <row r="46" spans="1:21" x14ac:dyDescent="0.25">
      <c r="A46" s="12">
        <v>0.89583333333333337</v>
      </c>
      <c r="B46" s="6" t="n">
        <v>274.92685643454473</v>
      </c>
      <c r="C46" s="6" t="n">
        <v>12.103167672084185</v>
      </c>
      <c r="D46" s="6" t="n">
        <v>2.012319191183124</v>
      </c>
      <c r="E46" s="6" t="n">
        <v>1.0328211689084283</v>
      </c>
      <c r="F46" s="6" t="n">
        <v>12.386680237275403</v>
      </c>
      <c r="G46" s="6" t="n">
        <v>26.232336901093227</v>
      </c>
      <c r="H46" s="6" t="n">
        <v>2.0820156443867492E-4</v>
      </c>
      <c r="I46" s="6" t="n">
        <v>0.0</v>
      </c>
      <c r="J46" s="6">
        <f si="0" t="shared"/>
        <v>406.71407784068606</v>
      </c>
      <c r="L46" s="12">
        <v>0.89583333333333337</v>
      </c>
      <c r="M46" s="9" t="n">
        <v>520.8455820083618</v>
      </c>
      <c r="N46" s="9" t="n">
        <v>121.01977348327637</v>
      </c>
      <c r="O46" s="9" t="n">
        <v>0.0</v>
      </c>
      <c r="P46" s="9" t="n">
        <v>0.0</v>
      </c>
      <c r="Q46" s="9" t="n">
        <v>22.12524700164795</v>
      </c>
      <c r="R46" s="9" t="n">
        <v>14.870158195495605</v>
      </c>
      <c r="S46" s="9" t="n">
        <v>0.0</v>
      </c>
      <c r="T46" s="9" t="n">
        <v>0.0</v>
      </c>
      <c r="U46">
        <f si="1" t="shared"/>
        <v>1450.264368057251</v>
      </c>
    </row>
    <row r="47" spans="1:21" x14ac:dyDescent="0.25">
      <c r="A47" s="12">
        <v>0.91666666666666663</v>
      </c>
      <c r="B47" s="6" t="n">
        <v>215.72213651453117</v>
      </c>
      <c r="C47" s="6" t="n">
        <v>3.635433860303918</v>
      </c>
      <c r="D47" s="6" t="n">
        <v>0.8049141885971196</v>
      </c>
      <c r="E47" s="6" t="n">
        <v>0.23340507477317057</v>
      </c>
      <c r="F47" s="6" t="n">
        <v>4.583746708125615</v>
      </c>
      <c r="G47" s="6" t="n">
        <v>13.024480986648719</v>
      </c>
      <c r="H47" s="6" t="n">
        <v>0.0</v>
      </c>
      <c r="I47" s="6" t="n">
        <v>0.0</v>
      </c>
      <c r="J47" s="6">
        <f si="0" t="shared"/>
        <v>305.59596327444928</v>
      </c>
      <c r="L47" s="12">
        <v>0.91666666666666663</v>
      </c>
      <c r="M47" s="9" t="n">
        <v>384.07056427001953</v>
      </c>
      <c r="N47" s="9" t="n">
        <v>91.13863945007324</v>
      </c>
      <c r="O47" s="9" t="n">
        <v>0.0</v>
      </c>
      <c r="P47" s="9" t="n">
        <v>0.0</v>
      </c>
      <c r="Q47" s="9" t="n">
        <v>17.13952922821045</v>
      </c>
      <c r="R47" s="9" t="n">
        <v>11.969990730285645</v>
      </c>
      <c r="S47" s="9" t="n">
        <v>0.0</v>
      </c>
      <c r="T47" s="9" t="n">
        <v>0.0</v>
      </c>
      <c r="U47">
        <f si="1" t="shared"/>
        <v>1245.185980796814</v>
      </c>
    </row>
    <row r="48" spans="1:21" x14ac:dyDescent="0.25">
      <c r="A48" s="12">
        <v>0.9375</v>
      </c>
      <c r="B48" s="6" t="n">
        <v>158.25982447278886</v>
      </c>
      <c r="C48" s="6" t="n">
        <v>0.9342174737767052</v>
      </c>
      <c r="D48" s="6" t="n">
        <v>0.25153568393659986</v>
      </c>
      <c r="E48" s="6" t="n">
        <v>0.037779248235814224</v>
      </c>
      <c r="F48" s="6" t="n">
        <v>1.4078953124288551</v>
      </c>
      <c r="G48" s="6" t="n">
        <v>5.197616192462746</v>
      </c>
      <c r="H48" s="6" t="n">
        <v>0.0</v>
      </c>
      <c r="I48" s="6" t="n">
        <v>0.0</v>
      </c>
      <c r="J48" s="6">
        <f si="0" t="shared"/>
        <v>232.3956510319521</v>
      </c>
      <c r="L48" s="12">
        <v>0.9375</v>
      </c>
      <c r="M48" s="9" t="n">
        <v>268.3311357498169</v>
      </c>
      <c r="N48" s="9" t="n">
        <v>64.31925392150879</v>
      </c>
      <c r="O48" s="9" t="n">
        <v>0.0</v>
      </c>
      <c r="P48" s="9" t="n">
        <v>0.0</v>
      </c>
      <c r="Q48" s="9" t="n">
        <v>12.670262336730957</v>
      </c>
      <c r="R48" s="9" t="n">
        <v>8.972342491149902</v>
      </c>
      <c r="S48" s="9" t="n">
        <v>0.0</v>
      </c>
      <c r="T48" s="9" t="n">
        <v>0.0</v>
      </c>
      <c r="U48">
        <f si="1" t="shared"/>
        <v>1040.687894821167</v>
      </c>
    </row>
    <row r="49" spans="1:21" x14ac:dyDescent="0.25">
      <c r="A49" s="12">
        <v>0.95833333333333337</v>
      </c>
      <c r="B49" s="6" t="n">
        <v>106.68657073475097</v>
      </c>
      <c r="C49" s="6" t="n">
        <v>0.20542275775810553</v>
      </c>
      <c r="D49" s="6" t="n">
        <v>0.05918486680861173</v>
      </c>
      <c r="E49" s="6" t="n">
        <v>0.003891202389541183</v>
      </c>
      <c r="F49" s="6" t="n">
        <v>0.3535452788149727</v>
      </c>
      <c r="G49" s="6" t="n">
        <v>1.6232243739321044</v>
      </c>
      <c r="H49" s="6" t="n">
        <v>0.0</v>
      </c>
      <c r="I49" s="6" t="n">
        <v>0.0</v>
      </c>
      <c r="J49" s="6">
        <f si="0" t="shared"/>
        <v>166.60272800153007</v>
      </c>
      <c r="L49" s="12">
        <v>0.95833333333333337</v>
      </c>
      <c r="M49" s="9" t="n">
        <v>177.92969703674316</v>
      </c>
      <c r="N49" s="9" t="n">
        <v>42.685306549072266</v>
      </c>
      <c r="O49" s="9" t="n">
        <v>0.0</v>
      </c>
      <c r="P49" s="9" t="n">
        <v>0.0</v>
      </c>
      <c r="Q49" s="9" t="n">
        <v>8.8339262008667</v>
      </c>
      <c r="R49" s="9" t="n">
        <v>6.251578330993652</v>
      </c>
      <c r="S49" s="9" t="n">
        <v>0.0</v>
      </c>
      <c r="T49" s="9" t="n">
        <v>0.0</v>
      </c>
      <c r="U49">
        <f si="1" t="shared"/>
        <v>823.88609409332275</v>
      </c>
    </row>
    <row r="50" spans="1:21" x14ac:dyDescent="0.25">
      <c r="A50" s="12">
        <v>0.97916666666666663</v>
      </c>
      <c r="B50" s="6" t="n">
        <v>65.7412906057677</v>
      </c>
      <c r="C50" s="6" t="n">
        <v>0.03764684658507199</v>
      </c>
      <c r="D50" s="6" t="n">
        <v>0.009864144468101955</v>
      </c>
      <c r="E50" s="6" t="n">
        <v>1.91321561944441E-4</v>
      </c>
      <c r="F50" s="6" t="n">
        <v>0.07058854316714465</v>
      </c>
      <c r="G50" s="6" t="n">
        <v>0.3818933778819216</v>
      </c>
      <c r="H50" s="6" t="n">
        <v>0.0</v>
      </c>
      <c r="I50" s="6" t="n">
        <v>0.0</v>
      </c>
      <c r="J50" s="6">
        <f si="0" t="shared"/>
        <v>105.84604256556186</v>
      </c>
      <c r="L50" s="12">
        <v>0.97916666666666663</v>
      </c>
      <c r="M50" s="9" t="n">
        <v>112.4858512878418</v>
      </c>
      <c r="N50" s="9" t="n">
        <v>26.891923904418945</v>
      </c>
      <c r="O50" s="9" t="n">
        <v>0.0</v>
      </c>
      <c r="P50" s="9" t="n">
        <v>0.0</v>
      </c>
      <c r="Q50" s="9" t="n">
        <v>5.7575578689575195</v>
      </c>
      <c r="R50" s="9" t="n">
        <v>4.084412574768066</v>
      </c>
      <c r="S50" s="9" t="n">
        <v>0.0</v>
      </c>
      <c r="T50" s="9" t="n">
        <v>0.0</v>
      </c>
      <c r="U50">
        <f si="1" t="shared"/>
        <v>601.13569736480713</v>
      </c>
    </row>
    <row r="51" spans="1:21" x14ac:dyDescent="0.25">
      <c r="A51" s="12">
        <v>1</v>
      </c>
      <c r="B51" s="6" t="n">
        <v>37.04001517124756</v>
      </c>
      <c r="C51" s="6" t="n">
        <v>0.005337807970673</v>
      </c>
      <c r="D51" s="6" t="n">
        <v>0.001038330996642311</v>
      </c>
      <c r="E51" s="6" t="n">
        <v>0.0</v>
      </c>
      <c r="F51" s="6" t="n">
        <v>0.010593775012892628</v>
      </c>
      <c r="G51" s="6" t="n">
        <v>0.0636488963136536</v>
      </c>
      <c r="H51" s="6" t="n">
        <v>0.0</v>
      </c>
      <c r="I51" s="6" t="n">
        <v>0.0</v>
      </c>
      <c r="J51" s="6">
        <f si="0" t="shared"/>
        <v>57.27840012568965</v>
      </c>
      <c r="L51" s="12">
        <v>1</v>
      </c>
      <c r="M51" s="9" t="n">
        <v>67.36704158782959</v>
      </c>
      <c r="N51" s="9" t="n">
        <v>16.08290195465088</v>
      </c>
      <c r="O51" s="9" t="n">
        <v>0.0</v>
      </c>
      <c r="P51" s="9" t="n">
        <v>0.0</v>
      </c>
      <c r="Q51" s="9" t="n">
        <v>3.4541444778442383</v>
      </c>
      <c r="R51" s="9" t="n">
        <v>2.5102195739746094</v>
      </c>
      <c r="S51" s="9" t="n">
        <v>0.0</v>
      </c>
      <c r="T51" s="9" t="n">
        <v>0.0</v>
      </c>
      <c r="U51">
        <f si="1" t="shared"/>
        <v>394.49652671813965</v>
      </c>
    </row>
    <row r="52" spans="1:21" x14ac:dyDescent="0.25">
      <c r="A52" s="12">
        <v>1.0208333333333333</v>
      </c>
      <c r="B52" s="6" t="n">
        <v>19.033419444326306</v>
      </c>
      <c r="C52" s="6" t="n">
        <v>5.06377416538424E-4</v>
      </c>
      <c r="D52" s="6" t="n">
        <v>5.1916549832115556E-5</v>
      </c>
      <c r="E52" s="6" t="n">
        <v>0.0</v>
      </c>
      <c r="F52" s="6" t="n">
        <v>0.0010630824043559187</v>
      </c>
      <c r="G52" s="6" t="n">
        <v>0.006699883822489854</v>
      </c>
      <c r="H52" s="6" t="n">
        <v>0.0</v>
      </c>
      <c r="I52" s="6" t="n">
        <v>0.0</v>
      </c>
      <c r="J52" s="6">
        <f si="0" t="shared"/>
        <v>25.732667810733833</v>
      </c>
      <c r="L52" s="12">
        <v>1.0208333333333333</v>
      </c>
      <c r="M52" s="9" t="n">
        <v>37.332801818847656</v>
      </c>
      <c r="N52" s="9" t="n">
        <v>8.95703411102295</v>
      </c>
      <c r="O52" s="9" t="n">
        <v>0.0</v>
      </c>
      <c r="P52" s="9" t="n">
        <v>0.0</v>
      </c>
      <c r="Q52" s="9" t="n">
        <v>1.8619680404663086</v>
      </c>
      <c r="R52" s="9" t="n">
        <v>1.4308805465698242</v>
      </c>
      <c r="S52" s="9" t="n">
        <v>0.0</v>
      </c>
      <c r="T52" s="9" t="n">
        <v>0.0</v>
      </c>
      <c r="U52">
        <f si="1" t="shared"/>
        <v>227.9082202911377</v>
      </c>
    </row>
    <row r="53" spans="1:21" x14ac:dyDescent="0.25">
      <c r="A53" s="12">
        <v>4.1666666666666664E-2</v>
      </c>
      <c r="B53" s="6" t="n">
        <v>8.807582563662052</v>
      </c>
      <c r="C53" s="6" t="n">
        <v>2.3400171741212654E-5</v>
      </c>
      <c r="D53" s="6" t="n">
        <v>0.0</v>
      </c>
      <c r="E53" s="6" t="n">
        <v>0.0</v>
      </c>
      <c r="F53" s="6" t="n">
        <v>5.315412021779594E-5</v>
      </c>
      <c r="G53" s="6" t="n">
        <v>3.3499419112449267E-4</v>
      </c>
      <c r="H53" s="6" t="n">
        <v>0.0</v>
      </c>
      <c r="I53" s="6" t="n">
        <v>0.0</v>
      </c>
      <c r="J53" s="6">
        <f si="0" t="shared"/>
        <v>9.3947457861720984</v>
      </c>
      <c r="L53" s="12">
        <v>4.1666666666666664E-2</v>
      </c>
      <c r="M53" s="9" t="n">
        <v>18.485321044921875</v>
      </c>
      <c r="N53" s="9" t="n">
        <v>4.4876556396484375</v>
      </c>
      <c r="O53" s="9" t="n">
        <v>0.0</v>
      </c>
      <c r="P53" s="9" t="n">
        <v>0.0</v>
      </c>
      <c r="Q53" s="9" t="n">
        <v>0.8757991790771484</v>
      </c>
      <c r="R53" s="9" t="n">
        <v>0.7335968017578125</v>
      </c>
      <c r="S53" s="9" t="n">
        <v>0.0</v>
      </c>
      <c r="T53" s="9" t="n">
        <v>0.0</v>
      </c>
      <c r="U53">
        <f si="1" t="shared"/>
        <v>113.60166072845459</v>
      </c>
    </row>
    <row r="54" spans="1:21" x14ac:dyDescent="0.25">
      <c r="A54" s="12">
        <v>6.25E-2</v>
      </c>
      <c r="B54" s="6" t="n">
        <v>3.5781766334497243</v>
      </c>
      <c r="C54" s="6" t="n">
        <v>0.0</v>
      </c>
      <c r="D54" s="6" t="n">
        <v>0.0</v>
      </c>
      <c r="E54" s="6" t="n">
        <v>0.0</v>
      </c>
      <c r="F54" s="6" t="n">
        <v>0.0</v>
      </c>
      <c r="G54" s="6" t="n">
        <v>0.0</v>
      </c>
      <c r="H54" s="6" t="n">
        <v>0.0</v>
      </c>
      <c r="I54" s="6" t="n">
        <v>0.0</v>
      </c>
      <c r="J54" s="6">
        <f si="0" t="shared"/>
        <v>2.7216494688029051</v>
      </c>
      <c r="L54" s="12">
        <v>6.25E-2</v>
      </c>
      <c r="M54" s="9" t="n">
        <v>7.877809524536133</v>
      </c>
      <c r="N54" s="9" t="n">
        <v>1.9446372985839844</v>
      </c>
      <c r="O54" s="9" t="n">
        <v>0.0</v>
      </c>
      <c r="P54" s="9" t="n">
        <v>0.0</v>
      </c>
      <c r="Q54" s="9" t="n">
        <v>0.34859275817871094</v>
      </c>
      <c r="R54" s="9" t="n">
        <v>0.32566165924072266</v>
      </c>
      <c r="S54" s="9" t="n">
        <v>0.0</v>
      </c>
      <c r="T54" s="9" t="n">
        <v>0.0</v>
      </c>
      <c r="U54">
        <f si="1" t="shared"/>
        <v>47.848601341247559</v>
      </c>
    </row>
    <row r="55" spans="1:21" x14ac:dyDescent="0.25">
      <c r="A55" s="12">
        <v>8.3333333333333329E-2</v>
      </c>
      <c r="B55" s="6" t="n">
        <v>1.2317470108549906</v>
      </c>
      <c r="C55" s="6" t="n">
        <v>0.0</v>
      </c>
      <c r="D55" s="6" t="n">
        <v>0.0</v>
      </c>
      <c r="E55" s="6" t="n">
        <v>0.0</v>
      </c>
      <c r="F55" s="6" t="n">
        <v>0.0</v>
      </c>
      <c r="G55" s="6" t="n">
        <v>0.0</v>
      </c>
      <c r="H55" s="6" t="n">
        <v>0.0</v>
      </c>
      <c r="I55" s="6" t="n">
        <v>0.0</v>
      </c>
      <c r="J55" s="6">
        <f si="0" t="shared"/>
        <v>0.60588456322824857</v>
      </c>
      <c r="L55" s="12">
        <v>8.3333333333333329E-2</v>
      </c>
      <c r="M55" s="9" t="n">
        <v>2.787308692932129</v>
      </c>
      <c r="N55" s="9" t="n">
        <v>0.7014541625976562</v>
      </c>
      <c r="O55" s="9" t="n">
        <v>0.0</v>
      </c>
      <c r="P55" s="9" t="n">
        <v>0.0</v>
      </c>
      <c r="Q55" s="9" t="n">
        <v>0.11378192901611328</v>
      </c>
      <c r="R55" s="9" t="n">
        <v>0.12045574188232422</v>
      </c>
      <c r="S55" s="9" t="n">
        <v>0.0</v>
      </c>
      <c r="T55" s="9" t="n">
        <v>0.0</v>
      </c>
      <c r="U55">
        <f si="1" t="shared"/>
        <v>16.627488136291504</v>
      </c>
    </row>
    <row r="56" spans="1:21" x14ac:dyDescent="0.25">
      <c r="A56" s="12">
        <v>0.10416666666666667</v>
      </c>
      <c r="B56" s="6" t="n">
        <v>0.3442052714392432</v>
      </c>
      <c r="C56" s="6" t="n">
        <v>0.0</v>
      </c>
      <c r="D56" s="6" t="n">
        <v>0.0</v>
      </c>
      <c r="E56" s="6" t="n">
        <v>0.0</v>
      </c>
      <c r="F56" s="6" t="n">
        <v>0.0</v>
      </c>
      <c r="G56" s="6" t="n">
        <v>0.0</v>
      </c>
      <c r="H56" s="6" t="n">
        <v>0.0</v>
      </c>
      <c r="I56" s="6" t="n">
        <v>0.0</v>
      </c>
      <c r="J56" s="6">
        <f si="0" t="shared"/>
        <v>9.879316788044841E-2</v>
      </c>
      <c r="L56" s="12">
        <v>0.10416666666666667</v>
      </c>
      <c r="M56" s="9" t="n">
        <v>0.7889165878295898</v>
      </c>
      <c r="N56" s="9" t="n">
        <v>0.20259952545166016</v>
      </c>
      <c r="O56" s="9" t="n">
        <v>0.0</v>
      </c>
      <c r="P56" s="9" t="n">
        <v>0.0</v>
      </c>
      <c r="Q56" s="9" t="n">
        <v>0.02940654754638672</v>
      </c>
      <c r="R56" s="9" t="n">
        <v>0.03568744659423828</v>
      </c>
      <c r="S56" s="9" t="n">
        <v>0.0</v>
      </c>
      <c r="T56" s="9" t="n">
        <v>0.0</v>
      </c>
      <c r="U56">
        <f si="1" t="shared"/>
        <v>4.6244955062866211</v>
      </c>
    </row>
    <row r="57" spans="1:21" x14ac:dyDescent="0.25">
      <c r="A57" s="12">
        <v>0.125</v>
      </c>
      <c r="B57" s="6" t="n">
        <v>0.07304395792082238</v>
      </c>
      <c r="C57" s="6" t="n">
        <v>0.0</v>
      </c>
      <c r="D57" s="6" t="n">
        <v>0.0</v>
      </c>
      <c r="E57" s="6" t="n">
        <v>0.0</v>
      </c>
      <c r="F57" s="6" t="n">
        <v>0.0</v>
      </c>
      <c r="G57" s="6" t="n">
        <v>0.0</v>
      </c>
      <c r="H57" s="6" t="n">
        <v>0.0</v>
      </c>
      <c r="I57" s="6" t="n">
        <v>0.0</v>
      </c>
      <c r="J57" s="6">
        <f si="0" t="shared"/>
        <v>1.0886144957250746E-2</v>
      </c>
      <c r="L57" s="12">
        <v>0.125</v>
      </c>
      <c r="M57" s="9" t="n">
        <v>0.16825199127197266</v>
      </c>
      <c r="N57" s="9" t="n">
        <v>0.044063568115234375</v>
      </c>
      <c r="O57" s="9" t="n">
        <v>0.0</v>
      </c>
      <c r="P57" s="9" t="n">
        <v>0.0</v>
      </c>
      <c r="Q57" s="9" t="n">
        <v>0.005686759948730469</v>
      </c>
      <c r="R57" s="9" t="n">
        <v>0.007954597473144531</v>
      </c>
      <c r="S57" s="9" t="n">
        <v>0.0</v>
      </c>
      <c r="T57" s="9" t="n">
        <v>0.0</v>
      </c>
      <c r="U57">
        <f si="1" t="shared"/>
        <v>0.97263336181640625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5"/>
  <dimension ref="A1:AA58"/>
  <sheetViews>
    <sheetView workbookViewId="0">
      <selection activeCell="P27" sqref="P27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32</v>
      </c>
    </row>
    <row r="2" spans="1:26" x14ac:dyDescent="0.25">
      <c r="A2" t="s">
        <v>60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52</v>
      </c>
      <c r="B6" s="1"/>
      <c r="C6" s="1"/>
      <c r="D6" s="1"/>
      <c r="E6" s="1"/>
      <c r="F6" s="1"/>
      <c r="G6" s="1"/>
      <c r="H6" s="1"/>
      <c r="I6" s="1"/>
      <c r="J6" s="1"/>
      <c r="L6" s="3" t="s">
        <v>27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3.0</v>
      </c>
      <c r="N8" s="9" t="n">
        <v>0.0</v>
      </c>
      <c r="O8" s="9" t="n">
        <v>0.0</v>
      </c>
      <c r="P8" s="9" t="n">
        <v>0.0</v>
      </c>
      <c r="Q8" s="9" t="n">
        <v>0.0</v>
      </c>
      <c r="R8" s="9" t="n">
        <v>0.0</v>
      </c>
      <c r="S8" s="9" t="n">
        <v>0.0</v>
      </c>
      <c r="T8" s="9" t="n">
        <v>0.0</v>
      </c>
      <c r="U8">
        <f>SUM(M8:T8)</f>
        <v>20</v>
      </c>
      <c r="W8" s="5"/>
      <c r="X8" s="16"/>
      <c r="Y8" s="16"/>
      <c r="Z8" s="5"/>
    </row>
    <row r="9" spans="1:26" x14ac:dyDescent="0.25">
      <c r="A9" s="12">
        <v>0.125</v>
      </c>
      <c r="B9" s="6" t="n">
        <v>0.1656667247002359</v>
      </c>
      <c r="C9" s="6" t="n">
        <v>0.009359194056119065</v>
      </c>
      <c r="D9" s="6" t="n">
        <v>0.0</v>
      </c>
      <c r="E9" s="6" t="n">
        <v>0.05738797872102896</v>
      </c>
      <c r="F9" s="6" t="n">
        <v>5.959901867462795</v>
      </c>
      <c r="G9" s="6" t="n">
        <v>10.413273182488119</v>
      </c>
      <c r="H9" s="6" t="n">
        <v>34.85496033734708</v>
      </c>
      <c r="I9" s="6" t="n">
        <v>0.0</v>
      </c>
      <c r="J9" s="6">
        <f ref="J9:J58" si="0" t="shared">SUM(B9:I9)</f>
        <v>42.974043692305472</v>
      </c>
      <c r="L9" s="12">
        <v>0.125</v>
      </c>
      <c r="M9" s="9" t="n">
        <v>2.495213508605957</v>
      </c>
      <c r="N9" s="9" t="n">
        <v>0.0</v>
      </c>
      <c r="O9" s="9" t="n">
        <v>0.0</v>
      </c>
      <c r="P9" s="9" t="n">
        <v>0.0</v>
      </c>
      <c r="Q9" s="9" t="n">
        <v>1.3662376403808594</v>
      </c>
      <c r="R9" s="9" t="n">
        <v>5.131928443908691</v>
      </c>
      <c r="S9" s="9" t="n">
        <v>35.64651966094971</v>
      </c>
      <c r="T9" s="9" t="n">
        <v>0.0</v>
      </c>
      <c r="U9">
        <f ref="U9:U58" si="1" t="shared">SUM(M9:T9)</f>
        <v>63.090839385986328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1.01231423699973</v>
      </c>
      <c r="C10" s="6" t="n">
        <v>0.05715523013225701</v>
      </c>
      <c r="D10" s="6" t="n">
        <v>0.0</v>
      </c>
      <c r="E10" s="6" t="n">
        <v>0.3469853068818793</v>
      </c>
      <c r="F10" s="6" t="n">
        <v>18.575694530914006</v>
      </c>
      <c r="G10" s="6" t="n">
        <v>47.98210484737178</v>
      </c>
      <c r="H10" s="6" t="n">
        <v>173.68104307320377</v>
      </c>
      <c r="I10" s="6" t="n">
        <v>0.0</v>
      </c>
      <c r="J10" s="6">
        <f si="0" t="shared"/>
        <v>186.31276458020028</v>
      </c>
      <c r="L10" s="12">
        <v>0.14583333333333334</v>
      </c>
      <c r="M10" s="9" t="n">
        <v>3.4346017837524414</v>
      </c>
      <c r="N10" s="9" t="n">
        <v>0.0</v>
      </c>
      <c r="O10" s="9" t="n">
        <v>0.0</v>
      </c>
      <c r="P10" s="9" t="n">
        <v>0.0</v>
      </c>
      <c r="Q10" s="9" t="n">
        <v>6.180505752563477</v>
      </c>
      <c r="R10" s="9" t="n">
        <v>21.63581943511963</v>
      </c>
      <c r="S10" s="9" t="n">
        <v>155.3944549560547</v>
      </c>
      <c r="T10" s="9" t="n">
        <v>0.0</v>
      </c>
      <c r="U10">
        <f si="1" t="shared"/>
        <v>214.87783432006836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4.379316054068196</v>
      </c>
      <c r="C11" s="6" t="n">
        <v>0.24936938619458396</v>
      </c>
      <c r="D11" s="6" t="n">
        <v>2.809014094885607E-5</v>
      </c>
      <c r="E11" s="6" t="n">
        <v>1.4829960108055225</v>
      </c>
      <c r="F11" s="6" t="n">
        <v>46.26922553399161</v>
      </c>
      <c r="G11" s="6" t="n">
        <v>169.02587717701013</v>
      </c>
      <c r="H11" s="6" t="n">
        <v>658.8980205377625</v>
      </c>
      <c r="I11" s="6" t="n">
        <v>0.0</v>
      </c>
      <c r="J11" s="6">
        <f si="0" t="shared"/>
        <v>673.00567327156898</v>
      </c>
      <c r="L11" s="12">
        <v>0.16666666666666666</v>
      </c>
      <c r="M11" s="9" t="n">
        <v>9.064502716064453</v>
      </c>
      <c r="N11" s="9" t="n">
        <v>0.0</v>
      </c>
      <c r="O11" s="9" t="n">
        <v>0.0</v>
      </c>
      <c r="P11" s="9" t="n">
        <v>0.0</v>
      </c>
      <c r="Q11" s="9" t="n">
        <v>22.93063449859619</v>
      </c>
      <c r="R11" s="9" t="n">
        <v>74.0501184463501</v>
      </c>
      <c r="S11" s="9" t="n">
        <v>553.3265495300293</v>
      </c>
      <c r="T11" s="9" t="n">
        <v>0.0</v>
      </c>
      <c r="U11">
        <f si="1" t="shared"/>
        <v>697.87660121917725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14.370089439287142</v>
      </c>
      <c r="C12" s="6" t="n">
        <v>0.837307747971929</v>
      </c>
      <c r="D12" s="6" t="n">
        <v>5.618028189771214E-4</v>
      </c>
      <c r="E12" s="6" t="n">
        <v>4.799311289763062</v>
      </c>
      <c r="F12" s="6" t="n">
        <v>100.5686425962072</v>
      </c>
      <c r="G12" s="6" t="n">
        <v>478.1599157741133</v>
      </c>
      <c r="H12" s="6" t="n">
        <v>1995.0552987771014</v>
      </c>
      <c r="I12" s="6" t="n">
        <v>0.0</v>
      </c>
      <c r="J12" s="6">
        <f si="0" t="shared"/>
        <v>2048.2274901968735</v>
      </c>
      <c r="L12" s="12">
        <v>0.1875</v>
      </c>
      <c r="M12" s="9" t="n">
        <v>26.560776710510254</v>
      </c>
      <c r="N12" s="9" t="n">
        <v>0.0</v>
      </c>
      <c r="O12" s="9" t="n">
        <v>0.0</v>
      </c>
      <c r="P12" s="9" t="n">
        <v>0.0</v>
      </c>
      <c r="Q12" s="9" t="n">
        <v>70.81077194213867</v>
      </c>
      <c r="R12" s="9" t="n">
        <v>211.79964542388916</v>
      </c>
      <c r="S12" s="9" t="n">
        <v>1641.5864152908325</v>
      </c>
      <c r="T12" s="9" t="n">
        <v>0.0</v>
      </c>
      <c r="U12">
        <f si="1" t="shared"/>
        <v>1958.5294485092163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37.271632697137385</v>
      </c>
      <c r="C13" s="6" t="n">
        <v>2.268227363869975</v>
      </c>
      <c r="D13" s="6" t="n">
        <v>0.00537683505546456</v>
      </c>
      <c r="E13" s="6" t="n">
        <v>12.250650589669403</v>
      </c>
      <c r="F13" s="6" t="n">
        <v>196.82173995909108</v>
      </c>
      <c r="G13" s="6" t="n">
        <v>1110.3166870943182</v>
      </c>
      <c r="H13" s="6" t="n">
        <v>4930.0919804864125</v>
      </c>
      <c r="I13" s="6" t="n">
        <v>0.0</v>
      </c>
      <c r="J13" s="6">
        <f si="0" t="shared"/>
        <v>5235.7714566044269</v>
      </c>
      <c r="L13" s="12">
        <v>0.20833333333333334</v>
      </c>
      <c r="M13" s="9" t="n">
        <v>68.05129528045654</v>
      </c>
      <c r="N13" s="9" t="n">
        <v>0.0</v>
      </c>
      <c r="O13" s="9" t="n">
        <v>0.0</v>
      </c>
      <c r="P13" s="9" t="n">
        <v>0.0</v>
      </c>
      <c r="Q13" s="9" t="n">
        <v>182.16299438476562</v>
      </c>
      <c r="R13" s="9" t="n">
        <v>507.7524070739746</v>
      </c>
      <c r="S13" s="9" t="n">
        <v>4062.6488723754883</v>
      </c>
      <c r="T13" s="9" t="n">
        <v>0.0</v>
      </c>
      <c r="U13">
        <f si="1" t="shared"/>
        <v>4699.4055318832397</v>
      </c>
    </row>
    <row r="14" spans="1:26" x14ac:dyDescent="0.25">
      <c r="A14" s="12">
        <v>0.22916666666666666</v>
      </c>
      <c r="B14" s="6" t="n">
        <v>78.7740795082547</v>
      </c>
      <c r="C14" s="6" t="n">
        <v>5.1358600062332105</v>
      </c>
      <c r="D14" s="6" t="n">
        <v>0.032816926185334036</v>
      </c>
      <c r="E14" s="6" t="n">
        <v>25.41678152103836</v>
      </c>
      <c r="F14" s="6" t="n">
        <v>352.3766541634758</v>
      </c>
      <c r="G14" s="6" t="n">
        <v>2148.8637430956533</v>
      </c>
      <c r="H14" s="6" t="n">
        <v>10099.40635767251</v>
      </c>
      <c r="I14" s="6" t="n">
        <v>0.0</v>
      </c>
      <c r="J14" s="6">
        <f si="0" t="shared"/>
        <v>11299.808164103149</v>
      </c>
      <c r="L14" s="12">
        <v>0.22916666666666666</v>
      </c>
      <c r="M14" s="9" t="n">
        <v>147.29659461975098</v>
      </c>
      <c r="N14" s="9" t="n">
        <v>0.0</v>
      </c>
      <c r="O14" s="9" t="n">
        <v>0.0</v>
      </c>
      <c r="P14" s="9" t="n">
        <v>0.0</v>
      </c>
      <c r="Q14" s="9" t="n">
        <v>393.3182420730591</v>
      </c>
      <c r="R14" s="9" t="n">
        <v>1025.3694849014282</v>
      </c>
      <c r="S14" s="9" t="n">
        <v>8439.16142654419</v>
      </c>
      <c r="T14" s="9" t="n">
        <v>0.0</v>
      </c>
      <c r="U14">
        <f si="1" t="shared"/>
        <v>9691.9252729415894</v>
      </c>
    </row>
    <row r="15" spans="1:26" x14ac:dyDescent="0.25">
      <c r="A15" s="12">
        <v>0.25</v>
      </c>
      <c r="B15" s="6" t="n">
        <v>139.18242139836903</v>
      </c>
      <c r="C15" s="6" t="n">
        <v>9.97939502901589</v>
      </c>
      <c r="D15" s="6" t="n">
        <v>0.14364130518176985</v>
      </c>
      <c r="E15" s="6" t="n">
        <v>43.9705317257248</v>
      </c>
      <c r="F15" s="6" t="n">
        <v>578.1609891476961</v>
      </c>
      <c r="G15" s="6" t="n">
        <v>3504.0023773526423</v>
      </c>
      <c r="H15" s="6" t="n">
        <v>17343.334788026117</v>
      </c>
      <c r="I15" s="6" t="n">
        <v>0.0</v>
      </c>
      <c r="J15" s="6">
        <f si="0" t="shared"/>
        <v>20740.382664427445</v>
      </c>
      <c r="L15" s="12">
        <v>0.25</v>
      </c>
      <c r="M15" s="9" t="n">
        <v>270.212420463562</v>
      </c>
      <c r="N15" s="9" t="n">
        <v>0.0</v>
      </c>
      <c r="O15" s="9" t="n">
        <v>0.0</v>
      </c>
      <c r="P15" s="9" t="n">
        <v>0.0</v>
      </c>
      <c r="Q15" s="9" t="n">
        <v>719.4032096862793</v>
      </c>
      <c r="R15" s="9" t="n">
        <v>1754.5802793502808</v>
      </c>
      <c r="S15" s="9" t="n">
        <v>14826.37433052063</v>
      </c>
      <c r="T15" s="9" t="n">
        <v>0.0</v>
      </c>
      <c r="U15">
        <f si="1" t="shared"/>
        <v>17294.045929908752</v>
      </c>
    </row>
    <row r="16" spans="1:26" x14ac:dyDescent="0.25">
      <c r="A16" s="12">
        <v>0.27083333333333331</v>
      </c>
      <c r="B16" s="6" t="n">
        <v>210.5633064475804</v>
      </c>
      <c r="C16" s="6" t="n">
        <v>16.924845590960725</v>
      </c>
      <c r="D16" s="6" t="n">
        <v>0.4807769789784377</v>
      </c>
      <c r="E16" s="6" t="n">
        <v>65.0578416081457</v>
      </c>
      <c r="F16" s="6" t="n">
        <v>863.4878265404795</v>
      </c>
      <c r="G16" s="6" t="n">
        <v>4850.58839908383</v>
      </c>
      <c r="H16" s="6" t="n">
        <v>25167.889828577514</v>
      </c>
      <c r="I16" s="6" t="n">
        <v>0.0</v>
      </c>
      <c r="J16" s="6">
        <f si="0" t="shared"/>
        <v>32604.510074415924</v>
      </c>
      <c r="L16" s="12">
        <v>0.27083333333333331</v>
      </c>
      <c r="M16" s="9" t="n">
        <v>423.47960662841797</v>
      </c>
      <c r="N16" s="9" t="n">
        <v>0.0</v>
      </c>
      <c r="O16" s="9" t="n">
        <v>0.0</v>
      </c>
      <c r="P16" s="9" t="n">
        <v>0.0</v>
      </c>
      <c r="Q16" s="9" t="n">
        <v>1124.5796670913696</v>
      </c>
      <c r="R16" s="9" t="n">
        <v>2558.9406604766846</v>
      </c>
      <c r="S16" s="9" t="n">
        <v>22192.842244148254</v>
      </c>
      <c r="T16" s="9" t="n">
        <v>0.0</v>
      </c>
      <c r="U16">
        <f si="1" t="shared"/>
        <v>26856.359386444092</v>
      </c>
    </row>
    <row r="17" spans="1:21" x14ac:dyDescent="0.25">
      <c r="A17" s="12">
        <v>0.29166666666666669</v>
      </c>
      <c r="B17" s="6" t="n">
        <v>279.175834184619</v>
      </c>
      <c r="C17" s="6" t="n">
        <v>25.23041489565113</v>
      </c>
      <c r="D17" s="6" t="n">
        <v>1.2811604564339976</v>
      </c>
      <c r="E17" s="6" t="n">
        <v>84.67632277869575</v>
      </c>
      <c r="F17" s="6" t="n">
        <v>1164.907133601167</v>
      </c>
      <c r="G17" s="6" t="n">
        <v>5729.066077559613</v>
      </c>
      <c r="H17" s="6" t="n">
        <v>31037.855310389932</v>
      </c>
      <c r="I17" s="6" t="n">
        <v>0.0</v>
      </c>
      <c r="J17" s="6">
        <f si="0" t="shared"/>
        <v>44178.801035167904</v>
      </c>
      <c r="L17" s="12">
        <v>0.29166666666666669</v>
      </c>
      <c r="M17" s="9" t="n">
        <v>571.3037338256836</v>
      </c>
      <c r="N17" s="9" t="n">
        <v>0.0</v>
      </c>
      <c r="O17" s="9" t="n">
        <v>0.0</v>
      </c>
      <c r="P17" s="9" t="n">
        <v>0.0</v>
      </c>
      <c r="Q17" s="9" t="n">
        <v>1514.067997932434</v>
      </c>
      <c r="R17" s="9" t="n">
        <v>3197.859475135803</v>
      </c>
      <c r="S17" s="9" t="n">
        <v>28489.712342262268</v>
      </c>
      <c r="T17" s="9" t="n">
        <v>0.0</v>
      </c>
      <c r="U17">
        <f si="1" t="shared"/>
        <v>36477.710866928101</v>
      </c>
    </row>
    <row r="18" spans="1:21" x14ac:dyDescent="0.25">
      <c r="A18" s="12">
        <v>0.3125</v>
      </c>
      <c r="B18" s="6" t="n">
        <v>331.1877174154146</v>
      </c>
      <c r="C18" s="6" t="n">
        <v>33.00419931970252</v>
      </c>
      <c r="D18" s="6" t="n">
        <v>2.793255963095225</v>
      </c>
      <c r="E18" s="6" t="n">
        <v>100.0821018035578</v>
      </c>
      <c r="F18" s="6" t="n">
        <v>1414.8103888624248</v>
      </c>
      <c r="G18" s="6" t="n">
        <v>5791.139934979206</v>
      </c>
      <c r="H18" s="6" t="n">
        <v>32652.84364527136</v>
      </c>
      <c r="I18" s="6" t="n">
        <v>0.0</v>
      </c>
      <c r="J18" s="6">
        <f si="0" t="shared"/>
        <v>51906.801148461935</v>
      </c>
      <c r="L18" s="12">
        <v>0.3125</v>
      </c>
      <c r="M18" s="9" t="n">
        <v>667.7200441360474</v>
      </c>
      <c r="N18" s="9" t="n">
        <v>0.0</v>
      </c>
      <c r="O18" s="9" t="n">
        <v>0.0</v>
      </c>
      <c r="P18" s="9" t="n">
        <v>0.0</v>
      </c>
      <c r="Q18" s="9" t="n">
        <v>1766.8951835632324</v>
      </c>
      <c r="R18" s="9" t="n">
        <v>3440.339120864868</v>
      </c>
      <c r="S18" s="9" t="n">
        <v>31542.850840568542</v>
      </c>
      <c r="T18" s="9" t="n">
        <v>0.0</v>
      </c>
      <c r="U18">
        <f si="1" t="shared"/>
        <v>43527.673254013062</v>
      </c>
    </row>
    <row r="19" spans="1:21" x14ac:dyDescent="0.25">
      <c r="A19" s="12">
        <v>0.33333333333333331</v>
      </c>
      <c r="B19" s="6" t="n">
        <v>356.533239744724</v>
      </c>
      <c r="C19" s="6" t="n">
        <v>37.60298648617408</v>
      </c>
      <c r="D19" s="6" t="n">
        <v>5.07903056777063</v>
      </c>
      <c r="E19" s="6" t="n">
        <v>111.00576745552502</v>
      </c>
      <c r="F19" s="6" t="n">
        <v>1551.3925710707822</v>
      </c>
      <c r="G19" s="6" t="n">
        <v>5018.465872916897</v>
      </c>
      <c r="H19" s="6" t="n">
        <v>29373.185975282926</v>
      </c>
      <c r="I19" s="6" t="n">
        <v>0.0</v>
      </c>
      <c r="J19" s="6">
        <f si="0" t="shared"/>
        <v>53228.686547579237</v>
      </c>
      <c r="L19" s="12">
        <v>0.33333333333333331</v>
      </c>
      <c r="M19" s="9" t="n">
        <v>679.7108840942383</v>
      </c>
      <c r="N19" s="9" t="n">
        <v>0.0</v>
      </c>
      <c r="O19" s="9" t="n">
        <v>0.0</v>
      </c>
      <c r="P19" s="9" t="n">
        <v>0.0</v>
      </c>
      <c r="Q19" s="9" t="n">
        <v>1796.6052198410034</v>
      </c>
      <c r="R19" s="9" t="n">
        <v>3198.8670902252197</v>
      </c>
      <c r="S19" s="9" t="n">
        <v>30259.919585227966</v>
      </c>
      <c r="T19" s="9" t="n">
        <v>0.0</v>
      </c>
      <c r="U19">
        <f si="1" t="shared"/>
        <v>45847.154664993286</v>
      </c>
    </row>
    <row r="20" spans="1:21" x14ac:dyDescent="0.25">
      <c r="A20" s="12">
        <v>0.35416666666666669</v>
      </c>
      <c r="B20" s="6" t="n">
        <v>349.72945780307447</v>
      </c>
      <c r="C20" s="6" t="n">
        <v>36.93894463510582</v>
      </c>
      <c r="D20" s="6" t="n">
        <v>7.809875568343575</v>
      </c>
      <c r="E20" s="6" t="n">
        <v>118.8778358823103</v>
      </c>
      <c r="F20" s="6" t="n">
        <v>1549.5391610275926</v>
      </c>
      <c r="G20" s="6" t="n">
        <v>3733.8030520814573</v>
      </c>
      <c r="H20" s="6" t="n">
        <v>22620.268338191694</v>
      </c>
      <c r="I20" s="6" t="n">
        <v>0.0</v>
      </c>
      <c r="J20" s="6">
        <f si="0" t="shared"/>
        <v>48071.215373445404</v>
      </c>
      <c r="L20" s="12">
        <v>0.35416666666666669</v>
      </c>
      <c r="M20" s="9" t="n">
        <v>605.5503520965576</v>
      </c>
      <c r="N20" s="9" t="n">
        <v>0.0</v>
      </c>
      <c r="O20" s="9" t="n">
        <v>0.0</v>
      </c>
      <c r="P20" s="9" t="n">
        <v>0.0</v>
      </c>
      <c r="Q20" s="9" t="n">
        <v>1599.1955032348633</v>
      </c>
      <c r="R20" s="9" t="n">
        <v>2578.9226846694946</v>
      </c>
      <c r="S20" s="9" t="n">
        <v>25248.410407066345</v>
      </c>
      <c r="T20" s="9" t="n">
        <v>0.0</v>
      </c>
      <c r="U20">
        <f si="1" t="shared"/>
        <v>42914.691114425659</v>
      </c>
    </row>
    <row r="21" spans="1:21" x14ac:dyDescent="0.25">
      <c r="A21" s="12">
        <v>0.375</v>
      </c>
      <c r="B21" s="6" t="n">
        <v>311.06478519082833</v>
      </c>
      <c r="C21" s="6" t="n">
        <v>30.949498510025975</v>
      </c>
      <c r="D21" s="6" t="n">
        <v>10.276045625050212</v>
      </c>
      <c r="E21" s="6" t="n">
        <v>125.30469551745657</v>
      </c>
      <c r="F21" s="6" t="n">
        <v>1429.1085540126953</v>
      </c>
      <c r="G21" s="6" t="n">
        <v>2396.3875955085796</v>
      </c>
      <c r="H21" s="6" t="n">
        <v>14919.588138735213</v>
      </c>
      <c r="I21" s="6" t="n">
        <v>0.0</v>
      </c>
      <c r="J21" s="6">
        <f si="0" t="shared"/>
        <v>38819.856945222826</v>
      </c>
      <c r="L21" s="12">
        <v>0.375</v>
      </c>
      <c r="M21" s="9" t="n">
        <v>474.9335823059082</v>
      </c>
      <c r="N21" s="9" t="n">
        <v>0.0</v>
      </c>
      <c r="O21" s="9" t="n">
        <v>0.0</v>
      </c>
      <c r="P21" s="9" t="n">
        <v>0.0</v>
      </c>
      <c r="Q21" s="9" t="n">
        <v>1253.2569570541382</v>
      </c>
      <c r="R21" s="9" t="n">
        <v>1807.566367149353</v>
      </c>
      <c r="S21" s="9" t="n">
        <v>18385.535502433777</v>
      </c>
      <c r="T21" s="9" t="n">
        <v>0.0</v>
      </c>
      <c r="U21">
        <f si="1" t="shared"/>
        <v>36135.182166099548</v>
      </c>
    </row>
    <row r="22" spans="1:21" x14ac:dyDescent="0.25">
      <c r="A22" s="12">
        <v>0.39583333333333331</v>
      </c>
      <c r="B22" s="6" t="n">
        <v>248.9676964105858</v>
      </c>
      <c r="C22" s="6" t="n">
        <v>21.89879073702318</v>
      </c>
      <c r="D22" s="6" t="n">
        <v>11.761294263121687</v>
      </c>
      <c r="E22" s="6" t="n">
        <v>130.8766800905325</v>
      </c>
      <c r="F22" s="6" t="n">
        <v>1238.5066877938334</v>
      </c>
      <c r="G22" s="6" t="n">
        <v>1352.1812440748981</v>
      </c>
      <c r="H22" s="6" t="n">
        <v>8434.169393528044</v>
      </c>
      <c r="I22" s="6" t="n">
        <v>0.0</v>
      </c>
      <c r="J22" s="6">
        <f si="0" t="shared"/>
        <v>28824.668711046834</v>
      </c>
      <c r="L22" s="12">
        <v>0.39583333333333331</v>
      </c>
      <c r="M22" s="9" t="n">
        <v>331.48790740966797</v>
      </c>
      <c r="N22" s="9" t="n">
        <v>0.0</v>
      </c>
      <c r="O22" s="9" t="n">
        <v>0.0</v>
      </c>
      <c r="P22" s="9" t="n">
        <v>0.0</v>
      </c>
      <c r="Q22" s="9" t="n">
        <v>873.7889976501465</v>
      </c>
      <c r="R22" s="9" t="n">
        <v>1104.6572914123535</v>
      </c>
      <c r="S22" s="9" t="n">
        <v>11734.817470550537</v>
      </c>
      <c r="T22" s="9" t="n">
        <v>0.0</v>
      </c>
      <c r="U22">
        <f si="1" t="shared"/>
        <v>28016.092457771301</v>
      </c>
    </row>
    <row r="23" spans="1:21" x14ac:dyDescent="0.25">
      <c r="A23" s="12">
        <v>0.41666666666666669</v>
      </c>
      <c r="B23" s="6" t="n">
        <v>179.2931609994698</v>
      </c>
      <c r="C23" s="6" t="n">
        <v>13.094102739495105</v>
      </c>
      <c r="D23" s="6" t="n">
        <v>12.153028439567798</v>
      </c>
      <c r="E23" s="6" t="n">
        <v>134.21072305273515</v>
      </c>
      <c r="F23" s="6" t="n">
        <v>1031.297017599164</v>
      </c>
      <c r="G23" s="6" t="n">
        <v>714.7937217428025</v>
      </c>
      <c r="H23" s="6" t="n">
        <v>4105.467738233856</v>
      </c>
      <c r="I23" s="6" t="n">
        <v>0.0</v>
      </c>
      <c r="J23" s="6">
        <f si="0" t="shared"/>
        <v>20636.313148620953</v>
      </c>
      <c r="L23" s="12">
        <v>0.41666666666666669</v>
      </c>
      <c r="M23" s="9" t="n">
        <v>211.05678176879883</v>
      </c>
      <c r="N23" s="9" t="n">
        <v>0.0</v>
      </c>
      <c r="O23" s="9" t="n">
        <v>0.0</v>
      </c>
      <c r="P23" s="9" t="n">
        <v>0.0</v>
      </c>
      <c r="Q23" s="9" t="n">
        <v>554.7944288253784</v>
      </c>
      <c r="R23" s="9" t="n">
        <v>591.7730531692505</v>
      </c>
      <c r="S23" s="9" t="n">
        <v>6622.30056476593</v>
      </c>
      <c r="T23" s="9" t="n">
        <v>0.0</v>
      </c>
      <c r="U23">
        <f si="1" t="shared"/>
        <v>20848.89075756073</v>
      </c>
    </row>
    <row r="24" spans="1:21" x14ac:dyDescent="0.25">
      <c r="A24" s="12">
        <v>0.4375</v>
      </c>
      <c r="B24" s="6" t="n">
        <v>119.15459218557959</v>
      </c>
      <c r="C24" s="6" t="n">
        <v>7.198223923306919</v>
      </c>
      <c r="D24" s="6" t="n">
        <v>12.349093233956449</v>
      </c>
      <c r="E24" s="6" t="n">
        <v>131.68315326982292</v>
      </c>
      <c r="F24" s="6" t="n">
        <v>850.2983478900582</v>
      </c>
      <c r="G24" s="6" t="n">
        <v>409.77765644009355</v>
      </c>
      <c r="H24" s="6" t="n">
        <v>1761.967558857576</v>
      </c>
      <c r="I24" s="6" t="n">
        <v>0.0</v>
      </c>
      <c r="J24" s="6">
        <f si="0" t="shared"/>
        <v>15168.374570511107</v>
      </c>
      <c r="L24" s="12">
        <v>0.4375</v>
      </c>
      <c r="M24" s="9" t="n">
        <v>129.68871784210205</v>
      </c>
      <c r="N24" s="9" t="n">
        <v>0.0</v>
      </c>
      <c r="O24" s="9" t="n">
        <v>0.0</v>
      </c>
      <c r="P24" s="9" t="n">
        <v>0.0</v>
      </c>
      <c r="Q24" s="9" t="n">
        <v>337.6726779937744</v>
      </c>
      <c r="R24" s="9" t="n">
        <v>281.7610807418823</v>
      </c>
      <c r="S24" s="9" t="n">
        <v>3375.7240839004517</v>
      </c>
      <c r="T24" s="9" t="n">
        <v>0.0</v>
      </c>
      <c r="U24">
        <f si="1" t="shared"/>
        <v>15811.734156608582</v>
      </c>
    </row>
    <row r="25" spans="1:21" x14ac:dyDescent="0.25">
      <c r="A25" s="12">
        <v>0.45833333333333331</v>
      </c>
      <c r="B25" s="6" t="n">
        <v>79.46059922591508</v>
      </c>
      <c r="C25" s="6" t="n">
        <v>5.57208316167277</v>
      </c>
      <c r="D25" s="6" t="n">
        <v>13.989579602884318</v>
      </c>
      <c r="E25" s="6" t="n">
        <v>119.30077528703401</v>
      </c>
      <c r="F25" s="6" t="n">
        <v>718.8384789034822</v>
      </c>
      <c r="G25" s="6" t="n">
        <v>292.23645475534283</v>
      </c>
      <c r="H25" s="6" t="n">
        <v>737.8258658374069</v>
      </c>
      <c r="I25" s="6" t="n">
        <v>0.0</v>
      </c>
      <c r="J25" s="6">
        <f si="0" t="shared"/>
        <v>12026.322400046207</v>
      </c>
      <c r="L25" s="12">
        <v>0.45833333333333331</v>
      </c>
      <c r="M25" s="9" t="n">
        <v>85.25589561462402</v>
      </c>
      <c r="N25" s="9" t="n">
        <v>0.0</v>
      </c>
      <c r="O25" s="9" t="n">
        <v>0.0</v>
      </c>
      <c r="P25" s="9" t="n">
        <v>0.0</v>
      </c>
      <c r="Q25" s="9" t="n">
        <v>216.05785369873047</v>
      </c>
      <c r="R25" s="9" t="n">
        <v>123.89949798583984</v>
      </c>
      <c r="S25" s="9" t="n">
        <v>1636.8064336776733</v>
      </c>
      <c r="T25" s="9" t="n">
        <v>0.0</v>
      </c>
      <c r="U25">
        <f si="1" t="shared"/>
        <v>12920.557379722595</v>
      </c>
    </row>
    <row r="26" spans="1:21" x14ac:dyDescent="0.25">
      <c r="A26" s="12">
        <v>0.47916666666666669</v>
      </c>
      <c r="B26" s="6" t="n">
        <v>61.74985862090563</v>
      </c>
      <c r="C26" s="6" t="n">
        <v>8.625152675907474</v>
      </c>
      <c r="D26" s="6" t="n">
        <v>18.440937702859536</v>
      </c>
      <c r="E26" s="6" t="n">
        <v>96.34607427099232</v>
      </c>
      <c r="F26" s="6" t="n">
        <v>635.7242181362457</v>
      </c>
      <c r="G26" s="6" t="n">
        <v>241.0495514997029</v>
      </c>
      <c r="H26" s="6" t="n">
        <v>399.945057213474</v>
      </c>
      <c r="I26" s="6" t="n">
        <v>0.0</v>
      </c>
      <c r="J26" s="6">
        <f si="0" t="shared"/>
        <v>10367.72320954689</v>
      </c>
      <c r="L26" s="12">
        <v>0.47916666666666669</v>
      </c>
      <c r="M26" s="9" t="n">
        <v>66.67316055297852</v>
      </c>
      <c r="N26" s="9" t="n">
        <v>0.0</v>
      </c>
      <c r="O26" s="9" t="n">
        <v>0.0</v>
      </c>
      <c r="P26" s="9" t="n">
        <v>0.0</v>
      </c>
      <c r="Q26" s="9" t="n">
        <v>160.8059368133545</v>
      </c>
      <c r="R26" s="9" t="n">
        <v>55.555357933044434</v>
      </c>
      <c r="S26" s="9" t="n">
        <v>836.5181474685669</v>
      </c>
      <c r="T26" s="9" t="n">
        <v>0.0</v>
      </c>
      <c r="U26">
        <f si="1" t="shared"/>
        <v>11551.408376693726</v>
      </c>
    </row>
    <row r="27" spans="1:21" x14ac:dyDescent="0.25">
      <c r="A27" s="12">
        <v>0.5</v>
      </c>
      <c r="B27" s="6" t="n">
        <v>60.16323132571611</v>
      </c>
      <c r="C27" s="6" t="n">
        <v>15.94468732421154</v>
      </c>
      <c r="D27" s="6" t="n">
        <v>25.5862538320832</v>
      </c>
      <c r="E27" s="6" t="n">
        <v>67.43888446014776</v>
      </c>
      <c r="F27" s="6" t="n">
        <v>578.3547223402364</v>
      </c>
      <c r="G27" s="6" t="n">
        <v>194.93862480642474</v>
      </c>
      <c r="H27" s="6" t="n">
        <v>345.98707731108937</v>
      </c>
      <c r="I27" s="6" t="n">
        <v>0.0</v>
      </c>
      <c r="J27" s="6">
        <f si="0" t="shared"/>
        <v>9544.2734528375331</v>
      </c>
      <c r="L27" s="12">
        <v>0.5</v>
      </c>
      <c r="M27" s="9" t="n">
        <v>62.48735809326172</v>
      </c>
      <c r="N27" s="9" t="n">
        <v>0.0</v>
      </c>
      <c r="O27" s="9" t="n">
        <v>0.0</v>
      </c>
      <c r="P27" s="9" t="n">
        <v>0.0</v>
      </c>
      <c r="Q27" s="9" t="n">
        <v>142.74494457244873</v>
      </c>
      <c r="R27" s="9" t="n">
        <v>30.7761287689209</v>
      </c>
      <c r="S27" s="9" t="n">
        <v>510.7330675125122</v>
      </c>
      <c r="T27" s="9" t="n">
        <v>0.0</v>
      </c>
      <c r="U27">
        <f si="1" t="shared"/>
        <v>10997.341861724854</v>
      </c>
    </row>
    <row r="28" spans="1:21" x14ac:dyDescent="0.25">
      <c r="A28" s="12">
        <v>0.52083333333333337</v>
      </c>
      <c r="B28" s="6" t="n">
        <v>65.82342580282426</v>
      </c>
      <c r="C28" s="6" t="n">
        <v>25.672309179975752</v>
      </c>
      <c r="D28" s="6" t="n">
        <v>33.35141052029505</v>
      </c>
      <c r="E28" s="6" t="n">
        <v>40.51572021857315</v>
      </c>
      <c r="F28" s="6" t="n">
        <v>518.1466794811572</v>
      </c>
      <c r="G28" s="6" t="n">
        <v>144.22382488503797</v>
      </c>
      <c r="H28" s="6" t="n">
        <v>373.56030336179856</v>
      </c>
      <c r="I28" s="6" t="n">
        <v>0.0</v>
      </c>
      <c r="J28" s="6">
        <f si="0" t="shared"/>
        <v>9243.6423452485578</v>
      </c>
      <c r="L28" s="12">
        <v>0.52083333333333337</v>
      </c>
      <c r="M28" s="9" t="n">
        <v>64.88125514984131</v>
      </c>
      <c r="N28" s="9" t="n">
        <v>0.0</v>
      </c>
      <c r="O28" s="9" t="n">
        <v>0.0</v>
      </c>
      <c r="P28" s="9" t="n">
        <v>0.0</v>
      </c>
      <c r="Q28" s="9" t="n">
        <v>142.65692806243896</v>
      </c>
      <c r="R28" s="9" t="n">
        <v>24.94776439666748</v>
      </c>
      <c r="S28" s="9" t="n">
        <v>388.55149269104004</v>
      </c>
      <c r="T28" s="9" t="n">
        <v>0.0</v>
      </c>
      <c r="U28">
        <f si="1" t="shared"/>
        <v>10758.206677436829</v>
      </c>
    </row>
    <row r="29" spans="1:21" x14ac:dyDescent="0.25">
      <c r="A29" s="12">
        <v>0.54166666666666663</v>
      </c>
      <c r="B29" s="6" t="n">
        <v>71.67664415303314</v>
      </c>
      <c r="C29" s="6" t="n">
        <v>34.27934016739777</v>
      </c>
      <c r="D29" s="6" t="n">
        <v>38.59307249459398</v>
      </c>
      <c r="E29" s="6" t="n">
        <v>22.788131268188863</v>
      </c>
      <c r="F29" s="6" t="n">
        <v>439.94900875727546</v>
      </c>
      <c r="G29" s="6" t="n">
        <v>104.05425055000603</v>
      </c>
      <c r="H29" s="6" t="n">
        <v>393.89223934251413</v>
      </c>
      <c r="I29" s="6" t="n">
        <v>0.0</v>
      </c>
      <c r="J29" s="6">
        <f si="0" t="shared"/>
        <v>9316.2984709469729</v>
      </c>
      <c r="L29" s="12">
        <v>0.54166666666666663</v>
      </c>
      <c r="M29" s="9" t="n">
        <v>69.93241786956787</v>
      </c>
      <c r="N29" s="9" t="n">
        <v>0.0</v>
      </c>
      <c r="O29" s="9" t="n">
        <v>0.0</v>
      </c>
      <c r="P29" s="9" t="n">
        <v>0.0</v>
      </c>
      <c r="Q29" s="9" t="n">
        <v>151.11506366729736</v>
      </c>
      <c r="R29" s="9" t="n">
        <v>28.124141693115234</v>
      </c>
      <c r="S29" s="9" t="n">
        <v>348.88883686065674</v>
      </c>
      <c r="T29" s="9" t="n">
        <v>0.0</v>
      </c>
      <c r="U29">
        <f si="1" t="shared"/>
        <v>10583.561363220215</v>
      </c>
    </row>
    <row r="30" spans="1:21" x14ac:dyDescent="0.25">
      <c r="A30" s="12">
        <v>0.5625</v>
      </c>
      <c r="B30" s="6" t="n">
        <v>77.21620630392677</v>
      </c>
      <c r="C30" s="6" t="n">
        <v>38.15026610560518</v>
      </c>
      <c r="D30" s="6" t="n">
        <v>38.97847794208819</v>
      </c>
      <c r="E30" s="6" t="n">
        <v>18.806588459220777</v>
      </c>
      <c r="F30" s="6" t="n">
        <v>350.1390170541945</v>
      </c>
      <c r="G30" s="6" t="n">
        <v>88.93186817806655</v>
      </c>
      <c r="H30" s="6" t="n">
        <v>376.6886574651517</v>
      </c>
      <c r="I30" s="6" t="n">
        <v>0.0</v>
      </c>
      <c r="J30" s="6">
        <f si="0" t="shared"/>
        <v>9593.161387813625</v>
      </c>
      <c r="L30" s="12">
        <v>0.5625</v>
      </c>
      <c r="M30" s="9" t="n">
        <v>76.62637424468994</v>
      </c>
      <c r="N30" s="9" t="n">
        <v>0.0</v>
      </c>
      <c r="O30" s="9" t="n">
        <v>0.0</v>
      </c>
      <c r="P30" s="9" t="n">
        <v>0.0</v>
      </c>
      <c r="Q30" s="9" t="n">
        <v>165.0205421447754</v>
      </c>
      <c r="R30" s="9" t="n">
        <v>37.551666259765625</v>
      </c>
      <c r="S30" s="9" t="n">
        <v>351.3779535293579</v>
      </c>
      <c r="T30" s="9" t="n">
        <v>0.0</v>
      </c>
      <c r="U30">
        <f si="1" t="shared"/>
        <v>10410.216426849365</v>
      </c>
    </row>
    <row r="31" spans="1:21" x14ac:dyDescent="0.25">
      <c r="A31" s="12">
        <v>0.58333333333333337</v>
      </c>
      <c r="B31" s="6" t="n">
        <v>91.48068883829326</v>
      </c>
      <c r="C31" s="6" t="n">
        <v>36.47783444739079</v>
      </c>
      <c r="D31" s="6" t="n">
        <v>34.488073615007515</v>
      </c>
      <c r="E31" s="6" t="n">
        <v>31.321106169389612</v>
      </c>
      <c r="F31" s="6" t="n">
        <v>268.1795553111442</v>
      </c>
      <c r="G31" s="6" t="n">
        <v>99.5758020831555</v>
      </c>
      <c r="H31" s="6" t="n">
        <v>327.8914735352632</v>
      </c>
      <c r="I31" s="6" t="n">
        <v>0.0</v>
      </c>
      <c r="J31" s="6">
        <f si="0" t="shared"/>
        <v>9845.7341923586027</v>
      </c>
      <c r="L31" s="12">
        <v>0.58333333333333337</v>
      </c>
      <c r="M31" s="9" t="n">
        <v>86.09152221679688</v>
      </c>
      <c r="N31" s="9" t="n">
        <v>0.0</v>
      </c>
      <c r="O31" s="9" t="n">
        <v>0.0</v>
      </c>
      <c r="P31" s="9" t="n">
        <v>0.0</v>
      </c>
      <c r="Q31" s="9" t="n">
        <v>184.81837368011475</v>
      </c>
      <c r="R31" s="9" t="n">
        <v>53.021718978881836</v>
      </c>
      <c r="S31" s="9" t="n">
        <v>388.6349630355835</v>
      </c>
      <c r="T31" s="9" t="n">
        <v>0.0</v>
      </c>
      <c r="U31">
        <f si="1" t="shared"/>
        <v>10287.465147972107</v>
      </c>
    </row>
    <row r="32" spans="1:21" x14ac:dyDescent="0.25">
      <c r="A32" s="12">
        <v>0.60416666666666663</v>
      </c>
      <c r="B32" s="6" t="n">
        <v>130.93105417175673</v>
      </c>
      <c r="C32" s="6" t="n">
        <v>33.05553113399604</v>
      </c>
      <c r="D32" s="6" t="n">
        <v>27.26957964168252</v>
      </c>
      <c r="E32" s="6" t="n">
        <v>61.55097228329526</v>
      </c>
      <c r="F32" s="6" t="n">
        <v>211.70832888757536</v>
      </c>
      <c r="G32" s="6" t="n">
        <v>124.43891567222605</v>
      </c>
      <c r="H32" s="6" t="n">
        <v>276.4141303107808</v>
      </c>
      <c r="I32" s="6" t="n">
        <v>0.0</v>
      </c>
      <c r="J32" s="6">
        <f si="0" t="shared"/>
        <v>9861.2885430556526</v>
      </c>
      <c r="L32" s="12">
        <v>0.60416666666666663</v>
      </c>
      <c r="M32" s="9" t="n">
        <v>100.92321968078613</v>
      </c>
      <c r="N32" s="9" t="n">
        <v>0.0</v>
      </c>
      <c r="O32" s="9" t="n">
        <v>0.0</v>
      </c>
      <c r="P32" s="9" t="n">
        <v>0.0</v>
      </c>
      <c r="Q32" s="9" t="n">
        <v>212.49464893341064</v>
      </c>
      <c r="R32" s="9" t="n">
        <v>74.38881301879883</v>
      </c>
      <c r="S32" s="9" t="n">
        <v>461.0086860656738</v>
      </c>
      <c r="T32" s="9" t="n">
        <v>0.0</v>
      </c>
      <c r="U32">
        <f si="1" t="shared"/>
        <v>10306.515560150146</v>
      </c>
    </row>
    <row r="33" spans="1:21" x14ac:dyDescent="0.25">
      <c r="A33" s="12">
        <v>0.625</v>
      </c>
      <c r="B33" s="6" t="n">
        <v>209.82053425143494</v>
      </c>
      <c r="C33" s="6" t="n">
        <v>34.955299431685816</v>
      </c>
      <c r="D33" s="6" t="n">
        <v>20.016967120397457</v>
      </c>
      <c r="E33" s="6" t="n">
        <v>106.54400636722596</v>
      </c>
      <c r="F33" s="6" t="n">
        <v>188.00977696281745</v>
      </c>
      <c r="G33" s="6" t="n">
        <v>150.26203846594197</v>
      </c>
      <c r="H33" s="6" t="n">
        <v>257.78225542241825</v>
      </c>
      <c r="I33" s="6" t="n">
        <v>0.0</v>
      </c>
      <c r="J33" s="6">
        <f si="0" t="shared"/>
        <v>9540.9379115027987</v>
      </c>
      <c r="L33" s="12">
        <v>0.625</v>
      </c>
      <c r="M33" s="9" t="n">
        <v>123.89462184906006</v>
      </c>
      <c r="N33" s="9" t="n">
        <v>0.0</v>
      </c>
      <c r="O33" s="9" t="n">
        <v>0.0</v>
      </c>
      <c r="P33" s="9" t="n">
        <v>0.0</v>
      </c>
      <c r="Q33" s="9" t="n">
        <v>249.12150859832764</v>
      </c>
      <c r="R33" s="9" t="n">
        <v>99.93556022644043</v>
      </c>
      <c r="S33" s="9" t="n">
        <v>562.8254556655884</v>
      </c>
      <c r="T33" s="9" t="n">
        <v>0.0</v>
      </c>
      <c r="U33">
        <f si="1" t="shared"/>
        <v>10522.883086204529</v>
      </c>
    </row>
    <row r="34" spans="1:21" x14ac:dyDescent="0.25">
      <c r="A34" s="12">
        <v>0.64583333333333337</v>
      </c>
      <c r="B34" s="6" t="n">
        <v>326.3262644235281</v>
      </c>
      <c r="C34" s="6" t="n">
        <v>48.33751314785779</v>
      </c>
      <c r="D34" s="6" t="n">
        <v>14.412159945265422</v>
      </c>
      <c r="E34" s="6" t="n">
        <v>156.26212903813254</v>
      </c>
      <c r="F34" s="6" t="n">
        <v>194.44709599430092</v>
      </c>
      <c r="G34" s="6" t="n">
        <v>171.31853569796934</v>
      </c>
      <c r="H34" s="6" t="n">
        <v>297.05649047411487</v>
      </c>
      <c r="I34" s="6" t="n">
        <v>0.0</v>
      </c>
      <c r="J34" s="6">
        <f si="0" t="shared"/>
        <v>8946.3682722916419</v>
      </c>
      <c r="L34" s="12">
        <v>0.64583333333333337</v>
      </c>
      <c r="M34" s="9" t="n">
        <v>156.08114528656006</v>
      </c>
      <c r="N34" s="9" t="n">
        <v>0.0</v>
      </c>
      <c r="O34" s="9" t="n">
        <v>0.0</v>
      </c>
      <c r="P34" s="9" t="n">
        <v>0.0</v>
      </c>
      <c r="Q34" s="9" t="n">
        <v>292.0509424209595</v>
      </c>
      <c r="R34" s="9" t="n">
        <v>125.45218563079834</v>
      </c>
      <c r="S34" s="9" t="n">
        <v>675.4479970932007</v>
      </c>
      <c r="T34" s="9" t="n">
        <v>0.0</v>
      </c>
      <c r="U34">
        <f si="1" t="shared"/>
        <v>10885.098223686218</v>
      </c>
    </row>
    <row r="35" spans="1:21" x14ac:dyDescent="0.25">
      <c r="A35" s="12">
        <v>0.66666666666666663</v>
      </c>
      <c r="B35" s="6" t="n">
        <v>454.70953172057045</v>
      </c>
      <c r="C35" s="6" t="n">
        <v>73.68185426786742</v>
      </c>
      <c r="D35" s="6" t="n">
        <v>10.835227999240061</v>
      </c>
      <c r="E35" s="6" t="n">
        <v>195.24549727109675</v>
      </c>
      <c r="F35" s="6" t="n">
        <v>221.39435048464634</v>
      </c>
      <c r="G35" s="6" t="n">
        <v>189.09572773962083</v>
      </c>
      <c r="H35" s="6" t="n">
        <v>396.285509720794</v>
      </c>
      <c r="I35" s="6" t="n">
        <v>0.0</v>
      </c>
      <c r="J35" s="6">
        <f si="0" t="shared"/>
        <v>8255.817924066876</v>
      </c>
      <c r="L35" s="12">
        <v>0.66666666666666663</v>
      </c>
      <c r="M35" s="9" t="n">
        <v>195.36734580993652</v>
      </c>
      <c r="N35" s="9" t="n">
        <v>0.0</v>
      </c>
      <c r="O35" s="9" t="n">
        <v>0.0</v>
      </c>
      <c r="P35" s="9" t="n">
        <v>0.0</v>
      </c>
      <c r="Q35" s="9" t="n">
        <v>333.66501235961914</v>
      </c>
      <c r="R35" s="9" t="n">
        <v>144.85027408599854</v>
      </c>
      <c r="S35" s="9" t="n">
        <v>769.1398334503174</v>
      </c>
      <c r="T35" s="9" t="n">
        <v>0.0</v>
      </c>
      <c r="U35">
        <f si="1" t="shared"/>
        <v>11216.484217643738</v>
      </c>
    </row>
    <row r="36" spans="1:21" x14ac:dyDescent="0.25">
      <c r="A36" s="12">
        <v>0.6875</v>
      </c>
      <c r="B36" s="6" t="n">
        <v>553.5616835504206</v>
      </c>
      <c r="C36" s="6" t="n">
        <v>103.59237007540688</v>
      </c>
      <c r="D36" s="6" t="n">
        <v>8.99833234107454</v>
      </c>
      <c r="E36" s="6" t="n">
        <v>209.74468326297162</v>
      </c>
      <c r="F36" s="6" t="n">
        <v>253.2566034421893</v>
      </c>
      <c r="G36" s="6" t="n">
        <v>203.89557021108791</v>
      </c>
      <c r="H36" s="6" t="n">
        <v>529.2800558268332</v>
      </c>
      <c r="I36" s="6" t="n">
        <v>0.0</v>
      </c>
      <c r="J36" s="6">
        <f si="0" t="shared"/>
        <v>7639.4125935759866</v>
      </c>
      <c r="L36" s="12">
        <v>0.6875</v>
      </c>
      <c r="M36" s="9" t="n">
        <v>236.18656539916992</v>
      </c>
      <c r="N36" s="9" t="n">
        <v>0.0</v>
      </c>
      <c r="O36" s="9" t="n">
        <v>0.0</v>
      </c>
      <c r="P36" s="9" t="n">
        <v>0.0</v>
      </c>
      <c r="Q36" s="9" t="n">
        <v>363.27999687194824</v>
      </c>
      <c r="R36" s="9" t="n">
        <v>152.52181720733643</v>
      </c>
      <c r="S36" s="9" t="n">
        <v>814.0382928848267</v>
      </c>
      <c r="T36" s="9" t="n">
        <v>0.0</v>
      </c>
      <c r="U36">
        <f si="1" t="shared"/>
        <v>11281.165165901184</v>
      </c>
    </row>
    <row r="37" spans="1:21" x14ac:dyDescent="0.25">
      <c r="A37" s="12">
        <v>0.70833333333333337</v>
      </c>
      <c r="B37" s="6" t="n">
        <v>588.1680383786429</v>
      </c>
      <c r="C37" s="6" t="n">
        <v>125.61364031611737</v>
      </c>
      <c r="D37" s="6" t="n">
        <v>8.416699768227668</v>
      </c>
      <c r="E37" s="6" t="n">
        <v>195.3366690615669</v>
      </c>
      <c r="F37" s="6" t="n">
        <v>270.85089582040337</v>
      </c>
      <c r="G37" s="6" t="n">
        <v>208.9468306944302</v>
      </c>
      <c r="H37" s="6" t="n">
        <v>647.1026599474374</v>
      </c>
      <c r="I37" s="6" t="n">
        <v>0.0</v>
      </c>
      <c r="J37" s="6">
        <f si="0" t="shared"/>
        <v>7131.9671694063491</v>
      </c>
      <c r="L37" s="12">
        <v>0.70833333333333337</v>
      </c>
      <c r="M37" s="9" t="n">
        <v>270.4475564956665</v>
      </c>
      <c r="N37" s="9" t="n">
        <v>0.0</v>
      </c>
      <c r="O37" s="9" t="n">
        <v>0.0</v>
      </c>
      <c r="P37" s="9" t="n">
        <v>0.0</v>
      </c>
      <c r="Q37" s="9" t="n">
        <v>371.3332986831665</v>
      </c>
      <c r="R37" s="9" t="n">
        <v>146.04073333740234</v>
      </c>
      <c r="S37" s="9" t="n">
        <v>793.4830360412598</v>
      </c>
      <c r="T37" s="9" t="n">
        <v>0.0</v>
      </c>
      <c r="U37">
        <f si="1" t="shared"/>
        <v>10898.737740516663</v>
      </c>
    </row>
    <row r="38" spans="1:21" x14ac:dyDescent="0.25">
      <c r="A38" s="12">
        <v>0.72916666666666663</v>
      </c>
      <c r="B38" s="6" t="n">
        <v>550.7471887526399</v>
      </c>
      <c r="C38" s="6" t="n">
        <v>129.3473762217795</v>
      </c>
      <c r="D38" s="6" t="n">
        <v>8.400106678009037</v>
      </c>
      <c r="E38" s="6" t="n">
        <v>158.98314691016714</v>
      </c>
      <c r="F38" s="6" t="n">
        <v>259.25617794145126</v>
      </c>
      <c r="G38" s="6" t="n">
        <v>194.81824222113167</v>
      </c>
      <c r="H38" s="6" t="n">
        <v>697.5048397126118</v>
      </c>
      <c r="I38" s="6" t="n">
        <v>0.0</v>
      </c>
      <c r="J38" s="6">
        <f si="0" t="shared"/>
        <v>6607.331656488047</v>
      </c>
      <c r="L38" s="12">
        <v>0.72916666666666663</v>
      </c>
      <c r="M38" s="9" t="n">
        <v>289.3867435455322</v>
      </c>
      <c r="N38" s="9" t="n">
        <v>0.0</v>
      </c>
      <c r="O38" s="9" t="n">
        <v>0.0</v>
      </c>
      <c r="P38" s="9" t="n">
        <v>0.0</v>
      </c>
      <c r="Q38" s="9" t="n">
        <v>353.21478939056396</v>
      </c>
      <c r="R38" s="9" t="n">
        <v>127.23373794555664</v>
      </c>
      <c r="S38" s="9" t="n">
        <v>710.4371786117554</v>
      </c>
      <c r="T38" s="9" t="n">
        <v>0.0</v>
      </c>
      <c r="U38">
        <f si="1" t="shared"/>
        <v>10027.430109977722</v>
      </c>
    </row>
    <row r="39" spans="1:21" x14ac:dyDescent="0.25">
      <c r="A39" s="12">
        <v>0.75</v>
      </c>
      <c r="B39" s="6" t="n">
        <v>462.22607286532883</v>
      </c>
      <c r="C39" s="6" t="n">
        <v>113.00552286590627</v>
      </c>
      <c r="D39" s="6" t="n">
        <v>8.112314455582391</v>
      </c>
      <c r="E39" s="6" t="n">
        <v>114.25230703689566</v>
      </c>
      <c r="F39" s="6" t="n">
        <v>217.00343168566565</v>
      </c>
      <c r="G39" s="6" t="n">
        <v>159.34765603693427</v>
      </c>
      <c r="H39" s="6" t="n">
        <v>652.3506204687233</v>
      </c>
      <c r="I39" s="6" t="n">
        <v>0.0</v>
      </c>
      <c r="J39" s="6">
        <f si="0" t="shared"/>
        <v>5885.1025240129702</v>
      </c>
      <c r="L39" s="12">
        <v>0.75</v>
      </c>
      <c r="M39" s="9" t="n">
        <v>286.5390520095825</v>
      </c>
      <c r="N39" s="9" t="n">
        <v>0.0</v>
      </c>
      <c r="O39" s="9" t="n">
        <v>0.0</v>
      </c>
      <c r="P39" s="9" t="n">
        <v>0.0</v>
      </c>
      <c r="Q39" s="9" t="n">
        <v>310.9160261154175</v>
      </c>
      <c r="R39" s="9" t="n">
        <v>101.01988983154297</v>
      </c>
      <c r="S39" s="9" t="n">
        <v>583.9294929504395</v>
      </c>
      <c r="T39" s="9" t="n">
        <v>0.0</v>
      </c>
      <c r="U39">
        <f si="1" t="shared"/>
        <v>8767.6669263839722</v>
      </c>
    </row>
    <row r="40" spans="1:21" x14ac:dyDescent="0.25">
      <c r="A40" s="12">
        <v>0.77083333333333337</v>
      </c>
      <c r="B40" s="6" t="n">
        <v>355.58830762913567</v>
      </c>
      <c r="C40" s="6" t="n">
        <v>84.03184823773556</v>
      </c>
      <c r="D40" s="6" t="n">
        <v>6.997643094460077</v>
      </c>
      <c r="E40" s="6" t="n">
        <v>73.77657775150016</v>
      </c>
      <c r="F40" s="6" t="n">
        <v>157.27808748148314</v>
      </c>
      <c r="G40" s="6" t="n">
        <v>111.63001073437741</v>
      </c>
      <c r="H40" s="6" t="n">
        <v>524.9074246533169</v>
      </c>
      <c r="I40" s="6" t="n">
        <v>0.0</v>
      </c>
      <c r="J40" s="6">
        <f si="0" t="shared"/>
        <v>4882.5120511636442</v>
      </c>
      <c r="L40" s="12">
        <v>0.77083333333333337</v>
      </c>
      <c r="M40" s="9" t="n">
        <v>261.28521823883057</v>
      </c>
      <c r="N40" s="9" t="n">
        <v>0.0</v>
      </c>
      <c r="O40" s="9" t="n">
        <v>0.0</v>
      </c>
      <c r="P40" s="9" t="n">
        <v>0.0</v>
      </c>
      <c r="Q40" s="9" t="n">
        <v>252.39875602722168</v>
      </c>
      <c r="R40" s="9" t="n">
        <v>73.15955829620361</v>
      </c>
      <c r="S40" s="9" t="n">
        <v>440.13084602355957</v>
      </c>
      <c r="T40" s="9" t="n">
        <v>0.0</v>
      </c>
      <c r="U40">
        <f si="1" t="shared"/>
        <v>7304.6649551391602</v>
      </c>
    </row>
    <row r="41" spans="1:21" x14ac:dyDescent="0.25">
      <c r="A41" s="12">
        <v>0.79166666666666663</v>
      </c>
      <c r="B41" s="6" t="n">
        <v>256.4653427250812</v>
      </c>
      <c r="C41" s="6" t="n">
        <v>53.48948628801695</v>
      </c>
      <c r="D41" s="6" t="n">
        <v>5.1471362180842215</v>
      </c>
      <c r="E41" s="6" t="n">
        <v>44.16862330663645</v>
      </c>
      <c r="F41" s="6" t="n">
        <v>98.72076272562842</v>
      </c>
      <c r="G41" s="6" t="n">
        <v>65.93145564150535</v>
      </c>
      <c r="H41" s="6" t="n">
        <v>361.57325154327305</v>
      </c>
      <c r="I41" s="6" t="n">
        <v>0.0</v>
      </c>
      <c r="J41" s="6">
        <f si="0" t="shared"/>
        <v>3685.6562949886834</v>
      </c>
      <c r="L41" s="12">
        <v>0.79166666666666663</v>
      </c>
      <c r="M41" s="9" t="n">
        <v>220.4496088027954</v>
      </c>
      <c r="N41" s="9" t="n">
        <v>0.0</v>
      </c>
      <c r="O41" s="9" t="n">
        <v>0.0</v>
      </c>
      <c r="P41" s="9" t="n">
        <v>0.0</v>
      </c>
      <c r="Q41" s="9" t="n">
        <v>189.09544277191162</v>
      </c>
      <c r="R41" s="9" t="n">
        <v>48.3550386428833</v>
      </c>
      <c r="S41" s="9" t="n">
        <v>303.840069770813</v>
      </c>
      <c r="T41" s="9" t="n">
        <v>0.0</v>
      </c>
      <c r="U41">
        <f si="1" t="shared"/>
        <v>5835.9461545944214</v>
      </c>
    </row>
    <row r="42" spans="1:21" x14ac:dyDescent="0.25">
      <c r="A42" s="12">
        <v>0.8125</v>
      </c>
      <c r="B42" s="6" t="n">
        <v>175.4810323408281</v>
      </c>
      <c r="C42" s="6" t="n">
        <v>29.40931875352476</v>
      </c>
      <c r="D42" s="6" t="n">
        <v>3.146754429292147</v>
      </c>
      <c r="E42" s="6" t="n">
        <v>25.664767096119693</v>
      </c>
      <c r="F42" s="6" t="n">
        <v>54.15179787059178</v>
      </c>
      <c r="G42" s="6" t="n">
        <v>32.41316849758278</v>
      </c>
      <c r="H42" s="6" t="n">
        <v>213.3200827425648</v>
      </c>
      <c r="I42" s="6" t="n">
        <v>0.0</v>
      </c>
      <c r="J42" s="6">
        <f si="0" t="shared"/>
        <v>2494.4518572714383</v>
      </c>
      <c r="L42" s="12">
        <v>0.8125</v>
      </c>
      <c r="M42" s="9" t="n">
        <v>175.43181800842285</v>
      </c>
      <c r="N42" s="9" t="n">
        <v>0.0</v>
      </c>
      <c r="O42" s="9" t="n">
        <v>0.0</v>
      </c>
      <c r="P42" s="9" t="n">
        <v>0.0</v>
      </c>
      <c r="Q42" s="9" t="n">
        <v>132.00615978240967</v>
      </c>
      <c r="R42" s="9" t="n">
        <v>29.28269863128662</v>
      </c>
      <c r="S42" s="9" t="n">
        <v>192.57225704193115</v>
      </c>
      <c r="T42" s="9" t="n">
        <v>0.0</v>
      </c>
      <c r="U42">
        <f si="1" t="shared"/>
        <v>4512.7117586135864</v>
      </c>
    </row>
    <row r="43" spans="1:21" x14ac:dyDescent="0.25">
      <c r="A43" s="12">
        <v>0.83333333333333337</v>
      </c>
      <c r="B43" s="6" t="n">
        <v>112.96642010114849</v>
      </c>
      <c r="C43" s="6" t="n">
        <v>14.142254279140698</v>
      </c>
      <c r="D43" s="6" t="n">
        <v>1.5703401977602556</v>
      </c>
      <c r="E43" s="6" t="n">
        <v>15.053604722002236</v>
      </c>
      <c r="F43" s="6" t="n">
        <v>26.37202517750054</v>
      </c>
      <c r="G43" s="6" t="n">
        <v>13.082895266090276</v>
      </c>
      <c r="H43" s="6" t="n">
        <v>109.53617171766132</v>
      </c>
      <c r="I43" s="6" t="n">
        <v>0.0</v>
      </c>
      <c r="J43" s="6">
        <f si="0" t="shared"/>
        <v>1503.3416621672325</v>
      </c>
      <c r="L43" s="12">
        <v>0.83333333333333337</v>
      </c>
      <c r="M43" s="9" t="n">
        <v>136.0539321899414</v>
      </c>
      <c r="N43" s="9" t="n">
        <v>0.0</v>
      </c>
      <c r="O43" s="9" t="n">
        <v>0.0</v>
      </c>
      <c r="P43" s="9" t="n">
        <v>0.0</v>
      </c>
      <c r="Q43" s="9" t="n">
        <v>87.87169647216797</v>
      </c>
      <c r="R43" s="9" t="n">
        <v>16.47640609741211</v>
      </c>
      <c r="S43" s="9" t="n">
        <v>113.51938438415527</v>
      </c>
      <c r="T43" s="9" t="n">
        <v>0.0</v>
      </c>
      <c r="U43">
        <f si="1" t="shared"/>
        <v>3407.7695608139038</v>
      </c>
    </row>
    <row r="44" spans="1:21" x14ac:dyDescent="0.25">
      <c r="A44" s="12">
        <v>0.85416666666666663</v>
      </c>
      <c r="B44" s="6" t="n">
        <v>66.61996629289962</v>
      </c>
      <c r="C44" s="6" t="n">
        <v>6.023726412704707</v>
      </c>
      <c r="D44" s="6" t="n">
        <v>0.6278526241947593</v>
      </c>
      <c r="E44" s="6" t="n">
        <v>8.889451106423818</v>
      </c>
      <c r="F44" s="6" t="n">
        <v>11.574189062774817</v>
      </c>
      <c r="G44" s="6" t="n">
        <v>4.259329574093109</v>
      </c>
      <c r="H44" s="6" t="n">
        <v>51.81687362039648</v>
      </c>
      <c r="I44" s="6" t="n">
        <v>0.0</v>
      </c>
      <c r="J44" s="6">
        <f si="0" t="shared"/>
        <v>811.76813084372588</v>
      </c>
      <c r="L44" s="12">
        <v>0.85416666666666663</v>
      </c>
      <c r="M44" s="9" t="n">
        <v>105.90421772003174</v>
      </c>
      <c r="N44" s="9" t="n">
        <v>0.0</v>
      </c>
      <c r="O44" s="9" t="n">
        <v>0.0</v>
      </c>
      <c r="P44" s="9" t="n">
        <v>0.0</v>
      </c>
      <c r="Q44" s="9" t="n">
        <v>57.65653324127197</v>
      </c>
      <c r="R44" s="9" t="n">
        <v>8.876152038574219</v>
      </c>
      <c r="S44" s="9" t="n">
        <v>64.11196327209473</v>
      </c>
      <c r="T44" s="9" t="n">
        <v>0.0</v>
      </c>
      <c r="U44">
        <f si="1" t="shared"/>
        <v>2519.1711759567261</v>
      </c>
    </row>
    <row r="45" spans="1:21" x14ac:dyDescent="0.25">
      <c r="A45" s="12">
        <v>0.875</v>
      </c>
      <c r="B45" s="6" t="n">
        <v>34.76355567487261</v>
      </c>
      <c r="C45" s="6" t="n">
        <v>2.281944090763961</v>
      </c>
      <c r="D45" s="6" t="n">
        <v>0.19619129082383802</v>
      </c>
      <c r="E45" s="6" t="n">
        <v>5.039441991347335</v>
      </c>
      <c r="F45" s="6" t="n">
        <v>4.578704554997225</v>
      </c>
      <c r="G45" s="6" t="n">
        <v>1.09076032398354</v>
      </c>
      <c r="H45" s="6" t="n">
        <v>25.482778348771127</v>
      </c>
      <c r="I45" s="6" t="n">
        <v>0.0</v>
      </c>
      <c r="J45" s="6">
        <f si="0" t="shared"/>
        <v>409.52408917955353</v>
      </c>
      <c r="L45" s="12">
        <v>0.875</v>
      </c>
      <c r="M45" s="9" t="n">
        <v>82.74945259094238</v>
      </c>
      <c r="N45" s="9" t="n">
        <v>0.0</v>
      </c>
      <c r="O45" s="9" t="n">
        <v>0.0</v>
      </c>
      <c r="P45" s="9" t="n">
        <v>0.0</v>
      </c>
      <c r="Q45" s="9" t="n">
        <v>38.18237018585205</v>
      </c>
      <c r="R45" s="9" t="n">
        <v>4.760416030883789</v>
      </c>
      <c r="S45" s="9" t="n">
        <v>36.09657859802246</v>
      </c>
      <c r="T45" s="9" t="n">
        <v>0.0</v>
      </c>
      <c r="U45">
        <f si="1" t="shared"/>
        <v>1805.7592248916626</v>
      </c>
    </row>
    <row r="46" spans="1:21" x14ac:dyDescent="0.25">
      <c r="A46" s="12">
        <v>0.89583333333333337</v>
      </c>
      <c r="B46" s="6" t="n">
        <v>15.505779726859824</v>
      </c>
      <c r="C46" s="6" t="n">
        <v>0.7574251219740384</v>
      </c>
      <c r="D46" s="6" t="n">
        <v>0.04616265666443248</v>
      </c>
      <c r="E46" s="6" t="n">
        <v>2.5854055034718164</v>
      </c>
      <c r="F46" s="6" t="n">
        <v>1.5920411420252838</v>
      </c>
      <c r="G46" s="6" t="n">
        <v>0.21155154534488163</v>
      </c>
      <c r="H46" s="6" t="n">
        <v>14.447669433258111</v>
      </c>
      <c r="I46" s="6" t="n">
        <v>0.0</v>
      </c>
      <c r="J46" s="6">
        <f si="0" t="shared"/>
        <v>218.65486278499426</v>
      </c>
      <c r="L46" s="12">
        <v>0.89583333333333337</v>
      </c>
      <c r="M46" s="9" t="n">
        <v>62.73160266876221</v>
      </c>
      <c r="N46" s="9" t="n">
        <v>0.0</v>
      </c>
      <c r="O46" s="9" t="n">
        <v>0.0</v>
      </c>
      <c r="P46" s="9" t="n">
        <v>0.0</v>
      </c>
      <c r="Q46" s="9" t="n">
        <v>25.28902816772461</v>
      </c>
      <c r="R46" s="9" t="n">
        <v>2.5915393829345703</v>
      </c>
      <c r="S46" s="9" t="n">
        <v>20.69759464263916</v>
      </c>
      <c r="T46" s="9" t="n">
        <v>0.0</v>
      </c>
      <c r="U46">
        <f si="1" t="shared"/>
        <v>1229.2745685577393</v>
      </c>
    </row>
    <row r="47" spans="1:21" x14ac:dyDescent="0.25">
      <c r="A47" s="12">
        <v>0.91666666666666663</v>
      </c>
      <c r="B47" s="6" t="n">
        <v>5.719386643276991</v>
      </c>
      <c r="C47" s="6" t="n">
        <v>0.21198448537631054</v>
      </c>
      <c r="D47" s="6" t="n">
        <v>0.007693776110738746</v>
      </c>
      <c r="E47" s="6" t="n">
        <v>1.1443592801525404</v>
      </c>
      <c r="F47" s="6" t="n">
        <v>0.4635152769939654</v>
      </c>
      <c r="G47" s="6" t="n">
        <v>0.029211647627191896</v>
      </c>
      <c r="H47" s="6" t="n">
        <v>8.882015248015396</v>
      </c>
      <c r="I47" s="6" t="n">
        <v>0.0</v>
      </c>
      <c r="J47" s="6">
        <f si="0" t="shared"/>
        <v>147.39855672015935</v>
      </c>
      <c r="L47" s="12">
        <v>0.91666666666666663</v>
      </c>
      <c r="M47" s="9" t="n">
        <v>44.08378887176514</v>
      </c>
      <c r="N47" s="9" t="n">
        <v>0.0</v>
      </c>
      <c r="O47" s="9" t="n">
        <v>0.0</v>
      </c>
      <c r="P47" s="9" t="n">
        <v>0.0</v>
      </c>
      <c r="Q47" s="9" t="n">
        <v>16.1023006439209</v>
      </c>
      <c r="R47" s="9" t="n">
        <v>1.3987512588500977</v>
      </c>
      <c r="S47" s="9" t="n">
        <v>11.828267097473145</v>
      </c>
      <c r="T47" s="9" t="n">
        <v>0.0</v>
      </c>
      <c r="U47">
        <f si="1" t="shared"/>
        <v>774.42394256591797</v>
      </c>
    </row>
    <row r="48" spans="1:21" x14ac:dyDescent="0.25">
      <c r="A48" s="12">
        <v>0.9375</v>
      </c>
      <c r="B48" s="6" t="n">
        <v>1.684341007084409</v>
      </c>
      <c r="C48" s="6" t="n">
        <v>0.04714335101745985</v>
      </c>
      <c r="D48" s="6" t="n">
        <v>8.09871169551447E-4</v>
      </c>
      <c r="E48" s="6" t="n">
        <v>0.4211049889574603</v>
      </c>
      <c r="F48" s="6" t="n">
        <v>0.10598285683975112</v>
      </c>
      <c r="G48" s="6" t="n">
        <v>0.00255908934983341</v>
      </c>
      <c r="H48" s="6" t="n">
        <v>5.1205574521199395</v>
      </c>
      <c r="I48" s="6" t="n">
        <v>0.0</v>
      </c>
      <c r="J48" s="6">
        <f si="0" t="shared"/>
        <v>124.75720829078152</v>
      </c>
      <c r="L48" s="12">
        <v>0.9375</v>
      </c>
      <c r="M48" s="9" t="n">
        <v>27.671907424926758</v>
      </c>
      <c r="N48" s="9" t="n">
        <v>0.0</v>
      </c>
      <c r="O48" s="9" t="n">
        <v>0.0</v>
      </c>
      <c r="P48" s="9" t="n">
        <v>0.0</v>
      </c>
      <c r="Q48" s="9" t="n">
        <v>9.408702850341797</v>
      </c>
      <c r="R48" s="9" t="n">
        <v>0.7115516662597656</v>
      </c>
      <c r="S48" s="9" t="n">
        <v>6.419127464294434</v>
      </c>
      <c r="T48" s="9" t="n">
        <v>0.0</v>
      </c>
      <c r="U48">
        <f si="1" t="shared"/>
        <v>440.50806999206543</v>
      </c>
    </row>
    <row r="49" spans="1:21" x14ac:dyDescent="0.25">
      <c r="A49" s="12">
        <v>0.95833333333333337</v>
      </c>
      <c r="B49" s="6" t="n">
        <v>0.37894660544861786</v>
      </c>
      <c r="C49" s="6" t="n">
        <v>0.007672356871417384</v>
      </c>
      <c r="D49" s="6" t="n">
        <v>4.049355847757235E-5</v>
      </c>
      <c r="E49" s="6" t="n">
        <v>0.12435337702519031</v>
      </c>
      <c r="F49" s="6" t="n">
        <v>0.01753012390026763</v>
      </c>
      <c r="G49" s="6" t="n">
        <v>1.0692514736840726E-4</v>
      </c>
      <c r="H49" s="6" t="n">
        <v>2.513875969414638</v>
      </c>
      <c r="I49" s="6" t="n">
        <v>0.0</v>
      </c>
      <c r="J49" s="6">
        <f si="0" t="shared"/>
        <v>110.30437960664048</v>
      </c>
      <c r="L49" s="12">
        <v>0.95833333333333337</v>
      </c>
      <c r="M49" s="9" t="n">
        <v>15.149127006530762</v>
      </c>
      <c r="N49" s="9" t="n">
        <v>0.0</v>
      </c>
      <c r="O49" s="9" t="n">
        <v>0.0</v>
      </c>
      <c r="P49" s="9" t="n">
        <v>0.0</v>
      </c>
      <c r="Q49" s="9" t="n">
        <v>4.8566999435424805</v>
      </c>
      <c r="R49" s="9" t="n">
        <v>0.3251829147338867</v>
      </c>
      <c r="S49" s="9" t="n">
        <v>3.1772842407226562</v>
      </c>
      <c r="T49" s="9" t="n">
        <v>0.0</v>
      </c>
      <c r="U49">
        <f si="1" t="shared"/>
        <v>221.92927837371826</v>
      </c>
    </row>
    <row r="50" spans="1:21" x14ac:dyDescent="0.25">
      <c r="A50" s="12">
        <v>0.97916666666666663</v>
      </c>
      <c r="B50" s="6" t="n">
        <v>0.06099475267239214</v>
      </c>
      <c r="C50" s="6" t="n">
        <v>8.020488903034611E-4</v>
      </c>
      <c r="D50" s="6" t="n">
        <v>0.0</v>
      </c>
      <c r="E50" s="6" t="n">
        <v>0.028208420629657963</v>
      </c>
      <c r="F50" s="6" t="n">
        <v>0.0018452762000281716</v>
      </c>
      <c r="G50" s="6" t="n">
        <v>0.0</v>
      </c>
      <c r="H50" s="6" t="n">
        <v>1.0010648638253195</v>
      </c>
      <c r="I50" s="6" t="n">
        <v>0.0</v>
      </c>
      <c r="J50" s="6">
        <f si="0" t="shared"/>
        <v>89.185506550292374</v>
      </c>
      <c r="L50" s="12">
        <v>0.97916666666666663</v>
      </c>
      <c r="M50" s="9" t="n">
        <v>7.143861770629883</v>
      </c>
      <c r="N50" s="9" t="n">
        <v>0.0</v>
      </c>
      <c r="O50" s="9" t="n">
        <v>0.0</v>
      </c>
      <c r="P50" s="9" t="n">
        <v>0.0</v>
      </c>
      <c r="Q50" s="9" t="n">
        <v>2.152606964111328</v>
      </c>
      <c r="R50" s="9" t="n">
        <v>0.12885475158691406</v>
      </c>
      <c r="S50" s="9" t="n">
        <v>1.4170417785644531</v>
      </c>
      <c r="T50" s="9" t="n">
        <v>0.0</v>
      </c>
      <c r="U50">
        <f si="1" t="shared"/>
        <v>98.052921295166016</v>
      </c>
    </row>
    <row r="51" spans="1:21" x14ac:dyDescent="0.25">
      <c r="A51" s="12">
        <v>1</v>
      </c>
      <c r="B51" s="6" t="n">
        <v>0.006244348324334488</v>
      </c>
      <c r="C51" s="6" t="n">
        <v>4.010244451517305E-5</v>
      </c>
      <c r="D51" s="6" t="n">
        <v>0.0</v>
      </c>
      <c r="E51" s="6" t="n">
        <v>0.004602954051783027</v>
      </c>
      <c r="F51" s="6" t="n">
        <v>9.226381000140858E-5</v>
      </c>
      <c r="G51" s="6" t="n">
        <v>0.0</v>
      </c>
      <c r="H51" s="6" t="n">
        <v>0.3125509248274721</v>
      </c>
      <c r="I51" s="6" t="n">
        <v>0.0</v>
      </c>
      <c r="J51" s="6">
        <f si="0" t="shared"/>
        <v>62.334882572932166</v>
      </c>
      <c r="L51" s="12">
        <v>1</v>
      </c>
      <c r="M51" s="9" t="n">
        <v>2.9000988006591797</v>
      </c>
      <c r="N51" s="9" t="n">
        <v>0.0</v>
      </c>
      <c r="O51" s="9" t="n">
        <v>0.0</v>
      </c>
      <c r="P51" s="9" t="n">
        <v>0.0</v>
      </c>
      <c r="Q51" s="9" t="n">
        <v>0.8006181716918945</v>
      </c>
      <c r="R51" s="9" t="n">
        <v>0.04300975799560547</v>
      </c>
      <c r="S51" s="9" t="n">
        <v>0.5842876434326172</v>
      </c>
      <c r="T51" s="9" t="n">
        <v>0.0</v>
      </c>
      <c r="U51">
        <f si="1" t="shared"/>
        <v>38.270354270935059</v>
      </c>
    </row>
    <row r="52" spans="1:21" x14ac:dyDescent="0.25">
      <c r="A52" s="12">
        <v>1.0208333333333333</v>
      </c>
      <c r="B52" s="6" t="n">
        <v>3.051975113150444E-4</v>
      </c>
      <c r="C52" s="6" t="n">
        <v>0.0</v>
      </c>
      <c r="D52" s="6" t="n">
        <v>0.0</v>
      </c>
      <c r="E52" s="6" t="n">
        <v>4.8008015342859077E-4</v>
      </c>
      <c r="F52" s="6" t="n">
        <v>0.0</v>
      </c>
      <c r="G52" s="6" t="n">
        <v>0.0</v>
      </c>
      <c r="H52" s="6" t="n">
        <v>0.07353253815131845</v>
      </c>
      <c r="I52" s="6" t="n">
        <v>0.0</v>
      </c>
      <c r="J52" s="6">
        <f si="0" t="shared"/>
        <v>36.684894541399338</v>
      </c>
      <c r="L52" s="12">
        <v>1.0208333333333333</v>
      </c>
      <c r="M52" s="9" t="n">
        <v>1.0297050476074219</v>
      </c>
      <c r="N52" s="9" t="n">
        <v>0.0</v>
      </c>
      <c r="O52" s="9" t="n">
        <v>0.0</v>
      </c>
      <c r="P52" s="9" t="n">
        <v>0.0</v>
      </c>
      <c r="Q52" s="9" t="n">
        <v>0.24472999572753906</v>
      </c>
      <c r="R52" s="9" t="n">
        <v>0.011716842651367188</v>
      </c>
      <c r="S52" s="9" t="n">
        <v>0.23662757873535156</v>
      </c>
      <c r="T52" s="9" t="n">
        <v>0.0</v>
      </c>
      <c r="U52">
        <f si="1" t="shared"/>
        <v>13.690485954284668</v>
      </c>
    </row>
    <row r="53" spans="1:21" x14ac:dyDescent="0.25">
      <c r="A53" s="12">
        <v>4.1666666666666664E-2</v>
      </c>
      <c r="B53" s="6" t="n">
        <v>0.0</v>
      </c>
      <c r="C53" s="6" t="n">
        <v>0.0</v>
      </c>
      <c r="D53" s="6" t="n">
        <v>0.0</v>
      </c>
      <c r="E53" s="6" t="n">
        <v>2.4004007671429538E-5</v>
      </c>
      <c r="F53" s="6" t="n">
        <v>0.0</v>
      </c>
      <c r="G53" s="6" t="n">
        <v>0.0</v>
      </c>
      <c r="H53" s="6" t="n">
        <v>0.012255423025219743</v>
      </c>
      <c r="I53" s="6" t="n">
        <v>0.0</v>
      </c>
      <c r="J53" s="6">
        <f si="0" t="shared"/>
        <v>17.82729765970134</v>
      </c>
      <c r="L53" s="12">
        <v>4.1666666666666664E-2</v>
      </c>
      <c r="M53" s="9" t="n">
        <v>0.33142566680908203</v>
      </c>
      <c r="N53" s="9" t="n">
        <v>0.0</v>
      </c>
      <c r="O53" s="9" t="n">
        <v>0.0</v>
      </c>
      <c r="P53" s="9" t="n">
        <v>0.0</v>
      </c>
      <c r="Q53" s="9" t="n">
        <v>0.06028556823730469</v>
      </c>
      <c r="R53" s="9" t="n">
        <v>0.00249481201171875</v>
      </c>
      <c r="S53" s="9" t="n">
        <v>0.0985565185546875</v>
      </c>
      <c r="T53" s="9" t="n">
        <v>0.0</v>
      </c>
      <c r="U53">
        <f si="1" t="shared"/>
        <v>4.7857809066772461</v>
      </c>
    </row>
    <row r="54" spans="1:21" x14ac:dyDescent="0.25">
      <c r="A54" s="12">
        <v>6.25E-2</v>
      </c>
      <c r="B54" s="6" t="n">
        <v>0.0</v>
      </c>
      <c r="C54" s="6" t="n">
        <v>0.0</v>
      </c>
      <c r="D54" s="6" t="n">
        <v>0.0</v>
      </c>
      <c r="E54" s="6" t="n">
        <v>0.0</v>
      </c>
      <c r="F54" s="6" t="n">
        <v>0.0</v>
      </c>
      <c r="G54" s="6" t="n">
        <v>0.0</v>
      </c>
      <c r="H54" s="6" t="n">
        <v>0.0012900445289704993</v>
      </c>
      <c r="I54" s="6" t="n">
        <v>0.0</v>
      </c>
      <c r="J54" s="6">
        <f si="0" t="shared"/>
        <v>7.0043548934679656</v>
      </c>
      <c r="L54" s="12">
        <v>6.25E-2</v>
      </c>
      <c r="M54" s="9" t="n">
        <v>0.10060405731201172</v>
      </c>
      <c r="N54" s="9" t="n">
        <v>0.0</v>
      </c>
      <c r="O54" s="9" t="n">
        <v>0.0</v>
      </c>
      <c r="P54" s="9" t="n">
        <v>0.0</v>
      </c>
      <c r="Q54" s="9" t="n">
        <v>0.011769294738769531</v>
      </c>
      <c r="R54" s="9" t="n">
        <v>3.8814544677734375E-4</v>
      </c>
      <c r="S54" s="9" t="n">
        <v>0.040717124938964844</v>
      </c>
      <c r="T54" s="9" t="n">
        <v>0.0</v>
      </c>
      <c r="U54">
        <f si="1" t="shared"/>
        <v>1.6949367523193359</v>
      </c>
    </row>
    <row r="55" spans="1:21" x14ac:dyDescent="0.25">
      <c r="A55" s="12">
        <v>8.3333333333333329E-2</v>
      </c>
      <c r="B55" s="6" t="n">
        <v>0.0</v>
      </c>
      <c r="C55" s="6" t="n">
        <v>0.0</v>
      </c>
      <c r="D55" s="6" t="n">
        <v>0.0</v>
      </c>
      <c r="E55" s="6" t="n">
        <v>0.0</v>
      </c>
      <c r="F55" s="6" t="n">
        <v>0.0</v>
      </c>
      <c r="G55" s="6" t="n">
        <v>0.0</v>
      </c>
      <c r="H55" s="6" t="n">
        <v>6.450222644852496E-5</v>
      </c>
      <c r="I55" s="6" t="n">
        <v>0.0</v>
      </c>
      <c r="J55" s="6">
        <f si="0" t="shared"/>
        <v>2.1651210492276771</v>
      </c>
      <c r="L55" s="12">
        <v>8.3333333333333329E-2</v>
      </c>
      <c r="M55" s="9" t="n">
        <v>0.02878570556640625</v>
      </c>
      <c r="N55" s="9" t="n">
        <v>0.0</v>
      </c>
      <c r="O55" s="9" t="n">
        <v>0.0</v>
      </c>
      <c r="P55" s="9" t="n">
        <v>0.0</v>
      </c>
      <c r="Q55" s="9" t="n">
        <v>0.0018033981323242188</v>
      </c>
      <c r="R55" s="9" t="n">
        <v>3.910064697265625E-5</v>
      </c>
      <c r="S55" s="9" t="n">
        <v>0.0151519775390625</v>
      </c>
      <c r="T55" s="9" t="n">
        <v>0.0</v>
      </c>
      <c r="U55">
        <f si="1" t="shared"/>
        <v>0.57673931121826172</v>
      </c>
    </row>
    <row r="56" spans="1:21" x14ac:dyDescent="0.25">
      <c r="A56" s="12">
        <v>0.10416666666666667</v>
      </c>
      <c r="B56" s="6" t="n">
        <v>0.0</v>
      </c>
      <c r="C56" s="6" t="n">
        <v>0.0</v>
      </c>
      <c r="D56" s="6" t="n">
        <v>0.0</v>
      </c>
      <c r="E56" s="6" t="n">
        <v>0.0</v>
      </c>
      <c r="F56" s="6" t="n">
        <v>0.0</v>
      </c>
      <c r="G56" s="6" t="n">
        <v>0.0</v>
      </c>
      <c r="H56" s="6" t="n">
        <v>0.0</v>
      </c>
      <c r="I56" s="6" t="n">
        <v>0.0</v>
      </c>
      <c r="J56" s="6">
        <f si="0" t="shared"/>
        <v>0.50625367420450251</v>
      </c>
      <c r="L56" s="12">
        <v>0.10416666666666667</v>
      </c>
      <c r="M56" s="9" t="n">
        <v>0.0072917938232421875</v>
      </c>
      <c r="N56" s="9" t="n">
        <v>0.0</v>
      </c>
      <c r="O56" s="9" t="n">
        <v>0.0</v>
      </c>
      <c r="P56" s="9" t="n">
        <v>0.0</v>
      </c>
      <c r="Q56" s="9" t="n">
        <v>2.155303955078125E-4</v>
      </c>
      <c r="R56" s="9" t="n">
        <v>1.9073486328125E-6</v>
      </c>
      <c r="S56" s="9" t="n">
        <v>0.0046367645263671875</v>
      </c>
      <c r="T56" s="9" t="n">
        <v>0.0</v>
      </c>
      <c r="U56">
        <f si="1" t="shared"/>
        <v>0.16954898834228516</v>
      </c>
    </row>
    <row r="57" spans="1:21" x14ac:dyDescent="0.25">
      <c r="A57" s="12">
        <v>0.125</v>
      </c>
      <c r="B57" s="6" t="n">
        <v>0.0</v>
      </c>
      <c r="C57" s="6" t="n">
        <v>0.0</v>
      </c>
      <c r="D57" s="6" t="n">
        <v>0.0</v>
      </c>
      <c r="E57" s="6" t="n">
        <v>0.0</v>
      </c>
      <c r="F57" s="6" t="n">
        <v>0.0</v>
      </c>
      <c r="G57" s="6" t="n">
        <v>0.0</v>
      </c>
      <c r="H57" s="6" t="n">
        <v>0.0</v>
      </c>
      <c r="I57" s="6" t="n">
        <v>0.0</v>
      </c>
      <c r="J57" s="6">
        <f si="0" t="shared"/>
        <v>8.3661190571987842E-2</v>
      </c>
      <c r="L57" s="12">
        <v>0.125</v>
      </c>
      <c r="M57" s="9" t="n">
        <v>0.0014677047729492188</v>
      </c>
      <c r="N57" s="9" t="n">
        <v>0.0</v>
      </c>
      <c r="O57" s="9" t="n">
        <v>0.0</v>
      </c>
      <c r="P57" s="9" t="n">
        <v>0.0</v>
      </c>
      <c r="Q57" s="9" t="n">
        <v>1.9073486328125E-5</v>
      </c>
      <c r="R57" s="9" t="n">
        <v>0.0</v>
      </c>
      <c r="S57" s="9" t="n">
        <v>0.001068115234375</v>
      </c>
      <c r="T57" s="9" t="n">
        <v>0.0</v>
      </c>
      <c r="U57">
        <f si="1" t="shared"/>
        <v>3.8385391235351563E-2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6"/>
  <dimension ref="A1:AA58"/>
  <sheetViews>
    <sheetView workbookViewId="0">
      <selection activeCell="A3" sqref="A3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29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53</v>
      </c>
      <c r="B6" s="1"/>
      <c r="C6" s="1"/>
      <c r="D6" s="1"/>
      <c r="E6" s="1"/>
      <c r="F6" s="1"/>
      <c r="G6" s="1"/>
      <c r="H6" s="1"/>
      <c r="I6" s="1"/>
      <c r="J6" s="1"/>
      <c r="L6" s="3" t="s">
        <v>28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589.2245559073344</v>
      </c>
      <c r="C8" s="6" t="n">
        <v>0.0</v>
      </c>
      <c r="D8" s="6" t="n">
        <v>0.0</v>
      </c>
      <c r="E8" s="6" t="n">
        <v>234.277534537076</v>
      </c>
      <c r="F8" s="6" t="n">
        <v>216.88635663195362</v>
      </c>
      <c r="G8" s="6" t="n">
        <v>0.0</v>
      </c>
      <c r="H8" s="6" t="n">
        <v>0.0</v>
      </c>
      <c r="I8" s="6" t="n">
        <v>0.0</v>
      </c>
      <c r="J8" s="6">
        <f>SUM(B8:I8)</f>
        <v>1835.0248544454512</v>
      </c>
      <c r="L8" t="s">
        <v>5</v>
      </c>
      <c r="M8" s="9" t="n">
        <v>103.0</v>
      </c>
      <c r="N8" s="9" t="n">
        <v>30.0</v>
      </c>
      <c r="O8" s="9" t="n">
        <v>12.0</v>
      </c>
      <c r="P8" s="9" t="n">
        <v>22.0</v>
      </c>
      <c r="Q8" s="9" t="n">
        <v>7.0</v>
      </c>
      <c r="R8" s="9" t="n">
        <v>5.0</v>
      </c>
      <c r="S8" s="9" t="n">
        <v>33.0</v>
      </c>
      <c r="T8" s="9" t="n">
        <v>0.0</v>
      </c>
      <c r="U8">
        <f>SUM(M8:T8)</f>
        <v>3085</v>
      </c>
      <c r="W8" s="5"/>
      <c r="X8" s="16"/>
      <c r="Y8" s="16"/>
      <c r="Z8" s="5"/>
    </row>
    <row r="9" spans="1:26" x14ac:dyDescent="0.25">
      <c r="A9" s="12">
        <v>0.125</v>
      </c>
      <c r="B9" s="6" t="n">
        <v>441.57161004303794</v>
      </c>
      <c r="C9" s="6" t="n">
        <v>7.7875631815861315</v>
      </c>
      <c r="D9" s="6" t="n">
        <v>21.446495871260723</v>
      </c>
      <c r="E9" s="6" t="n">
        <v>188.47952937813585</v>
      </c>
      <c r="F9" s="6" t="n">
        <v>148.22327755105306</v>
      </c>
      <c r="G9" s="6" t="n">
        <v>0.037129729148075434</v>
      </c>
      <c r="H9" s="6" t="n">
        <v>3.404342380989944</v>
      </c>
      <c r="I9" s="6" t="n">
        <v>0.0</v>
      </c>
      <c r="J9" s="6">
        <f ref="J9:J58" si="0" t="shared">SUM(B9:I9)</f>
        <v>2091.0892951519404</v>
      </c>
      <c r="L9" s="12">
        <v>0.125</v>
      </c>
      <c r="M9" s="9" t="n">
        <v>248.20984077453613</v>
      </c>
      <c r="N9" s="9" t="n">
        <v>64.60624313354492</v>
      </c>
      <c r="O9" s="9" t="n">
        <v>95.48403263092041</v>
      </c>
      <c r="P9" s="9" t="n">
        <v>94.84677028656006</v>
      </c>
      <c r="Q9" s="9" t="n">
        <v>8.344812393188477</v>
      </c>
      <c r="R9" s="9" t="n">
        <v>5.244606018066406</v>
      </c>
      <c r="S9" s="9" t="n">
        <v>58.80966281890869</v>
      </c>
      <c r="T9" s="9" t="n">
        <v>0.0</v>
      </c>
      <c r="U9">
        <f ref="U9:U58" si="1" t="shared">SUM(M9:T9)</f>
        <v>3393.9071035385132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361.55518053396287</v>
      </c>
      <c r="C10" s="6" t="n">
        <v>18.789960591482703</v>
      </c>
      <c r="D10" s="6" t="n">
        <v>62.07381850736329</v>
      </c>
      <c r="E10" s="6" t="n">
        <v>179.86930465369426</v>
      </c>
      <c r="F10" s="6" t="n">
        <v>91.3901054827768</v>
      </c>
      <c r="G10" s="6" t="n">
        <v>0.2427600636851491</v>
      </c>
      <c r="H10" s="6" t="n">
        <v>12.436606961967048</v>
      </c>
      <c r="I10" s="6" t="n">
        <v>0.0</v>
      </c>
      <c r="J10" s="6">
        <f si="0" t="shared"/>
        <v>2632.2960572251604</v>
      </c>
      <c r="L10" s="12">
        <v>0.14583333333333334</v>
      </c>
      <c r="M10" s="9" t="n">
        <v>396.7120771408081</v>
      </c>
      <c r="N10" s="9" t="n">
        <v>104.68926048278809</v>
      </c>
      <c r="O10" s="9" t="n">
        <v>190.1647834777832</v>
      </c>
      <c r="P10" s="9" t="n">
        <v>177.72181797027588</v>
      </c>
      <c r="Q10" s="9" t="n">
        <v>11.1343994140625</v>
      </c>
      <c r="R10" s="9" t="n">
        <v>6.239288330078125</v>
      </c>
      <c r="S10" s="9" t="n">
        <v>83.34966373443604</v>
      </c>
      <c r="T10" s="9" t="n">
        <v>0.0</v>
      </c>
      <c r="U10">
        <f si="1" t="shared"/>
        <v>3724.0996026992798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413.5752995137904</v>
      </c>
      <c r="C11" s="6" t="n">
        <v>42.03451519230962</v>
      </c>
      <c r="D11" s="6" t="n">
        <v>144.64791296545766</v>
      </c>
      <c r="E11" s="6" t="n">
        <v>252.04271262717424</v>
      </c>
      <c r="F11" s="6" t="n">
        <v>55.69559935833813</v>
      </c>
      <c r="G11" s="6" t="n">
        <v>1.1218618853496023</v>
      </c>
      <c r="H11" s="6" t="n">
        <v>35.872823261522946</v>
      </c>
      <c r="I11" s="6" t="n">
        <v>0.0</v>
      </c>
      <c r="J11" s="6">
        <f si="0" t="shared"/>
        <v>3672.6359236084172</v>
      </c>
      <c r="L11" s="12">
        <v>0.16666666666666666</v>
      </c>
      <c r="M11" s="9" t="n">
        <v>585.7832441329956</v>
      </c>
      <c r="N11" s="9" t="n">
        <v>166.63704204559326</v>
      </c>
      <c r="O11" s="9" t="n">
        <v>333.47948837280273</v>
      </c>
      <c r="P11" s="9" t="n">
        <v>303.25701332092285</v>
      </c>
      <c r="Q11" s="9" t="n">
        <v>17.953508377075195</v>
      </c>
      <c r="R11" s="9" t="n">
        <v>9.17722225189209</v>
      </c>
      <c r="S11" s="9" t="n">
        <v>114.75074768066406</v>
      </c>
      <c r="T11" s="9" t="n">
        <v>0.0</v>
      </c>
      <c r="U11">
        <f si="1" t="shared"/>
        <v>4217.1666240692139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658.5441704080989</v>
      </c>
      <c r="C12" s="6" t="n">
        <v>99.48331011648474</v>
      </c>
      <c r="D12" s="6" t="n">
        <v>294.1900125469205</v>
      </c>
      <c r="E12" s="6" t="n">
        <v>469.85814100041387</v>
      </c>
      <c r="F12" s="6" t="n">
        <v>48.96745818269254</v>
      </c>
      <c r="G12" s="6" t="n">
        <v>3.914431845994515</v>
      </c>
      <c r="H12" s="6" t="n">
        <v>87.10058885580162</v>
      </c>
      <c r="I12" s="6" t="n">
        <v>0.0</v>
      </c>
      <c r="J12" s="6">
        <f si="0" t="shared"/>
        <v>5346.4943136813599</v>
      </c>
      <c r="L12" s="12">
        <v>0.1875</v>
      </c>
      <c r="M12" s="9" t="n">
        <v>897.2602252960205</v>
      </c>
      <c r="N12" s="9" t="n">
        <v>282.82538509368896</v>
      </c>
      <c r="O12" s="9" t="n">
        <v>603.1811618804932</v>
      </c>
      <c r="P12" s="9" t="n">
        <v>539.992359161377</v>
      </c>
      <c r="Q12" s="9" t="n">
        <v>33.17476749420166</v>
      </c>
      <c r="R12" s="9" t="n">
        <v>15.91357135772705</v>
      </c>
      <c r="S12" s="9" t="n">
        <v>172.49374675750732</v>
      </c>
      <c r="T12" s="9" t="n">
        <v>0.0</v>
      </c>
      <c r="U12">
        <f si="1" t="shared"/>
        <v>5208.0075550079346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1150.8441312320879</v>
      </c>
      <c r="C13" s="6" t="n">
        <v>230.08728443002772</v>
      </c>
      <c r="D13" s="6" t="n">
        <v>530.783565001803</v>
      </c>
      <c r="E13" s="6" t="n">
        <v>932.7761859499004</v>
      </c>
      <c r="F13" s="6" t="n">
        <v>80.34444467880095</v>
      </c>
      <c r="G13" s="6" t="n">
        <v>10.705422084801018</v>
      </c>
      <c r="H13" s="6" t="n">
        <v>181.62130388555596</v>
      </c>
      <c r="I13" s="6" t="n">
        <v>0.0</v>
      </c>
      <c r="J13" s="6">
        <f si="0" t="shared"/>
        <v>7810.5297760027088</v>
      </c>
      <c r="L13" s="12">
        <v>0.20833333333333334</v>
      </c>
      <c r="M13" s="9" t="n">
        <v>1432.0920372009277</v>
      </c>
      <c r="N13" s="9" t="n">
        <v>496.0414094924927</v>
      </c>
      <c r="O13" s="9" t="n">
        <v>1108.544111251831</v>
      </c>
      <c r="P13" s="9" t="n">
        <v>986.1197738647461</v>
      </c>
      <c r="Q13" s="9" t="n">
        <v>62.582547187805176</v>
      </c>
      <c r="R13" s="9" t="n">
        <v>28.71885871887207</v>
      </c>
      <c r="S13" s="9" t="n">
        <v>280.02796173095703</v>
      </c>
      <c r="T13" s="9" t="n">
        <v>0.0</v>
      </c>
      <c r="U13">
        <f si="1" t="shared"/>
        <v>7208.9478826522827</v>
      </c>
    </row>
    <row r="14" spans="1:26" x14ac:dyDescent="0.25">
      <c r="A14" s="12">
        <v>0.22916666666666666</v>
      </c>
      <c r="B14" s="6" t="n">
        <v>1918.7399333941962</v>
      </c>
      <c r="C14" s="6" t="n">
        <v>480.15141244999495</v>
      </c>
      <c r="D14" s="6" t="n">
        <v>862.6740966735324</v>
      </c>
      <c r="E14" s="6" t="n">
        <v>1755.5031573171998</v>
      </c>
      <c r="F14" s="6" t="n">
        <v>158.53852170161187</v>
      </c>
      <c r="G14" s="6" t="n">
        <v>23.512198386321423</v>
      </c>
      <c r="H14" s="6" t="n">
        <v>328.3518033244481</v>
      </c>
      <c r="I14" s="6" t="n">
        <v>0.0</v>
      </c>
      <c r="J14" s="6">
        <f si="0" t="shared"/>
        <v>11400.213062718152</v>
      </c>
      <c r="L14" s="12">
        <v>0.22916666666666666</v>
      </c>
      <c r="M14" s="9" t="n">
        <v>2256.253707885742</v>
      </c>
      <c r="N14" s="9" t="n">
        <v>842.0973606109619</v>
      </c>
      <c r="O14" s="9" t="n">
        <v>1953.8887100219727</v>
      </c>
      <c r="P14" s="9" t="n">
        <v>1736.9166793823242</v>
      </c>
      <c r="Q14" s="9" t="n">
        <v>111.62631034851074</v>
      </c>
      <c r="R14" s="9" t="n">
        <v>49.46299362182617</v>
      </c>
      <c r="S14" s="9" t="n">
        <v>452.3167839050293</v>
      </c>
      <c r="T14" s="9" t="n">
        <v>0.0</v>
      </c>
      <c r="U14">
        <f si="1" t="shared"/>
        <v>10781.543617248535</v>
      </c>
    </row>
    <row r="15" spans="1:26" x14ac:dyDescent="0.25">
      <c r="A15" s="12">
        <v>0.25</v>
      </c>
      <c r="B15" s="6" t="n">
        <v>2922.3434130686765</v>
      </c>
      <c r="C15" s="6" t="n">
        <v>873.2488425259128</v>
      </c>
      <c r="D15" s="6" t="n">
        <v>1290.2344059710333</v>
      </c>
      <c r="E15" s="6" t="n">
        <v>2993.8355789619613</v>
      </c>
      <c r="F15" s="6" t="n">
        <v>282.52475074842573</v>
      </c>
      <c r="G15" s="6" t="n">
        <v>42.147669712784165</v>
      </c>
      <c r="H15" s="6" t="n">
        <v>516.1383683143922</v>
      </c>
      <c r="I15" s="6" t="n">
        <v>0.0</v>
      </c>
      <c r="J15" s="6">
        <f si="0" t="shared"/>
        <v>16639.993247633251</v>
      </c>
      <c r="L15" s="12">
        <v>0.25</v>
      </c>
      <c r="M15" s="9" t="n">
        <v>3346.1681928634644</v>
      </c>
      <c r="N15" s="9" t="n">
        <v>1326.390920639038</v>
      </c>
      <c r="O15" s="9" t="n">
        <v>3182.524956703186</v>
      </c>
      <c r="P15" s="9" t="n">
        <v>2832.054838180542</v>
      </c>
      <c r="Q15" s="9" t="n">
        <v>182.5917091369629</v>
      </c>
      <c r="R15" s="9" t="n">
        <v>78.50307273864746</v>
      </c>
      <c r="S15" s="9" t="n">
        <v>685.2403354644775</v>
      </c>
      <c r="T15" s="9" t="n">
        <v>0.0</v>
      </c>
      <c r="U15">
        <f si="1" t="shared"/>
        <v>16308.607878684998</v>
      </c>
    </row>
    <row r="16" spans="1:26" x14ac:dyDescent="0.25">
      <c r="A16" s="12">
        <v>0.27083333333333331</v>
      </c>
      <c r="B16" s="6" t="n">
        <v>4013.7806481793796</v>
      </c>
      <c r="C16" s="6" t="n">
        <v>1373.227991811973</v>
      </c>
      <c r="D16" s="6" t="n">
        <v>1823.2884444421668</v>
      </c>
      <c r="E16" s="6" t="n">
        <v>4550.463085989693</v>
      </c>
      <c r="F16" s="6" t="n">
        <v>431.61430792892725</v>
      </c>
      <c r="G16" s="6" t="n">
        <v>62.33159541751996</v>
      </c>
      <c r="H16" s="6" t="n">
        <v>705.1516033964886</v>
      </c>
      <c r="I16" s="6" t="n">
        <v>0.0</v>
      </c>
      <c r="J16" s="6">
        <f si="0" t="shared"/>
        <v>23926.799298981667</v>
      </c>
      <c r="L16" s="12">
        <v>0.27083333333333331</v>
      </c>
      <c r="M16" s="9" t="n">
        <v>4568.988955497742</v>
      </c>
      <c r="N16" s="9" t="n">
        <v>1907.1806859970093</v>
      </c>
      <c r="O16" s="9" t="n">
        <v>4726.2202253341675</v>
      </c>
      <c r="P16" s="9" t="n">
        <v>4207.795858383179</v>
      </c>
      <c r="Q16" s="9" t="n">
        <v>271.91941356658936</v>
      </c>
      <c r="R16" s="9" t="n">
        <v>113.92123889923096</v>
      </c>
      <c r="S16" s="9" t="n">
        <v>952.7752656936646</v>
      </c>
      <c r="T16" s="9" t="n">
        <v>0.0</v>
      </c>
      <c r="U16">
        <f si="1" t="shared"/>
        <v>23733.915848731995</v>
      </c>
    </row>
    <row r="17" spans="1:21" x14ac:dyDescent="0.25">
      <c r="A17" s="12">
        <v>0.29166666666666669</v>
      </c>
      <c r="B17" s="6" t="n">
        <v>4952.407058721646</v>
      </c>
      <c r="C17" s="6" t="n">
        <v>1875.1889496831463</v>
      </c>
      <c r="D17" s="6" t="n">
        <v>2494.525286994539</v>
      </c>
      <c r="E17" s="6" t="n">
        <v>6152.245994538642</v>
      </c>
      <c r="F17" s="6" t="n">
        <v>567.5699804607679</v>
      </c>
      <c r="G17" s="6" t="n">
        <v>76.58454096918952</v>
      </c>
      <c r="H17" s="6" t="n">
        <v>837.563066157803</v>
      </c>
      <c r="I17" s="6" t="n">
        <v>0.0</v>
      </c>
      <c r="J17" s="6">
        <f si="0" t="shared"/>
        <v>33004.862324827409</v>
      </c>
      <c r="L17" s="12">
        <v>0.29166666666666669</v>
      </c>
      <c r="M17" s="9" t="n">
        <v>5718.087577819824</v>
      </c>
      <c r="N17" s="9" t="n">
        <v>2499.3649368286133</v>
      </c>
      <c r="O17" s="9" t="n">
        <v>6395.335787773132</v>
      </c>
      <c r="P17" s="9" t="n">
        <v>5689.495344161987</v>
      </c>
      <c r="Q17" s="9" t="n">
        <v>369.563271522522</v>
      </c>
      <c r="R17" s="9" t="n">
        <v>151.73597145080566</v>
      </c>
      <c r="S17" s="9" t="n">
        <v>1214.437385559082</v>
      </c>
      <c r="T17" s="9" t="n">
        <v>0.0</v>
      </c>
      <c r="U17">
        <f si="1" t="shared"/>
        <v>32401.899385452271</v>
      </c>
    </row>
    <row r="18" spans="1:21" x14ac:dyDescent="0.25">
      <c r="A18" s="12">
        <v>0.3125</v>
      </c>
      <c r="B18" s="6" t="n">
        <v>5504.059346444536</v>
      </c>
      <c r="C18" s="6" t="n">
        <v>2249.637078252502</v>
      </c>
      <c r="D18" s="6" t="n">
        <v>3343.752032778538</v>
      </c>
      <c r="E18" s="6" t="n">
        <v>7461.194609192929</v>
      </c>
      <c r="F18" s="6" t="n">
        <v>652.9645501673444</v>
      </c>
      <c r="G18" s="6" t="n">
        <v>78.61957011962815</v>
      </c>
      <c r="H18" s="6" t="n">
        <v>870.2479257932346</v>
      </c>
      <c r="I18" s="6" t="n">
        <v>0.0</v>
      </c>
      <c r="J18" s="6">
        <f si="0" t="shared"/>
        <v>42688.960668249783</v>
      </c>
      <c r="L18" s="12">
        <v>0.3125</v>
      </c>
      <c r="M18" s="9" t="n">
        <v>6593.194746017456</v>
      </c>
      <c r="N18" s="9" t="n">
        <v>3003.3745851516724</v>
      </c>
      <c r="O18" s="9" t="n">
        <v>7933.08998298645</v>
      </c>
      <c r="P18" s="9" t="n">
        <v>7045.705192565918</v>
      </c>
      <c r="Q18" s="9" t="n">
        <v>461.82347679138184</v>
      </c>
      <c r="R18" s="9" t="n">
        <v>187.2087173461914</v>
      </c>
      <c r="S18" s="9" t="n">
        <v>1430.6251335144043</v>
      </c>
      <c r="T18" s="9" t="n">
        <v>0.0</v>
      </c>
      <c r="U18">
        <f si="1" t="shared"/>
        <v>41154.73961353302</v>
      </c>
    </row>
    <row r="19" spans="1:21" x14ac:dyDescent="0.25">
      <c r="A19" s="12">
        <v>0.33333333333333331</v>
      </c>
      <c r="B19" s="6" t="n">
        <v>5572.663613349916</v>
      </c>
      <c r="C19" s="6" t="n">
        <v>2418.194693602959</v>
      </c>
      <c r="D19" s="6" t="n">
        <v>4373.818877826964</v>
      </c>
      <c r="E19" s="6" t="n">
        <v>8260.110478345945</v>
      </c>
      <c r="F19" s="6" t="n">
        <v>673.5941305787962</v>
      </c>
      <c r="G19" s="6" t="n">
        <v>68.22796501756562</v>
      </c>
      <c r="H19" s="6" t="n">
        <v>807.8026883042812</v>
      </c>
      <c r="I19" s="6" t="n">
        <v>0.0</v>
      </c>
      <c r="J19" s="6">
        <f si="0" t="shared"/>
        <v>51243.382529099261</v>
      </c>
      <c r="L19" s="12">
        <v>0.33333333333333331</v>
      </c>
      <c r="M19" s="9" t="n">
        <v>7085.254761695862</v>
      </c>
      <c r="N19" s="9" t="n">
        <v>3347.146662712097</v>
      </c>
      <c r="O19" s="9" t="n">
        <v>9118.904604911804</v>
      </c>
      <c r="P19" s="9" t="n">
        <v>8085.214891433716</v>
      </c>
      <c r="Q19" s="9" t="n">
        <v>537.0292387008667</v>
      </c>
      <c r="R19" s="9" t="n">
        <v>216.69264316558838</v>
      </c>
      <c r="S19" s="9" t="n">
        <v>1578.779884338379</v>
      </c>
      <c r="T19" s="9" t="n">
        <v>0.0</v>
      </c>
      <c r="U19">
        <f si="1" t="shared"/>
        <v>48739.2524766922</v>
      </c>
    </row>
    <row r="20" spans="1:21" x14ac:dyDescent="0.25">
      <c r="A20" s="12">
        <v>0.35416666666666669</v>
      </c>
      <c r="B20" s="6" t="n">
        <v>5258.161852552036</v>
      </c>
      <c r="C20" s="6" t="n">
        <v>2401.2293528621753</v>
      </c>
      <c r="D20" s="6" t="n">
        <v>5516.513268081204</v>
      </c>
      <c r="E20" s="6" t="n">
        <v>8562.978219918148</v>
      </c>
      <c r="F20" s="6" t="n">
        <v>646.686364280709</v>
      </c>
      <c r="G20" s="6" t="n">
        <v>52.36050731231267</v>
      </c>
      <c r="H20" s="6" t="n">
        <v>704.3360222074509</v>
      </c>
      <c r="I20" s="6" t="n">
        <v>0.0</v>
      </c>
      <c r="J20" s="6">
        <f si="0" t="shared"/>
        <v>57276.494419497525</v>
      </c>
      <c r="L20" s="12">
        <v>0.35416666666666669</v>
      </c>
      <c r="M20" s="9" t="n">
        <v>7216.747111320496</v>
      </c>
      <c r="N20" s="9" t="n">
        <v>3516.063714981079</v>
      </c>
      <c r="O20" s="9" t="n">
        <v>9861.456733703613</v>
      </c>
      <c r="P20" s="9" t="n">
        <v>8738.148957252502</v>
      </c>
      <c r="Q20" s="9" t="n">
        <v>590.7488222122192</v>
      </c>
      <c r="R20" s="9" t="n">
        <v>239.00230884552002</v>
      </c>
      <c r="S20" s="9" t="n">
        <v>1661.3385944366455</v>
      </c>
      <c r="T20" s="9" t="n">
        <v>0.0</v>
      </c>
      <c r="U20">
        <f si="1" t="shared"/>
        <v>54334.509682655334</v>
      </c>
    </row>
    <row r="21" spans="1:21" x14ac:dyDescent="0.25">
      <c r="A21" s="12">
        <v>0.375</v>
      </c>
      <c r="B21" s="6" t="n">
        <v>4786.845746499343</v>
      </c>
      <c r="C21" s="6" t="n">
        <v>2297.59831054016</v>
      </c>
      <c r="D21" s="6" t="n">
        <v>6642.419200552569</v>
      </c>
      <c r="E21" s="6" t="n">
        <v>8555.889067385233</v>
      </c>
      <c r="F21" s="6" t="n">
        <v>608.6289621149964</v>
      </c>
      <c r="G21" s="6" t="n">
        <v>41.289176180469546</v>
      </c>
      <c r="H21" s="6" t="n">
        <v>626.6257567243892</v>
      </c>
      <c r="I21" s="6" t="n">
        <v>0.0</v>
      </c>
      <c r="J21" s="6">
        <f si="0" t="shared"/>
        <v>60464.228765177228</v>
      </c>
      <c r="L21" s="12">
        <v>0.375</v>
      </c>
      <c r="M21" s="9" t="n">
        <v>7111.130171775818</v>
      </c>
      <c r="N21" s="9" t="n">
        <v>3550.0056324005127</v>
      </c>
      <c r="O21" s="9" t="n">
        <v>10215.839179992676</v>
      </c>
      <c r="P21" s="9" t="n">
        <v>9062.99026966095</v>
      </c>
      <c r="Q21" s="9" t="n">
        <v>626.5829486846924</v>
      </c>
      <c r="R21" s="9" t="n">
        <v>255.38923263549805</v>
      </c>
      <c r="S21" s="9" t="n">
        <v>1700.1345472335815</v>
      </c>
      <c r="T21" s="9" t="n">
        <v>0.0</v>
      </c>
      <c r="U21">
        <f si="1" t="shared"/>
        <v>57840.896158218384</v>
      </c>
    </row>
    <row r="22" spans="1:21" x14ac:dyDescent="0.25">
      <c r="A22" s="12">
        <v>0.39583333333333331</v>
      </c>
      <c r="B22" s="6" t="n">
        <v>4374.025272595798</v>
      </c>
      <c r="C22" s="6" t="n">
        <v>2216.5465590192753</v>
      </c>
      <c r="D22" s="6" t="n">
        <v>7600.648688947697</v>
      </c>
      <c r="E22" s="6" t="n">
        <v>8430.14332300048</v>
      </c>
      <c r="F22" s="6" t="n">
        <v>593.0221952896418</v>
      </c>
      <c r="G22" s="6" t="n">
        <v>42.84932173555055</v>
      </c>
      <c r="H22" s="6" t="n">
        <v>608.1013824550188</v>
      </c>
      <c r="I22" s="6" t="n">
        <v>0.0</v>
      </c>
      <c r="J22" s="6">
        <f si="0" t="shared"/>
        <v>61511.945323140098</v>
      </c>
      <c r="L22" s="12">
        <v>0.39583333333333331</v>
      </c>
      <c r="M22" s="9" t="n">
        <v>6913.4675970077515</v>
      </c>
      <c r="N22" s="9" t="n">
        <v>3510.755434989929</v>
      </c>
      <c r="O22" s="9" t="n">
        <v>10314.781326293945</v>
      </c>
      <c r="P22" s="9" t="n">
        <v>9178.070663452148</v>
      </c>
      <c r="Q22" s="9" t="n">
        <v>651.9022703170776</v>
      </c>
      <c r="R22" s="9" t="n">
        <v>268.12923431396484</v>
      </c>
      <c r="S22" s="9" t="n">
        <v>1721.0370178222656</v>
      </c>
      <c r="T22" s="9" t="n">
        <v>0.0</v>
      </c>
      <c r="U22">
        <f si="1" t="shared"/>
        <v>59724.281320571899</v>
      </c>
    </row>
    <row r="23" spans="1:21" x14ac:dyDescent="0.25">
      <c r="A23" s="12">
        <v>0.41666666666666669</v>
      </c>
      <c r="B23" s="6" t="n">
        <v>4129.136753760507</v>
      </c>
      <c r="C23" s="6" t="n">
        <v>2216.068413028557</v>
      </c>
      <c r="D23" s="6" t="n">
        <v>8251.160699393757</v>
      </c>
      <c r="E23" s="6" t="n">
        <v>8261.232499251211</v>
      </c>
      <c r="F23" s="6" t="n">
        <v>614.999400167701</v>
      </c>
      <c r="G23" s="6" t="n">
        <v>58.48740423968361</v>
      </c>
      <c r="H23" s="6" t="n">
        <v>632.2624953680048</v>
      </c>
      <c r="I23" s="6" t="n">
        <v>0.0</v>
      </c>
      <c r="J23" s="6">
        <f si="0" t="shared"/>
        <v>61470.241766086612</v>
      </c>
      <c r="L23" s="12">
        <v>0.41666666666666669</v>
      </c>
      <c r="M23" s="9" t="n">
        <v>6722.25724029541</v>
      </c>
      <c r="N23" s="9" t="n">
        <v>3447.599678993225</v>
      </c>
      <c r="O23" s="9" t="n">
        <v>10277.7947473526</v>
      </c>
      <c r="P23" s="9" t="n">
        <v>9182.092289924622</v>
      </c>
      <c r="Q23" s="9" t="n">
        <v>672.5809164047241</v>
      </c>
      <c r="R23" s="9" t="n">
        <v>278.9374189376831</v>
      </c>
      <c r="S23" s="9" t="n">
        <v>1740.6954383850098</v>
      </c>
      <c r="T23" s="9" t="n">
        <v>0.0</v>
      </c>
      <c r="U23">
        <f si="1" t="shared"/>
        <v>60597.704939842224</v>
      </c>
    </row>
    <row r="24" spans="1:21" x14ac:dyDescent="0.25">
      <c r="A24" s="12">
        <v>0.4375</v>
      </c>
      <c r="B24" s="6" t="n">
        <v>4054.9500833870698</v>
      </c>
      <c r="C24" s="6" t="n">
        <v>2284.21305635604</v>
      </c>
      <c r="D24" s="6" t="n">
        <v>8488.431094476182</v>
      </c>
      <c r="E24" s="6" t="n">
        <v>8025.40844423395</v>
      </c>
      <c r="F24" s="6" t="n">
        <v>669.1692317803079</v>
      </c>
      <c r="G24" s="6" t="n">
        <v>82.72320419003259</v>
      </c>
      <c r="H24" s="6" t="n">
        <v>656.3661193877267</v>
      </c>
      <c r="I24" s="6" t="n">
        <v>0.0</v>
      </c>
      <c r="J24" s="6">
        <f si="0" t="shared"/>
        <v>61067.652578306079</v>
      </c>
      <c r="L24" s="12">
        <v>0.4375</v>
      </c>
      <c r="M24" s="9" t="n">
        <v>6579.091293334961</v>
      </c>
      <c r="N24" s="9" t="n">
        <v>3387.626774787903</v>
      </c>
      <c r="O24" s="9" t="n">
        <v>10174.183501243591</v>
      </c>
      <c r="P24" s="9" t="n">
        <v>9131.176931381226</v>
      </c>
      <c r="Q24" s="9" t="n">
        <v>691.4847106933594</v>
      </c>
      <c r="R24" s="9" t="n">
        <v>288.60625076293945</v>
      </c>
      <c r="S24" s="9" t="n">
        <v>1765.417748451233</v>
      </c>
      <c r="T24" s="9" t="n">
        <v>0.0</v>
      </c>
      <c r="U24">
        <f si="1" t="shared"/>
        <v>60921.512150764465</v>
      </c>
    </row>
    <row r="25" spans="1:21" x14ac:dyDescent="0.25">
      <c r="A25" s="12">
        <v>0.45833333333333331</v>
      </c>
      <c r="B25" s="6" t="n">
        <v>4104.837202551546</v>
      </c>
      <c r="C25" s="6" t="n">
        <v>2363.9347513744415</v>
      </c>
      <c r="D25" s="6" t="n">
        <v>8283.9040057792</v>
      </c>
      <c r="E25" s="6" t="n">
        <v>7707.661290809658</v>
      </c>
      <c r="F25" s="6" t="n">
        <v>737.7027370324641</v>
      </c>
      <c r="G25" s="6" t="n">
        <v>105.97800322688035</v>
      </c>
      <c r="H25" s="6" t="n">
        <v>651.9990659411025</v>
      </c>
      <c r="I25" s="6" t="n">
        <v>0.0</v>
      </c>
      <c r="J25" s="6">
        <f si="0" t="shared"/>
        <v>60551.351183167113</v>
      </c>
      <c r="L25" s="12">
        <v>0.45833333333333331</v>
      </c>
      <c r="M25" s="9" t="n">
        <v>6504.592714309692</v>
      </c>
      <c r="N25" s="9" t="n">
        <v>3349.1669158935547</v>
      </c>
      <c r="O25" s="9" t="n">
        <v>10048.532581329346</v>
      </c>
      <c r="P25" s="9" t="n">
        <v>9071.189054489136</v>
      </c>
      <c r="Q25" s="9" t="n">
        <v>710.8725337982178</v>
      </c>
      <c r="R25" s="9" t="n">
        <v>297.9050168991089</v>
      </c>
      <c r="S25" s="9" t="n">
        <v>1800.5319566726685</v>
      </c>
      <c r="T25" s="9" t="n">
        <v>0.0</v>
      </c>
      <c r="U25">
        <f si="1" t="shared"/>
        <v>60987.904386520386</v>
      </c>
    </row>
    <row r="26" spans="1:21" x14ac:dyDescent="0.25">
      <c r="A26" s="12">
        <v>0.47916666666666669</v>
      </c>
      <c r="B26" s="6" t="n">
        <v>4234.321399363943</v>
      </c>
      <c r="C26" s="6" t="n">
        <v>2400.1904917643033</v>
      </c>
      <c r="D26" s="6" t="n">
        <v>7734.319612452303</v>
      </c>
      <c r="E26" s="6" t="n">
        <v>7386.362162252092</v>
      </c>
      <c r="F26" s="6" t="n">
        <v>801.1964192881917</v>
      </c>
      <c r="G26" s="6" t="n">
        <v>120.24631220774967</v>
      </c>
      <c r="H26" s="6" t="n">
        <v>629.4090395485747</v>
      </c>
      <c r="I26" s="6" t="n">
        <v>0.0</v>
      </c>
      <c r="J26" s="6">
        <f si="0" t="shared"/>
        <v>59958.856470899154</v>
      </c>
      <c r="L26" s="12">
        <v>0.47916666666666669</v>
      </c>
      <c r="M26" s="9" t="n">
        <v>6527.0777759552</v>
      </c>
      <c r="N26" s="9" t="n">
        <v>3353.3204736709595</v>
      </c>
      <c r="O26" s="9" t="n">
        <v>9949.902690887451</v>
      </c>
      <c r="P26" s="9" t="n">
        <v>9062.825768470764</v>
      </c>
      <c r="Q26" s="9" t="n">
        <v>734.4024143218994</v>
      </c>
      <c r="R26" s="9" t="n">
        <v>308.36022567749023</v>
      </c>
      <c r="S26" s="9" t="n">
        <v>1858.9534254074097</v>
      </c>
      <c r="T26" s="9" t="n">
        <v>0.0</v>
      </c>
      <c r="U26">
        <f si="1" t="shared"/>
        <v>61024.912838935852</v>
      </c>
    </row>
    <row r="27" spans="1:21" x14ac:dyDescent="0.25">
      <c r="A27" s="12">
        <v>0.5</v>
      </c>
      <c r="B27" s="6" t="n">
        <v>4418.728383271539</v>
      </c>
      <c r="C27" s="6" t="n">
        <v>2379.198241585791</v>
      </c>
      <c r="D27" s="6" t="n">
        <v>7051.878473341706</v>
      </c>
      <c r="E27" s="6" t="n">
        <v>7227.749828244116</v>
      </c>
      <c r="F27" s="6" t="n">
        <v>846.9768598351692</v>
      </c>
      <c r="G27" s="6" t="n">
        <v>125.99678225001365</v>
      </c>
      <c r="H27" s="6" t="n">
        <v>629.5985138002195</v>
      </c>
      <c r="I27" s="6" t="n">
        <v>0.0</v>
      </c>
      <c r="J27" s="6">
        <f si="0" t="shared"/>
        <v>59439.427155255689</v>
      </c>
      <c r="L27" s="12">
        <v>0.5</v>
      </c>
      <c r="M27" s="9" t="n">
        <v>6670.717060089111</v>
      </c>
      <c r="N27" s="9" t="n">
        <v>3416.097701072693</v>
      </c>
      <c r="O27" s="9" t="n">
        <v>9917.143168449402</v>
      </c>
      <c r="P27" s="9" t="n">
        <v>9155.635891914368</v>
      </c>
      <c r="Q27" s="9" t="n">
        <v>765.5596103668213</v>
      </c>
      <c r="R27" s="9" t="n">
        <v>321.8627710342407</v>
      </c>
      <c r="S27" s="9" t="n">
        <v>1960.5026540756226</v>
      </c>
      <c r="T27" s="9" t="n">
        <v>0.0</v>
      </c>
      <c r="U27">
        <f si="1" t="shared"/>
        <v>61207.334785461426</v>
      </c>
    </row>
    <row r="28" spans="1:21" x14ac:dyDescent="0.25">
      <c r="A28" s="12">
        <v>0.52083333333333337</v>
      </c>
      <c r="B28" s="6" t="n">
        <v>4649.49011227017</v>
      </c>
      <c r="C28" s="6" t="n">
        <v>2333.670197108993</v>
      </c>
      <c r="D28" s="6" t="n">
        <v>6466.396743000511</v>
      </c>
      <c r="E28" s="6" t="n">
        <v>7403.923471335234</v>
      </c>
      <c r="F28" s="6" t="n">
        <v>872.4711825514491</v>
      </c>
      <c r="G28" s="6" t="n">
        <v>136.51797331295793</v>
      </c>
      <c r="H28" s="6" t="n">
        <v>694.3160198307717</v>
      </c>
      <c r="I28" s="6" t="n">
        <v>0.0</v>
      </c>
      <c r="J28" s="6">
        <f si="0" t="shared"/>
        <v>59349.893831949375</v>
      </c>
      <c r="L28" s="12">
        <v>0.52083333333333337</v>
      </c>
      <c r="M28" s="9" t="n">
        <v>6925.19952583313</v>
      </c>
      <c r="N28" s="9" t="n">
        <v>3531.162148475647</v>
      </c>
      <c r="O28" s="9" t="n">
        <v>9940.226865768433</v>
      </c>
      <c r="P28" s="9" t="n">
        <v>9339.036273002625</v>
      </c>
      <c r="Q28" s="9" t="n">
        <v>804.360312461853</v>
      </c>
      <c r="R28" s="9" t="n">
        <v>339.7507734298706</v>
      </c>
      <c r="S28" s="9" t="n">
        <v>2125.0923013687134</v>
      </c>
      <c r="T28" s="9" t="n">
        <v>0.0</v>
      </c>
      <c r="U28">
        <f si="1" t="shared"/>
        <v>61576.172852516174</v>
      </c>
    </row>
    <row r="29" spans="1:21" x14ac:dyDescent="0.25">
      <c r="A29" s="12">
        <v>0.54166666666666663</v>
      </c>
      <c r="B29" s="6" t="n">
        <v>4926.98784154981</v>
      </c>
      <c r="C29" s="6" t="n">
        <v>2312.8943378748572</v>
      </c>
      <c r="D29" s="6" t="n">
        <v>6104.942730252528</v>
      </c>
      <c r="E29" s="6" t="n">
        <v>7980.267704166268</v>
      </c>
      <c r="F29" s="6" t="n">
        <v>883.7311202460235</v>
      </c>
      <c r="G29" s="6" t="n">
        <v>174.8788755296232</v>
      </c>
      <c r="H29" s="6" t="n">
        <v>840.0293112956501</v>
      </c>
      <c r="I29" s="6" t="n">
        <v>0.0</v>
      </c>
      <c r="J29" s="6">
        <f si="0" t="shared"/>
        <v>60072.774401790026</v>
      </c>
      <c r="L29" s="12">
        <v>0.54166666666666663</v>
      </c>
      <c r="M29" s="9" t="n">
        <v>7243.274320602417</v>
      </c>
      <c r="N29" s="9" t="n">
        <v>3666.9742908477783</v>
      </c>
      <c r="O29" s="9" t="n">
        <v>9953.611472129822</v>
      </c>
      <c r="P29" s="9" t="n">
        <v>9533.736066818237</v>
      </c>
      <c r="Q29" s="9" t="n">
        <v>846.7908201217651</v>
      </c>
      <c r="R29" s="9" t="n">
        <v>362.90765285491943</v>
      </c>
      <c r="S29" s="9" t="n">
        <v>2370.2826557159424</v>
      </c>
      <c r="T29" s="9" t="n">
        <v>0.0</v>
      </c>
      <c r="U29">
        <f si="1" t="shared"/>
        <v>62017.391238212585</v>
      </c>
    </row>
    <row r="30" spans="1:21" x14ac:dyDescent="0.25">
      <c r="A30" s="12">
        <v>0.5625</v>
      </c>
      <c r="B30" s="6" t="n">
        <v>5254.013430245681</v>
      </c>
      <c r="C30" s="6" t="n">
        <v>2346.6064281921463</v>
      </c>
      <c r="D30" s="6" t="n">
        <v>5948.4946921895635</v>
      </c>
      <c r="E30" s="6" t="n">
        <v>8825.668152928401</v>
      </c>
      <c r="F30" s="6" t="n">
        <v>891.4105718920848</v>
      </c>
      <c r="G30" s="6" t="n">
        <v>261.6380565780086</v>
      </c>
      <c r="H30" s="6" t="n">
        <v>1056.6325193368282</v>
      </c>
      <c r="I30" s="6" t="n">
        <v>0.0</v>
      </c>
      <c r="J30" s="6">
        <f si="0" t="shared"/>
        <v>61686.991426024761</v>
      </c>
      <c r="L30" s="12">
        <v>0.5625</v>
      </c>
      <c r="M30" s="9" t="n">
        <v>7581.821876525879</v>
      </c>
      <c r="N30" s="9" t="n">
        <v>3787.2367095947266</v>
      </c>
      <c r="O30" s="9" t="n">
        <v>9882.227221488953</v>
      </c>
      <c r="P30" s="9" t="n">
        <v>9645.004366874695</v>
      </c>
      <c r="Q30" s="9" t="n">
        <v>888.6431751251221</v>
      </c>
      <c r="R30" s="9" t="n">
        <v>393.24782371520996</v>
      </c>
      <c r="S30" s="9" t="n">
        <v>2718.5774459838867</v>
      </c>
      <c r="T30" s="9" t="n">
        <v>0.0</v>
      </c>
      <c r="U30">
        <f si="1" t="shared"/>
        <v>62376.159634590149</v>
      </c>
    </row>
    <row r="31" spans="1:21" x14ac:dyDescent="0.25">
      <c r="A31" s="12">
        <v>0.58333333333333337</v>
      </c>
      <c r="B31" s="6" t="n">
        <v>5636.955774500283</v>
      </c>
      <c r="C31" s="6" t="n">
        <v>2432.740370410331</v>
      </c>
      <c r="D31" s="6" t="n">
        <v>5890.216353755079</v>
      </c>
      <c r="E31" s="6" t="n">
        <v>9618.165743560381</v>
      </c>
      <c r="F31" s="6" t="n">
        <v>906.6093545052338</v>
      </c>
      <c r="G31" s="6" t="n">
        <v>398.9491441137747</v>
      </c>
      <c r="H31" s="6" t="n">
        <v>1328.5300987850603</v>
      </c>
      <c r="I31" s="6" t="n">
        <v>0.0</v>
      </c>
      <c r="J31" s="6">
        <f si="0" t="shared"/>
        <v>63772.522156062638</v>
      </c>
      <c r="L31" s="12">
        <v>0.58333333333333337</v>
      </c>
      <c r="M31" s="9" t="n">
        <v>7954.385305404663</v>
      </c>
      <c r="N31" s="9" t="n">
        <v>3878.1779708862305</v>
      </c>
      <c r="O31" s="9" t="n">
        <v>9700.624495506287</v>
      </c>
      <c r="P31" s="9" t="n">
        <v>9631.292214393616</v>
      </c>
      <c r="Q31" s="9" t="n">
        <v>930.4649391174316</v>
      </c>
      <c r="R31" s="9" t="n">
        <v>434.9138536453247</v>
      </c>
      <c r="S31" s="9" t="n">
        <v>3205.67138671875</v>
      </c>
      <c r="T31" s="9" t="n">
        <v>0.0</v>
      </c>
      <c r="U31">
        <f si="1" t="shared"/>
        <v>62621.501088142395</v>
      </c>
    </row>
    <row r="32" spans="1:21" x14ac:dyDescent="0.25">
      <c r="A32" s="12">
        <v>0.60416666666666663</v>
      </c>
      <c r="B32" s="6" t="n">
        <v>6114.36588272081</v>
      </c>
      <c r="C32" s="6" t="n">
        <v>2550.1419489981736</v>
      </c>
      <c r="D32" s="6" t="n">
        <v>5827.888661510948</v>
      </c>
      <c r="E32" s="6" t="n">
        <v>9992.768205690234</v>
      </c>
      <c r="F32" s="6" t="n">
        <v>936.911334312269</v>
      </c>
      <c r="G32" s="6" t="n">
        <v>563.9383345424687</v>
      </c>
      <c r="H32" s="6" t="n">
        <v>1655.298066821519</v>
      </c>
      <c r="I32" s="6" t="n">
        <v>0.0</v>
      </c>
      <c r="J32" s="6">
        <f si="0" t="shared"/>
        <v>65606.936148141613</v>
      </c>
      <c r="L32" s="12">
        <v>0.60416666666666663</v>
      </c>
      <c r="M32" s="9" t="n">
        <v>8448.122499465942</v>
      </c>
      <c r="N32" s="9" t="n">
        <v>3958.133253097534</v>
      </c>
      <c r="O32" s="9" t="n">
        <v>9449.195247650146</v>
      </c>
      <c r="P32" s="9" t="n">
        <v>9524.11255645752</v>
      </c>
      <c r="Q32" s="9" t="n">
        <v>978.48850440979</v>
      </c>
      <c r="R32" s="9" t="n">
        <v>492.9109573364258</v>
      </c>
      <c r="S32" s="9" t="n">
        <v>3871.454436302185</v>
      </c>
      <c r="T32" s="9" t="n">
        <v>0.0</v>
      </c>
      <c r="U32">
        <f si="1" t="shared"/>
        <v>62914.307398796082</v>
      </c>
    </row>
    <row r="33" spans="1:21" x14ac:dyDescent="0.25">
      <c r="A33" s="12">
        <v>0.625</v>
      </c>
      <c r="B33" s="6" t="n">
        <v>6811.374288175667</v>
      </c>
      <c r="C33" s="6" t="n">
        <v>2675.0461132507153</v>
      </c>
      <c r="D33" s="6" t="n">
        <v>5715.9938020705395</v>
      </c>
      <c r="E33" s="6" t="n">
        <v>9760.832977081394</v>
      </c>
      <c r="F33" s="6" t="n">
        <v>982.8359040827742</v>
      </c>
      <c r="G33" s="6" t="n">
        <v>721.804883860093</v>
      </c>
      <c r="H33" s="6" t="n">
        <v>2052.4084787908396</v>
      </c>
      <c r="I33" s="6" t="n">
        <v>0.0</v>
      </c>
      <c r="J33" s="6">
        <f si="0" t="shared"/>
        <v>66671.139474110649</v>
      </c>
      <c r="L33" s="12">
        <v>0.625</v>
      </c>
      <c r="M33" s="9" t="n">
        <v>9187.182993888855</v>
      </c>
      <c r="N33" s="9" t="n">
        <v>4061.3212604522705</v>
      </c>
      <c r="O33" s="9" t="n">
        <v>9192.647028923035</v>
      </c>
      <c r="P33" s="9" t="n">
        <v>9383.734851837158</v>
      </c>
      <c r="Q33" s="9" t="n">
        <v>1039.6900644302368</v>
      </c>
      <c r="R33" s="9" t="n">
        <v>568.9347772598267</v>
      </c>
      <c r="S33" s="9" t="n">
        <v>4725.900538444519</v>
      </c>
      <c r="T33" s="9" t="n">
        <v>0.0</v>
      </c>
      <c r="U33">
        <f si="1" t="shared"/>
        <v>63510.022702217102</v>
      </c>
    </row>
    <row r="34" spans="1:21" x14ac:dyDescent="0.25">
      <c r="A34" s="12">
        <v>0.64583333333333337</v>
      </c>
      <c r="B34" s="6" t="n">
        <v>7962.767367711289</v>
      </c>
      <c r="C34" s="6" t="n">
        <v>2787.306620799667</v>
      </c>
      <c r="D34" s="6" t="n">
        <v>5564.635231730944</v>
      </c>
      <c r="E34" s="6" t="n">
        <v>9030.961093635491</v>
      </c>
      <c r="F34" s="6" t="n">
        <v>1037.7722246426415</v>
      </c>
      <c r="G34" s="6" t="n">
        <v>852.7652546626346</v>
      </c>
      <c r="H34" s="6" t="n">
        <v>2535.574529792296</v>
      </c>
      <c r="I34" s="6" t="n">
        <v>0.0</v>
      </c>
      <c r="J34" s="6">
        <f si="0" t="shared"/>
        <v>67002.541849110814</v>
      </c>
      <c r="L34" s="12">
        <v>0.64583333333333337</v>
      </c>
      <c r="M34" s="9" t="n">
        <v>10267.304522514343</v>
      </c>
      <c r="N34" s="9" t="n">
        <v>4210.758186340332</v>
      </c>
      <c r="O34" s="9" t="n">
        <v>8960.0435962677</v>
      </c>
      <c r="P34" s="9" t="n">
        <v>9236.463680267334</v>
      </c>
      <c r="Q34" s="9" t="n">
        <v>1114.7215242385864</v>
      </c>
      <c r="R34" s="9" t="n">
        <v>657.3346500396729</v>
      </c>
      <c r="S34" s="9" t="n">
        <v>5709.848110198975</v>
      </c>
      <c r="T34" s="9" t="n">
        <v>0.0</v>
      </c>
      <c r="U34">
        <f si="1" t="shared"/>
        <v>64561.638073921204</v>
      </c>
    </row>
    <row r="35" spans="1:21" x14ac:dyDescent="0.25">
      <c r="A35" s="12">
        <v>0.66666666666666663</v>
      </c>
      <c r="B35" s="6" t="n">
        <v>9825.662143254995</v>
      </c>
      <c r="C35" s="6" t="n">
        <v>2870.5454675459523</v>
      </c>
      <c r="D35" s="6" t="n">
        <v>5413.628646031404</v>
      </c>
      <c r="E35" s="6" t="n">
        <v>8125.292392315096</v>
      </c>
      <c r="F35" s="6" t="n">
        <v>1093.740536608581</v>
      </c>
      <c r="G35" s="6" t="n">
        <v>968.8510671384466</v>
      </c>
      <c r="H35" s="6" t="n">
        <v>3106.1775958536573</v>
      </c>
      <c r="I35" s="6" t="n">
        <v>0.0</v>
      </c>
      <c r="J35" s="6">
        <f si="0" t="shared"/>
        <v>67017.171203049948</v>
      </c>
      <c r="L35" s="12">
        <v>0.66666666666666663</v>
      </c>
      <c r="M35" s="9" t="n">
        <v>11702.049460411072</v>
      </c>
      <c r="N35" s="9" t="n">
        <v>4402.057452201843</v>
      </c>
      <c r="O35" s="9" t="n">
        <v>8719.329869270325</v>
      </c>
      <c r="P35" s="9" t="n">
        <v>9051.383311271667</v>
      </c>
      <c r="Q35" s="9" t="n">
        <v>1194.7966356277466</v>
      </c>
      <c r="R35" s="9" t="n">
        <v>745.0628852844238</v>
      </c>
      <c r="S35" s="9" t="n">
        <v>6687.485968589783</v>
      </c>
      <c r="T35" s="9" t="n">
        <v>0.0</v>
      </c>
      <c r="U35">
        <f si="1" t="shared"/>
        <v>65959.42599773407</v>
      </c>
    </row>
    <row r="36" spans="1:21" x14ac:dyDescent="0.25">
      <c r="A36" s="12">
        <v>0.6875</v>
      </c>
      <c r="B36" s="6" t="n">
        <v>12472.85273989394</v>
      </c>
      <c r="C36" s="6" t="n">
        <v>2912.886238144019</v>
      </c>
      <c r="D36" s="6" t="n">
        <v>5298.963497230936</v>
      </c>
      <c r="E36" s="6" t="n">
        <v>7363.347961949088</v>
      </c>
      <c r="F36" s="6" t="n">
        <v>1147.9124965264073</v>
      </c>
      <c r="G36" s="6" t="n">
        <v>1099.0278190033682</v>
      </c>
      <c r="H36" s="6" t="n">
        <v>3742.1964999741613</v>
      </c>
      <c r="I36" s="6" t="n">
        <v>0.0</v>
      </c>
      <c r="J36" s="6">
        <f si="0" t="shared"/>
        <v>66964.222378946317</v>
      </c>
      <c r="L36" s="12">
        <v>0.6875</v>
      </c>
      <c r="M36" s="9" t="n">
        <v>13397.56979560852</v>
      </c>
      <c r="N36" s="9" t="n">
        <v>4605.4373388290405</v>
      </c>
      <c r="O36" s="9" t="n">
        <v>8401.98256778717</v>
      </c>
      <c r="P36" s="9" t="n">
        <v>8769.30594921112</v>
      </c>
      <c r="Q36" s="9" t="n">
        <v>1264.7724742889404</v>
      </c>
      <c r="R36" s="9" t="n">
        <v>816.2779731750488</v>
      </c>
      <c r="S36" s="9" t="n">
        <v>7486.151714324951</v>
      </c>
      <c r="T36" s="9" t="n">
        <v>0.0</v>
      </c>
      <c r="U36">
        <f si="1" t="shared"/>
        <v>67291.071653366089</v>
      </c>
    </row>
    <row r="37" spans="1:21" x14ac:dyDescent="0.25">
      <c r="A37" s="12">
        <v>0.70833333333333337</v>
      </c>
      <c r="B37" s="6" t="n">
        <v>15585.559441563953</v>
      </c>
      <c r="C37" s="6" t="n">
        <v>2905.0094267674017</v>
      </c>
      <c r="D37" s="6" t="n">
        <v>5213.438484432863</v>
      </c>
      <c r="E37" s="6" t="n">
        <v>6881.876144779643</v>
      </c>
      <c r="F37" s="6" t="n">
        <v>1200.565298796894</v>
      </c>
      <c r="G37" s="6" t="n">
        <v>1250.1557314649936</v>
      </c>
      <c r="H37" s="6" t="n">
        <v>4382.261823313198</v>
      </c>
      <c r="I37" s="6" t="n">
        <v>0.0</v>
      </c>
      <c r="J37" s="6">
        <f si="0" t="shared"/>
        <v>66554.499145761001</v>
      </c>
      <c r="L37" s="12">
        <v>0.70833333333333337</v>
      </c>
      <c r="M37" s="9" t="n">
        <v>15146.22677898407</v>
      </c>
      <c r="N37" s="9" t="n">
        <v>4775.680591583252</v>
      </c>
      <c r="O37" s="9" t="n">
        <v>7946.943067550659</v>
      </c>
      <c r="P37" s="9" t="n">
        <v>8345.574304580688</v>
      </c>
      <c r="Q37" s="9" t="n">
        <v>1308.8052911758423</v>
      </c>
      <c r="R37" s="9" t="n">
        <v>858.04518699646</v>
      </c>
      <c r="S37" s="9" t="n">
        <v>7957.3172216415405</v>
      </c>
      <c r="T37" s="9" t="n">
        <v>0.0</v>
      </c>
      <c r="U37">
        <f si="1" t="shared"/>
        <v>67907.966084480286</v>
      </c>
    </row>
    <row r="38" spans="1:21" x14ac:dyDescent="0.25">
      <c r="A38" s="12">
        <v>0.72916666666666663</v>
      </c>
      <c r="B38" s="6" t="n">
        <v>18433.02106104191</v>
      </c>
      <c r="C38" s="6" t="n">
        <v>2832.597269098339</v>
      </c>
      <c r="D38" s="6" t="n">
        <v>5079.308602593365</v>
      </c>
      <c r="E38" s="6" t="n">
        <v>6595.547672111389</v>
      </c>
      <c r="F38" s="6" t="n">
        <v>1243.963921786648</v>
      </c>
      <c r="G38" s="6" t="n">
        <v>1380.5388999438737</v>
      </c>
      <c r="H38" s="6" t="n">
        <v>4905.8517810476105</v>
      </c>
      <c r="I38" s="6" t="n">
        <v>0.0</v>
      </c>
      <c r="J38" s="6">
        <f si="0" t="shared"/>
        <v>65086.646521159651</v>
      </c>
      <c r="L38" s="12">
        <v>0.72916666666666663</v>
      </c>
      <c r="M38" s="9" t="n">
        <v>16642.103337287903</v>
      </c>
      <c r="N38" s="9" t="n">
        <v>4860.144324302673</v>
      </c>
      <c r="O38" s="9" t="n">
        <v>7326.413109779358</v>
      </c>
      <c r="P38" s="9" t="n">
        <v>7766.688371658325</v>
      </c>
      <c r="Q38" s="9" t="n">
        <v>1314.235520362854</v>
      </c>
      <c r="R38" s="9" t="n">
        <v>863.3455028533936</v>
      </c>
      <c r="S38" s="9" t="n">
        <v>8019.307898521423</v>
      </c>
      <c r="T38" s="9" t="n">
        <v>0.0</v>
      </c>
      <c r="U38">
        <f si="1" t="shared"/>
        <v>67073.090229034424</v>
      </c>
    </row>
    <row r="39" spans="1:21" x14ac:dyDescent="0.25">
      <c r="A39" s="12">
        <v>0.75</v>
      </c>
      <c r="B39" s="6" t="n">
        <v>20134.9690756708</v>
      </c>
      <c r="C39" s="6" t="n">
        <v>2673.0697308022754</v>
      </c>
      <c r="D39" s="6" t="n">
        <v>4768.74740367003</v>
      </c>
      <c r="E39" s="6" t="n">
        <v>6287.604299767205</v>
      </c>
      <c r="F39" s="6" t="n">
        <v>1254.9507494299614</v>
      </c>
      <c r="G39" s="6" t="n">
        <v>1417.327681339532</v>
      </c>
      <c r="H39" s="6" t="n">
        <v>5146.381701393214</v>
      </c>
      <c r="I39" s="6" t="n">
        <v>0.0</v>
      </c>
      <c r="J39" s="6">
        <f si="0" t="shared"/>
        <v>61895.106730799002</v>
      </c>
      <c r="L39" s="12">
        <v>0.75</v>
      </c>
      <c r="M39" s="9" t="n">
        <v>17549.03995323181</v>
      </c>
      <c r="N39" s="9" t="n">
        <v>4808.920305252075</v>
      </c>
      <c r="O39" s="9" t="n">
        <v>6548.1195611953735</v>
      </c>
      <c r="P39" s="9" t="n">
        <v>7042.427640914917</v>
      </c>
      <c r="Q39" s="9" t="n">
        <v>1273.7914905548096</v>
      </c>
      <c r="R39" s="9" t="n">
        <v>831.3310642242432</v>
      </c>
      <c r="S39" s="9" t="n">
        <v>7669.607683181763</v>
      </c>
      <c r="T39" s="9" t="n">
        <v>0.0</v>
      </c>
      <c r="U39">
        <f si="1" t="shared"/>
        <v>64210.905451774597</v>
      </c>
    </row>
    <row r="40" spans="1:21" x14ac:dyDescent="0.25">
      <c r="A40" s="12">
        <v>0.77083333333333337</v>
      </c>
      <c r="B40" s="6" t="n">
        <v>20084.999414334943</v>
      </c>
      <c r="C40" s="6" t="n">
        <v>2408.243947329178</v>
      </c>
      <c r="D40" s="6" t="n">
        <v>4182.543257449711</v>
      </c>
      <c r="E40" s="6" t="n">
        <v>5757.237113757656</v>
      </c>
      <c r="F40" s="6" t="n">
        <v>1203.4312286995378</v>
      </c>
      <c r="G40" s="6" t="n">
        <v>1308.5054612328722</v>
      </c>
      <c r="H40" s="6" t="n">
        <v>4965.035628700154</v>
      </c>
      <c r="I40" s="6" t="n">
        <v>0.0</v>
      </c>
      <c r="J40" s="6">
        <f si="0" t="shared"/>
        <v>56727.133192649017</v>
      </c>
      <c r="L40" s="12">
        <v>0.77083333333333337</v>
      </c>
      <c r="M40" s="9" t="n">
        <v>17623.67542552948</v>
      </c>
      <c r="N40" s="9" t="n">
        <v>4593.154565811157</v>
      </c>
      <c r="O40" s="9" t="n">
        <v>5651.283291816711</v>
      </c>
      <c r="P40" s="9" t="n">
        <v>6200.49933052063</v>
      </c>
      <c r="Q40" s="9" t="n">
        <v>1188.0843753814697</v>
      </c>
      <c r="R40" s="9" t="n">
        <v>766.9313402175903</v>
      </c>
      <c r="S40" s="9" t="n">
        <v>6979.0221157073975</v>
      </c>
      <c r="T40" s="9" t="n">
        <v>0.0</v>
      </c>
      <c r="U40">
        <f si="1" t="shared"/>
        <v>59207.281122207642</v>
      </c>
    </row>
    <row r="41" spans="1:21" x14ac:dyDescent="0.25">
      <c r="A41" s="12">
        <v>0.79166666666666663</v>
      </c>
      <c r="B41" s="6" t="n">
        <v>18255.489835758253</v>
      </c>
      <c r="C41" s="6" t="n">
        <v>2046.0369666487854</v>
      </c>
      <c r="D41" s="6" t="n">
        <v>3337.4722026264626</v>
      </c>
      <c r="E41" s="6" t="n">
        <v>4939.576657988946</v>
      </c>
      <c r="F41" s="6" t="n">
        <v>1072.9006806501984</v>
      </c>
      <c r="G41" s="6" t="n">
        <v>1065.2863501310253</v>
      </c>
      <c r="H41" s="6" t="n">
        <v>4346.59952972619</v>
      </c>
      <c r="I41" s="6" t="n">
        <v>0.0</v>
      </c>
      <c r="J41" s="6">
        <f si="0" t="shared"/>
        <v>49833.700180545871</v>
      </c>
      <c r="L41" s="12">
        <v>0.79166666666666663</v>
      </c>
      <c r="M41" s="9" t="n">
        <v>16819.274963378906</v>
      </c>
      <c r="N41" s="9" t="n">
        <v>4220.879383087158</v>
      </c>
      <c r="O41" s="9" t="n">
        <v>4701.627465248108</v>
      </c>
      <c r="P41" s="9" t="n">
        <v>5290.112169265747</v>
      </c>
      <c r="Q41" s="9" t="n">
        <v>1066.768536567688</v>
      </c>
      <c r="R41" s="9" t="n">
        <v>679.9559354782104</v>
      </c>
      <c r="S41" s="9" t="n">
        <v>6072.117219924927</v>
      </c>
      <c r="T41" s="9" t="n">
        <v>0.0</v>
      </c>
      <c r="U41">
        <f si="1" t="shared"/>
        <v>52543.152756690979</v>
      </c>
    </row>
    <row r="42" spans="1:21" x14ac:dyDescent="0.25">
      <c r="A42" s="12">
        <v>0.8125</v>
      </c>
      <c r="B42" s="6" t="n">
        <v>15177.404782460004</v>
      </c>
      <c r="C42" s="6" t="n">
        <v>1629.5231630074627</v>
      </c>
      <c r="D42" s="6" t="n">
        <v>2383.87476905986</v>
      </c>
      <c r="E42" s="6" t="n">
        <v>3932.4552815776638</v>
      </c>
      <c r="F42" s="6" t="n">
        <v>875.899089095562</v>
      </c>
      <c r="G42" s="6" t="n">
        <v>758.6733535825601</v>
      </c>
      <c r="H42" s="6" t="n">
        <v>3432.189648617538</v>
      </c>
      <c r="I42" s="6" t="n">
        <v>0.0</v>
      </c>
      <c r="J42" s="6">
        <f si="0" t="shared"/>
        <v>41824.884167148746</v>
      </c>
      <c r="L42" s="12">
        <v>0.8125</v>
      </c>
      <c r="M42" s="9" t="n">
        <v>15280.882685661316</v>
      </c>
      <c r="N42" s="9" t="n">
        <v>3732.218952178955</v>
      </c>
      <c r="O42" s="9" t="n">
        <v>3775.1812105178833</v>
      </c>
      <c r="P42" s="9" t="n">
        <v>4375.318302154541</v>
      </c>
      <c r="Q42" s="9" t="n">
        <v>924.8879585266113</v>
      </c>
      <c r="R42" s="9" t="n">
        <v>582.1379079818726</v>
      </c>
      <c r="S42" s="9" t="n">
        <v>5087.773620605469</v>
      </c>
      <c r="T42" s="9" t="n">
        <v>0.0</v>
      </c>
      <c r="U42">
        <f si="1" t="shared"/>
        <v>45076.073884963989</v>
      </c>
    </row>
    <row r="43" spans="1:21" x14ac:dyDescent="0.25">
      <c r="A43" s="12">
        <v>0.83333333333333337</v>
      </c>
      <c r="B43" s="6" t="n">
        <v>11636.857615909747</v>
      </c>
      <c r="C43" s="6" t="n">
        <v>1221.4178734536908</v>
      </c>
      <c r="D43" s="6" t="n">
        <v>1525.5781926437498</v>
      </c>
      <c r="E43" s="6" t="n">
        <v>2921.0165167817045</v>
      </c>
      <c r="F43" s="6" t="n">
        <v>650.9178407547358</v>
      </c>
      <c r="G43" s="6" t="n">
        <v>475.68471230383705</v>
      </c>
      <c r="H43" s="6" t="n">
        <v>2449.6481843443107</v>
      </c>
      <c r="I43" s="6" t="n">
        <v>0.0</v>
      </c>
      <c r="J43" s="6">
        <f si="0" t="shared"/>
        <v>33449.503271363428</v>
      </c>
      <c r="L43" s="12">
        <v>0.83333333333333337</v>
      </c>
      <c r="M43" s="9" t="n">
        <v>13239.216775894165</v>
      </c>
      <c r="N43" s="9" t="n">
        <v>3175.567600250244</v>
      </c>
      <c r="O43" s="9" t="n">
        <v>2932.098168373108</v>
      </c>
      <c r="P43" s="9" t="n">
        <v>3511.4994955062866</v>
      </c>
      <c r="Q43" s="9" t="n">
        <v>775.7970790863037</v>
      </c>
      <c r="R43" s="9" t="n">
        <v>482.8057613372803</v>
      </c>
      <c r="S43" s="9" t="n">
        <v>4131.398373603821</v>
      </c>
      <c r="T43" s="9" t="n">
        <v>0.0</v>
      </c>
      <c r="U43">
        <f si="1" t="shared"/>
        <v>37597.121162414551</v>
      </c>
    </row>
    <row r="44" spans="1:21" x14ac:dyDescent="0.25">
      <c r="A44" s="12">
        <v>0.85416666666666663</v>
      </c>
      <c r="B44" s="6" t="n">
        <v>8319.679008177805</v>
      </c>
      <c r="C44" s="6" t="n">
        <v>874.6116819277804</v>
      </c>
      <c r="D44" s="6" t="n">
        <v>903.4194991508929</v>
      </c>
      <c r="E44" s="6" t="n">
        <v>2063.6642056062433</v>
      </c>
      <c r="F44" s="6" t="n">
        <v>442.87122920383644</v>
      </c>
      <c r="G44" s="6" t="n">
        <v>272.8615100382997</v>
      </c>
      <c r="H44" s="6" t="n">
        <v>1596.479892378045</v>
      </c>
      <c r="I44" s="6" t="n">
        <v>0.0</v>
      </c>
      <c r="J44" s="6">
        <f si="0" t="shared"/>
        <v>25416.124343867908</v>
      </c>
      <c r="L44" s="12">
        <v>0.85416666666666663</v>
      </c>
      <c r="M44" s="9" t="n">
        <v>10908.92540359497</v>
      </c>
      <c r="N44" s="9" t="n">
        <v>2588.3834323883057</v>
      </c>
      <c r="O44" s="9" t="n">
        <v>2200.468885421753</v>
      </c>
      <c r="P44" s="9" t="n">
        <v>2726.7375631332397</v>
      </c>
      <c r="Q44" s="9" t="n">
        <v>627.0020523071289</v>
      </c>
      <c r="R44" s="9" t="n">
        <v>386.64425468444824</v>
      </c>
      <c r="S44" s="9" t="n">
        <v>3251.0865182876587</v>
      </c>
      <c r="T44" s="9" t="n">
        <v>0.0</v>
      </c>
      <c r="U44">
        <f si="1" t="shared"/>
        <v>30531.258158683777</v>
      </c>
    </row>
    <row r="45" spans="1:21" x14ac:dyDescent="0.25">
      <c r="A45" s="12">
        <v>0.875</v>
      </c>
      <c r="B45" s="6" t="n">
        <v>5612.6224659535965</v>
      </c>
      <c r="C45" s="6" t="n">
        <v>610.6427080078333</v>
      </c>
      <c r="D45" s="6" t="n">
        <v>535.3578625287807</v>
      </c>
      <c r="E45" s="6" t="n">
        <v>1423.5528561597407</v>
      </c>
      <c r="F45" s="6" t="n">
        <v>281.7773130268238</v>
      </c>
      <c r="G45" s="6" t="n">
        <v>158.9382409716747</v>
      </c>
      <c r="H45" s="6" t="n">
        <v>965.5556512447612</v>
      </c>
      <c r="I45" s="6" t="n">
        <v>0.0</v>
      </c>
      <c r="J45" s="6">
        <f si="0" t="shared"/>
        <v>18287.332716936697</v>
      </c>
      <c r="L45" s="12">
        <v>0.875</v>
      </c>
      <c r="M45" s="9" t="n">
        <v>8471.676411628723</v>
      </c>
      <c r="N45" s="9" t="n">
        <v>1999.1748781204224</v>
      </c>
      <c r="O45" s="9" t="n">
        <v>1583.1559400558472</v>
      </c>
      <c r="P45" s="9" t="n">
        <v>2027.7058362960815</v>
      </c>
      <c r="Q45" s="9" t="n">
        <v>482.42518043518066</v>
      </c>
      <c r="R45" s="9" t="n">
        <v>295.46482372283936</v>
      </c>
      <c r="S45" s="9" t="n">
        <v>2454.72580909729</v>
      </c>
      <c r="T45" s="9" t="n">
        <v>0.0</v>
      </c>
      <c r="U45">
        <f si="1" t="shared"/>
        <v>23993.147664070129</v>
      </c>
    </row>
    <row r="46" spans="1:21" x14ac:dyDescent="0.25">
      <c r="A46" s="12">
        <v>0.89583333333333337</v>
      </c>
      <c r="B46" s="6" t="n">
        <v>3606.9613834272195</v>
      </c>
      <c r="C46" s="6" t="n">
        <v>420.0467333202311</v>
      </c>
      <c r="D46" s="6" t="n">
        <v>346.9831025566652</v>
      </c>
      <c r="E46" s="6" t="n">
        <v>977.2508356129061</v>
      </c>
      <c r="F46" s="6" t="n">
        <v>173.84390574037133</v>
      </c>
      <c r="G46" s="6" t="n">
        <v>108.69855790546845</v>
      </c>
      <c r="H46" s="6" t="n">
        <v>550.5090258824335</v>
      </c>
      <c r="I46" s="6" t="n">
        <v>0.0</v>
      </c>
      <c r="J46" s="6">
        <f si="0" t="shared"/>
        <v>12426.464616716879</v>
      </c>
      <c r="L46" s="12">
        <v>0.89583333333333337</v>
      </c>
      <c r="M46" s="9" t="n">
        <v>6114.698840141296</v>
      </c>
      <c r="N46" s="9" t="n">
        <v>1440.787672996521</v>
      </c>
      <c r="O46" s="9" t="n">
        <v>1076.3928356170654</v>
      </c>
      <c r="P46" s="9" t="n">
        <v>1420.3174848556519</v>
      </c>
      <c r="Q46" s="9" t="n">
        <v>347.3629789352417</v>
      </c>
      <c r="R46" s="9" t="n">
        <v>211.66265106201172</v>
      </c>
      <c r="S46" s="9" t="n">
        <v>1746.7081117630005</v>
      </c>
      <c r="T46" s="9" t="n">
        <v>0.0</v>
      </c>
      <c r="U46">
        <f si="1" t="shared"/>
        <v>18043.936200141907</v>
      </c>
    </row>
    <row r="47" spans="1:21" x14ac:dyDescent="0.25">
      <c r="A47" s="12">
        <v>0.91666666666666663</v>
      </c>
      <c r="B47" s="6" t="n">
        <v>2216.1113429507095</v>
      </c>
      <c r="C47" s="6" t="n">
        <v>280.37892195367743</v>
      </c>
      <c r="D47" s="6" t="n">
        <v>246.07014244287268</v>
      </c>
      <c r="E47" s="6" t="n">
        <v>666.3594971345631</v>
      </c>
      <c r="F47" s="6" t="n">
        <v>107.74329449901963</v>
      </c>
      <c r="G47" s="6" t="n">
        <v>88.42844416259163</v>
      </c>
      <c r="H47" s="6" t="n">
        <v>297.2725799675802</v>
      </c>
      <c r="I47" s="6" t="n">
        <v>0.0</v>
      </c>
      <c r="J47" s="6">
        <f si="0" t="shared"/>
        <v>7973.6496948953854</v>
      </c>
      <c r="L47" s="12">
        <v>0.91666666666666663</v>
      </c>
      <c r="M47" s="9" t="n">
        <v>4040.1743755340576</v>
      </c>
      <c r="N47" s="9" t="n">
        <v>953.7098178863525</v>
      </c>
      <c r="O47" s="9" t="n">
        <v>680.0121459960938</v>
      </c>
      <c r="P47" s="9" t="n">
        <v>920.140962600708</v>
      </c>
      <c r="Q47" s="9" t="n">
        <v>230.0477533340454</v>
      </c>
      <c r="R47" s="9" t="n">
        <v>139.53954315185547</v>
      </c>
      <c r="S47" s="9" t="n">
        <v>1147.821307182312</v>
      </c>
      <c r="T47" s="9" t="n">
        <v>0.0</v>
      </c>
      <c r="U47">
        <f si="1" t="shared"/>
        <v>12848.009676933289</v>
      </c>
    </row>
    <row r="48" spans="1:21" x14ac:dyDescent="0.25">
      <c r="A48" s="12">
        <v>0.9375</v>
      </c>
      <c r="B48" s="6" t="n">
        <v>1296.4634726975987</v>
      </c>
      <c r="C48" s="6" t="n">
        <v>174.75928693541007</v>
      </c>
      <c r="D48" s="6" t="n">
        <v>174.92403809607458</v>
      </c>
      <c r="E48" s="6" t="n">
        <v>441.3179707102168</v>
      </c>
      <c r="F48" s="6" t="n">
        <v>67.47632733365833</v>
      </c>
      <c r="G48" s="6" t="n">
        <v>74.18412943537585</v>
      </c>
      <c r="H48" s="6" t="n">
        <v>149.9498391053757</v>
      </c>
      <c r="I48" s="6" t="n">
        <v>0.0</v>
      </c>
      <c r="J48" s="6">
        <f si="0" t="shared"/>
        <v>4853.3512491412203</v>
      </c>
      <c r="L48" s="12">
        <v>0.9375</v>
      </c>
      <c r="M48" s="9" t="n">
        <v>2412.7948083877563</v>
      </c>
      <c r="N48" s="9" t="n">
        <v>572.7947359085083</v>
      </c>
      <c r="O48" s="9" t="n">
        <v>393.2866487503052</v>
      </c>
      <c r="P48" s="9" t="n">
        <v>543.1351337432861</v>
      </c>
      <c r="Q48" s="9" t="n">
        <v>138.30004787445068</v>
      </c>
      <c r="R48" s="9" t="n">
        <v>83.4253282546997</v>
      </c>
      <c r="S48" s="9" t="n">
        <v>684.8232898712158</v>
      </c>
      <c r="T48" s="9" t="n">
        <v>0.0</v>
      </c>
      <c r="U48">
        <f si="1" t="shared"/>
        <v>8612.0614719390869</v>
      </c>
    </row>
    <row r="49" spans="1:21" x14ac:dyDescent="0.25">
      <c r="A49" s="12">
        <v>0.95833333333333337</v>
      </c>
      <c r="B49" s="6" t="n">
        <v>715.0305837197379</v>
      </c>
      <c r="C49" s="6" t="n">
        <v>97.2442082006583</v>
      </c>
      <c r="D49" s="6" t="n">
        <v>115.82274382195173</v>
      </c>
      <c r="E49" s="6" t="n">
        <v>275.3886439485576</v>
      </c>
      <c r="F49" s="6" t="n">
        <v>41.40503685575699</v>
      </c>
      <c r="G49" s="6" t="n">
        <v>56.80461629479763</v>
      </c>
      <c r="H49" s="6" t="n">
        <v>68.58161309790009</v>
      </c>
      <c r="I49" s="6" t="n">
        <v>0.0</v>
      </c>
      <c r="J49" s="6">
        <f si="0" t="shared"/>
        <v>2828.15792114955</v>
      </c>
      <c r="L49" s="12">
        <v>0.95833333333333337</v>
      </c>
      <c r="M49" s="9" t="n">
        <v>1293.4772148132324</v>
      </c>
      <c r="N49" s="9" t="n">
        <v>310.5046977996826</v>
      </c>
      <c r="O49" s="9" t="n">
        <v>206.31873321533203</v>
      </c>
      <c r="P49" s="9" t="n">
        <v>289.84479999542236</v>
      </c>
      <c r="Q49" s="9" t="n">
        <v>75.03928470611572</v>
      </c>
      <c r="R49" s="9" t="n">
        <v>44.89173889160156</v>
      </c>
      <c r="S49" s="9" t="n">
        <v>367.3798370361328</v>
      </c>
      <c r="T49" s="9" t="n">
        <v>0.0</v>
      </c>
      <c r="U49">
        <f si="1" t="shared"/>
        <v>5433.0094528198242</v>
      </c>
    </row>
    <row r="50" spans="1:21" x14ac:dyDescent="0.25">
      <c r="A50" s="12">
        <v>0.97916666666666663</v>
      </c>
      <c r="B50" s="6" t="n">
        <v>367.3602750403473</v>
      </c>
      <c r="C50" s="6" t="n">
        <v>46.43759810730711</v>
      </c>
      <c r="D50" s="6" t="n">
        <v>69.95508129645917</v>
      </c>
      <c r="E50" s="6" t="n">
        <v>157.46183449611362</v>
      </c>
      <c r="F50" s="6" t="n">
        <v>23.850585448999773</v>
      </c>
      <c r="G50" s="6" t="n">
        <v>37.53005460046646</v>
      </c>
      <c r="H50" s="6" t="n">
        <v>27.406418147788358</v>
      </c>
      <c r="I50" s="6" t="n">
        <v>0.0</v>
      </c>
      <c r="J50" s="6">
        <f si="0" t="shared"/>
        <v>1592.265316493812</v>
      </c>
      <c r="L50" s="12">
        <v>0.97916666666666663</v>
      </c>
      <c r="M50" s="9" t="n">
        <v>624.0074081420898</v>
      </c>
      <c r="N50" s="9" t="n">
        <v>152.6357536315918</v>
      </c>
      <c r="O50" s="9" t="n">
        <v>98.0821008682251</v>
      </c>
      <c r="P50" s="9" t="n">
        <v>140.18896675109863</v>
      </c>
      <c r="Q50" s="9" t="n">
        <v>36.911516189575195</v>
      </c>
      <c r="R50" s="9" t="n">
        <v>21.794713973999023</v>
      </c>
      <c r="S50" s="9" t="n">
        <v>177.37024593353271</v>
      </c>
      <c r="T50" s="9" t="n">
        <v>0.0</v>
      </c>
      <c r="U50">
        <f si="1" t="shared"/>
        <v>3229.709997177124</v>
      </c>
    </row>
    <row r="51" spans="1:21" x14ac:dyDescent="0.25">
      <c r="A51" s="12">
        <v>1</v>
      </c>
      <c r="B51" s="6" t="n">
        <v>173.88494065456013</v>
      </c>
      <c r="C51" s="6" t="n">
        <v>18.416641197559787</v>
      </c>
      <c r="D51" s="6" t="n">
        <v>39.04154253427318</v>
      </c>
      <c r="E51" s="6" t="n">
        <v>80.64944487210668</v>
      </c>
      <c r="F51" s="6" t="n">
        <v>12.479762832887625</v>
      </c>
      <c r="G51" s="6" t="n">
        <v>20.86238485397874</v>
      </c>
      <c r="H51" s="6" t="n">
        <v>9.208058527945576</v>
      </c>
      <c r="I51" s="6" t="n">
        <v>0.0</v>
      </c>
      <c r="J51" s="6">
        <f si="0" t="shared"/>
        <v>865.63956339267804</v>
      </c>
      <c r="L51" s="12">
        <v>1</v>
      </c>
      <c r="M51" s="9" t="n">
        <v>274.8017454147339</v>
      </c>
      <c r="N51" s="9" t="n">
        <v>69.09555244445801</v>
      </c>
      <c r="O51" s="9" t="n">
        <v>42.61321830749512</v>
      </c>
      <c r="P51" s="9" t="n">
        <v>62.31485939025879</v>
      </c>
      <c r="Q51" s="9" t="n">
        <v>16.723159790039062</v>
      </c>
      <c r="R51" s="9" t="n">
        <v>9.68164348602295</v>
      </c>
      <c r="S51" s="9" t="n">
        <v>78.13885021209717</v>
      </c>
      <c r="T51" s="9" t="n">
        <v>0.0</v>
      </c>
      <c r="U51">
        <f si="1" t="shared"/>
        <v>1801.1959028244019</v>
      </c>
    </row>
    <row r="52" spans="1:21" x14ac:dyDescent="0.25">
      <c r="A52" s="12">
        <v>1.0208333333333333</v>
      </c>
      <c r="B52" s="6" t="n">
        <v>75.02811542163167</v>
      </c>
      <c r="C52" s="6" t="n">
        <v>5.883136821799916</v>
      </c>
      <c r="D52" s="6" t="n">
        <v>20.45538694409598</v>
      </c>
      <c r="E52" s="6" t="n">
        <v>36.302334113148746</v>
      </c>
      <c r="F52" s="6" t="n">
        <v>5.8070479114003675</v>
      </c>
      <c r="G52" s="6" t="n">
        <v>9.588979652172448</v>
      </c>
      <c r="H52" s="6" t="n">
        <v>2.4981495714086077</v>
      </c>
      <c r="I52" s="6" t="n">
        <v>0.0</v>
      </c>
      <c r="J52" s="6">
        <f si="0" t="shared"/>
        <v>446.3953073585696</v>
      </c>
      <c r="L52" s="12">
        <v>1.0208333333333333</v>
      </c>
      <c r="M52" s="9" t="n">
        <v>112.95465660095215</v>
      </c>
      <c r="N52" s="9" t="n">
        <v>29.36054229736328</v>
      </c>
      <c r="O52" s="9" t="n">
        <v>17.16029930114746</v>
      </c>
      <c r="P52" s="9" t="n">
        <v>25.952054977416992</v>
      </c>
      <c r="Q52" s="9" t="n">
        <v>7.125046730041504</v>
      </c>
      <c r="R52" s="9" t="n">
        <v>4.018898963928223</v>
      </c>
      <c r="S52" s="9" t="n">
        <v>32.1328010559082</v>
      </c>
      <c r="T52" s="9" t="n">
        <v>0.0</v>
      </c>
      <c r="U52">
        <f si="1" t="shared"/>
        <v>927.84024238586426</v>
      </c>
    </row>
    <row r="53" spans="1:21" x14ac:dyDescent="0.25">
      <c r="A53" s="12">
        <v>4.1666666666666664E-2</v>
      </c>
      <c r="B53" s="6" t="n">
        <v>29.10268742886715</v>
      </c>
      <c r="C53" s="6" t="n">
        <v>1.462473615877218</v>
      </c>
      <c r="D53" s="6" t="n">
        <v>9.978204139583585</v>
      </c>
      <c r="E53" s="6" t="n">
        <v>14.097285318590037</v>
      </c>
      <c r="F53" s="6" t="n">
        <v>2.3596595150693993</v>
      </c>
      <c r="G53" s="6" t="n">
        <v>3.5748509473128216</v>
      </c>
      <c r="H53" s="6" t="n">
        <v>0.521522697177092</v>
      </c>
      <c r="I53" s="6" t="n">
        <v>0.0</v>
      </c>
      <c r="J53" s="6">
        <f si="0" t="shared"/>
        <v>211.2314581180336</v>
      </c>
      <c r="L53" s="12">
        <v>4.1666666666666664E-2</v>
      </c>
      <c r="M53" s="9" t="n">
        <v>43.92214870452881</v>
      </c>
      <c r="N53" s="9" t="n">
        <v>11.7723970413208</v>
      </c>
      <c r="O53" s="9" t="n">
        <v>6.450954437255859</v>
      </c>
      <c r="P53" s="9" t="n">
        <v>10.201996803283691</v>
      </c>
      <c r="Q53" s="9" t="n">
        <v>2.876957893371582</v>
      </c>
      <c r="R53" s="9" t="n">
        <v>1.5772333145141602</v>
      </c>
      <c r="S53" s="9" t="n">
        <v>12.51596736907959</v>
      </c>
      <c r="T53" s="9" t="n">
        <v>0.0</v>
      </c>
      <c r="U53">
        <f si="1" t="shared"/>
        <v>429.92269039154053</v>
      </c>
    </row>
    <row r="54" spans="1:21" x14ac:dyDescent="0.25">
      <c r="A54" s="12">
        <v>6.25E-2</v>
      </c>
      <c r="B54" s="6" t="n">
        <v>9.928526467488037</v>
      </c>
      <c r="C54" s="6" t="n">
        <v>0.27009876662994303</v>
      </c>
      <c r="D54" s="6" t="n">
        <v>4.364409603738995</v>
      </c>
      <c r="E54" s="6" t="n">
        <v>4.622862997898297</v>
      </c>
      <c r="F54" s="6" t="n">
        <v>0.8175537625762106</v>
      </c>
      <c r="G54" s="6" t="n">
        <v>1.0531572309416666</v>
      </c>
      <c r="H54" s="6" t="n">
        <v>0.07822298317834597</v>
      </c>
      <c r="I54" s="6" t="n">
        <v>0.0</v>
      </c>
      <c r="J54" s="6">
        <f si="0" t="shared"/>
        <v>88.119963736525989</v>
      </c>
      <c r="L54" s="12">
        <v>6.25E-2</v>
      </c>
      <c r="M54" s="9" t="n">
        <v>15.896520614624023</v>
      </c>
      <c r="N54" s="9" t="n">
        <v>4.348235130310059</v>
      </c>
      <c r="O54" s="9" t="n">
        <v>2.229264259338379</v>
      </c>
      <c r="P54" s="9" t="n">
        <v>3.7051525115966797</v>
      </c>
      <c r="Q54" s="9" t="n">
        <v>1.0765314102172852</v>
      </c>
      <c r="R54" s="9" t="n">
        <v>0.5753860473632812</v>
      </c>
      <c r="S54" s="9" t="n">
        <v>4.5468854904174805</v>
      </c>
      <c r="T54" s="9" t="n">
        <v>0.0</v>
      </c>
      <c r="U54">
        <f si="1" t="shared"/>
        <v>173.38910579681396</v>
      </c>
    </row>
    <row r="55" spans="1:21" x14ac:dyDescent="0.25">
      <c r="A55" s="12">
        <v>8.3333333333333329E-2</v>
      </c>
      <c r="B55" s="6" t="n">
        <v>2.883175002095367</v>
      </c>
      <c r="C55" s="6" t="n">
        <v>0.034490593560488274</v>
      </c>
      <c r="D55" s="6" t="n">
        <v>1.6263041772418325</v>
      </c>
      <c r="E55" s="6" t="n">
        <v>1.2440841960116216</v>
      </c>
      <c r="F55" s="6" t="n">
        <v>0.23320873909216797</v>
      </c>
      <c r="G55" s="6" t="n">
        <v>0.23587072845053625</v>
      </c>
      <c r="H55" s="6" t="n">
        <v>0.007477485342914478</v>
      </c>
      <c r="I55" s="6" t="n">
        <v>0.0</v>
      </c>
      <c r="J55" s="6">
        <f si="0" t="shared"/>
        <v>31.110880775170976</v>
      </c>
      <c r="L55" s="12">
        <v>8.3333333333333329E-2</v>
      </c>
      <c r="M55" s="9" t="n">
        <v>5.105916976928711</v>
      </c>
      <c r="N55" s="9" t="n">
        <v>1.4087772369384766</v>
      </c>
      <c r="O55" s="9" t="n">
        <v>0.6796197891235352</v>
      </c>
      <c r="P55" s="9" t="n">
        <v>1.1845788955688477</v>
      </c>
      <c r="Q55" s="9" t="n">
        <v>0.3553743362426758</v>
      </c>
      <c r="R55" s="9" t="n">
        <v>0.18625926971435547</v>
      </c>
      <c r="S55" s="9" t="n">
        <v>1.4687995910644531</v>
      </c>
      <c r="T55" s="9" t="n">
        <v>0.0</v>
      </c>
      <c r="U55">
        <f si="1" t="shared"/>
        <v>58.734817504882813</v>
      </c>
    </row>
    <row r="56" spans="1:21" x14ac:dyDescent="0.25">
      <c r="A56" s="12">
        <v>0.10416666666666667</v>
      </c>
      <c r="B56" s="6" t="n">
        <v>0.6815905486835638</v>
      </c>
      <c r="C56" s="6" t="n">
        <v>0.0026725121742589317</v>
      </c>
      <c r="D56" s="6" t="n">
        <v>0.4900914182846114</v>
      </c>
      <c r="E56" s="6" t="n">
        <v>0.2634587058059254</v>
      </c>
      <c r="F56" s="6" t="n">
        <v>0.05209328454544575</v>
      </c>
      <c r="G56" s="6" t="n">
        <v>0.03772629518469592</v>
      </c>
      <c r="H56" s="6" t="n">
        <v>3.413551914986439E-4</v>
      </c>
      <c r="I56" s="6" t="n">
        <v>0.0</v>
      </c>
      <c r="J56" s="6">
        <f si="0" t="shared"/>
        <v>8.9107891910312986</v>
      </c>
      <c r="L56" s="12">
        <v>0.10416666666666667</v>
      </c>
      <c r="M56" s="9" t="n">
        <v>1.367654800415039</v>
      </c>
      <c r="N56" s="9" t="n">
        <v>0.37757396697998047</v>
      </c>
      <c r="O56" s="9" t="n">
        <v>0.17272377014160156</v>
      </c>
      <c r="P56" s="9" t="n">
        <v>0.3140850067138672</v>
      </c>
      <c r="Q56" s="9" t="n">
        <v>0.09748077392578125</v>
      </c>
      <c r="R56" s="9" t="n">
        <v>0.05036449432373047</v>
      </c>
      <c r="S56" s="9" t="n">
        <v>0.3962268829345703</v>
      </c>
      <c r="T56" s="9" t="n">
        <v>0.0</v>
      </c>
      <c r="U56">
        <f si="1" t="shared"/>
        <v>16.073808670043945</v>
      </c>
    </row>
    <row r="57" spans="1:21" x14ac:dyDescent="0.25">
      <c r="A57" s="12">
        <v>0.125</v>
      </c>
      <c r="B57" s="6" t="n">
        <v>0.12244845399249771</v>
      </c>
      <c r="C57" s="6" t="n">
        <v>9.180609536087026E-5</v>
      </c>
      <c r="D57" s="6" t="n">
        <v>0.1112772892489304</v>
      </c>
      <c r="E57" s="6" t="n">
        <v>0.04085376325813858</v>
      </c>
      <c r="F57" s="6" t="n">
        <v>0.008420947042987112</v>
      </c>
      <c r="G57" s="6" t="n">
        <v>0.003837586144564322</v>
      </c>
      <c r="H57" s="6" t="n">
        <v>0.0</v>
      </c>
      <c r="I57" s="6" t="n">
        <v>0.0</v>
      </c>
      <c r="J57" s="6">
        <f si="0" t="shared"/>
        <v>1.9399963934298852</v>
      </c>
      <c r="L57" s="12">
        <v>0.125</v>
      </c>
      <c r="M57" s="9" t="n">
        <v>0.2819557189941406</v>
      </c>
      <c r="N57" s="9" t="n">
        <v>0.07758712768554688</v>
      </c>
      <c r="O57" s="9" t="n">
        <v>0.03388500213623047</v>
      </c>
      <c r="P57" s="9" t="n">
        <v>0.06393718719482422</v>
      </c>
      <c r="Q57" s="9" t="n">
        <v>0.020552635192871094</v>
      </c>
      <c r="R57" s="9" t="n">
        <v>0.010506629943847656</v>
      </c>
      <c r="S57" s="9" t="n">
        <v>0.08232593536376953</v>
      </c>
      <c r="T57" s="9" t="n">
        <v>0.0</v>
      </c>
      <c r="U57">
        <f si="1" t="shared"/>
        <v>3.3416366577148438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7"/>
  <dimension ref="A1:AA58"/>
  <sheetViews>
    <sheetView workbookViewId="0">
      <selection activeCell="J1" sqref="J1:J1048576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30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54</v>
      </c>
      <c r="B6" s="1"/>
      <c r="C6" s="1"/>
      <c r="D6" s="1"/>
      <c r="E6" s="1"/>
      <c r="F6" s="1"/>
      <c r="G6" s="1"/>
      <c r="H6" s="1"/>
      <c r="I6" s="1"/>
      <c r="J6" s="1"/>
      <c r="L6" s="3" t="s">
        <v>31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18.0</v>
      </c>
      <c r="N8" s="9" t="n">
        <v>5.0</v>
      </c>
      <c r="O8" s="9" t="n">
        <v>0.0</v>
      </c>
      <c r="P8" s="9" t="n">
        <v>0.0</v>
      </c>
      <c r="Q8" s="9" t="n">
        <v>0.0</v>
      </c>
      <c r="R8" s="9" t="n">
        <v>0.0</v>
      </c>
      <c r="S8" s="9" t="n">
        <v>0.0</v>
      </c>
      <c r="T8" s="9" t="n">
        <v>0.0</v>
      </c>
      <c r="U8">
        <f>SUM(M8:T8)</f>
        <v>75</v>
      </c>
      <c r="W8" s="5"/>
      <c r="X8" s="16"/>
      <c r="Y8" s="16"/>
      <c r="Z8" s="5"/>
    </row>
    <row r="9" spans="1:26" x14ac:dyDescent="0.25">
      <c r="A9" s="12">
        <v>0.125</v>
      </c>
      <c r="B9" s="6" t="n">
        <v>0.3674900821505085</v>
      </c>
      <c r="C9" s="6" t="n">
        <v>1.0574364100657367E-4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ref="J9:J58" si="0" t="shared">SUM(B9:I9)</f>
        <v>9.2755969790815556</v>
      </c>
      <c r="L9" s="12">
        <v>0.125</v>
      </c>
      <c r="M9" s="9" t="n">
        <v>16.252903938293457</v>
      </c>
      <c r="N9" s="9" t="n">
        <v>3.956819534301758</v>
      </c>
      <c r="O9" s="9" t="n">
        <v>0.0</v>
      </c>
      <c r="P9" s="9" t="n">
        <v>0.0</v>
      </c>
      <c r="Q9" s="9" t="n">
        <v>0.0011224746704101562</v>
      </c>
      <c r="R9" s="9" t="n">
        <v>0.0010690689086914062</v>
      </c>
      <c r="S9" s="9" t="n">
        <v>0.0</v>
      </c>
      <c r="T9" s="9" t="n">
        <v>0.0</v>
      </c>
      <c r="U9">
        <f ref="U9:U58" si="1" t="shared">SUM(M9:T9)</f>
        <v>85.604019165039063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1.7024131878996587</v>
      </c>
      <c r="C10" s="6" t="n">
        <v>0.0021382729918726865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0" t="shared"/>
        <v>29.553779201966535</v>
      </c>
      <c r="L10" s="12">
        <v>0.14583333333333334</v>
      </c>
      <c r="M10" s="9" t="n">
        <v>15.48940658569336</v>
      </c>
      <c r="N10" s="9" t="n">
        <v>3.178677558898926</v>
      </c>
      <c r="O10" s="9" t="n">
        <v>0.0</v>
      </c>
      <c r="P10" s="9" t="n">
        <v>0.0</v>
      </c>
      <c r="Q10" s="9" t="n">
        <v>0.00695037841796875</v>
      </c>
      <c r="R10" s="9" t="n">
        <v>0.004638671875</v>
      </c>
      <c r="S10" s="9" t="n">
        <v>0.0</v>
      </c>
      <c r="T10" s="9" t="n">
        <v>0.0</v>
      </c>
      <c r="U10">
        <f si="1" t="shared"/>
        <v>106.40270233154297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6.110822480356319</v>
      </c>
      <c r="C11" s="6" t="n">
        <v>0.02074767434358177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0" t="shared"/>
        <v>74.252214939777673</v>
      </c>
      <c r="L11" s="12">
        <v>0.16666666666666666</v>
      </c>
      <c r="M11" s="9" t="n">
        <v>16.391088485717773</v>
      </c>
      <c r="N11" s="9" t="n">
        <v>2.88332462310791</v>
      </c>
      <c r="O11" s="9" t="n">
        <v>0.0</v>
      </c>
      <c r="P11" s="9" t="n">
        <v>0.0</v>
      </c>
      <c r="Q11" s="9" t="n">
        <v>0.03059864044189453</v>
      </c>
      <c r="R11" s="9" t="n">
        <v>0.014966964721679688</v>
      </c>
      <c r="S11" s="9" t="n">
        <v>0.0</v>
      </c>
      <c r="T11" s="9" t="n">
        <v>0.0</v>
      </c>
      <c r="U11">
        <f si="1" t="shared"/>
        <v>147.27702140808105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18.15220682959681</v>
      </c>
      <c r="C12" s="6" t="n">
        <v>0.12891360272570718</v>
      </c>
      <c r="D12" s="6" t="n">
        <v>0.0</v>
      </c>
      <c r="E12" s="6" t="n">
        <v>0.0</v>
      </c>
      <c r="F12" s="6" t="n">
        <v>5.6444244661034586E-5</v>
      </c>
      <c r="G12" s="6" t="n">
        <v>0.0</v>
      </c>
      <c r="H12" s="6" t="n">
        <v>0.0</v>
      </c>
      <c r="I12" s="6" t="n">
        <v>0.0</v>
      </c>
      <c r="J12" s="6">
        <f si="0" t="shared"/>
        <v>159.37382889704978</v>
      </c>
      <c r="L12" s="12">
        <v>0.1875</v>
      </c>
      <c r="M12" s="9" t="n">
        <v>19.712422370910645</v>
      </c>
      <c r="N12" s="9" t="n">
        <v>3.2981882095336914</v>
      </c>
      <c r="O12" s="9" t="n">
        <v>0.0</v>
      </c>
      <c r="P12" s="9" t="n">
        <v>0.0</v>
      </c>
      <c r="Q12" s="9" t="n">
        <v>0.10277462005615234</v>
      </c>
      <c r="R12" s="9" t="n">
        <v>0.03805255889892578</v>
      </c>
      <c r="S12" s="9" t="n">
        <v>0.0</v>
      </c>
      <c r="T12" s="9" t="n">
        <v>0.0</v>
      </c>
      <c r="U12">
        <f si="1" t="shared"/>
        <v>222.03940391540527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46.190494309350385</v>
      </c>
      <c r="C13" s="6" t="n">
        <v>0.5779215546266064</v>
      </c>
      <c r="D13" s="6" t="n">
        <v>0.0</v>
      </c>
      <c r="E13" s="6" t="n">
        <v>0.0</v>
      </c>
      <c r="F13" s="6" t="n">
        <v>0.0011821750124205695</v>
      </c>
      <c r="G13" s="6" t="n">
        <v>0.0</v>
      </c>
      <c r="H13" s="6" t="n">
        <v>0.0</v>
      </c>
      <c r="I13" s="6" t="n">
        <v>0.0</v>
      </c>
      <c r="J13" s="6">
        <f si="0" t="shared"/>
        <v>302.78287338129905</v>
      </c>
      <c r="L13" s="12">
        <v>0.20833333333333334</v>
      </c>
      <c r="M13" s="9" t="n">
        <v>27.420105934143066</v>
      </c>
      <c r="N13" s="9" t="n">
        <v>4.827186584472656</v>
      </c>
      <c r="O13" s="9" t="n">
        <v>0.0</v>
      </c>
      <c r="P13" s="9" t="n">
        <v>0.0</v>
      </c>
      <c r="Q13" s="9" t="n">
        <v>0.27515411376953125</v>
      </c>
      <c r="R13" s="9" t="n">
        <v>0.07857513427734375</v>
      </c>
      <c r="S13" s="9" t="n">
        <v>0.0</v>
      </c>
      <c r="T13" s="9" t="n">
        <v>0.0</v>
      </c>
      <c r="U13">
        <f si="1" t="shared"/>
        <v>356.43599510192871</v>
      </c>
    </row>
    <row r="14" spans="1:26" x14ac:dyDescent="0.25">
      <c r="A14" s="12">
        <v>0.22916666666666666</v>
      </c>
      <c r="B14" s="6" t="n">
        <v>102.9732323122291</v>
      </c>
      <c r="C14" s="6" t="n">
        <v>1.9982496526815912</v>
      </c>
      <c r="D14" s="6" t="n">
        <v>0.0</v>
      </c>
      <c r="E14" s="6" t="n">
        <v>0.0</v>
      </c>
      <c r="F14" s="6" t="n">
        <v>0.011790208869594124</v>
      </c>
      <c r="G14" s="6" t="n">
        <v>0.0</v>
      </c>
      <c r="H14" s="6" t="n">
        <v>0.0</v>
      </c>
      <c r="I14" s="6" t="n">
        <v>0.0</v>
      </c>
      <c r="J14" s="6">
        <f si="0" t="shared"/>
        <v>526.44090161910401</v>
      </c>
      <c r="L14" s="12">
        <v>0.22916666666666666</v>
      </c>
      <c r="M14" s="9" t="n">
        <v>43.926188468933105</v>
      </c>
      <c r="N14" s="9" t="n">
        <v>8.214259147644043</v>
      </c>
      <c r="O14" s="9" t="n">
        <v>0.0</v>
      </c>
      <c r="P14" s="9" t="n">
        <v>0.0</v>
      </c>
      <c r="Q14" s="9" t="n">
        <v>0.6083641052246094</v>
      </c>
      <c r="R14" s="9" t="n">
        <v>0.13524341583251953</v>
      </c>
      <c r="S14" s="9" t="n">
        <v>0.0</v>
      </c>
      <c r="T14" s="9" t="n">
        <v>0.0</v>
      </c>
      <c r="U14">
        <f si="1" t="shared"/>
        <v>591.959547996521</v>
      </c>
    </row>
    <row r="15" spans="1:26" x14ac:dyDescent="0.25">
      <c r="A15" s="12">
        <v>0.25</v>
      </c>
      <c r="B15" s="6" t="n">
        <v>203.86664051043383</v>
      </c>
      <c r="C15" s="6" t="n">
        <v>5.566904292622939</v>
      </c>
      <c r="D15" s="6" t="n">
        <v>0.0</v>
      </c>
      <c r="E15" s="6" t="n">
        <v>6.919170837802067E-5</v>
      </c>
      <c r="F15" s="6" t="n">
        <v>0.07447156156155617</v>
      </c>
      <c r="G15" s="6" t="n">
        <v>0.0</v>
      </c>
      <c r="H15" s="6" t="n">
        <v>0.0</v>
      </c>
      <c r="I15" s="6" t="n">
        <v>0.0</v>
      </c>
      <c r="J15" s="6">
        <f si="0" t="shared"/>
        <v>861.40272217945869</v>
      </c>
      <c r="L15" s="12">
        <v>0.25</v>
      </c>
      <c r="M15" s="9" t="n">
        <v>76.83629608154297</v>
      </c>
      <c r="N15" s="9" t="n">
        <v>14.625971794128418</v>
      </c>
      <c r="O15" s="9" t="n">
        <v>0.0</v>
      </c>
      <c r="P15" s="9" t="n">
        <v>0.0</v>
      </c>
      <c r="Q15" s="9" t="n">
        <v>1.1527318954467773</v>
      </c>
      <c r="R15" s="9" t="n">
        <v>0.19968128204345703</v>
      </c>
      <c r="S15" s="9" t="n">
        <v>0.0</v>
      </c>
      <c r="T15" s="9" t="n">
        <v>0.0</v>
      </c>
      <c r="U15">
        <f si="1" t="shared"/>
        <v>976.79265022277832</v>
      </c>
    </row>
    <row r="16" spans="1:26" x14ac:dyDescent="0.25">
      <c r="A16" s="12">
        <v>0.27083333333333331</v>
      </c>
      <c r="B16" s="6" t="n">
        <v>361.7147358973352</v>
      </c>
      <c r="C16" s="6" t="n">
        <v>12.905106892315594</v>
      </c>
      <c r="D16" s="6" t="n">
        <v>0.0</v>
      </c>
      <c r="E16" s="6" t="n">
        <v>0.0013838341675604133</v>
      </c>
      <c r="F16" s="6" t="n">
        <v>0.3342231012705731</v>
      </c>
      <c r="G16" s="6" t="n">
        <v>0.0</v>
      </c>
      <c r="H16" s="6" t="n">
        <v>0.0</v>
      </c>
      <c r="I16" s="6" t="n">
        <v>0.0</v>
      </c>
      <c r="J16" s="6">
        <f si="0" t="shared"/>
        <v>1346.9985374775301</v>
      </c>
      <c r="L16" s="12">
        <v>0.27083333333333331</v>
      </c>
      <c r="M16" s="9" t="n">
        <v>138.63039779663086</v>
      </c>
      <c r="N16" s="9" t="n">
        <v>25.930325508117676</v>
      </c>
      <c r="O16" s="9" t="n">
        <v>0.0</v>
      </c>
      <c r="P16" s="9" t="n">
        <v>0.0</v>
      </c>
      <c r="Q16" s="9" t="n">
        <v>1.966482162475586</v>
      </c>
      <c r="R16" s="9" t="n">
        <v>0.2642030715942383</v>
      </c>
      <c r="S16" s="9" t="n">
        <v>0.0</v>
      </c>
      <c r="T16" s="9" t="n">
        <v>0.0</v>
      </c>
      <c r="U16">
        <f si="1" t="shared"/>
        <v>1546.8109273910522</v>
      </c>
    </row>
    <row r="17" spans="1:21" x14ac:dyDescent="0.25">
      <c r="A17" s="12">
        <v>0.29166666666666669</v>
      </c>
      <c r="B17" s="6" t="n">
        <v>581.0438158974522</v>
      </c>
      <c r="C17" s="6" t="n">
        <v>25.589690614511625</v>
      </c>
      <c r="D17" s="6" t="n">
        <v>0.0</v>
      </c>
      <c r="E17" s="6" t="n">
        <v>0.013172064248484357</v>
      </c>
      <c r="F17" s="6" t="n">
        <v>1.1333021967480872</v>
      </c>
      <c r="G17" s="6" t="n">
        <v>0.0</v>
      </c>
      <c r="H17" s="6" t="n">
        <v>0.0</v>
      </c>
      <c r="I17" s="6" t="n">
        <v>0.0</v>
      </c>
      <c r="J17" s="6">
        <f si="0" t="shared"/>
        <v>2015.0086261070048</v>
      </c>
      <c r="L17" s="12">
        <v>0.29166666666666669</v>
      </c>
      <c r="M17" s="9" t="n">
        <v>253.3954439163208</v>
      </c>
      <c r="N17" s="9" t="n">
        <v>45.89175033569336</v>
      </c>
      <c r="O17" s="9" t="n">
        <v>0.0</v>
      </c>
      <c r="P17" s="9" t="n">
        <v>0.0</v>
      </c>
      <c r="Q17" s="9" t="n">
        <v>3.231142044067383</v>
      </c>
      <c r="R17" s="9" t="n">
        <v>0.3393421173095703</v>
      </c>
      <c r="S17" s="9" t="n">
        <v>0.0</v>
      </c>
      <c r="T17" s="9" t="n">
        <v>0.0</v>
      </c>
      <c r="U17">
        <f si="1" t="shared"/>
        <v>2314.4789981842041</v>
      </c>
    </row>
    <row r="18" spans="1:21" x14ac:dyDescent="0.25">
      <c r="A18" s="12">
        <v>0.3125</v>
      </c>
      <c r="B18" s="6" t="n">
        <v>860.4966837175856</v>
      </c>
      <c r="C18" s="6" t="n">
        <v>44.687065038559666</v>
      </c>
      <c r="D18" s="6" t="n">
        <v>0.0</v>
      </c>
      <c r="E18" s="6" t="n">
        <v>0.07946120769397455</v>
      </c>
      <c r="F18" s="6" t="n">
        <v>3.013988931136603</v>
      </c>
      <c r="G18" s="6" t="n">
        <v>0.0</v>
      </c>
      <c r="H18" s="6" t="n">
        <v>0.0</v>
      </c>
      <c r="I18" s="6" t="n">
        <v>0.0</v>
      </c>
      <c r="J18" s="6">
        <f si="0" t="shared"/>
        <v>2864.7425476357062</v>
      </c>
      <c r="L18" s="12">
        <v>0.3125</v>
      </c>
      <c r="M18" s="9" t="n">
        <v>470.6931314468384</v>
      </c>
      <c r="N18" s="9" t="n">
        <v>82.59297370910645</v>
      </c>
      <c r="O18" s="9" t="n">
        <v>0.0</v>
      </c>
      <c r="P18" s="9" t="n">
        <v>0.0</v>
      </c>
      <c r="Q18" s="9" t="n">
        <v>5.459129333496094</v>
      </c>
      <c r="R18" s="9" t="n">
        <v>0.475555419921875</v>
      </c>
      <c r="S18" s="9" t="n">
        <v>0.0</v>
      </c>
      <c r="T18" s="9" t="n">
        <v>0.0</v>
      </c>
      <c r="U18">
        <f si="1" t="shared"/>
        <v>3280.6339693069458</v>
      </c>
    </row>
    <row r="19" spans="1:21" x14ac:dyDescent="0.25">
      <c r="A19" s="12">
        <v>0.33333333333333331</v>
      </c>
      <c r="B19" s="6" t="n">
        <v>1215.3990356098886</v>
      </c>
      <c r="C19" s="6" t="n">
        <v>71.29650643921386</v>
      </c>
      <c r="D19" s="6" t="n">
        <v>0.0</v>
      </c>
      <c r="E19" s="6" t="n">
        <v>0.34150270205343947</v>
      </c>
      <c r="F19" s="6" t="n">
        <v>6.441082866310658</v>
      </c>
      <c r="G19" s="6" t="n">
        <v>0.0</v>
      </c>
      <c r="H19" s="6" t="n">
        <v>0.0</v>
      </c>
      <c r="I19" s="6" t="n">
        <v>0.0</v>
      </c>
      <c r="J19" s="6">
        <f si="0" t="shared"/>
        <v>3854.0376686832728</v>
      </c>
      <c r="L19" s="12">
        <v>0.33333333333333331</v>
      </c>
      <c r="M19" s="9" t="n">
        <v>877.033932685852</v>
      </c>
      <c r="N19" s="9" t="n">
        <v>150.35595703125</v>
      </c>
      <c r="O19" s="9" t="n">
        <v>0.0</v>
      </c>
      <c r="P19" s="9" t="n">
        <v>0.0</v>
      </c>
      <c r="Q19" s="9" t="n">
        <v>9.637900352478027</v>
      </c>
      <c r="R19" s="9" t="n">
        <v>0.7747459411621094</v>
      </c>
      <c r="S19" s="9" t="n">
        <v>0.0</v>
      </c>
      <c r="T19" s="9" t="n">
        <v>0.0</v>
      </c>
      <c r="U19">
        <f si="1" t="shared"/>
        <v>4458.0482959747314</v>
      </c>
    </row>
    <row r="20" spans="1:21" x14ac:dyDescent="0.25">
      <c r="A20" s="12">
        <v>0.35416666666666669</v>
      </c>
      <c r="B20" s="6" t="n">
        <v>1723.1348021616195</v>
      </c>
      <c r="C20" s="6" t="n">
        <v>108.63934210475833</v>
      </c>
      <c r="D20" s="6" t="n">
        <v>0.0</v>
      </c>
      <c r="E20" s="6" t="n">
        <v>1.115252187151975</v>
      </c>
      <c r="F20" s="6" t="n">
        <v>11.241331540325042</v>
      </c>
      <c r="G20" s="6" t="n">
        <v>0.0</v>
      </c>
      <c r="H20" s="6" t="n">
        <v>0.0</v>
      </c>
      <c r="I20" s="6" t="n">
        <v>0.0</v>
      </c>
      <c r="J20" s="6">
        <f si="0" t="shared"/>
        <v>4929.3611634782355</v>
      </c>
      <c r="L20" s="12">
        <v>0.35416666666666669</v>
      </c>
      <c r="M20" s="9" t="n">
        <v>1582.5525341033936</v>
      </c>
      <c r="N20" s="9" t="n">
        <v>267.2887439727783</v>
      </c>
      <c r="O20" s="9" t="n">
        <v>0.0</v>
      </c>
      <c r="P20" s="9" t="n">
        <v>0.0</v>
      </c>
      <c r="Q20" s="9" t="n">
        <v>17.045095443725586</v>
      </c>
      <c r="R20" s="9" t="n">
        <v>1.3678569793701172</v>
      </c>
      <c r="S20" s="9" t="n">
        <v>0.0</v>
      </c>
      <c r="T20" s="9" t="n">
        <v>0.0</v>
      </c>
      <c r="U20">
        <f si="1" t="shared"/>
        <v>5874.0244388580322</v>
      </c>
    </row>
    <row r="21" spans="1:21" x14ac:dyDescent="0.25">
      <c r="A21" s="12">
        <v>0.375</v>
      </c>
      <c r="B21" s="6" t="n">
        <v>2564.298147319809</v>
      </c>
      <c r="C21" s="6" t="n">
        <v>163.94969365669124</v>
      </c>
      <c r="D21" s="6" t="n">
        <v>0.0</v>
      </c>
      <c r="E21" s="6" t="n">
        <v>2.8857431444493793</v>
      </c>
      <c r="F21" s="6" t="n">
        <v>16.193331648875958</v>
      </c>
      <c r="G21" s="6" t="n">
        <v>0.0</v>
      </c>
      <c r="H21" s="6" t="n">
        <v>0.0</v>
      </c>
      <c r="I21" s="6" t="n">
        <v>0.0</v>
      </c>
      <c r="J21" s="6">
        <f si="0" t="shared"/>
        <v>6084.4429017810007</v>
      </c>
      <c r="L21" s="12">
        <v>0.375</v>
      </c>
      <c r="M21" s="9" t="n">
        <v>2668.7154054641724</v>
      </c>
      <c r="N21" s="9" t="n">
        <v>446.20745182037354</v>
      </c>
      <c r="O21" s="9" t="n">
        <v>0.0</v>
      </c>
      <c r="P21" s="9" t="n">
        <v>0.0</v>
      </c>
      <c r="Q21" s="9" t="n">
        <v>28.61337661743164</v>
      </c>
      <c r="R21" s="9" t="n">
        <v>2.343904495239258</v>
      </c>
      <c r="S21" s="9" t="n">
        <v>0.0</v>
      </c>
      <c r="T21" s="9" t="n">
        <v>0.0</v>
      </c>
      <c r="U21">
        <f si="1" t="shared"/>
        <v>7534.4491910934448</v>
      </c>
    </row>
    <row r="22" spans="1:21" x14ac:dyDescent="0.25">
      <c r="A22" s="12">
        <v>0.39583333333333331</v>
      </c>
      <c r="B22" s="6" t="n">
        <v>3993.084427703795</v>
      </c>
      <c r="C22" s="6" t="n">
        <v>246.12344471696974</v>
      </c>
      <c r="D22" s="6" t="n">
        <v>0.0</v>
      </c>
      <c r="E22" s="6" t="n">
        <v>6.099764132916907</v>
      </c>
      <c r="F22" s="6" t="n">
        <v>19.379021287405553</v>
      </c>
      <c r="G22" s="6" t="n">
        <v>0.0</v>
      </c>
      <c r="H22" s="6" t="n">
        <v>0.0</v>
      </c>
      <c r="I22" s="6" t="n">
        <v>0.0</v>
      </c>
      <c r="J22" s="6">
        <f si="0" t="shared"/>
        <v>7394.39732239964</v>
      </c>
      <c r="L22" s="12">
        <v>0.39583333333333331</v>
      </c>
      <c r="M22" s="9" t="n">
        <v>4119.079217910767</v>
      </c>
      <c r="N22" s="9" t="n">
        <v>683.101845741272</v>
      </c>
      <c r="O22" s="9" t="n">
        <v>0.0</v>
      </c>
      <c r="P22" s="9" t="n">
        <v>0.0</v>
      </c>
      <c r="Q22" s="9" t="n">
        <v>44.13995170593262</v>
      </c>
      <c r="R22" s="9" t="n">
        <v>3.660672187805176</v>
      </c>
      <c r="S22" s="9" t="n">
        <v>0.0</v>
      </c>
      <c r="T22" s="9" t="n">
        <v>0.0</v>
      </c>
      <c r="U22">
        <f si="1" t="shared"/>
        <v>9373.2788801193237</v>
      </c>
    </row>
    <row r="23" spans="1:21" x14ac:dyDescent="0.25">
      <c r="A23" s="12">
        <v>0.41666666666666669</v>
      </c>
      <c r="B23" s="6" t="n">
        <v>6175.398959473235</v>
      </c>
      <c r="C23" s="6" t="n">
        <v>357.2093540468389</v>
      </c>
      <c r="D23" s="6" t="n">
        <v>0.0</v>
      </c>
      <c r="E23" s="6" t="n">
        <v>10.793090716823736</v>
      </c>
      <c r="F23" s="6" t="n">
        <v>19.32604459615996</v>
      </c>
      <c r="G23" s="6" t="n">
        <v>0.0</v>
      </c>
      <c r="H23" s="6" t="n">
        <v>0.0</v>
      </c>
      <c r="I23" s="6" t="n">
        <v>0.0</v>
      </c>
      <c r="J23" s="6">
        <f si="0" t="shared"/>
        <v>8966.7022865749841</v>
      </c>
      <c r="L23" s="12">
        <v>0.41666666666666669</v>
      </c>
      <c r="M23" s="9" t="n">
        <v>5783.429607391357</v>
      </c>
      <c r="N23" s="9" t="n">
        <v>952.0544500350952</v>
      </c>
      <c r="O23" s="9" t="n">
        <v>0.0</v>
      </c>
      <c r="P23" s="9" t="n">
        <v>0.0</v>
      </c>
      <c r="Q23" s="9" t="n">
        <v>61.92271614074707</v>
      </c>
      <c r="R23" s="9" t="n">
        <v>5.113615036010742</v>
      </c>
      <c r="S23" s="9" t="n">
        <v>0.0</v>
      </c>
      <c r="T23" s="9" t="n">
        <v>0.0</v>
      </c>
      <c r="U23">
        <f si="1" t="shared"/>
        <v>11229.774494171143</v>
      </c>
    </row>
    <row r="24" spans="1:21" x14ac:dyDescent="0.25">
      <c r="A24" s="12">
        <v>0.4375</v>
      </c>
      <c r="B24" s="6" t="n">
        <v>8943.311383208096</v>
      </c>
      <c r="C24" s="6" t="n">
        <v>483.28283470823385</v>
      </c>
      <c r="D24" s="6" t="n">
        <v>0.0</v>
      </c>
      <c r="E24" s="6" t="n">
        <v>16.317070824204404</v>
      </c>
      <c r="F24" s="6" t="n">
        <v>16.060889920761973</v>
      </c>
      <c r="G24" s="6" t="n">
        <v>0.0</v>
      </c>
      <c r="H24" s="6" t="n">
        <v>0.0</v>
      </c>
      <c r="I24" s="6" t="n">
        <v>0.0</v>
      </c>
      <c r="J24" s="6">
        <f si="0" t="shared"/>
        <v>10807.740505419841</v>
      </c>
      <c r="L24" s="12">
        <v>0.4375</v>
      </c>
      <c r="M24" s="9" t="n">
        <v>7404.183171272278</v>
      </c>
      <c r="N24" s="9" t="n">
        <v>1211.1860780715942</v>
      </c>
      <c r="O24" s="9" t="n">
        <v>0.0</v>
      </c>
      <c r="P24" s="9" t="n">
        <v>0.0</v>
      </c>
      <c r="Q24" s="9" t="n">
        <v>79.13242435455322</v>
      </c>
      <c r="R24" s="9" t="n">
        <v>6.415983200073242</v>
      </c>
      <c r="S24" s="9" t="n">
        <v>0.0</v>
      </c>
      <c r="T24" s="9" t="n">
        <v>0.0</v>
      </c>
      <c r="U24">
        <f si="1" t="shared"/>
        <v>12867.705812454224</v>
      </c>
    </row>
    <row r="25" spans="1:21" x14ac:dyDescent="0.25">
      <c r="A25" s="12">
        <v>0.45833333333333331</v>
      </c>
      <c r="B25" s="6" t="n">
        <v>11672.452856296446</v>
      </c>
      <c r="C25" s="6" t="n">
        <v>594.9452092961428</v>
      </c>
      <c r="D25" s="6" t="n">
        <v>0.0</v>
      </c>
      <c r="E25" s="6" t="n">
        <v>21.429501424035</v>
      </c>
      <c r="F25" s="6" t="n">
        <v>11.08851416173199</v>
      </c>
      <c r="G25" s="6" t="n">
        <v>0.0</v>
      </c>
      <c r="H25" s="6" t="n">
        <v>0.0</v>
      </c>
      <c r="I25" s="6" t="n">
        <v>0.0</v>
      </c>
      <c r="J25" s="6">
        <f si="0" t="shared"/>
        <v>12692.90196089014</v>
      </c>
      <c r="L25" s="12">
        <v>0.45833333333333331</v>
      </c>
      <c r="M25" s="9" t="n">
        <v>8684.230894088745</v>
      </c>
      <c r="N25" s="9" t="n">
        <v>1414.8835306167603</v>
      </c>
      <c r="O25" s="9" t="n">
        <v>0.0</v>
      </c>
      <c r="P25" s="9" t="n">
        <v>0.0</v>
      </c>
      <c r="Q25" s="9" t="n">
        <v>92.64683628082275</v>
      </c>
      <c r="R25" s="9" t="n">
        <v>7.345955848693848</v>
      </c>
      <c r="S25" s="9" t="n">
        <v>0.0</v>
      </c>
      <c r="T25" s="9" t="n">
        <v>0.0</v>
      </c>
      <c r="U25">
        <f si="1" t="shared"/>
        <v>14018.579888343811</v>
      </c>
    </row>
    <row r="26" spans="1:21" x14ac:dyDescent="0.25">
      <c r="A26" s="12">
        <v>0.47916666666666669</v>
      </c>
      <c r="B26" s="6" t="n">
        <v>13489.954279539474</v>
      </c>
      <c r="C26" s="6" t="n">
        <v>660.8217842806362</v>
      </c>
      <c r="D26" s="6" t="n">
        <v>0.0</v>
      </c>
      <c r="E26" s="6" t="n">
        <v>24.729023299183623</v>
      </c>
      <c r="F26" s="6" t="n">
        <v>6.318828963436216</v>
      </c>
      <c r="G26" s="6" t="n">
        <v>0.0</v>
      </c>
      <c r="H26" s="6" t="n">
        <v>0.0</v>
      </c>
      <c r="I26" s="6" t="n">
        <v>0.0</v>
      </c>
      <c r="J26" s="6">
        <f si="0" t="shared"/>
        <v>14169.397972966854</v>
      </c>
      <c r="L26" s="12">
        <v>0.47916666666666669</v>
      </c>
      <c r="M26" s="9" t="n">
        <v>9362.811360359192</v>
      </c>
      <c r="N26" s="9" t="n">
        <v>1525.4769878387451</v>
      </c>
      <c r="O26" s="9" t="n">
        <v>0.0</v>
      </c>
      <c r="P26" s="9" t="n">
        <v>0.0</v>
      </c>
      <c r="Q26" s="9" t="n">
        <v>99.90492534637451</v>
      </c>
      <c r="R26" s="9" t="n">
        <v>7.850380897521973</v>
      </c>
      <c r="S26" s="9" t="n">
        <v>0.0</v>
      </c>
      <c r="T26" s="9" t="n">
        <v>0.0</v>
      </c>
      <c r="U26">
        <f si="1" t="shared"/>
        <v>14441.226630210876</v>
      </c>
    </row>
    <row r="27" spans="1:21" x14ac:dyDescent="0.25">
      <c r="A27" s="12">
        <v>0.5</v>
      </c>
      <c r="B27" s="6" t="n">
        <v>13753.925049211703</v>
      </c>
      <c r="C27" s="6" t="n">
        <v>664.387188761189</v>
      </c>
      <c r="D27" s="6" t="n">
        <v>0.0</v>
      </c>
      <c r="E27" s="6" t="n">
        <v>25.188022880100938</v>
      </c>
      <c r="F27" s="6" t="n">
        <v>2.9406365894119375</v>
      </c>
      <c r="G27" s="6" t="n">
        <v>0.0</v>
      </c>
      <c r="H27" s="6" t="n">
        <v>0.0</v>
      </c>
      <c r="I27" s="6" t="n">
        <v>0.0</v>
      </c>
      <c r="J27" s="6">
        <f si="0" t="shared"/>
        <v>14748.220637369885</v>
      </c>
      <c r="L27" s="12">
        <v>0.5</v>
      </c>
      <c r="M27" s="9" t="n">
        <v>9293.38339805603</v>
      </c>
      <c r="N27" s="9" t="n">
        <v>1523.5851669311523</v>
      </c>
      <c r="O27" s="9" t="n">
        <v>0.0</v>
      </c>
      <c r="P27" s="9" t="n">
        <v>0.0</v>
      </c>
      <c r="Q27" s="9" t="n">
        <v>99.66168975830078</v>
      </c>
      <c r="R27" s="9" t="n">
        <v>8.042594909667969</v>
      </c>
      <c r="S27" s="9" t="n">
        <v>0.0</v>
      </c>
      <c r="T27" s="9" t="n">
        <v>0.0</v>
      </c>
      <c r="U27">
        <f si="1" t="shared"/>
        <v>14009.930415153503</v>
      </c>
    </row>
    <row r="28" spans="1:21" x14ac:dyDescent="0.25">
      <c r="A28" s="12">
        <v>0.52083333333333337</v>
      </c>
      <c r="B28" s="6" t="n">
        <v>12444.10315833034</v>
      </c>
      <c r="C28" s="6" t="n">
        <v>610.9303600787451</v>
      </c>
      <c r="D28" s="6" t="n">
        <v>0.0</v>
      </c>
      <c r="E28" s="6" t="n">
        <v>22.578527232893983</v>
      </c>
      <c r="F28" s="6" t="n">
        <v>1.0996823734576155</v>
      </c>
      <c r="G28" s="6" t="n">
        <v>0.0</v>
      </c>
      <c r="H28" s="6" t="n">
        <v>0.0</v>
      </c>
      <c r="I28" s="6" t="n">
        <v>0.0</v>
      </c>
      <c r="J28" s="6">
        <f si="0" t="shared"/>
        <v>14184.38561135802</v>
      </c>
      <c r="L28" s="12">
        <v>0.52083333333333337</v>
      </c>
      <c r="M28" s="9" t="n">
        <v>8514.24179649353</v>
      </c>
      <c r="N28" s="9" t="n">
        <v>1417.3001050949097</v>
      </c>
      <c r="O28" s="9" t="n">
        <v>0.0</v>
      </c>
      <c r="P28" s="9" t="n">
        <v>0.0</v>
      </c>
      <c r="Q28" s="9" t="n">
        <v>92.58200931549072</v>
      </c>
      <c r="R28" s="9" t="n">
        <v>8.128104209899902</v>
      </c>
      <c r="S28" s="9" t="n">
        <v>0.0</v>
      </c>
      <c r="T28" s="9" t="n">
        <v>0.0</v>
      </c>
      <c r="U28">
        <f si="1" t="shared"/>
        <v>12806.469206809998</v>
      </c>
    </row>
    <row r="29" spans="1:21" x14ac:dyDescent="0.25">
      <c r="A29" s="12">
        <v>0.54166666666666663</v>
      </c>
      <c r="B29" s="6" t="n">
        <v>10136.2384102916</v>
      </c>
      <c r="C29" s="6" t="n">
        <v>521.4642984110781</v>
      </c>
      <c r="D29" s="6" t="n">
        <v>0.0</v>
      </c>
      <c r="E29" s="6" t="n">
        <v>17.646561136013723</v>
      </c>
      <c r="F29" s="6" t="n">
        <v>0.32253706643698665</v>
      </c>
      <c r="G29" s="6" t="n">
        <v>0.0</v>
      </c>
      <c r="H29" s="6" t="n">
        <v>0.0</v>
      </c>
      <c r="I29" s="6" t="n">
        <v>0.0</v>
      </c>
      <c r="J29" s="6">
        <f si="0" t="shared"/>
        <v>12638.992339536991</v>
      </c>
      <c r="L29" s="12">
        <v>0.54166666666666663</v>
      </c>
      <c r="M29" s="9" t="n">
        <v>7257.823438644409</v>
      </c>
      <c r="N29" s="9" t="n">
        <v>1242.7436046600342</v>
      </c>
      <c r="O29" s="9" t="n">
        <v>0.0</v>
      </c>
      <c r="P29" s="9" t="n">
        <v>0.0</v>
      </c>
      <c r="Q29" s="9" t="n">
        <v>81.19933605194092</v>
      </c>
      <c r="R29" s="9" t="n">
        <v>8.31493854522705</v>
      </c>
      <c r="S29" s="9" t="n">
        <v>0.0</v>
      </c>
      <c r="T29" s="9" t="n">
        <v>0.0</v>
      </c>
      <c r="U29">
        <f si="1" t="shared"/>
        <v>11130.160603523254</v>
      </c>
    </row>
    <row r="30" spans="1:21" x14ac:dyDescent="0.25">
      <c r="A30" s="12">
        <v>0.5625</v>
      </c>
      <c r="B30" s="6" t="n">
        <v>7607.119763057337</v>
      </c>
      <c r="C30" s="6" t="n">
        <v>420.7290010084676</v>
      </c>
      <c r="D30" s="6" t="n">
        <v>0.0</v>
      </c>
      <c r="E30" s="6" t="n">
        <v>11.861481658334824</v>
      </c>
      <c r="F30" s="6" t="n">
        <v>0.07147514237345709</v>
      </c>
      <c r="G30" s="6" t="n">
        <v>0.0</v>
      </c>
      <c r="H30" s="6" t="n">
        <v>0.0</v>
      </c>
      <c r="I30" s="6" t="n">
        <v>0.0</v>
      </c>
      <c r="J30" s="6">
        <f si="0" t="shared"/>
        <v>10587.130115190004</v>
      </c>
      <c r="L30" s="12">
        <v>0.5625</v>
      </c>
      <c r="M30" s="9" t="n">
        <v>5851.425769805908</v>
      </c>
      <c r="N30" s="9" t="n">
        <v>1048.244906425476</v>
      </c>
      <c r="O30" s="9" t="n">
        <v>0.0</v>
      </c>
      <c r="P30" s="9" t="n">
        <v>0.0</v>
      </c>
      <c r="Q30" s="9" t="n">
        <v>68.79985809326172</v>
      </c>
      <c r="R30" s="9" t="n">
        <v>8.720430374145508</v>
      </c>
      <c r="S30" s="9" t="n">
        <v>0.0</v>
      </c>
      <c r="T30" s="9" t="n">
        <v>0.0</v>
      </c>
      <c r="U30">
        <f si="1" t="shared"/>
        <v>9369.5401287078857</v>
      </c>
    </row>
    <row r="31" spans="1:21" x14ac:dyDescent="0.25">
      <c r="A31" s="12">
        <v>0.58333333333333337</v>
      </c>
      <c r="B31" s="6" t="n">
        <v>5421.399016757272</v>
      </c>
      <c r="C31" s="6" t="n">
        <v>327.1969698681304</v>
      </c>
      <c r="D31" s="6" t="n">
        <v>0.0</v>
      </c>
      <c r="E31" s="6" t="n">
        <v>6.74511752068083</v>
      </c>
      <c r="F31" s="6" t="n">
        <v>0.011254007541197443</v>
      </c>
      <c r="G31" s="6" t="n">
        <v>0.0</v>
      </c>
      <c r="H31" s="6" t="n">
        <v>0.0</v>
      </c>
      <c r="I31" s="6" t="n">
        <v>0.0</v>
      </c>
      <c r="J31" s="6">
        <f si="0" t="shared"/>
        <v>8540.5831978104834</v>
      </c>
      <c r="L31" s="12">
        <v>0.58333333333333337</v>
      </c>
      <c r="M31" s="9" t="n">
        <v>4558.9180727005005</v>
      </c>
      <c r="N31" s="9" t="n">
        <v>869.6887521743774</v>
      </c>
      <c r="O31" s="9" t="n">
        <v>0.0</v>
      </c>
      <c r="P31" s="9" t="n">
        <v>0.0</v>
      </c>
      <c r="Q31" s="9" t="n">
        <v>57.75176429748535</v>
      </c>
      <c r="R31" s="9" t="n">
        <v>9.282485008239746</v>
      </c>
      <c r="S31" s="9" t="n">
        <v>0.0</v>
      </c>
      <c r="T31" s="9" t="n">
        <v>0.0</v>
      </c>
      <c r="U31">
        <f si="1" t="shared"/>
        <v>7809.9477958679199</v>
      </c>
    </row>
    <row r="32" spans="1:21" x14ac:dyDescent="0.25">
      <c r="A32" s="12">
        <v>0.60416666666666663</v>
      </c>
      <c r="B32" s="6" t="n">
        <v>3781.119339947263</v>
      </c>
      <c r="C32" s="6" t="n">
        <v>248.7203418356574</v>
      </c>
      <c r="D32" s="6" t="n">
        <v>0.0</v>
      </c>
      <c r="E32" s="6" t="n">
        <v>3.1844410851297775</v>
      </c>
      <c r="F32" s="6" t="n">
        <v>0.0011222466286585871</v>
      </c>
      <c r="G32" s="6" t="n">
        <v>0.0</v>
      </c>
      <c r="H32" s="6" t="n">
        <v>0.0</v>
      </c>
      <c r="I32" s="6" t="n">
        <v>0.0</v>
      </c>
      <c r="J32" s="6">
        <f si="0" t="shared"/>
        <v>6800.7053161353697</v>
      </c>
      <c r="L32" s="12">
        <v>0.60416666666666663</v>
      </c>
      <c r="M32" s="9" t="n">
        <v>3485.66782951355</v>
      </c>
      <c r="N32" s="9" t="n">
        <v>716.947904586792</v>
      </c>
      <c r="O32" s="9" t="n">
        <v>0.0</v>
      </c>
      <c r="P32" s="9" t="n">
        <v>0.0</v>
      </c>
      <c r="Q32" s="9" t="n">
        <v>48.58241271972656</v>
      </c>
      <c r="R32" s="9" t="n">
        <v>9.742236137390137</v>
      </c>
      <c r="S32" s="9" t="n">
        <v>0.0</v>
      </c>
      <c r="T32" s="9" t="n">
        <v>0.0</v>
      </c>
      <c r="U32">
        <f si="1" t="shared"/>
        <v>6530.0584173202515</v>
      </c>
    </row>
    <row r="33" spans="1:21" x14ac:dyDescent="0.25">
      <c r="A33" s="12">
        <v>0.625</v>
      </c>
      <c r="B33" s="6" t="n">
        <v>2629.375139009514</v>
      </c>
      <c r="C33" s="6" t="n">
        <v>184.38577280394952</v>
      </c>
      <c r="D33" s="6" t="n">
        <v>0.0</v>
      </c>
      <c r="E33" s="6" t="n">
        <v>1.2205886813978184</v>
      </c>
      <c r="F33" s="6" t="n">
        <v>5.329011919987764E-5</v>
      </c>
      <c r="G33" s="6" t="n">
        <v>0.0</v>
      </c>
      <c r="H33" s="6" t="n">
        <v>0.0</v>
      </c>
      <c r="I33" s="6" t="n">
        <v>0.0</v>
      </c>
      <c r="J33" s="6">
        <f si="0" t="shared"/>
        <v>5406.0423310578872</v>
      </c>
      <c r="L33" s="12">
        <v>0.625</v>
      </c>
      <c r="M33" s="9" t="n">
        <v>2609.8922443389893</v>
      </c>
      <c r="N33" s="9" t="n">
        <v>581.6614265441895</v>
      </c>
      <c r="O33" s="9" t="n">
        <v>0.0</v>
      </c>
      <c r="P33" s="9" t="n">
        <v>0.0</v>
      </c>
      <c r="Q33" s="9" t="n">
        <v>40.52348709106445</v>
      </c>
      <c r="R33" s="9" t="n">
        <v>9.771634101867676</v>
      </c>
      <c r="S33" s="9" t="n">
        <v>0.0</v>
      </c>
      <c r="T33" s="9" t="n">
        <v>0.0</v>
      </c>
      <c r="U33">
        <f si="1" t="shared"/>
        <v>5456.9599962234497</v>
      </c>
    </row>
    <row r="34" spans="1:21" x14ac:dyDescent="0.25">
      <c r="A34" s="12">
        <v>0.64583333333333337</v>
      </c>
      <c r="B34" s="6" t="n">
        <v>1826.2967802510166</v>
      </c>
      <c r="C34" s="6" t="n">
        <v>130.37945357109737</v>
      </c>
      <c r="D34" s="6" t="n">
        <v>0.0</v>
      </c>
      <c r="E34" s="6" t="n">
        <v>0.36911870534989166</v>
      </c>
      <c r="F34" s="6" t="n">
        <v>0.0</v>
      </c>
      <c r="G34" s="6" t="n">
        <v>0.0</v>
      </c>
      <c r="H34" s="6" t="n">
        <v>0.0</v>
      </c>
      <c r="I34" s="6" t="n">
        <v>0.0</v>
      </c>
      <c r="J34" s="6">
        <f si="0" t="shared"/>
        <v>4257.0976722887135</v>
      </c>
      <c r="L34" s="12">
        <v>0.64583333333333337</v>
      </c>
      <c r="M34" s="9" t="n">
        <v>1880.831781387329</v>
      </c>
      <c r="N34" s="9" t="n">
        <v>455.52788734436035</v>
      </c>
      <c r="O34" s="9" t="n">
        <v>0.0</v>
      </c>
      <c r="P34" s="9" t="n">
        <v>0.0</v>
      </c>
      <c r="Q34" s="9" t="n">
        <v>32.85417938232422</v>
      </c>
      <c r="R34" s="9" t="n">
        <v>9.201895713806152</v>
      </c>
      <c r="S34" s="9" t="n">
        <v>0.0</v>
      </c>
      <c r="T34" s="9" t="n">
        <v>0.0</v>
      </c>
      <c r="U34">
        <f si="1" t="shared"/>
        <v>4499.7220182418823</v>
      </c>
    </row>
    <row r="35" spans="1:21" x14ac:dyDescent="0.25">
      <c r="A35" s="12">
        <v>0.66666666666666663</v>
      </c>
      <c r="B35" s="6" t="n">
        <v>1258.252282081438</v>
      </c>
      <c r="C35" s="6" t="n">
        <v>85.04162146132057</v>
      </c>
      <c r="D35" s="6" t="n">
        <v>0.0</v>
      </c>
      <c r="E35" s="6" t="n">
        <v>0.08458911767137525</v>
      </c>
      <c r="F35" s="6" t="n">
        <v>0.0</v>
      </c>
      <c r="G35" s="6" t="n">
        <v>0.0</v>
      </c>
      <c r="H35" s="6" t="n">
        <v>0.0</v>
      </c>
      <c r="I35" s="6" t="n">
        <v>0.0</v>
      </c>
      <c r="J35" s="6">
        <f si="0" t="shared"/>
        <v>3270.669831754808</v>
      </c>
      <c r="L35" s="12">
        <v>0.66666666666666663</v>
      </c>
      <c r="M35" s="9" t="n">
        <v>1282.8288202285767</v>
      </c>
      <c r="N35" s="9" t="n">
        <v>340.8993082046509</v>
      </c>
      <c r="O35" s="9" t="n">
        <v>0.0</v>
      </c>
      <c r="P35" s="9" t="n">
        <v>0.0</v>
      </c>
      <c r="Q35" s="9" t="n">
        <v>25.74944496154785</v>
      </c>
      <c r="R35" s="9" t="n">
        <v>8.174715995788574</v>
      </c>
      <c r="S35" s="9" t="n">
        <v>0.0</v>
      </c>
      <c r="T35" s="9" t="n">
        <v>0.0</v>
      </c>
      <c r="U35">
        <f si="1" t="shared"/>
        <v>3634.3329238891602</v>
      </c>
    </row>
    <row r="36" spans="1:21" x14ac:dyDescent="0.25">
      <c r="A36" s="12">
        <v>0.6875</v>
      </c>
      <c r="B36" s="6" t="n">
        <v>859.8405923082217</v>
      </c>
      <c r="C36" s="6" t="n">
        <v>49.50543663078096</v>
      </c>
      <c r="D36" s="6" t="n">
        <v>0.0</v>
      </c>
      <c r="E36" s="6" t="n">
        <v>0.013787524999461192</v>
      </c>
      <c r="F36" s="6" t="n">
        <v>0.0</v>
      </c>
      <c r="G36" s="6" t="n">
        <v>0.0</v>
      </c>
      <c r="H36" s="6" t="n">
        <v>0.0</v>
      </c>
      <c r="I36" s="6" t="n">
        <v>0.0</v>
      </c>
      <c r="J36" s="6">
        <f si="0" t="shared"/>
        <v>2440.2385104814175</v>
      </c>
      <c r="L36" s="12">
        <v>0.6875</v>
      </c>
      <c r="M36" s="9" t="n">
        <v>829.5041646957397</v>
      </c>
      <c r="N36" s="9" t="n">
        <v>247.17648315429688</v>
      </c>
      <c r="O36" s="9" t="n">
        <v>0.0</v>
      </c>
      <c r="P36" s="9" t="n">
        <v>0.0</v>
      </c>
      <c r="Q36" s="9" t="n">
        <v>20.0242977142334</v>
      </c>
      <c r="R36" s="9" t="n">
        <v>7.062919616699219</v>
      </c>
      <c r="S36" s="9" t="n">
        <v>0.0</v>
      </c>
      <c r="T36" s="9" t="n">
        <v>0.0</v>
      </c>
      <c r="U36">
        <f si="1" t="shared"/>
        <v>2893.3412313461304</v>
      </c>
    </row>
    <row r="37" spans="1:21" x14ac:dyDescent="0.25">
      <c r="A37" s="12">
        <v>0.70833333333333337</v>
      </c>
      <c r="B37" s="6" t="n">
        <v>592.5685807603431</v>
      </c>
      <c r="C37" s="6" t="n">
        <v>25.020605636069785</v>
      </c>
      <c r="D37" s="6" t="n">
        <v>0.0</v>
      </c>
      <c r="E37" s="6" t="n">
        <v>0.0014229798531080716</v>
      </c>
      <c r="F37" s="6" t="n">
        <v>0.0</v>
      </c>
      <c r="G37" s="6" t="n">
        <v>0.0</v>
      </c>
      <c r="H37" s="6" t="n">
        <v>0.0</v>
      </c>
      <c r="I37" s="6" t="n">
        <v>0.0</v>
      </c>
      <c r="J37" s="6">
        <f si="0" t="shared"/>
        <v>1796.5335041755411</v>
      </c>
      <c r="L37" s="12">
        <v>0.70833333333333337</v>
      </c>
      <c r="M37" s="9" t="n">
        <v>526.1752281188965</v>
      </c>
      <c r="N37" s="9" t="n">
        <v>180.74708938598633</v>
      </c>
      <c r="O37" s="9" t="n">
        <v>0.0</v>
      </c>
      <c r="P37" s="9" t="n">
        <v>0.0</v>
      </c>
      <c r="Q37" s="9" t="n">
        <v>16.24980640411377</v>
      </c>
      <c r="R37" s="9" t="n">
        <v>6.20466423034668</v>
      </c>
      <c r="S37" s="9" t="n">
        <v>0.0</v>
      </c>
      <c r="T37" s="9" t="n">
        <v>0.0</v>
      </c>
      <c r="U37">
        <f si="1" t="shared"/>
        <v>2307.7329397201538</v>
      </c>
    </row>
    <row r="38" spans="1:21" x14ac:dyDescent="0.25">
      <c r="A38" s="12">
        <v>0.72916666666666663</v>
      </c>
      <c r="B38" s="6" t="n">
        <v>422.52282216427807</v>
      </c>
      <c r="C38" s="6" t="n">
        <v>10.723578136903647</v>
      </c>
      <c r="D38" s="6" t="n">
        <v>0.0</v>
      </c>
      <c r="E38" s="6" t="n">
        <v>6.986700982238207E-5</v>
      </c>
      <c r="F38" s="6" t="n">
        <v>0.0</v>
      </c>
      <c r="G38" s="6" t="n">
        <v>0.0</v>
      </c>
      <c r="H38" s="6" t="n">
        <v>0.0</v>
      </c>
      <c r="I38" s="6" t="n">
        <v>0.0</v>
      </c>
      <c r="J38" s="6">
        <f si="0" t="shared"/>
        <v>1345.3003594101069</v>
      </c>
      <c r="L38" s="12">
        <v>0.72916666666666663</v>
      </c>
      <c r="M38" s="9" t="n">
        <v>348.9311170578003</v>
      </c>
      <c r="N38" s="9" t="n">
        <v>139.09542083740234</v>
      </c>
      <c r="O38" s="9" t="n">
        <v>0.0</v>
      </c>
      <c r="P38" s="9" t="n">
        <v>0.0</v>
      </c>
      <c r="Q38" s="9" t="n">
        <v>14.148303031921387</v>
      </c>
      <c r="R38" s="9" t="n">
        <v>5.672532081604004</v>
      </c>
      <c r="S38" s="9" t="n">
        <v>0.0</v>
      </c>
      <c r="T38" s="9" t="n">
        <v>0.0</v>
      </c>
      <c r="U38">
        <f si="1" t="shared"/>
        <v>1868.0498075485229</v>
      </c>
    </row>
    <row r="39" spans="1:21" x14ac:dyDescent="0.25">
      <c r="A39" s="12">
        <v>0.75</v>
      </c>
      <c r="B39" s="6" t="n">
        <v>314.03248341336916</v>
      </c>
      <c r="C39" s="6" t="n">
        <v>3.806116676742699</v>
      </c>
      <c r="D39" s="6" t="n">
        <v>0.0</v>
      </c>
      <c r="E39" s="6" t="n">
        <v>0.0</v>
      </c>
      <c r="F39" s="6" t="n">
        <v>0.0</v>
      </c>
      <c r="G39" s="6" t="n">
        <v>0.0</v>
      </c>
      <c r="H39" s="6" t="n">
        <v>0.0</v>
      </c>
      <c r="I39" s="6" t="n">
        <v>0.0</v>
      </c>
      <c r="J39" s="6">
        <f si="0" t="shared"/>
        <v>1047.5599081897412</v>
      </c>
      <c r="L39" s="12">
        <v>0.75</v>
      </c>
      <c r="M39" s="9" t="n">
        <v>253.6513433456421</v>
      </c>
      <c r="N39" s="9" t="n">
        <v>112.91864490509033</v>
      </c>
      <c r="O39" s="9" t="n">
        <v>0.0</v>
      </c>
      <c r="P39" s="9" t="n">
        <v>0.0</v>
      </c>
      <c r="Q39" s="9" t="n">
        <v>12.758999824523926</v>
      </c>
      <c r="R39" s="9" t="n">
        <v>5.269052505493164</v>
      </c>
      <c r="S39" s="9" t="n">
        <v>0.0</v>
      </c>
      <c r="T39" s="9" t="n">
        <v>0.0</v>
      </c>
      <c r="U39">
        <f si="1" t="shared"/>
        <v>1530.378737449646</v>
      </c>
    </row>
    <row r="40" spans="1:21" x14ac:dyDescent="0.25">
      <c r="A40" s="12">
        <v>0.77083333333333337</v>
      </c>
      <c r="B40" s="6" t="n">
        <v>236.0794725144695</v>
      </c>
      <c r="C40" s="6" t="n">
        <v>1.0867648810096382</v>
      </c>
      <c r="D40" s="6" t="n">
        <v>0.0</v>
      </c>
      <c r="E40" s="6" t="n">
        <v>0.0</v>
      </c>
      <c r="F40" s="6" t="n">
        <v>0.0</v>
      </c>
      <c r="G40" s="6" t="n">
        <v>0.0</v>
      </c>
      <c r="H40" s="6" t="n">
        <v>0.0</v>
      </c>
      <c r="I40" s="6" t="n">
        <v>0.0</v>
      </c>
      <c r="J40" s="6">
        <f si="0" t="shared"/>
        <v>845.56806363952717</v>
      </c>
      <c r="L40" s="12">
        <v>0.77083333333333337</v>
      </c>
      <c r="M40" s="9" t="n">
        <v>198.19999313354492</v>
      </c>
      <c r="N40" s="9" t="n">
        <v>92.66194725036621</v>
      </c>
      <c r="O40" s="9" t="n">
        <v>0.0</v>
      </c>
      <c r="P40" s="9" t="n">
        <v>0.0</v>
      </c>
      <c r="Q40" s="9" t="n">
        <v>11.136384963989258</v>
      </c>
      <c r="R40" s="9" t="n">
        <v>4.733400344848633</v>
      </c>
      <c r="S40" s="9" t="n">
        <v>0.0</v>
      </c>
      <c r="T40" s="9" t="n">
        <v>0.0</v>
      </c>
      <c r="U40">
        <f si="1" t="shared"/>
        <v>1248.6094760894775</v>
      </c>
    </row>
    <row r="41" spans="1:21" x14ac:dyDescent="0.25">
      <c r="A41" s="12">
        <v>0.79166666666666663</v>
      </c>
      <c r="B41" s="6" t="n">
        <v>170.39212376296206</v>
      </c>
      <c r="C41" s="6" t="n">
        <v>0.23961925931045186</v>
      </c>
      <c r="D41" s="6" t="n">
        <v>0.0</v>
      </c>
      <c r="E41" s="6" t="n">
        <v>0.0</v>
      </c>
      <c r="F41" s="6" t="n">
        <v>0.0</v>
      </c>
      <c r="G41" s="6" t="n">
        <v>0.0</v>
      </c>
      <c r="H41" s="6" t="n">
        <v>0.0</v>
      </c>
      <c r="I41" s="6" t="n">
        <v>0.0</v>
      </c>
      <c r="J41" s="6">
        <f si="0" t="shared"/>
        <v>697.66620292400512</v>
      </c>
      <c r="L41" s="12">
        <v>0.79166666666666663</v>
      </c>
      <c r="M41" s="9" t="n">
        <v>157.39035034179688</v>
      </c>
      <c r="N41" s="9" t="n">
        <v>73.55238151550293</v>
      </c>
      <c r="O41" s="9" t="n">
        <v>0.0</v>
      </c>
      <c r="P41" s="9" t="n">
        <v>0.0</v>
      </c>
      <c r="Q41" s="9" t="n">
        <v>8.944066047668457</v>
      </c>
      <c r="R41" s="9" t="n">
        <v>3.9656286239624023</v>
      </c>
      <c r="S41" s="9" t="n">
        <v>0.0</v>
      </c>
      <c r="T41" s="9" t="n">
        <v>0.0</v>
      </c>
      <c r="U41">
        <f si="1" t="shared"/>
        <v>1000.3380346298218</v>
      </c>
    </row>
    <row r="42" spans="1:21" x14ac:dyDescent="0.25">
      <c r="A42" s="12">
        <v>0.8125</v>
      </c>
      <c r="B42" s="6" t="n">
        <v>112.7367269613175</v>
      </c>
      <c r="C42" s="6" t="n">
        <v>0.03824147663167117</v>
      </c>
      <c r="D42" s="6" t="n">
        <v>0.0</v>
      </c>
      <c r="E42" s="6" t="n">
        <v>0.0</v>
      </c>
      <c r="F42" s="6" t="n">
        <v>0.0</v>
      </c>
      <c r="G42" s="6" t="n">
        <v>0.0</v>
      </c>
      <c r="H42" s="6" t="n">
        <v>0.0</v>
      </c>
      <c r="I42" s="6" t="n">
        <v>0.0</v>
      </c>
      <c r="J42" s="6">
        <f si="0" t="shared"/>
        <v>590.81470168303804</v>
      </c>
      <c r="L42" s="12">
        <v>0.8125</v>
      </c>
      <c r="M42" s="9" t="n">
        <v>123.2925615310669</v>
      </c>
      <c r="N42" s="9" t="n">
        <v>55.91786766052246</v>
      </c>
      <c r="O42" s="9" t="n">
        <v>0.0</v>
      </c>
      <c r="P42" s="9" t="n">
        <v>0.0</v>
      </c>
      <c r="Q42" s="9" t="n">
        <v>6.499302864074707</v>
      </c>
      <c r="R42" s="9" t="n">
        <v>3.084993362426758</v>
      </c>
      <c r="S42" s="9" t="n">
        <v>0.0</v>
      </c>
      <c r="T42" s="9" t="n">
        <v>0.0</v>
      </c>
      <c r="U42">
        <f si="1" t="shared"/>
        <v>787.96227931976318</v>
      </c>
    </row>
    <row r="43" spans="1:21" x14ac:dyDescent="0.25">
      <c r="A43" s="12">
        <v>0.83333333333333337</v>
      </c>
      <c r="B43" s="6" t="n">
        <v>66.72204755158577</v>
      </c>
      <c r="C43" s="6" t="n">
        <v>0.003924854549291544</v>
      </c>
      <c r="D43" s="6" t="n">
        <v>0.0</v>
      </c>
      <c r="E43" s="6" t="n">
        <v>0.0</v>
      </c>
      <c r="F43" s="6" t="n">
        <v>0.0</v>
      </c>
      <c r="G43" s="6" t="n">
        <v>0.0</v>
      </c>
      <c r="H43" s="6" t="n">
        <v>0.0</v>
      </c>
      <c r="I43" s="6" t="n">
        <v>0.0</v>
      </c>
      <c r="J43" s="6">
        <f si="0" t="shared"/>
        <v>527.06491689871427</v>
      </c>
      <c r="L43" s="12">
        <v>0.83333333333333337</v>
      </c>
      <c r="M43" s="9" t="n">
        <v>96.36581039428711</v>
      </c>
      <c r="N43" s="9" t="n">
        <v>41.95738220214844</v>
      </c>
      <c r="O43" s="9" t="n">
        <v>0.0</v>
      </c>
      <c r="P43" s="9" t="n">
        <v>0.0</v>
      </c>
      <c r="Q43" s="9" t="n">
        <v>4.352775573730469</v>
      </c>
      <c r="R43" s="9" t="n">
        <v>2.3052139282226562</v>
      </c>
      <c r="S43" s="9" t="n">
        <v>0.0</v>
      </c>
      <c r="T43" s="9" t="n">
        <v>0.0</v>
      </c>
      <c r="U43">
        <f si="1" t="shared"/>
        <v>620.59869766235352</v>
      </c>
    </row>
    <row r="44" spans="1:21" x14ac:dyDescent="0.25">
      <c r="A44" s="12">
        <v>0.85416666666666663</v>
      </c>
      <c r="B44" s="6" t="n">
        <v>35.74877234691185</v>
      </c>
      <c r="C44" s="6" t="n">
        <v>1.9416180651185235E-4</v>
      </c>
      <c r="D44" s="6" t="n">
        <v>0.0</v>
      </c>
      <c r="E44" s="6" t="n">
        <v>0.0</v>
      </c>
      <c r="F44" s="6" t="n">
        <v>0.0</v>
      </c>
      <c r="G44" s="6" t="n">
        <v>0.0</v>
      </c>
      <c r="H44" s="6" t="n">
        <v>0.0</v>
      </c>
      <c r="I44" s="6" t="n">
        <v>0.0</v>
      </c>
      <c r="J44" s="6">
        <f si="0" t="shared"/>
        <v>501.55518485532434</v>
      </c>
      <c r="L44" s="12">
        <v>0.85416666666666663</v>
      </c>
      <c r="M44" s="9" t="n">
        <v>76.94772338867188</v>
      </c>
      <c r="N44" s="9" t="n">
        <v>32.50672245025635</v>
      </c>
      <c r="O44" s="9" t="n">
        <v>0.0</v>
      </c>
      <c r="P44" s="9" t="n">
        <v>0.0</v>
      </c>
      <c r="Q44" s="9" t="n">
        <v>2.8410253524780273</v>
      </c>
      <c r="R44" s="9" t="n">
        <v>1.7618999481201172</v>
      </c>
      <c r="S44" s="9" t="n">
        <v>0.0</v>
      </c>
      <c r="T44" s="9" t="n">
        <v>0.0</v>
      </c>
      <c r="U44">
        <f si="1" t="shared"/>
        <v>496.72536849975586</v>
      </c>
    </row>
    <row r="45" spans="1:21" x14ac:dyDescent="0.25">
      <c r="A45" s="12">
        <v>0.875</v>
      </c>
      <c r="B45" s="6" t="n">
        <v>18.846178045797544</v>
      </c>
      <c r="C45" s="6" t="n">
        <v>0.0</v>
      </c>
      <c r="D45" s="6" t="n">
        <v>0.0</v>
      </c>
      <c r="E45" s="6" t="n">
        <v>0.0</v>
      </c>
      <c r="F45" s="6" t="n">
        <v>0.0</v>
      </c>
      <c r="G45" s="6" t="n">
        <v>0.0</v>
      </c>
      <c r="H45" s="6" t="n">
        <v>0.0</v>
      </c>
      <c r="I45" s="6" t="n">
        <v>0.0</v>
      </c>
      <c r="J45" s="6">
        <f si="0" t="shared"/>
        <v>492.62220736365924</v>
      </c>
      <c r="L45" s="12">
        <v>0.875</v>
      </c>
      <c r="M45" s="9" t="n">
        <v>62.515106201171875</v>
      </c>
      <c r="N45" s="9" t="n">
        <v>26.283214569091797</v>
      </c>
      <c r="O45" s="9" t="n">
        <v>0.0</v>
      </c>
      <c r="P45" s="9" t="n">
        <v>0.0</v>
      </c>
      <c r="Q45" s="9" t="n">
        <v>1.9476213455200195</v>
      </c>
      <c r="R45" s="9" t="n">
        <v>1.4364557266235352</v>
      </c>
      <c r="S45" s="9" t="n">
        <v>0.0</v>
      </c>
      <c r="T45" s="9" t="n">
        <v>0.0</v>
      </c>
      <c r="U45">
        <f si="1" t="shared"/>
        <v>402.17411041259766</v>
      </c>
    </row>
    <row r="46" spans="1:21" x14ac:dyDescent="0.25">
      <c r="A46" s="12">
        <v>0.89583333333333337</v>
      </c>
      <c r="B46" s="6" t="n">
        <v>11.490226901650137</v>
      </c>
      <c r="C46" s="6" t="n">
        <v>0.0</v>
      </c>
      <c r="D46" s="6" t="n">
        <v>0.0</v>
      </c>
      <c r="E46" s="6" t="n">
        <v>0.0</v>
      </c>
      <c r="F46" s="6" t="n">
        <v>0.0</v>
      </c>
      <c r="G46" s="6" t="n">
        <v>0.0</v>
      </c>
      <c r="H46" s="6" t="n">
        <v>0.0</v>
      </c>
      <c r="I46" s="6" t="n">
        <v>0.0</v>
      </c>
      <c r="J46" s="6">
        <f si="0" t="shared"/>
        <v>470.87476325003934</v>
      </c>
      <c r="L46" s="12">
        <v>0.89583333333333337</v>
      </c>
      <c r="M46" s="9" t="n">
        <v>49.725911140441895</v>
      </c>
      <c r="N46" s="9" t="n">
        <v>21.284085273742676</v>
      </c>
      <c r="O46" s="9" t="n">
        <v>0.0</v>
      </c>
      <c r="P46" s="9" t="n">
        <v>0.0</v>
      </c>
      <c r="Q46" s="9" t="n">
        <v>1.454294204711914</v>
      </c>
      <c r="R46" s="9" t="n">
        <v>1.2105379104614258</v>
      </c>
      <c r="S46" s="9" t="n">
        <v>0.0</v>
      </c>
      <c r="T46" s="9" t="n">
        <v>0.0</v>
      </c>
      <c r="U46">
        <f si="1" t="shared"/>
        <v>321.05480670928955</v>
      </c>
    </row>
    <row r="47" spans="1:21" x14ac:dyDescent="0.25">
      <c r="A47" s="12">
        <v>0.91666666666666663</v>
      </c>
      <c r="B47" s="6" t="n">
        <v>8.612279445442596</v>
      </c>
      <c r="C47" s="6" t="n">
        <v>0.0</v>
      </c>
      <c r="D47" s="6" t="n">
        <v>0.0</v>
      </c>
      <c r="E47" s="6" t="n">
        <v>0.0</v>
      </c>
      <c r="F47" s="6" t="n">
        <v>0.0</v>
      </c>
      <c r="G47" s="6" t="n">
        <v>0.0</v>
      </c>
      <c r="H47" s="6" t="n">
        <v>0.0</v>
      </c>
      <c r="I47" s="6" t="n">
        <v>0.0</v>
      </c>
      <c r="J47" s="6">
        <f si="0" t="shared"/>
        <v>416.79589511919522</v>
      </c>
      <c r="L47" s="12">
        <v>0.91666666666666663</v>
      </c>
      <c r="M47" s="9" t="n">
        <v>37.06810188293457</v>
      </c>
      <c r="N47" s="9" t="n">
        <v>16.350833892822266</v>
      </c>
      <c r="O47" s="9" t="n">
        <v>0.0</v>
      </c>
      <c r="P47" s="9" t="n">
        <v>0.0</v>
      </c>
      <c r="Q47" s="9" t="n">
        <v>1.1476030349731445</v>
      </c>
      <c r="R47" s="9" t="n">
        <v>0.9762134552001953</v>
      </c>
      <c r="S47" s="9" t="n">
        <v>0.0</v>
      </c>
      <c r="T47" s="9" t="n">
        <v>0.0</v>
      </c>
      <c r="U47">
        <f si="1" t="shared"/>
        <v>246.13600730895996</v>
      </c>
    </row>
    <row r="48" spans="1:21" x14ac:dyDescent="0.25">
      <c r="A48" s="12">
        <v>0.9375</v>
      </c>
      <c r="B48" s="6" t="n">
        <v>6.836567522775201</v>
      </c>
      <c r="C48" s="6" t="n">
        <v>0.0</v>
      </c>
      <c r="D48" s="6" t="n">
        <v>0.0</v>
      </c>
      <c r="E48" s="6" t="n">
        <v>0.0</v>
      </c>
      <c r="F48" s="6" t="n">
        <v>0.0</v>
      </c>
      <c r="G48" s="6" t="n">
        <v>0.0</v>
      </c>
      <c r="H48" s="6" t="n">
        <v>0.0</v>
      </c>
      <c r="I48" s="6" t="n">
        <v>0.0</v>
      </c>
      <c r="J48" s="6">
        <f si="0" t="shared"/>
        <v>331.19242298630923</v>
      </c>
      <c r="L48" s="12">
        <v>0.9375</v>
      </c>
      <c r="M48" s="9" t="n">
        <v>25.271726608276367</v>
      </c>
      <c r="N48" s="9" t="n">
        <v>11.5237455368042</v>
      </c>
      <c r="O48" s="9" t="n">
        <v>0.0</v>
      </c>
      <c r="P48" s="9" t="n">
        <v>0.0</v>
      </c>
      <c r="Q48" s="9" t="n">
        <v>0.9110546112060547</v>
      </c>
      <c r="R48" s="9" t="n">
        <v>0.7050876617431641</v>
      </c>
      <c r="S48" s="9" t="n">
        <v>0.0</v>
      </c>
      <c r="T48" s="9" t="n">
        <v>0.0</v>
      </c>
      <c r="U48">
        <f si="1" t="shared"/>
        <v>179.34779167175293</v>
      </c>
    </row>
    <row r="49" spans="1:21" x14ac:dyDescent="0.25">
      <c r="A49" s="12">
        <v>0.95833333333333337</v>
      </c>
      <c r="B49" s="6" t="n">
        <v>4.927438285347716</v>
      </c>
      <c r="C49" s="6" t="n">
        <v>0.0</v>
      </c>
      <c r="D49" s="6" t="n">
        <v>0.0</v>
      </c>
      <c r="E49" s="6" t="n">
        <v>0.0</v>
      </c>
      <c r="F49" s="6" t="n">
        <v>0.0</v>
      </c>
      <c r="G49" s="6" t="n">
        <v>0.0</v>
      </c>
      <c r="H49" s="6" t="n">
        <v>0.0</v>
      </c>
      <c r="I49" s="6" t="n">
        <v>0.0</v>
      </c>
      <c r="J49" s="6">
        <f si="0" t="shared"/>
        <v>231.75528220318211</v>
      </c>
      <c r="L49" s="12">
        <v>0.95833333333333337</v>
      </c>
      <c r="M49" s="9" t="n">
        <v>15.781490325927734</v>
      </c>
      <c r="N49" s="9" t="n">
        <v>7.380084991455078</v>
      </c>
      <c r="O49" s="9" t="n">
        <v>0.0</v>
      </c>
      <c r="P49" s="9" t="n">
        <v>0.0</v>
      </c>
      <c r="Q49" s="9" t="n">
        <v>0.7052478790283203</v>
      </c>
      <c r="R49" s="9" t="n">
        <v>0.43784618377685547</v>
      </c>
      <c r="S49" s="9" t="n">
        <v>0.0</v>
      </c>
      <c r="T49" s="9" t="n">
        <v>0.0</v>
      </c>
      <c r="U49">
        <f si="1" t="shared"/>
        <v>124.93941783905029</v>
      </c>
    </row>
    <row r="50" spans="1:21" x14ac:dyDescent="0.25">
      <c r="A50" s="12">
        <v>0.97916666666666663</v>
      </c>
      <c r="B50" s="6" t="n">
        <v>3.000402117842695</v>
      </c>
      <c r="C50" s="6" t="n">
        <v>0.0</v>
      </c>
      <c r="D50" s="6" t="n">
        <v>0.0</v>
      </c>
      <c r="E50" s="6" t="n">
        <v>0.0</v>
      </c>
      <c r="F50" s="6" t="n">
        <v>0.0</v>
      </c>
      <c r="G50" s="6" t="n">
        <v>0.0</v>
      </c>
      <c r="H50" s="6" t="n">
        <v>0.0</v>
      </c>
      <c r="I50" s="6" t="n">
        <v>0.0</v>
      </c>
      <c r="J50" s="6">
        <f si="0" t="shared"/>
        <v>140.69068037213211</v>
      </c>
      <c r="L50" s="12">
        <v>0.97916666666666663</v>
      </c>
      <c r="M50" s="9" t="n">
        <v>9.241429328918457</v>
      </c>
      <c r="N50" s="9" t="n">
        <v>4.312325477600098</v>
      </c>
      <c r="O50" s="9" t="n">
        <v>0.0</v>
      </c>
      <c r="P50" s="9" t="n">
        <v>0.0</v>
      </c>
      <c r="Q50" s="9" t="n">
        <v>0.5210094451904297</v>
      </c>
      <c r="R50" s="9" t="n">
        <v>0.22788715362548828</v>
      </c>
      <c r="S50" s="9" t="n">
        <v>0.0</v>
      </c>
      <c r="T50" s="9" t="n">
        <v>0.0</v>
      </c>
      <c r="U50">
        <f si="1" t="shared"/>
        <v>83.862037658691406</v>
      </c>
    </row>
    <row r="51" spans="1:21" x14ac:dyDescent="0.25">
      <c r="A51" s="12">
        <v>1</v>
      </c>
      <c r="B51" s="6" t="n">
        <v>1.4964048409632773</v>
      </c>
      <c r="C51" s="6" t="n">
        <v>0.0</v>
      </c>
      <c r="D51" s="6" t="n">
        <v>0.0</v>
      </c>
      <c r="E51" s="6" t="n">
        <v>0.0</v>
      </c>
      <c r="F51" s="6" t="n">
        <v>0.0</v>
      </c>
      <c r="G51" s="6" t="n">
        <v>0.0</v>
      </c>
      <c r="H51" s="6" t="n">
        <v>0.0</v>
      </c>
      <c r="I51" s="6" t="n">
        <v>0.0</v>
      </c>
      <c r="J51" s="6">
        <f si="0" t="shared"/>
        <v>72.974424896793295</v>
      </c>
      <c r="L51" s="12">
        <v>1</v>
      </c>
      <c r="M51" s="9" t="n">
        <v>5.220501899719238</v>
      </c>
      <c r="N51" s="9" t="n">
        <v>2.310166358947754</v>
      </c>
      <c r="O51" s="9" t="n">
        <v>0.0</v>
      </c>
      <c r="P51" s="9" t="n">
        <v>0.0</v>
      </c>
      <c r="Q51" s="9" t="n">
        <v>0.35757923126220703</v>
      </c>
      <c r="R51" s="9" t="n">
        <v>0.09741497039794922</v>
      </c>
      <c r="S51" s="9" t="n">
        <v>0.0</v>
      </c>
      <c r="T51" s="9" t="n">
        <v>0.0</v>
      </c>
      <c r="U51">
        <f si="1" t="shared"/>
        <v>53.762831687927246</v>
      </c>
    </row>
    <row r="52" spans="1:21" x14ac:dyDescent="0.25">
      <c r="A52" s="12">
        <v>1.0208333333333333</v>
      </c>
      <c r="B52" s="6" t="n">
        <v>0.5982598286434297</v>
      </c>
      <c r="C52" s="6" t="n">
        <v>0.0</v>
      </c>
      <c r="D52" s="6" t="n">
        <v>0.0</v>
      </c>
      <c r="E52" s="6" t="n">
        <v>0.0</v>
      </c>
      <c r="F52" s="6" t="n">
        <v>0.0</v>
      </c>
      <c r="G52" s="6" t="n">
        <v>0.0</v>
      </c>
      <c r="H52" s="6" t="n">
        <v>0.0</v>
      </c>
      <c r="I52" s="6" t="n">
        <v>0.0</v>
      </c>
      <c r="J52" s="6">
        <f si="0" t="shared"/>
        <v>31.767982881182849</v>
      </c>
      <c r="L52" s="12">
        <v>1.0208333333333333</v>
      </c>
      <c r="M52" s="9" t="n">
        <v>2.8548479080200195</v>
      </c>
      <c r="N52" s="9" t="n">
        <v>1.1278648376464844</v>
      </c>
      <c r="O52" s="9" t="n">
        <v>0.0</v>
      </c>
      <c r="P52" s="9" t="n">
        <v>0.0</v>
      </c>
      <c r="Q52" s="9" t="n">
        <v>0.22048568725585938</v>
      </c>
      <c r="R52" s="9" t="n">
        <v>0.03347015380859375</v>
      </c>
      <c r="S52" s="9" t="n">
        <v>0.0</v>
      </c>
      <c r="T52" s="9" t="n">
        <v>0.0</v>
      </c>
      <c r="U52">
        <f si="1" t="shared"/>
        <v>31.927580833435059</v>
      </c>
    </row>
    <row r="53" spans="1:21" x14ac:dyDescent="0.25">
      <c r="A53" s="12">
        <v>4.1666666666666664E-2</v>
      </c>
      <c r="B53" s="6" t="n">
        <v>0.18694413865059123</v>
      </c>
      <c r="C53" s="6" t="n">
        <v>0.0</v>
      </c>
      <c r="D53" s="6" t="n">
        <v>0.0</v>
      </c>
      <c r="E53" s="6" t="n">
        <v>0.0</v>
      </c>
      <c r="F53" s="6" t="n">
        <v>0.0</v>
      </c>
      <c r="G53" s="6" t="n">
        <v>0.0</v>
      </c>
      <c r="H53" s="6" t="n">
        <v>0.0</v>
      </c>
      <c r="I53" s="6" t="n">
        <v>0.0</v>
      </c>
      <c r="J53" s="6">
        <f si="0" t="shared"/>
        <v>11.351139359359985</v>
      </c>
      <c r="L53" s="12">
        <v>4.1666666666666664E-2</v>
      </c>
      <c r="M53" s="9" t="n">
        <v>1.4586524963378906</v>
      </c>
      <c r="N53" s="9" t="n">
        <v>0.491058349609375</v>
      </c>
      <c r="O53" s="9" t="n">
        <v>0.0</v>
      </c>
      <c r="P53" s="9" t="n">
        <v>0.0</v>
      </c>
      <c r="Q53" s="9" t="n">
        <v>0.1180715560913086</v>
      </c>
      <c r="R53" s="9" t="n">
        <v>0.008989334106445312</v>
      </c>
      <c r="S53" s="9" t="n">
        <v>0.0</v>
      </c>
      <c r="T53" s="9" t="n">
        <v>0.0</v>
      </c>
      <c r="U53">
        <f si="1" t="shared"/>
        <v>16.853084564208984</v>
      </c>
    </row>
    <row r="54" spans="1:21" x14ac:dyDescent="0.25">
      <c r="A54" s="12">
        <v>6.25E-2</v>
      </c>
      <c r="B54" s="6" t="n">
        <v>0.04398685615308029</v>
      </c>
      <c r="C54" s="6" t="n">
        <v>0.0</v>
      </c>
      <c r="D54" s="6" t="n">
        <v>0.0</v>
      </c>
      <c r="E54" s="6" t="n">
        <v>0.0</v>
      </c>
      <c r="F54" s="6" t="n">
        <v>0.0</v>
      </c>
      <c r="G54" s="6" t="n">
        <v>0.0</v>
      </c>
      <c r="H54" s="6" t="n">
        <v>0.0</v>
      </c>
      <c r="I54" s="6" t="n">
        <v>0.0</v>
      </c>
      <c r="J54" s="6">
        <f si="0" t="shared"/>
        <v>3.2327844351403714</v>
      </c>
      <c r="L54" s="12">
        <v>6.25E-2</v>
      </c>
      <c r="M54" s="9" t="n">
        <v>0.6584663391113281</v>
      </c>
      <c r="N54" s="9" t="n">
        <v>0.18432235717773438</v>
      </c>
      <c r="O54" s="9" t="n">
        <v>0.0</v>
      </c>
      <c r="P54" s="9" t="n">
        <v>0.0</v>
      </c>
      <c r="Q54" s="9" t="n">
        <v>0.053238868713378906</v>
      </c>
      <c r="R54" s="9" t="n">
        <v>0.0018129348754882812</v>
      </c>
      <c r="S54" s="9" t="n">
        <v>0.0</v>
      </c>
      <c r="T54" s="9" t="n">
        <v>0.0</v>
      </c>
      <c r="U54">
        <f si="1" t="shared"/>
        <v>7.5966691970825195</v>
      </c>
    </row>
    <row r="55" spans="1:21" x14ac:dyDescent="0.25">
      <c r="A55" s="12">
        <v>8.3333333333333329E-2</v>
      </c>
      <c r="B55" s="6" t="n">
        <v>0.007331142692180048</v>
      </c>
      <c r="C55" s="6" t="n">
        <v>0.0</v>
      </c>
      <c r="D55" s="6" t="n">
        <v>0.0</v>
      </c>
      <c r="E55" s="6" t="n">
        <v>0.0</v>
      </c>
      <c r="F55" s="6" t="n">
        <v>0.0</v>
      </c>
      <c r="G55" s="6" t="n">
        <v>0.0</v>
      </c>
      <c r="H55" s="6" t="n">
        <v>0.0</v>
      </c>
      <c r="I55" s="6" t="n">
        <v>0.0</v>
      </c>
      <c r="J55" s="6">
        <f si="0" t="shared"/>
        <v>0.70406121827202861</v>
      </c>
      <c r="L55" s="12">
        <v>8.3333333333333329E-2</v>
      </c>
      <c r="M55" s="9" t="n">
        <v>0.2488536834716797</v>
      </c>
      <c r="N55" s="9" t="n">
        <v>0.057311058044433594</v>
      </c>
      <c r="O55" s="9" t="n">
        <v>0.0</v>
      </c>
      <c r="P55" s="9" t="n">
        <v>0.0</v>
      </c>
      <c r="Q55" s="9" t="n">
        <v>0.01962757110595703</v>
      </c>
      <c r="R55" s="9" t="n">
        <v>2.574920654296875E-4</v>
      </c>
      <c r="S55" s="9" t="n">
        <v>0.0</v>
      </c>
      <c r="T55" s="9" t="n">
        <v>0.0</v>
      </c>
      <c r="U55">
        <f si="1" t="shared"/>
        <v>2.8210163116455078</v>
      </c>
    </row>
    <row r="56" spans="1:21" x14ac:dyDescent="0.25">
      <c r="A56" s="12">
        <v>0.10416666666666667</v>
      </c>
      <c r="B56" s="6" t="n">
        <v>7.716992307557946E-4</v>
      </c>
      <c r="C56" s="6" t="n">
        <v>0.0</v>
      </c>
      <c r="D56" s="6" t="n">
        <v>0.0</v>
      </c>
      <c r="E56" s="6" t="n">
        <v>0.0</v>
      </c>
      <c r="F56" s="6" t="n">
        <v>0.0</v>
      </c>
      <c r="G56" s="6" t="n">
        <v>0.0</v>
      </c>
      <c r="H56" s="6" t="n">
        <v>0.0</v>
      </c>
      <c r="I56" s="6" t="n">
        <v>0.0</v>
      </c>
      <c r="J56" s="6">
        <f si="0" t="shared"/>
        <v>0.10992231461713711</v>
      </c>
      <c r="L56" s="12">
        <v>0.10416666666666667</v>
      </c>
      <c r="M56" s="9" t="n">
        <v>0.07509231567382812</v>
      </c>
      <c r="N56" s="9" t="n">
        <v>0.014121055603027344</v>
      </c>
      <c r="O56" s="9" t="n">
        <v>0.0</v>
      </c>
      <c r="P56" s="9" t="n">
        <v>0.0</v>
      </c>
      <c r="Q56" s="9" t="n">
        <v>0.0057277679443359375</v>
      </c>
      <c r="R56" s="9" t="n">
        <v>2.288818359375E-5</v>
      </c>
      <c r="S56" s="9" t="n">
        <v>0.0</v>
      </c>
      <c r="T56" s="9" t="n">
        <v>0.0</v>
      </c>
      <c r="U56">
        <f si="1" t="shared"/>
        <v>0.83250999450683594</v>
      </c>
    </row>
    <row r="57" spans="1:21" x14ac:dyDescent="0.25">
      <c r="A57" s="12">
        <v>0.125</v>
      </c>
      <c r="B57" s="6" t="n">
        <v>3.8584961537789727E-5</v>
      </c>
      <c r="C57" s="6" t="n">
        <v>0.0</v>
      </c>
      <c r="D57" s="6" t="n">
        <v>0.0</v>
      </c>
      <c r="E57" s="6" t="n">
        <v>0.0</v>
      </c>
      <c r="F57" s="6" t="n">
        <v>0.0</v>
      </c>
      <c r="G57" s="6" t="n">
        <v>0.0</v>
      </c>
      <c r="H57" s="6" t="n">
        <v>0.0</v>
      </c>
      <c r="I57" s="6" t="n">
        <v>0.0</v>
      </c>
      <c r="J57" s="6">
        <f si="0" t="shared"/>
        <v>1.0940135578008907E-2</v>
      </c>
      <c r="L57" s="12">
        <v>0.125</v>
      </c>
      <c r="M57" s="9" t="n">
        <v>0.016945838928222656</v>
      </c>
      <c r="N57" s="9" t="n">
        <v>0.0025882720947265625</v>
      </c>
      <c r="O57" s="9" t="n">
        <v>0.0</v>
      </c>
      <c r="P57" s="9" t="n">
        <v>0.0</v>
      </c>
      <c r="Q57" s="9" t="n">
        <v>0.0012493133544921875</v>
      </c>
      <c r="R57" s="9" t="n">
        <v>9.5367431640625E-7</v>
      </c>
      <c r="S57" s="9" t="n">
        <v>0.0</v>
      </c>
      <c r="T57" s="9" t="n">
        <v>0.0</v>
      </c>
      <c r="U57">
        <f si="1" t="shared"/>
        <v>0.18396377563476563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AA58"/>
  <sheetViews>
    <sheetView workbookViewId="0">
      <selection activeCell="A3" sqref="A3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38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55</v>
      </c>
      <c r="B6" s="1"/>
      <c r="C6" s="1"/>
      <c r="D6" s="1"/>
      <c r="E6" s="1"/>
      <c r="F6" s="1"/>
      <c r="G6" s="1"/>
      <c r="H6" s="1"/>
      <c r="I6" s="1"/>
      <c r="J6" s="1"/>
      <c r="L6" s="3" t="s">
        <v>39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6121.830969554601</v>
      </c>
      <c r="C8" s="6" t="n">
        <v>737.596713338286</v>
      </c>
      <c r="D8" s="6" t="n">
        <v>41.9475743598527</v>
      </c>
      <c r="E8" s="6" t="n">
        <v>167.336892727093</v>
      </c>
      <c r="F8" s="6" t="n">
        <v>382.4603433512789</v>
      </c>
      <c r="G8" s="6" t="n">
        <v>0.0</v>
      </c>
      <c r="H8" s="6" t="n">
        <v>0.0</v>
      </c>
      <c r="I8" s="6" t="n">
        <v>0.0</v>
      </c>
      <c r="J8" s="6">
        <f>SUM(B8:I8)</f>
        <v>2848.5931090345475</v>
      </c>
      <c r="L8" t="s">
        <v>5</v>
      </c>
      <c r="M8" s="9" t="n">
        <v>4808.0</v>
      </c>
      <c r="N8" s="9" t="n">
        <v>430.0</v>
      </c>
      <c r="O8" s="9" t="n">
        <v>0.0</v>
      </c>
      <c r="P8" s="9" t="n">
        <v>0.0</v>
      </c>
      <c r="Q8" s="9" t="n">
        <v>292.0</v>
      </c>
      <c r="R8" s="9" t="n">
        <v>104.0</v>
      </c>
      <c r="S8" s="9" t="n">
        <v>0.0</v>
      </c>
      <c r="T8" s="9" t="n">
        <v>0.0</v>
      </c>
      <c r="U8">
        <f>SUM(M8:T8)</f>
        <v>7075</v>
      </c>
      <c r="W8" s="5"/>
      <c r="X8" s="16"/>
      <c r="Y8" s="16"/>
      <c r="Z8" s="5"/>
    </row>
    <row r="9" spans="1:26" x14ac:dyDescent="0.25">
      <c r="A9" s="12">
        <v>0.125</v>
      </c>
      <c r="B9" s="6" t="n">
        <v>4065.0867051076775</v>
      </c>
      <c r="C9" s="6" t="n">
        <v>489.52944314532044</v>
      </c>
      <c r="D9" s="6" t="n">
        <v>27.83820919564657</v>
      </c>
      <c r="E9" s="6" t="n">
        <v>111.04879800848462</v>
      </c>
      <c r="F9" s="6" t="n">
        <v>253.80979015771953</v>
      </c>
      <c r="G9" s="6" t="n">
        <v>0.0</v>
      </c>
      <c r="H9" s="6" t="n">
        <v>0.0</v>
      </c>
      <c r="I9" s="6" t="n">
        <v>0.0</v>
      </c>
      <c r="J9" s="6">
        <f ref="J9:J58" si="0" t="shared">SUM(B9:I9)</f>
        <v>1906.981562205629</v>
      </c>
      <c r="L9" s="12">
        <v>0.125</v>
      </c>
      <c r="M9" s="9" t="n">
        <v>3216.1679515838623</v>
      </c>
      <c r="N9" s="9" t="n">
        <v>289.03886127471924</v>
      </c>
      <c r="O9" s="9" t="n">
        <v>0.0</v>
      </c>
      <c r="P9" s="9" t="n">
        <v>0.0</v>
      </c>
      <c r="Q9" s="9" t="n">
        <v>193.85268592834473</v>
      </c>
      <c r="R9" s="9" t="n">
        <v>69.01794528961182</v>
      </c>
      <c r="S9" s="9" t="n">
        <v>0.0</v>
      </c>
      <c r="T9" s="9" t="n">
        <v>0.0</v>
      </c>
      <c r="U9">
        <f ref="U9:U58" si="1" t="shared">SUM(M9:T9)</f>
        <v>4743.5285425186157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2353.845527113271</v>
      </c>
      <c r="C10" s="6" t="n">
        <v>282.9456256354519</v>
      </c>
      <c r="D10" s="6" t="n">
        <v>16.086538888534513</v>
      </c>
      <c r="E10" s="6" t="n">
        <v>64.14299225158413</v>
      </c>
      <c r="F10" s="6" t="n">
        <v>146.60099582975343</v>
      </c>
      <c r="G10" s="6" t="n">
        <v>0.0</v>
      </c>
      <c r="H10" s="6" t="n">
        <v>0.0</v>
      </c>
      <c r="I10" s="6" t="n">
        <v>0.0</v>
      </c>
      <c r="J10" s="6">
        <f si="0" t="shared"/>
        <v>1140.0513669598943</v>
      </c>
      <c r="L10" s="12">
        <v>0.14583333333333334</v>
      </c>
      <c r="M10" s="9" t="n">
        <v>1897.1810207366943</v>
      </c>
      <c r="N10" s="9" t="n">
        <v>172.99341583251953</v>
      </c>
      <c r="O10" s="9" t="n">
        <v>0.0</v>
      </c>
      <c r="P10" s="9" t="n">
        <v>0.0</v>
      </c>
      <c r="Q10" s="9" t="n">
        <v>112.10228824615479</v>
      </c>
      <c r="R10" s="9" t="n">
        <v>39.86891460418701</v>
      </c>
      <c r="S10" s="9" t="n">
        <v>0.0</v>
      </c>
      <c r="T10" s="9" t="n">
        <v>0.0</v>
      </c>
      <c r="U10">
        <f si="1" t="shared"/>
        <v>2816.8096017837524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1175.5411525974114</v>
      </c>
      <c r="C11" s="6" t="n">
        <v>140.4433784058591</v>
      </c>
      <c r="D11" s="6" t="n">
        <v>7.98406304429951</v>
      </c>
      <c r="E11" s="6" t="n">
        <v>31.678099927032463</v>
      </c>
      <c r="F11" s="6" t="n">
        <v>72.3795228334692</v>
      </c>
      <c r="G11" s="6" t="n">
        <v>0.0</v>
      </c>
      <c r="H11" s="6" t="n">
        <v>0.0</v>
      </c>
      <c r="I11" s="6" t="n">
        <v>0.0</v>
      </c>
      <c r="J11" s="6">
        <f si="0" t="shared"/>
        <v>651.78146811964154</v>
      </c>
      <c r="L11" s="12">
        <v>0.16666666666666666</v>
      </c>
      <c r="M11" s="9" t="n">
        <v>999.5683746337891</v>
      </c>
      <c r="N11" s="9" t="n">
        <v>95.82805442810059</v>
      </c>
      <c r="O11" s="9" t="n">
        <v>0.0</v>
      </c>
      <c r="P11" s="9" t="n">
        <v>0.0</v>
      </c>
      <c r="Q11" s="9" t="n">
        <v>55.60204887390137</v>
      </c>
      <c r="R11" s="9" t="n">
        <v>19.696728706359863</v>
      </c>
      <c r="S11" s="9" t="n">
        <v>0.0</v>
      </c>
      <c r="T11" s="9" t="n">
        <v>0.0</v>
      </c>
      <c r="U11">
        <f si="1" t="shared"/>
        <v>1520.4105997085571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514.7622826863678</v>
      </c>
      <c r="C12" s="6" t="n">
        <v>60.566399324234325</v>
      </c>
      <c r="D12" s="6" t="n">
        <v>3.4806325771611286</v>
      </c>
      <c r="E12" s="6" t="n">
        <v>13.175692444656473</v>
      </c>
      <c r="F12" s="6" t="n">
        <v>29.967413703967868</v>
      </c>
      <c r="G12" s="6" t="n">
        <v>0.0</v>
      </c>
      <c r="H12" s="6" t="n">
        <v>0.0</v>
      </c>
      <c r="I12" s="6" t="n">
        <v>0.0</v>
      </c>
      <c r="J12" s="6">
        <f si="0" t="shared"/>
        <v>453.95042625905603</v>
      </c>
      <c r="L12" s="12">
        <v>0.1875</v>
      </c>
      <c r="M12" s="9" t="n">
        <v>512.230902671814</v>
      </c>
      <c r="N12" s="9" t="n">
        <v>57.50588417053223</v>
      </c>
      <c r="O12" s="9" t="n">
        <v>0.0</v>
      </c>
      <c r="P12" s="9" t="n">
        <v>0.0</v>
      </c>
      <c r="Q12" s="9" t="n">
        <v>23.51386833190918</v>
      </c>
      <c r="R12" s="9" t="n">
        <v>8.187456130981445</v>
      </c>
      <c r="S12" s="9" t="n">
        <v>0.0</v>
      </c>
      <c r="T12" s="9" t="n">
        <v>0.0</v>
      </c>
      <c r="U12">
        <f si="1" t="shared"/>
        <v>851.66664600372314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229.44724995437565</v>
      </c>
      <c r="C13" s="6" t="n">
        <v>27.306257095946457</v>
      </c>
      <c r="D13" s="6" t="n">
        <v>1.737371621012271</v>
      </c>
      <c r="E13" s="6" t="n">
        <v>4.756090414453415</v>
      </c>
      <c r="F13" s="6" t="n">
        <v>10.178082832662568</v>
      </c>
      <c r="G13" s="6" t="n">
        <v>0.0</v>
      </c>
      <c r="H13" s="6" t="n">
        <v>0.0</v>
      </c>
      <c r="I13" s="6" t="n">
        <v>0.0</v>
      </c>
      <c r="J13" s="6">
        <f si="0" t="shared"/>
        <v>499.07969822889635</v>
      </c>
      <c r="L13" s="12">
        <v>0.20833333333333334</v>
      </c>
      <c r="M13" s="9" t="n">
        <v>323.88570976257324</v>
      </c>
      <c r="N13" s="9" t="n">
        <v>49.285552978515625</v>
      </c>
      <c r="O13" s="9" t="n">
        <v>0.0</v>
      </c>
      <c r="P13" s="9" t="n">
        <v>0.0</v>
      </c>
      <c r="Q13" s="9" t="n">
        <v>8.906671524047852</v>
      </c>
      <c r="R13" s="9" t="n">
        <v>2.849149703979492</v>
      </c>
      <c r="S13" s="9" t="n">
        <v>0.0</v>
      </c>
      <c r="T13" s="9" t="n">
        <v>0.0</v>
      </c>
      <c r="U13">
        <f si="1" t="shared"/>
        <v>667.85100936889648</v>
      </c>
    </row>
    <row r="14" spans="1:26" x14ac:dyDescent="0.25">
      <c r="A14" s="12">
        <v>0.22916666666666666</v>
      </c>
      <c r="B14" s="6" t="n">
        <v>162.82631391657242</v>
      </c>
      <c r="C14" s="6" t="n">
        <v>24.04634189079176</v>
      </c>
      <c r="D14" s="6" t="n">
        <v>1.8643275150804672</v>
      </c>
      <c r="E14" s="6" t="n">
        <v>2.3586788056943897</v>
      </c>
      <c r="F14" s="6" t="n">
        <v>2.7835541192741218</v>
      </c>
      <c r="G14" s="6" t="n">
        <v>0.0</v>
      </c>
      <c r="H14" s="6" t="n">
        <v>0.0</v>
      </c>
      <c r="I14" s="6" t="n">
        <v>0.0</v>
      </c>
      <c r="J14" s="6">
        <f si="0" t="shared"/>
        <v>732.91813314750061</v>
      </c>
      <c r="L14" s="12">
        <v>0.22916666666666666</v>
      </c>
      <c r="M14" s="9" t="n">
        <v>310.43021392822266</v>
      </c>
      <c r="N14" s="9" t="n">
        <v>61.356096267700195</v>
      </c>
      <c r="O14" s="9" t="n">
        <v>0.0</v>
      </c>
      <c r="P14" s="9" t="n">
        <v>0.0</v>
      </c>
      <c r="Q14" s="9" t="n">
        <v>4.049800872802734</v>
      </c>
      <c r="R14" s="9" t="n">
        <v>0.9007930755615234</v>
      </c>
      <c r="S14" s="9" t="n">
        <v>0.0</v>
      </c>
      <c r="T14" s="9" t="n">
        <v>0.0</v>
      </c>
      <c r="U14">
        <f si="1" t="shared"/>
        <v>811.85908317565918</v>
      </c>
    </row>
    <row r="15" spans="1:26" x14ac:dyDescent="0.25">
      <c r="A15" s="12">
        <v>0.25</v>
      </c>
      <c r="B15" s="6" t="n">
        <v>210.20873431271107</v>
      </c>
      <c r="C15" s="6" t="n">
        <v>42.08287250137273</v>
      </c>
      <c r="D15" s="6" t="n">
        <v>3.238937429746928</v>
      </c>
      <c r="E15" s="6" t="n">
        <v>3.9137020401032543</v>
      </c>
      <c r="F15" s="6" t="n">
        <v>0.7578914334830746</v>
      </c>
      <c r="G15" s="6" t="n">
        <v>0.0</v>
      </c>
      <c r="H15" s="6" t="n">
        <v>0.0</v>
      </c>
      <c r="I15" s="6" t="n">
        <v>0.0</v>
      </c>
      <c r="J15" s="6">
        <f si="0" t="shared"/>
        <v>1127.5255975072857</v>
      </c>
      <c r="L15" s="12">
        <v>0.25</v>
      </c>
      <c r="M15" s="9" t="n">
        <v>387.5656566619873</v>
      </c>
      <c r="N15" s="9" t="n">
        <v>87.29194831848145</v>
      </c>
      <c r="O15" s="9" t="n">
        <v>0.0</v>
      </c>
      <c r="P15" s="9" t="n">
        <v>0.0</v>
      </c>
      <c r="Q15" s="9" t="n">
        <v>3.596676826477051</v>
      </c>
      <c r="R15" s="9" t="n">
        <v>0.4125375747680664</v>
      </c>
      <c r="S15" s="9" t="n">
        <v>0.0</v>
      </c>
      <c r="T15" s="9" t="n">
        <v>0.0</v>
      </c>
      <c r="U15">
        <f si="1" t="shared"/>
        <v>1183.2686948776245</v>
      </c>
    </row>
    <row r="16" spans="1:26" x14ac:dyDescent="0.25">
      <c r="A16" s="12">
        <v>0.27083333333333331</v>
      </c>
      <c r="B16" s="6" t="n">
        <v>325.81078951691484</v>
      </c>
      <c r="C16" s="6" t="n">
        <v>81.14175854859796</v>
      </c>
      <c r="D16" s="6" t="n">
        <v>5.391667246638168</v>
      </c>
      <c r="E16" s="6" t="n">
        <v>10.026115617503812</v>
      </c>
      <c r="F16" s="6" t="n">
        <v>0.9077102947836343</v>
      </c>
      <c r="G16" s="6" t="n">
        <v>7.061741208118687E-5</v>
      </c>
      <c r="H16" s="6" t="n">
        <v>0.0</v>
      </c>
      <c r="I16" s="6" t="n">
        <v>0.0</v>
      </c>
      <c r="J16" s="6">
        <f si="0" t="shared"/>
        <v>1677.4909558809336</v>
      </c>
      <c r="L16" s="12">
        <v>0.27083333333333331</v>
      </c>
      <c r="M16" s="9" t="n">
        <v>517.9994812011719</v>
      </c>
      <c r="N16" s="9" t="n">
        <v>124.626389503479</v>
      </c>
      <c r="O16" s="9" t="n">
        <v>0.0</v>
      </c>
      <c r="P16" s="9" t="n">
        <v>0.0</v>
      </c>
      <c r="Q16" s="9" t="n">
        <v>4.971755027770996</v>
      </c>
      <c r="R16" s="9" t="n">
        <v>0.4429454803466797</v>
      </c>
      <c r="S16" s="9" t="n">
        <v>0.0</v>
      </c>
      <c r="T16" s="9" t="n">
        <v>0.0</v>
      </c>
      <c r="U16">
        <f si="1" t="shared"/>
        <v>1740.8166265487671</v>
      </c>
    </row>
    <row r="17" spans="1:21" x14ac:dyDescent="0.25">
      <c r="A17" s="12">
        <v>0.29166666666666669</v>
      </c>
      <c r="B17" s="6" t="n">
        <v>501.3997947001127</v>
      </c>
      <c r="C17" s="6" t="n">
        <v>144.32601845291498</v>
      </c>
      <c r="D17" s="6" t="n">
        <v>7.920645461092072</v>
      </c>
      <c r="E17" s="6" t="n">
        <v>23.674976756292452</v>
      </c>
      <c r="F17" s="6" t="n">
        <v>2.7613580919847873</v>
      </c>
      <c r="G17" s="6" t="n">
        <v>0.0014123482416237376</v>
      </c>
      <c r="H17" s="6" t="n">
        <v>0.0</v>
      </c>
      <c r="I17" s="6" t="n">
        <v>0.0</v>
      </c>
      <c r="J17" s="6">
        <f si="0" t="shared"/>
        <v>2368.5470070496681</v>
      </c>
      <c r="L17" s="12">
        <v>0.29166666666666669</v>
      </c>
      <c r="M17" s="9" t="n">
        <v>698.7371416091919</v>
      </c>
      <c r="N17" s="9" t="n">
        <v>174.17641353607178</v>
      </c>
      <c r="O17" s="9" t="n">
        <v>0.0</v>
      </c>
      <c r="P17" s="9" t="n">
        <v>0.0</v>
      </c>
      <c r="Q17" s="9" t="n">
        <v>7.408360481262207</v>
      </c>
      <c r="R17" s="9" t="n">
        <v>0.6826314926147461</v>
      </c>
      <c r="S17" s="9" t="n">
        <v>0.0</v>
      </c>
      <c r="T17" s="9" t="n">
        <v>0.0</v>
      </c>
      <c r="U17">
        <f si="1" t="shared"/>
        <v>2475.7189464569092</v>
      </c>
    </row>
    <row r="18" spans="1:21" x14ac:dyDescent="0.25">
      <c r="A18" s="12">
        <v>0.3125</v>
      </c>
      <c r="B18" s="6" t="n">
        <v>747.8217613903855</v>
      </c>
      <c r="C18" s="6" t="n">
        <v>231.29412832499227</v>
      </c>
      <c r="D18" s="6" t="n">
        <v>10.787865503915556</v>
      </c>
      <c r="E18" s="6" t="n">
        <v>49.007359320229966</v>
      </c>
      <c r="F18" s="6" t="n">
        <v>7.341084714045539</v>
      </c>
      <c r="G18" s="6" t="n">
        <v>0.013417308295425506</v>
      </c>
      <c r="H18" s="6" t="n">
        <v>8.049128677529917E-5</v>
      </c>
      <c r="I18" s="6" t="n">
        <v>0.0</v>
      </c>
      <c r="J18" s="6">
        <f si="0" t="shared"/>
        <v>3149.960681377393</v>
      </c>
      <c r="L18" s="12">
        <v>0.3125</v>
      </c>
      <c r="M18" s="9" t="n">
        <v>952.1749038696289</v>
      </c>
      <c r="N18" s="9" t="n">
        <v>240.2998571395874</v>
      </c>
      <c r="O18" s="9" t="n">
        <v>0.0</v>
      </c>
      <c r="P18" s="9" t="n">
        <v>0.0</v>
      </c>
      <c r="Q18" s="9" t="n">
        <v>11.01290512084961</v>
      </c>
      <c r="R18" s="9" t="n">
        <v>1.101613998413086</v>
      </c>
      <c r="S18" s="9" t="n">
        <v>0.0</v>
      </c>
      <c r="T18" s="9" t="n">
        <v>0.0</v>
      </c>
      <c r="U18">
        <f si="1" t="shared"/>
        <v>3392.2039270401001</v>
      </c>
    </row>
    <row r="19" spans="1:21" x14ac:dyDescent="0.25">
      <c r="A19" s="12">
        <v>0.33333333333333331</v>
      </c>
      <c r="B19" s="6" t="n">
        <v>1090.315955337773</v>
      </c>
      <c r="C19" s="6" t="n">
        <v>334.95859250272474</v>
      </c>
      <c r="D19" s="6" t="n">
        <v>14.827736247365428</v>
      </c>
      <c r="E19" s="6" t="n">
        <v>88.9039105285046</v>
      </c>
      <c r="F19" s="6" t="n">
        <v>16.07907652611621</v>
      </c>
      <c r="G19" s="6" t="n">
        <v>0.08050384977255302</v>
      </c>
      <c r="H19" s="6" t="n">
        <v>0.0016098257355059834</v>
      </c>
      <c r="I19" s="6" t="n">
        <v>0.0</v>
      </c>
      <c r="J19" s="6">
        <f si="0" t="shared"/>
        <v>3945.6230780362348</v>
      </c>
      <c r="L19" s="12">
        <v>0.33333333333333331</v>
      </c>
      <c r="M19" s="9" t="n">
        <v>1323.6517124176025</v>
      </c>
      <c r="N19" s="9" t="n">
        <v>331.4177293777466</v>
      </c>
      <c r="O19" s="9" t="n">
        <v>0.0</v>
      </c>
      <c r="P19" s="9" t="n">
        <v>0.0</v>
      </c>
      <c r="Q19" s="9" t="n">
        <v>16.27042865753174</v>
      </c>
      <c r="R19" s="9" t="n">
        <v>1.766261100769043</v>
      </c>
      <c r="S19" s="9" t="n">
        <v>0.0</v>
      </c>
      <c r="T19" s="9" t="n">
        <v>0.0</v>
      </c>
      <c r="U19">
        <f si="1" t="shared"/>
        <v>4502.9228210449219</v>
      </c>
    </row>
    <row r="20" spans="1:21" x14ac:dyDescent="0.25">
      <c r="A20" s="12">
        <v>0.35416666666666669</v>
      </c>
      <c r="B20" s="6" t="n">
        <v>1574.2597782401028</v>
      </c>
      <c r="C20" s="6" t="n">
        <v>447.02753182762035</v>
      </c>
      <c r="D20" s="6" t="n">
        <v>22.012969592157386</v>
      </c>
      <c r="E20" s="6" t="n">
        <v>142.0202022592624</v>
      </c>
      <c r="F20" s="6" t="n">
        <v>29.712713670241826</v>
      </c>
      <c r="G20" s="6" t="n">
        <v>0.34251323293863034</v>
      </c>
      <c r="H20" s="6" t="n">
        <v>0.015293344487306845</v>
      </c>
      <c r="I20" s="6" t="n">
        <v>0.0</v>
      </c>
      <c r="J20" s="6">
        <f si="0" t="shared"/>
        <v>4710.4720627810648</v>
      </c>
      <c r="L20" s="12">
        <v>0.35416666666666669</v>
      </c>
      <c r="M20" s="9" t="n">
        <v>1871.3922309875488</v>
      </c>
      <c r="N20" s="9" t="n">
        <v>457.68307876586914</v>
      </c>
      <c r="O20" s="9" t="n">
        <v>0.0</v>
      </c>
      <c r="P20" s="9" t="n">
        <v>0.0</v>
      </c>
      <c r="Q20" s="9" t="n">
        <v>23.8079891204834</v>
      </c>
      <c r="R20" s="9" t="n">
        <v>2.773737907409668</v>
      </c>
      <c r="S20" s="9" t="n">
        <v>0.0</v>
      </c>
      <c r="T20" s="9" t="n">
        <v>0.0</v>
      </c>
      <c r="U20">
        <f si="1" t="shared"/>
        <v>5825.4650259017944</v>
      </c>
    </row>
    <row r="21" spans="1:21" x14ac:dyDescent="0.25">
      <c r="A21" s="12">
        <v>0.375</v>
      </c>
      <c r="B21" s="6" t="n">
        <v>2267.178962897573</v>
      </c>
      <c r="C21" s="6" t="n">
        <v>570.1542341928771</v>
      </c>
      <c r="D21" s="6" t="n">
        <v>35.254929167837254</v>
      </c>
      <c r="E21" s="6" t="n">
        <v>201.72335305818427</v>
      </c>
      <c r="F21" s="6" t="n">
        <v>47.69340330115706</v>
      </c>
      <c r="G21" s="6" t="n">
        <v>1.1022897850123208</v>
      </c>
      <c r="H21" s="6" t="n">
        <v>0.09176006692384105</v>
      </c>
      <c r="I21" s="6" t="n">
        <v>0.0</v>
      </c>
      <c r="J21" s="6">
        <f si="0" t="shared"/>
        <v>5494.0329888292017</v>
      </c>
      <c r="L21" s="12">
        <v>0.375</v>
      </c>
      <c r="M21" s="9" t="n">
        <v>2637.232053756714</v>
      </c>
      <c r="N21" s="9" t="n">
        <v>623.8376064300537</v>
      </c>
      <c r="O21" s="9" t="n">
        <v>0.0</v>
      </c>
      <c r="P21" s="9" t="n">
        <v>0.0</v>
      </c>
      <c r="Q21" s="9" t="n">
        <v>34.16201210021973</v>
      </c>
      <c r="R21" s="9" t="n">
        <v>4.208444595336914</v>
      </c>
      <c r="S21" s="9" t="n">
        <v>0.0</v>
      </c>
      <c r="T21" s="9" t="n">
        <v>0.0</v>
      </c>
      <c r="U21">
        <f si="1" t="shared"/>
        <v>7364.7063875198364</v>
      </c>
    </row>
    <row r="22" spans="1:21" x14ac:dyDescent="0.25">
      <c r="A22" s="12">
        <v>0.39583333333333331</v>
      </c>
      <c r="B22" s="6" t="n">
        <v>3233.9900813009317</v>
      </c>
      <c r="C22" s="6" t="n">
        <v>722.7992695964563</v>
      </c>
      <c r="D22" s="6" t="n">
        <v>57.75322146239652</v>
      </c>
      <c r="E22" s="6" t="n">
        <v>259.0696733166114</v>
      </c>
      <c r="F22" s="6" t="n">
        <v>69.0664354329341</v>
      </c>
      <c r="G22" s="6" t="n">
        <v>2.807786459269999</v>
      </c>
      <c r="H22" s="6" t="n">
        <v>0.38998028442632443</v>
      </c>
      <c r="I22" s="6" t="n">
        <v>0.0</v>
      </c>
      <c r="J22" s="6">
        <f si="0" t="shared"/>
        <v>6451.0438321378624</v>
      </c>
      <c r="L22" s="12">
        <v>0.39583333333333331</v>
      </c>
      <c r="M22" s="9" t="n">
        <v>3610.1776990890503</v>
      </c>
      <c r="N22" s="9" t="n">
        <v>820.9297218322754</v>
      </c>
      <c r="O22" s="9" t="n">
        <v>0.0</v>
      </c>
      <c r="P22" s="9" t="n">
        <v>0.0</v>
      </c>
      <c r="Q22" s="9" t="n">
        <v>47.4917049407959</v>
      </c>
      <c r="R22" s="9" t="n">
        <v>6.076850891113281</v>
      </c>
      <c r="S22" s="9" t="n">
        <v>0.0</v>
      </c>
      <c r="T22" s="9" t="n">
        <v>0.0</v>
      </c>
      <c r="U22">
        <f si="1" t="shared"/>
        <v>9083.9962196350098</v>
      </c>
    </row>
    <row r="23" spans="1:21" x14ac:dyDescent="0.25">
      <c r="A23" s="12">
        <v>0.41666666666666669</v>
      </c>
      <c r="B23" s="6" t="n">
        <v>4477.661928211917</v>
      </c>
      <c r="C23" s="6" t="n">
        <v>924.0966797995574</v>
      </c>
      <c r="D23" s="6" t="n">
        <v>91.82285893587252</v>
      </c>
      <c r="E23" s="6" t="n">
        <v>308.62996891400394</v>
      </c>
      <c r="F23" s="6" t="n">
        <v>94.56001098212678</v>
      </c>
      <c r="G23" s="6" t="n">
        <v>5.898195186552783</v>
      </c>
      <c r="H23" s="6" t="n">
        <v>1.2479369101642384</v>
      </c>
      <c r="I23" s="6" t="n">
        <v>0.0</v>
      </c>
      <c r="J23" s="6">
        <f si="0" t="shared"/>
        <v>7765.9881652836566</v>
      </c>
      <c r="L23" s="12">
        <v>0.41666666666666669</v>
      </c>
      <c r="M23" s="9" t="n">
        <v>4717.418248176575</v>
      </c>
      <c r="N23" s="9" t="n">
        <v>1025.3554401397705</v>
      </c>
      <c r="O23" s="9" t="n">
        <v>0.0</v>
      </c>
      <c r="P23" s="9" t="n">
        <v>0.0</v>
      </c>
      <c r="Q23" s="9" t="n">
        <v>63.43035316467285</v>
      </c>
      <c r="R23" s="9" t="n">
        <v>8.259243965148926</v>
      </c>
      <c r="S23" s="9" t="n">
        <v>0.0</v>
      </c>
      <c r="T23" s="9" t="n">
        <v>0.0</v>
      </c>
      <c r="U23">
        <f si="1" t="shared"/>
        <v>10890.25839805603</v>
      </c>
    </row>
    <row r="24" spans="1:21" x14ac:dyDescent="0.25">
      <c r="A24" s="12">
        <v>0.4375</v>
      </c>
      <c r="B24" s="6" t="n">
        <v>5885.632433130456</v>
      </c>
      <c r="C24" s="6" t="n">
        <v>1167.8672877538718</v>
      </c>
      <c r="D24" s="6" t="n">
        <v>137.30505574339946</v>
      </c>
      <c r="E24" s="6" t="n">
        <v>352.7244583104209</v>
      </c>
      <c r="F24" s="6" t="n">
        <v>127.50413049047302</v>
      </c>
      <c r="G24" s="6" t="n">
        <v>10.697392358448614</v>
      </c>
      <c r="H24" s="6" t="n">
        <v>3.119842275410596</v>
      </c>
      <c r="I24" s="6" t="n">
        <v>0.0</v>
      </c>
      <c r="J24" s="6">
        <f si="0" t="shared"/>
        <v>9523.9113572626302</v>
      </c>
      <c r="L24" s="12">
        <v>0.4375</v>
      </c>
      <c r="M24" s="9" t="n">
        <v>5865.573295593262</v>
      </c>
      <c r="N24" s="9" t="n">
        <v>1209.9218502044678</v>
      </c>
      <c r="O24" s="9" t="n">
        <v>0.0</v>
      </c>
      <c r="P24" s="9" t="n">
        <v>0.0</v>
      </c>
      <c r="Q24" s="9" t="n">
        <v>81.33959770202637</v>
      </c>
      <c r="R24" s="9" t="n">
        <v>10.5523042678833</v>
      </c>
      <c r="S24" s="9" t="n">
        <v>0.0</v>
      </c>
      <c r="T24" s="9" t="n">
        <v>0.0</v>
      </c>
      <c r="U24">
        <f si="1" t="shared"/>
        <v>12657.114639282227</v>
      </c>
    </row>
    <row r="25" spans="1:21" x14ac:dyDescent="0.25">
      <c r="A25" s="12">
        <v>0.45833333333333331</v>
      </c>
      <c r="B25" s="6" t="n">
        <v>7254.472503438487</v>
      </c>
      <c r="C25" s="6" t="n">
        <v>1415.2194417111025</v>
      </c>
      <c r="D25" s="6" t="n">
        <v>190.30861610991974</v>
      </c>
      <c r="E25" s="6" t="n">
        <v>400.38733162784496</v>
      </c>
      <c r="F25" s="6" t="n">
        <v>171.29142853099995</v>
      </c>
      <c r="G25" s="6" t="n">
        <v>17.626394800616954</v>
      </c>
      <c r="H25" s="6" t="n">
        <v>6.239684550821192</v>
      </c>
      <c r="I25" s="6" t="n">
        <v>0.0</v>
      </c>
      <c r="J25" s="6">
        <f si="0" t="shared"/>
        <v>11623.766397791191</v>
      </c>
      <c r="L25" s="12">
        <v>0.45833333333333331</v>
      </c>
      <c r="M25" s="9" t="n">
        <v>7010.341625213623</v>
      </c>
      <c r="N25" s="9" t="n">
        <v>1360.4758110046387</v>
      </c>
      <c r="O25" s="9" t="n">
        <v>0.0</v>
      </c>
      <c r="P25" s="9" t="n">
        <v>0.0</v>
      </c>
      <c r="Q25" s="9" t="n">
        <v>100.98445129394531</v>
      </c>
      <c r="R25" s="9" t="n">
        <v>12.818202018737793</v>
      </c>
      <c r="S25" s="9" t="n">
        <v>0.0</v>
      </c>
      <c r="T25" s="9" t="n">
        <v>0.0</v>
      </c>
      <c r="U25">
        <f si="1" t="shared"/>
        <v>14281.045417785645</v>
      </c>
    </row>
    <row r="26" spans="1:21" x14ac:dyDescent="0.25">
      <c r="A26" s="12">
        <v>0.47916666666666669</v>
      </c>
      <c r="B26" s="6" t="n">
        <v>8422.280798425658</v>
      </c>
      <c r="C26" s="6" t="n">
        <v>1623.0965113210275</v>
      </c>
      <c r="D26" s="6" t="n">
        <v>243.0915213800909</v>
      </c>
      <c r="E26" s="6" t="n">
        <v>461.31321973065735</v>
      </c>
      <c r="F26" s="6" t="n">
        <v>225.01833596660316</v>
      </c>
      <c r="G26" s="6" t="n">
        <v>27.460726255123774</v>
      </c>
      <c r="H26" s="6" t="n">
        <v>10.139642009946746</v>
      </c>
      <c r="I26" s="6" t="n">
        <v>0.0</v>
      </c>
      <c r="J26" s="6">
        <f si="0" t="shared"/>
        <v>13835.800656373578</v>
      </c>
      <c r="L26" s="12">
        <v>0.47916666666666669</v>
      </c>
      <c r="M26" s="9" t="n">
        <v>8205.000171661377</v>
      </c>
      <c r="N26" s="9" t="n">
        <v>1485.3742742538452</v>
      </c>
      <c r="O26" s="9" t="n">
        <v>0.0</v>
      </c>
      <c r="P26" s="9" t="n">
        <v>0.0</v>
      </c>
      <c r="Q26" s="9" t="n">
        <v>123.30443477630615</v>
      </c>
      <c r="R26" s="9" t="n">
        <v>15.165153503417969</v>
      </c>
      <c r="S26" s="9" t="n">
        <v>0.0</v>
      </c>
      <c r="T26" s="9" t="n">
        <v>0.0</v>
      </c>
      <c r="U26">
        <f si="1" t="shared"/>
        <v>15740.520081520081</v>
      </c>
    </row>
    <row r="27" spans="1:21" x14ac:dyDescent="0.25">
      <c r="A27" s="12">
        <v>0.5</v>
      </c>
      <c r="B27" s="6" t="n">
        <v>9446.787717440879</v>
      </c>
      <c r="C27" s="6" t="n">
        <v>1787.3422376541162</v>
      </c>
      <c r="D27" s="6" t="n">
        <v>285.14809768979626</v>
      </c>
      <c r="E27" s="6" t="n">
        <v>538.2333655851901</v>
      </c>
      <c r="F27" s="6" t="n">
        <v>282.5532326504141</v>
      </c>
      <c r="G27" s="6" t="n">
        <v>40.68861646716153</v>
      </c>
      <c r="H27" s="6" t="n">
        <v>13.522446461709794</v>
      </c>
      <c r="I27" s="6" t="n">
        <v>0.0</v>
      </c>
      <c r="J27" s="6">
        <f si="0" t="shared"/>
        <v>16013.849716941018</v>
      </c>
      <c r="L27" s="12">
        <v>0.5</v>
      </c>
      <c r="M27" s="9" t="n">
        <v>9605.767750740051</v>
      </c>
      <c r="N27" s="9" t="n">
        <v>1612.265112876892</v>
      </c>
      <c r="O27" s="9" t="n">
        <v>0.0</v>
      </c>
      <c r="P27" s="9" t="n">
        <v>0.0</v>
      </c>
      <c r="Q27" s="9" t="n">
        <v>150.94603824615479</v>
      </c>
      <c r="R27" s="9" t="n">
        <v>18.06352710723877</v>
      </c>
      <c r="S27" s="9" t="n">
        <v>0.0</v>
      </c>
      <c r="T27" s="9" t="n">
        <v>0.0</v>
      </c>
      <c r="U27">
        <f si="1" t="shared"/>
        <v>17136.678614616394</v>
      </c>
    </row>
    <row r="28" spans="1:21" x14ac:dyDescent="0.25">
      <c r="A28" s="12">
        <v>0.52083333333333337</v>
      </c>
      <c r="B28" s="6" t="n">
        <v>10722.29706683445</v>
      </c>
      <c r="C28" s="6" t="n">
        <v>1957.4075294119552</v>
      </c>
      <c r="D28" s="6" t="n">
        <v>305.4893242082642</v>
      </c>
      <c r="E28" s="6" t="n">
        <v>622.4534622171902</v>
      </c>
      <c r="F28" s="6" t="n">
        <v>337.3316032218582</v>
      </c>
      <c r="G28" s="6" t="n">
        <v>55.74520825701332</v>
      </c>
      <c r="H28" s="6" t="n">
        <v>14.901377756983232</v>
      </c>
      <c r="I28" s="6" t="n">
        <v>0.0</v>
      </c>
      <c r="J28" s="6">
        <f si="0" t="shared"/>
        <v>18327.870186367978</v>
      </c>
      <c r="L28" s="12">
        <v>0.52083333333333337</v>
      </c>
      <c r="M28" s="9" t="n">
        <v>11461.895433425903</v>
      </c>
      <c r="N28" s="9" t="n">
        <v>1778.99307346344</v>
      </c>
      <c r="O28" s="9" t="n">
        <v>0.0</v>
      </c>
      <c r="P28" s="9" t="n">
        <v>0.0</v>
      </c>
      <c r="Q28" s="9" t="n">
        <v>188.52878093719482</v>
      </c>
      <c r="R28" s="9" t="n">
        <v>22.3585262298584</v>
      </c>
      <c r="S28" s="9" t="n">
        <v>0.0</v>
      </c>
      <c r="T28" s="9" t="n">
        <v>0.0</v>
      </c>
      <c r="U28">
        <f si="1" t="shared"/>
        <v>18718.679928779602</v>
      </c>
    </row>
    <row r="29" spans="1:21" x14ac:dyDescent="0.25">
      <c r="A29" s="12">
        <v>0.54166666666666663</v>
      </c>
      <c r="B29" s="6" t="n">
        <v>12965.354998332281</v>
      </c>
      <c r="C29" s="6" t="n">
        <v>2203.730651090387</v>
      </c>
      <c r="D29" s="6" t="n">
        <v>296.60803070904694</v>
      </c>
      <c r="E29" s="6" t="n">
        <v>697.1166664612487</v>
      </c>
      <c r="F29" s="6" t="n">
        <v>387.6223208773695</v>
      </c>
      <c r="G29" s="6" t="n">
        <v>67.98025638861706</v>
      </c>
      <c r="H29" s="6" t="n">
        <v>13.702728629841396</v>
      </c>
      <c r="I29" s="6" t="n">
        <v>0.0</v>
      </c>
      <c r="J29" s="6">
        <f si="0" t="shared"/>
        <v>21309.182579226283</v>
      </c>
      <c r="L29" s="12">
        <v>0.54166666666666663</v>
      </c>
      <c r="M29" s="9" t="n">
        <v>14117.620809555054</v>
      </c>
      <c r="N29" s="9" t="n">
        <v>2027.0274276733398</v>
      </c>
      <c r="O29" s="9" t="n">
        <v>0.0</v>
      </c>
      <c r="P29" s="9" t="n">
        <v>0.0</v>
      </c>
      <c r="Q29" s="9" t="n">
        <v>242.5954132080078</v>
      </c>
      <c r="R29" s="9" t="n">
        <v>29.183624267578125</v>
      </c>
      <c r="S29" s="9" t="n">
        <v>0.0</v>
      </c>
      <c r="T29" s="9" t="n">
        <v>0.0</v>
      </c>
      <c r="U29">
        <f si="1" t="shared"/>
        <v>20891.656265258789</v>
      </c>
    </row>
    <row r="30" spans="1:21" x14ac:dyDescent="0.25">
      <c r="A30" s="12">
        <v>0.5625</v>
      </c>
      <c r="B30" s="6" t="n">
        <v>17053.17135262436</v>
      </c>
      <c r="C30" s="6" t="n">
        <v>2562.8366303246876</v>
      </c>
      <c r="D30" s="6" t="n">
        <v>259.27849984751003</v>
      </c>
      <c r="E30" s="6" t="n">
        <v>748.765797550014</v>
      </c>
      <c r="F30" s="6" t="n">
        <v>435.4603768778668</v>
      </c>
      <c r="G30" s="6" t="n">
        <v>71.72144448572314</v>
      </c>
      <c r="H30" s="6" t="n">
        <v>10.931503363151128</v>
      </c>
      <c r="I30" s="6" t="n">
        <v>0.0</v>
      </c>
      <c r="J30" s="6">
        <f si="0" t="shared"/>
        <v>25608.410582864373</v>
      </c>
      <c r="L30" s="12">
        <v>0.5625</v>
      </c>
      <c r="M30" s="9" t="n">
        <v>17987.726999282837</v>
      </c>
      <c r="N30" s="9" t="n">
        <v>2394.730101585388</v>
      </c>
      <c r="O30" s="9" t="n">
        <v>0.0</v>
      </c>
      <c r="P30" s="9" t="n">
        <v>0.0</v>
      </c>
      <c r="Q30" s="9" t="n">
        <v>320.51506519317627</v>
      </c>
      <c r="R30" s="9" t="n">
        <v>39.74522113800049</v>
      </c>
      <c r="S30" s="9" t="n">
        <v>0.0</v>
      </c>
      <c r="T30" s="9" t="n">
        <v>0.0</v>
      </c>
      <c r="U30">
        <f si="1" t="shared"/>
        <v>24164.803900718689</v>
      </c>
    </row>
    <row r="31" spans="1:21" x14ac:dyDescent="0.25">
      <c r="A31" s="12">
        <v>0.58333333333333337</v>
      </c>
      <c r="B31" s="6" t="n">
        <v>23719.609550508725</v>
      </c>
      <c r="C31" s="6" t="n">
        <v>3003.779128038311</v>
      </c>
      <c r="D31" s="6" t="n">
        <v>204.6262018100466</v>
      </c>
      <c r="E31" s="6" t="n">
        <v>779.4440771010709</v>
      </c>
      <c r="F31" s="6" t="n">
        <v>480.90169604472266</v>
      </c>
      <c r="G31" s="6" t="n">
        <v>64.73974997043643</v>
      </c>
      <c r="H31" s="6" t="n">
        <v>8.819187956823884</v>
      </c>
      <c r="I31" s="6" t="n">
        <v>0.0</v>
      </c>
      <c r="J31" s="6">
        <f si="0" t="shared"/>
        <v>31596.738232801774</v>
      </c>
      <c r="L31" s="12">
        <v>0.58333333333333337</v>
      </c>
      <c r="M31" s="9" t="n">
        <v>23423.345542907715</v>
      </c>
      <c r="N31" s="9" t="n">
        <v>2900.775128364563</v>
      </c>
      <c r="O31" s="9" t="n">
        <v>0.0</v>
      </c>
      <c r="P31" s="9" t="n">
        <v>0.0</v>
      </c>
      <c r="Q31" s="9" t="n">
        <v>427.26822090148926</v>
      </c>
      <c r="R31" s="9" t="n">
        <v>54.90767765045166</v>
      </c>
      <c r="S31" s="9" t="n">
        <v>0.0</v>
      </c>
      <c r="T31" s="9" t="n">
        <v>0.0</v>
      </c>
      <c r="U31">
        <f si="1" t="shared"/>
        <v>28981.540374755859</v>
      </c>
    </row>
    <row r="32" spans="1:21" x14ac:dyDescent="0.25">
      <c r="A32" s="12">
        <v>0.60416666666666663</v>
      </c>
      <c r="B32" s="6" t="n">
        <v>33141.463375246894</v>
      </c>
      <c r="C32" s="6" t="n">
        <v>3440.128464989038</v>
      </c>
      <c r="D32" s="6" t="n">
        <v>150.36383972175508</v>
      </c>
      <c r="E32" s="6" t="n">
        <v>807.165102239776</v>
      </c>
      <c r="F32" s="6" t="n">
        <v>520.3132538986615</v>
      </c>
      <c r="G32" s="6" t="n">
        <v>50.98511683498245</v>
      </c>
      <c r="H32" s="6" t="n">
        <v>9.69652303120525</v>
      </c>
      <c r="I32" s="6" t="n">
        <v>0.0</v>
      </c>
      <c r="J32" s="6">
        <f si="0" t="shared"/>
        <v>39073.784011511416</v>
      </c>
      <c r="L32" s="12">
        <v>0.60416666666666663</v>
      </c>
      <c r="M32" s="9" t="n">
        <v>30449.644639015198</v>
      </c>
      <c r="N32" s="9" t="n">
        <v>3518.7678117752075</v>
      </c>
      <c r="O32" s="9" t="n">
        <v>0.0</v>
      </c>
      <c r="P32" s="9" t="n">
        <v>0.0</v>
      </c>
      <c r="Q32" s="9" t="n">
        <v>560.4416761398315</v>
      </c>
      <c r="R32" s="9" t="n">
        <v>74.60075283050537</v>
      </c>
      <c r="S32" s="9" t="n">
        <v>0.0</v>
      </c>
      <c r="T32" s="9" t="n">
        <v>0.0</v>
      </c>
      <c r="U32">
        <f si="1" t="shared"/>
        <v>35439.861526489258</v>
      </c>
    </row>
    <row r="33" spans="1:21" x14ac:dyDescent="0.25">
      <c r="A33" s="12">
        <v>0.625</v>
      </c>
      <c r="B33" s="6" t="n">
        <v>44539.523896810526</v>
      </c>
      <c r="C33" s="6" t="n">
        <v>3776.923594089327</v>
      </c>
      <c r="D33" s="6" t="n">
        <v>112.75102010650491</v>
      </c>
      <c r="E33" s="6" t="n">
        <v>851.0846628834979</v>
      </c>
      <c r="F33" s="6" t="n">
        <v>551.7654841634378</v>
      </c>
      <c r="G33" s="6" t="n">
        <v>38.44698279108947</v>
      </c>
      <c r="H33" s="6" t="n">
        <v>14.697998367508655</v>
      </c>
      <c r="I33" s="6" t="n">
        <v>0.0</v>
      </c>
      <c r="J33" s="6">
        <f si="0" t="shared"/>
        <v>47222.513689360603</v>
      </c>
      <c r="L33" s="12">
        <v>0.625</v>
      </c>
      <c r="M33" s="9" t="n">
        <v>38496.30296421051</v>
      </c>
      <c r="N33" s="9" t="n">
        <v>4161.911531448364</v>
      </c>
      <c r="O33" s="9" t="n">
        <v>0.0</v>
      </c>
      <c r="P33" s="9" t="n">
        <v>0.0</v>
      </c>
      <c r="Q33" s="9" t="n">
        <v>706.2664527893066</v>
      </c>
      <c r="R33" s="9" t="n">
        <v>97.30041217803955</v>
      </c>
      <c r="S33" s="9" t="n">
        <v>0.0</v>
      </c>
      <c r="T33" s="9" t="n">
        <v>0.0</v>
      </c>
      <c r="U33">
        <f si="1" t="shared"/>
        <v>43022.911829948425</v>
      </c>
    </row>
    <row r="34" spans="1:21" x14ac:dyDescent="0.25">
      <c r="A34" s="12">
        <v>0.64583333333333337</v>
      </c>
      <c r="B34" s="6" t="n">
        <v>56036.77118531698</v>
      </c>
      <c r="C34" s="6" t="n">
        <v>3957.2237923790535</v>
      </c>
      <c r="D34" s="6" t="n">
        <v>99.3222539599588</v>
      </c>
      <c r="E34" s="6" t="n">
        <v>913.3369332365505</v>
      </c>
      <c r="F34" s="6" t="n">
        <v>579.4010350744383</v>
      </c>
      <c r="G34" s="6" t="n">
        <v>33.7448683942601</v>
      </c>
      <c r="H34" s="6" t="n">
        <v>22.83655428954059</v>
      </c>
      <c r="I34" s="6" t="n">
        <v>0.0</v>
      </c>
      <c r="J34" s="6">
        <f si="0" t="shared"/>
        <v>54720.08941858451</v>
      </c>
      <c r="L34" s="12">
        <v>0.64583333333333337</v>
      </c>
      <c r="M34" s="9" t="n">
        <v>46315.16115093231</v>
      </c>
      <c r="N34" s="9" t="n">
        <v>4697.334952354431</v>
      </c>
      <c r="O34" s="9" t="n">
        <v>0.0</v>
      </c>
      <c r="P34" s="9" t="n">
        <v>0.0</v>
      </c>
      <c r="Q34" s="9" t="n">
        <v>840.3150234222412</v>
      </c>
      <c r="R34" s="9" t="n">
        <v>119.96812057495117</v>
      </c>
      <c r="S34" s="9" t="n">
        <v>0.0</v>
      </c>
      <c r="T34" s="9" t="n">
        <v>0.0</v>
      </c>
      <c r="U34">
        <f si="1" t="shared"/>
        <v>50511.961960792542</v>
      </c>
    </row>
    <row r="35" spans="1:21" x14ac:dyDescent="0.25">
      <c r="A35" s="12">
        <v>0.66666666666666663</v>
      </c>
      <c r="B35" s="6" t="n">
        <v>65022.18016123236</v>
      </c>
      <c r="C35" s="6" t="n">
        <v>3973.7788909208616</v>
      </c>
      <c r="D35" s="6" t="n">
        <v>106.2173513850278</v>
      </c>
      <c r="E35" s="6" t="n">
        <v>974.3814130341519</v>
      </c>
      <c r="F35" s="6" t="n">
        <v>608.6677848522676</v>
      </c>
      <c r="G35" s="6" t="n">
        <v>38.13968834871857</v>
      </c>
      <c r="H35" s="6" t="n">
        <v>31.114490487093605</v>
      </c>
      <c r="I35" s="6" t="n">
        <v>0.0</v>
      </c>
      <c r="J35" s="6">
        <f si="0" t="shared"/>
        <v>59902.406624581519</v>
      </c>
      <c r="L35" s="12">
        <v>0.66666666666666663</v>
      </c>
      <c r="M35" s="9" t="n">
        <v>52212.18834018707</v>
      </c>
      <c r="N35" s="9" t="n">
        <v>4988.765908241272</v>
      </c>
      <c r="O35" s="9" t="n">
        <v>0.0</v>
      </c>
      <c r="P35" s="9" t="n">
        <v>0.0</v>
      </c>
      <c r="Q35" s="9" t="n">
        <v>933.991870880127</v>
      </c>
      <c r="R35" s="9" t="n">
        <v>138.66622638702393</v>
      </c>
      <c r="S35" s="9" t="n">
        <v>0.0</v>
      </c>
      <c r="T35" s="9" t="n">
        <v>0.0</v>
      </c>
      <c r="U35">
        <f si="1" t="shared"/>
        <v>56198.907165527344</v>
      </c>
    </row>
    <row r="36" spans="1:21" x14ac:dyDescent="0.25">
      <c r="A36" s="12">
        <v>0.6875</v>
      </c>
      <c r="B36" s="6" t="n">
        <v>69043.35024910935</v>
      </c>
      <c r="C36" s="6" t="n">
        <v>3842.501332006329</v>
      </c>
      <c r="D36" s="6" t="n">
        <v>120.90937405776282</v>
      </c>
      <c r="E36" s="6" t="n">
        <v>1005.3089952520069</v>
      </c>
      <c r="F36" s="6" t="n">
        <v>637.161075355167</v>
      </c>
      <c r="G36" s="6" t="n">
        <v>48.11724845916791</v>
      </c>
      <c r="H36" s="6" t="n">
        <v>36.23063826091237</v>
      </c>
      <c r="I36" s="6" t="n">
        <v>0.0</v>
      </c>
      <c r="J36" s="6">
        <f si="0" t="shared"/>
        <v>61112.567965118964</v>
      </c>
      <c r="L36" s="12">
        <v>0.6875</v>
      </c>
      <c r="M36" s="9" t="n">
        <v>54573.07642555237</v>
      </c>
      <c r="N36" s="9" t="n">
        <v>4945.986190795898</v>
      </c>
      <c r="O36" s="9" t="n">
        <v>0.0</v>
      </c>
      <c r="P36" s="9" t="n">
        <v>0.0</v>
      </c>
      <c r="Q36" s="9" t="n">
        <v>964.2942314147949</v>
      </c>
      <c r="R36" s="9" t="n">
        <v>149.7063331604004</v>
      </c>
      <c r="S36" s="9" t="n">
        <v>0.0</v>
      </c>
      <c r="T36" s="9" t="n">
        <v>0.0</v>
      </c>
      <c r="U36">
        <f si="1" t="shared"/>
        <v>58399.544882774353</v>
      </c>
    </row>
    <row r="37" spans="1:21" x14ac:dyDescent="0.25">
      <c r="A37" s="12">
        <v>0.70833333333333337</v>
      </c>
      <c r="B37" s="6" t="n">
        <v>66861.65587322379</v>
      </c>
      <c r="C37" s="6" t="n">
        <v>3572.7807021471735</v>
      </c>
      <c r="D37" s="6" t="n">
        <v>129.03141034803244</v>
      </c>
      <c r="E37" s="6" t="n">
        <v>984.1036016116338</v>
      </c>
      <c r="F37" s="6" t="n">
        <v>654.0436447128266</v>
      </c>
      <c r="G37" s="6" t="n">
        <v>59.63319068675607</v>
      </c>
      <c r="H37" s="6" t="n">
        <v>37.173137149562685</v>
      </c>
      <c r="I37" s="6" t="n">
        <v>0.0</v>
      </c>
      <c r="J37" s="6">
        <f si="0" t="shared"/>
        <v>57389.228482771752</v>
      </c>
      <c r="L37" s="12">
        <v>0.70833333333333337</v>
      </c>
      <c r="M37" s="9" t="n">
        <v>52509.18409156799</v>
      </c>
      <c r="N37" s="9" t="n">
        <v>4558.373466491699</v>
      </c>
      <c r="O37" s="9" t="n">
        <v>0.0</v>
      </c>
      <c r="P37" s="9" t="n">
        <v>0.0</v>
      </c>
      <c r="Q37" s="9" t="n">
        <v>922.5365781784058</v>
      </c>
      <c r="R37" s="9" t="n">
        <v>150.90996551513672</v>
      </c>
      <c r="S37" s="9" t="n">
        <v>0.0</v>
      </c>
      <c r="T37" s="9" t="n">
        <v>0.0</v>
      </c>
      <c r="U37">
        <f si="1" t="shared"/>
        <v>56126.51713848114</v>
      </c>
    </row>
    <row r="38" spans="1:21" x14ac:dyDescent="0.25">
      <c r="A38" s="12">
        <v>0.72916666666666663</v>
      </c>
      <c r="B38" s="6" t="n">
        <v>59055.46880775191</v>
      </c>
      <c r="C38" s="6" t="n">
        <v>3171.4739134766323</v>
      </c>
      <c r="D38" s="6" t="n">
        <v>121.96822683415753</v>
      </c>
      <c r="E38" s="6" t="n">
        <v>902.9726547880227</v>
      </c>
      <c r="F38" s="6" t="n">
        <v>651.6150167872266</v>
      </c>
      <c r="G38" s="6" t="n">
        <v>72.10458611756074</v>
      </c>
      <c r="H38" s="6" t="n">
        <v>36.42010775593245</v>
      </c>
      <c r="I38" s="6" t="n">
        <v>0.0</v>
      </c>
      <c r="J38" s="6">
        <f si="0" t="shared"/>
        <v>49197.60253810633</v>
      </c>
      <c r="L38" s="12">
        <v>0.72916666666666663</v>
      </c>
      <c r="M38" s="9" t="n">
        <v>46324.02434062958</v>
      </c>
      <c r="N38" s="9" t="n">
        <v>3900.7864332199097</v>
      </c>
      <c r="O38" s="9" t="n">
        <v>0.0</v>
      </c>
      <c r="P38" s="9" t="n">
        <v>0.0</v>
      </c>
      <c r="Q38" s="9" t="n">
        <v>818.282060623169</v>
      </c>
      <c r="R38" s="9" t="n">
        <v>142.4693784713745</v>
      </c>
      <c r="S38" s="9" t="n">
        <v>0.0</v>
      </c>
      <c r="T38" s="9" t="n">
        <v>0.0</v>
      </c>
      <c r="U38">
        <f si="1" t="shared"/>
        <v>49619.307465553284</v>
      </c>
    </row>
    <row r="39" spans="1:21" x14ac:dyDescent="0.25">
      <c r="A39" s="12">
        <v>0.75</v>
      </c>
      <c r="B39" s="6" t="n">
        <v>47755.20551409466</v>
      </c>
      <c r="C39" s="6" t="n">
        <v>2673.6241948778124</v>
      </c>
      <c r="D39" s="6" t="n">
        <v>100.54197009688593</v>
      </c>
      <c r="E39" s="6" t="n">
        <v>767.6302597344041</v>
      </c>
      <c r="F39" s="6" t="n">
        <v>636.3131024498646</v>
      </c>
      <c r="G39" s="6" t="n">
        <v>88.54567844761783</v>
      </c>
      <c r="H39" s="6" t="n">
        <v>37.970098412180626</v>
      </c>
      <c r="I39" s="6" t="n">
        <v>0.0</v>
      </c>
      <c r="J39" s="6">
        <f si="0" t="shared"/>
        <v>38507.498471663159</v>
      </c>
      <c r="L39" s="12">
        <v>0.75</v>
      </c>
      <c r="M39" s="9" t="n">
        <v>37490.43428897858</v>
      </c>
      <c r="N39" s="9" t="n">
        <v>3109.5029344558716</v>
      </c>
      <c r="O39" s="9" t="n">
        <v>0.0</v>
      </c>
      <c r="P39" s="9" t="n">
        <v>0.0</v>
      </c>
      <c r="Q39" s="9" t="n">
        <v>676.4477386474609</v>
      </c>
      <c r="R39" s="9" t="n">
        <v>126.96615695953369</v>
      </c>
      <c r="S39" s="9" t="n">
        <v>0.0</v>
      </c>
      <c r="T39" s="9" t="n">
        <v>0.0</v>
      </c>
      <c r="U39">
        <f si="1" t="shared"/>
        <v>40369.47892665863</v>
      </c>
    </row>
    <row r="40" spans="1:21" x14ac:dyDescent="0.25">
      <c r="A40" s="12">
        <v>0.77083333333333337</v>
      </c>
      <c r="B40" s="6" t="n">
        <v>35665.43304100548</v>
      </c>
      <c r="C40" s="6" t="n">
        <v>2155.555977877517</v>
      </c>
      <c r="D40" s="6" t="n">
        <v>72.54392745343299</v>
      </c>
      <c r="E40" s="6" t="n">
        <v>596.0526039506051</v>
      </c>
      <c r="F40" s="6" t="n">
        <v>625.1883952433437</v>
      </c>
      <c r="G40" s="6" t="n">
        <v>111.82198830899968</v>
      </c>
      <c r="H40" s="6" t="n">
        <v>43.43064003272666</v>
      </c>
      <c r="I40" s="6" t="n">
        <v>0.0</v>
      </c>
      <c r="J40" s="6">
        <f si="0" t="shared"/>
        <v>27905.614467520718</v>
      </c>
      <c r="L40" s="12">
        <v>0.77083333333333337</v>
      </c>
      <c r="M40" s="9" t="n">
        <v>28060.787035942078</v>
      </c>
      <c r="N40" s="9" t="n">
        <v>2335.0828256607056</v>
      </c>
      <c r="O40" s="9" t="n">
        <v>0.0</v>
      </c>
      <c r="P40" s="9" t="n">
        <v>0.0</v>
      </c>
      <c r="Q40" s="9" t="n">
        <v>528.2402992248535</v>
      </c>
      <c r="R40" s="9" t="n">
        <v>108.41329765319824</v>
      </c>
      <c r="S40" s="9" t="n">
        <v>0.0</v>
      </c>
      <c r="T40" s="9" t="n">
        <v>0.0</v>
      </c>
      <c r="U40">
        <f si="1" t="shared"/>
        <v>30511.816082000732</v>
      </c>
    </row>
    <row r="41" spans="1:21" x14ac:dyDescent="0.25">
      <c r="A41" s="12">
        <v>0.79166666666666663</v>
      </c>
      <c r="B41" s="6" t="n">
        <v>24994.923007303092</v>
      </c>
      <c r="C41" s="6" t="n">
        <v>1704.4295859048261</v>
      </c>
      <c r="D41" s="6" t="n">
        <v>46.9889563101364</v>
      </c>
      <c r="E41" s="6" t="n">
        <v>416.7949403781838</v>
      </c>
      <c r="F41" s="6" t="n">
        <v>630.8367613807313</v>
      </c>
      <c r="G41" s="6" t="n">
        <v>140.6771404051787</v>
      </c>
      <c r="H41" s="6" t="n">
        <v>49.882778374535015</v>
      </c>
      <c r="I41" s="6" t="n">
        <v>0.0</v>
      </c>
      <c r="J41" s="6">
        <f si="0" t="shared"/>
        <v>19336.73848862699</v>
      </c>
      <c r="L41" s="12">
        <v>0.79166666666666663</v>
      </c>
      <c r="M41" s="9" t="n">
        <v>19819.592056274414</v>
      </c>
      <c r="N41" s="9" t="n">
        <v>1691.5701322555542</v>
      </c>
      <c r="O41" s="9" t="n">
        <v>0.0</v>
      </c>
      <c r="P41" s="9" t="n">
        <v>0.0</v>
      </c>
      <c r="Q41" s="9" t="n">
        <v>399.9369306564331</v>
      </c>
      <c r="R41" s="9" t="n">
        <v>90.73409843444824</v>
      </c>
      <c r="S41" s="9" t="n">
        <v>0.0</v>
      </c>
      <c r="T41" s="9" t="n">
        <v>0.0</v>
      </c>
      <c r="U41">
        <f si="1" t="shared"/>
        <v>21904.073138237</v>
      </c>
    </row>
    <row r="42" spans="1:21" x14ac:dyDescent="0.25">
      <c r="A42" s="12">
        <v>0.8125</v>
      </c>
      <c r="B42" s="6" t="n">
        <v>16874.420379541167</v>
      </c>
      <c r="C42" s="6" t="n">
        <v>1369.9667052738614</v>
      </c>
      <c r="D42" s="6" t="n">
        <v>30.13256915429478</v>
      </c>
      <c r="E42" s="6" t="n">
        <v>261.34792359707905</v>
      </c>
      <c r="F42" s="6" t="n">
        <v>651.0162408719991</v>
      </c>
      <c r="G42" s="6" t="n">
        <v>169.14479865175483</v>
      </c>
      <c r="H42" s="6" t="n">
        <v>51.96211585982432</v>
      </c>
      <c r="I42" s="6" t="n">
        <v>0.0</v>
      </c>
      <c r="J42" s="6">
        <f si="0" t="shared"/>
        <v>13431.312052158519</v>
      </c>
      <c r="L42" s="12">
        <v>0.8125</v>
      </c>
      <c r="M42" s="9" t="n">
        <v>13686.863238334656</v>
      </c>
      <c r="N42" s="9" t="n">
        <v>1227.0220136642456</v>
      </c>
      <c r="O42" s="9" t="n">
        <v>0.0</v>
      </c>
      <c r="P42" s="9" t="n">
        <v>0.0</v>
      </c>
      <c r="Q42" s="9" t="n">
        <v>305.20940113067627</v>
      </c>
      <c r="R42" s="9" t="n">
        <v>76.5011739730835</v>
      </c>
      <c r="S42" s="9" t="n">
        <v>0.0</v>
      </c>
      <c r="T42" s="9" t="n">
        <v>0.0</v>
      </c>
      <c r="U42">
        <f si="1" t="shared"/>
        <v>15475.646414756775</v>
      </c>
    </row>
    <row r="43" spans="1:21" x14ac:dyDescent="0.25">
      <c r="A43" s="12">
        <v>0.83333333333333337</v>
      </c>
      <c r="B43" s="6" t="n">
        <v>11403.103416129325</v>
      </c>
      <c r="C43" s="6" t="n">
        <v>1144.1739057118778</v>
      </c>
      <c r="D43" s="6" t="n">
        <v>25.17861187004319</v>
      </c>
      <c r="E43" s="6" t="n">
        <v>151.86687624725812</v>
      </c>
      <c r="F43" s="6" t="n">
        <v>671.7513594063993</v>
      </c>
      <c r="G43" s="6" t="n">
        <v>189.4859227381311</v>
      </c>
      <c r="H43" s="6" t="n">
        <v>46.38540842696755</v>
      </c>
      <c r="I43" s="6" t="n">
        <v>0.0</v>
      </c>
      <c r="J43" s="6">
        <f si="0" t="shared"/>
        <v>9762.9527216207971</v>
      </c>
      <c r="L43" s="12">
        <v>0.83333333333333337</v>
      </c>
      <c r="M43" s="9" t="n">
        <v>9671.087376594543</v>
      </c>
      <c r="N43" s="9" t="n">
        <v>927.9632024765015</v>
      </c>
      <c r="O43" s="9" t="n">
        <v>0.0</v>
      </c>
      <c r="P43" s="9" t="n">
        <v>0.0</v>
      </c>
      <c r="Q43" s="9" t="n">
        <v>244.46704483032227</v>
      </c>
      <c r="R43" s="9" t="n">
        <v>66.56881523132324</v>
      </c>
      <c r="S43" s="9" t="n">
        <v>0.0</v>
      </c>
      <c r="T43" s="9" t="n">
        <v>0.0</v>
      </c>
      <c r="U43">
        <f si="1" t="shared"/>
        <v>11194.350867271423</v>
      </c>
    </row>
    <row r="44" spans="1:21" x14ac:dyDescent="0.25">
      <c r="A44" s="12">
        <v>0.85416666666666663</v>
      </c>
      <c r="B44" s="6" t="n">
        <v>8067.479993469411</v>
      </c>
      <c r="C44" s="6" t="n">
        <v>982.9922825938713</v>
      </c>
      <c r="D44" s="6" t="n">
        <v>33.34964047455627</v>
      </c>
      <c r="E44" s="6" t="n">
        <v>93.39778791564918</v>
      </c>
      <c r="F44" s="6" t="n">
        <v>676.8273502479558</v>
      </c>
      <c r="G44" s="6" t="n">
        <v>195.97947110666237</v>
      </c>
      <c r="H44" s="6" t="n">
        <v>34.59237846139594</v>
      </c>
      <c r="I44" s="6" t="n">
        <v>0.0</v>
      </c>
      <c r="J44" s="6">
        <f si="0" t="shared"/>
        <v>7552.5017174963623</v>
      </c>
      <c r="L44" s="12">
        <v>0.85416666666666663</v>
      </c>
      <c r="M44" s="9" t="n">
        <v>7250.284598350525</v>
      </c>
      <c r="N44" s="9" t="n">
        <v>748.0505046844482</v>
      </c>
      <c r="O44" s="9" t="n">
        <v>0.0</v>
      </c>
      <c r="P44" s="9" t="n">
        <v>0.0</v>
      </c>
      <c r="Q44" s="9" t="n">
        <v>209.92622661590576</v>
      </c>
      <c r="R44" s="9" t="n">
        <v>60.52652454376221</v>
      </c>
      <c r="S44" s="9" t="n">
        <v>0.0</v>
      </c>
      <c r="T44" s="9" t="n">
        <v>0.0</v>
      </c>
      <c r="U44">
        <f si="1" t="shared"/>
        <v>8504.1739702224731</v>
      </c>
    </row>
    <row r="45" spans="1:21" x14ac:dyDescent="0.25">
      <c r="A45" s="12">
        <v>0.875</v>
      </c>
      <c r="B45" s="6" t="n">
        <v>6185.0012511419845</v>
      </c>
      <c r="C45" s="6" t="n">
        <v>843.3407122348142</v>
      </c>
      <c r="D45" s="6" t="n">
        <v>53.34033293147607</v>
      </c>
      <c r="E45" s="6" t="n">
        <v>75.80425239105338</v>
      </c>
      <c r="F45" s="6" t="n">
        <v>653.98449796809</v>
      </c>
      <c r="G45" s="6" t="n">
        <v>187.10698632993027</v>
      </c>
      <c r="H45" s="6" t="n">
        <v>21.253378643354367</v>
      </c>
      <c r="I45" s="6" t="n">
        <v>0.0</v>
      </c>
      <c r="J45" s="6">
        <f si="0" t="shared"/>
        <v>6166.6921444713971</v>
      </c>
      <c r="L45" s="12">
        <v>0.875</v>
      </c>
      <c r="M45" s="9" t="n">
        <v>5818.414452552795</v>
      </c>
      <c r="N45" s="9" t="n">
        <v>638.5237255096436</v>
      </c>
      <c r="O45" s="9" t="n">
        <v>0.0</v>
      </c>
      <c r="P45" s="9" t="n">
        <v>0.0</v>
      </c>
      <c r="Q45" s="9" t="n">
        <v>191.82746505737305</v>
      </c>
      <c r="R45" s="9" t="n">
        <v>57.3414249420166</v>
      </c>
      <c r="S45" s="9" t="n">
        <v>0.0</v>
      </c>
      <c r="T45" s="9" t="n">
        <v>0.0</v>
      </c>
      <c r="U45">
        <f si="1" t="shared"/>
        <v>6806.7156839370728</v>
      </c>
    </row>
    <row r="46" spans="1:21" x14ac:dyDescent="0.25">
      <c r="A46" s="12">
        <v>0.89583333333333337</v>
      </c>
      <c r="B46" s="6" t="n">
        <v>5164.805296353294</v>
      </c>
      <c r="C46" s="6" t="n">
        <v>704.0197427279386</v>
      </c>
      <c r="D46" s="6" t="n">
        <v>79.33310535278831</v>
      </c>
      <c r="E46" s="6" t="n">
        <v>81.36805539412532</v>
      </c>
      <c r="F46" s="6" t="n">
        <v>597.5075525539918</v>
      </c>
      <c r="G46" s="6" t="n">
        <v>165.4493557488198</v>
      </c>
      <c r="H46" s="6" t="n">
        <v>10.622474961588754</v>
      </c>
      <c r="I46" s="6" t="n">
        <v>0.0</v>
      </c>
      <c r="J46" s="6">
        <f si="0" t="shared"/>
        <v>5207.3446675772166</v>
      </c>
      <c r="L46" s="12">
        <v>0.89583333333333337</v>
      </c>
      <c r="M46" s="9" t="n">
        <v>4925.6577615737915</v>
      </c>
      <c r="N46" s="9" t="n">
        <v>563.8518934249878</v>
      </c>
      <c r="O46" s="9" t="n">
        <v>0.0</v>
      </c>
      <c r="P46" s="9" t="n">
        <v>0.0</v>
      </c>
      <c r="Q46" s="9" t="n">
        <v>181.89747619628906</v>
      </c>
      <c r="R46" s="9" t="n">
        <v>55.66695690155029</v>
      </c>
      <c r="S46" s="9" t="n">
        <v>0.0</v>
      </c>
      <c r="T46" s="9" t="n">
        <v>0.0</v>
      </c>
      <c r="U46">
        <f si="1" t="shared"/>
        <v>5685.6370115280151</v>
      </c>
    </row>
    <row r="47" spans="1:21" x14ac:dyDescent="0.25">
      <c r="A47" s="12">
        <v>0.91666666666666663</v>
      </c>
      <c r="B47" s="6" t="n">
        <v>4567.710665522706</v>
      </c>
      <c r="C47" s="6" t="n">
        <v>563.682753968699</v>
      </c>
      <c r="D47" s="6" t="n">
        <v>100.97373701987304</v>
      </c>
      <c r="E47" s="6" t="n">
        <v>92.01179193989013</v>
      </c>
      <c r="F47" s="6" t="n">
        <v>510.55269092544376</v>
      </c>
      <c r="G47" s="6" t="n">
        <v>135.97145125318553</v>
      </c>
      <c r="H47" s="6" t="n">
        <v>4.248664674899997</v>
      </c>
      <c r="I47" s="6" t="n">
        <v>0.0</v>
      </c>
      <c r="J47" s="6">
        <f si="0" t="shared"/>
        <v>4410.079269713704</v>
      </c>
      <c r="L47" s="12">
        <v>0.91666666666666663</v>
      </c>
      <c r="M47" s="9" t="n">
        <v>4291.385081291199</v>
      </c>
      <c r="N47" s="9" t="n">
        <v>501.7654790878296</v>
      </c>
      <c r="O47" s="9" t="n">
        <v>0.0</v>
      </c>
      <c r="P47" s="9" t="n">
        <v>0.0</v>
      </c>
      <c r="Q47" s="9" t="n">
        <v>173.56665515899658</v>
      </c>
      <c r="R47" s="9" t="n">
        <v>53.88292121887207</v>
      </c>
      <c r="S47" s="9" t="n">
        <v>0.0</v>
      </c>
      <c r="T47" s="9" t="n">
        <v>0.0</v>
      </c>
      <c r="U47">
        <f si="1" t="shared"/>
        <v>4881.0871171951294</v>
      </c>
    </row>
    <row r="48" spans="1:21" x14ac:dyDescent="0.25">
      <c r="A48" s="12">
        <v>0.9375</v>
      </c>
      <c r="B48" s="6" t="n">
        <v>4074.0026280249695</v>
      </c>
      <c r="C48" s="6" t="n">
        <v>429.31785901530816</v>
      </c>
      <c r="D48" s="6" t="n">
        <v>107.8575755446814</v>
      </c>
      <c r="E48" s="6" t="n">
        <v>94.46035291193635</v>
      </c>
      <c r="F48" s="6" t="n">
        <v>405.40707819800133</v>
      </c>
      <c r="G48" s="6" t="n">
        <v>103.93384144139834</v>
      </c>
      <c r="H48" s="6" t="n">
        <v>1.3276959491298839</v>
      </c>
      <c r="I48" s="6" t="n">
        <v>0.0</v>
      </c>
      <c r="J48" s="6">
        <f si="0" t="shared"/>
        <v>3597.0592915837483</v>
      </c>
      <c r="L48" s="12">
        <v>0.9375</v>
      </c>
      <c r="M48" s="9" t="n">
        <v>3730.840615272522</v>
      </c>
      <c r="N48" s="9" t="n">
        <v>437.83095932006836</v>
      </c>
      <c r="O48" s="9" t="n">
        <v>0.0</v>
      </c>
      <c r="P48" s="9" t="n">
        <v>0.0</v>
      </c>
      <c r="Q48" s="9" t="n">
        <v>161.2863883972168</v>
      </c>
      <c r="R48" s="9" t="n">
        <v>50.32036304473877</v>
      </c>
      <c r="S48" s="9" t="n">
        <v>0.0</v>
      </c>
      <c r="T48" s="9" t="n">
        <v>0.0</v>
      </c>
      <c r="U48">
        <f si="1" t="shared"/>
        <v>4198.4584665298462</v>
      </c>
    </row>
    <row r="49" spans="1:21" x14ac:dyDescent="0.25">
      <c r="A49" s="12">
        <v>0.95833333333333337</v>
      </c>
      <c r="B49" s="6" t="n">
        <v>3475.6236198049237</v>
      </c>
      <c r="C49" s="6" t="n">
        <v>308.16904787317105</v>
      </c>
      <c r="D49" s="6" t="n">
        <v>96.10355113927795</v>
      </c>
      <c r="E49" s="6" t="n">
        <v>83.61278390307089</v>
      </c>
      <c r="F49" s="6" t="n">
        <v>298.6242452870483</v>
      </c>
      <c r="G49" s="6" t="n">
        <v>73.53952624724327</v>
      </c>
      <c r="H49" s="6" t="n">
        <v>0.31239904685409037</v>
      </c>
      <c r="I49" s="6" t="n">
        <v>0.0</v>
      </c>
      <c r="J49" s="6">
        <f si="0" t="shared"/>
        <v>2712.1774771321643</v>
      </c>
      <c r="L49" s="12">
        <v>0.95833333333333337</v>
      </c>
      <c r="M49" s="9" t="n">
        <v>3121.271363258362</v>
      </c>
      <c r="N49" s="9" t="n">
        <v>363.61484241485596</v>
      </c>
      <c r="O49" s="9" t="n">
        <v>0.0</v>
      </c>
      <c r="P49" s="9" t="n">
        <v>0.0</v>
      </c>
      <c r="Q49" s="9" t="n">
        <v>141.20154666900635</v>
      </c>
      <c r="R49" s="9" t="n">
        <v>43.89253234863281</v>
      </c>
      <c r="S49" s="9" t="n">
        <v>0.0</v>
      </c>
      <c r="T49" s="9" t="n">
        <v>0.0</v>
      </c>
      <c r="U49">
        <f si="1" t="shared"/>
        <v>3488.9670705795288</v>
      </c>
    </row>
    <row r="50" spans="1:21" x14ac:dyDescent="0.25">
      <c r="A50" s="12">
        <v>0.97916666666666663</v>
      </c>
      <c r="B50" s="6" t="n">
        <v>2711.0324861994886</v>
      </c>
      <c r="C50" s="6" t="n">
        <v>205.564606476192</v>
      </c>
      <c r="D50" s="6" t="n">
        <v>71.06797413731543</v>
      </c>
      <c r="E50" s="6" t="n">
        <v>62.7505774105891</v>
      </c>
      <c r="F50" s="6" t="n">
        <v>203.8883016264325</v>
      </c>
      <c r="G50" s="6" t="n">
        <v>47.602468889369646</v>
      </c>
      <c r="H50" s="6" t="n">
        <v>0.052066507809015054</v>
      </c>
      <c r="I50" s="6" t="n">
        <v>0.0</v>
      </c>
      <c r="J50" s="6">
        <f si="0" t="shared"/>
        <v>1829.6201735404434</v>
      </c>
      <c r="L50" s="12">
        <v>0.97916666666666663</v>
      </c>
      <c r="M50" s="9" t="n">
        <v>2422.398452758789</v>
      </c>
      <c r="N50" s="9" t="n">
        <v>278.8739719390869</v>
      </c>
      <c r="O50" s="9" t="n">
        <v>0.0</v>
      </c>
      <c r="P50" s="9" t="n">
        <v>0.0</v>
      </c>
      <c r="Q50" s="9" t="n">
        <v>112.96591472625732</v>
      </c>
      <c r="R50" s="9" t="n">
        <v>34.76529312133789</v>
      </c>
      <c r="S50" s="9" t="n">
        <v>0.0</v>
      </c>
      <c r="T50" s="9" t="n">
        <v>0.0</v>
      </c>
      <c r="U50">
        <f si="1" t="shared"/>
        <v>2694.6001815795898</v>
      </c>
    </row>
    <row r="51" spans="1:21" x14ac:dyDescent="0.25">
      <c r="A51" s="12">
        <v>1</v>
      </c>
      <c r="B51" s="6" t="n">
        <v>1869.0524616072098</v>
      </c>
      <c r="C51" s="6" t="n">
        <v>125.02057213948046</v>
      </c>
      <c r="D51" s="6" t="n">
        <v>43.30043102767872</v>
      </c>
      <c r="E51" s="6" t="n">
        <v>39.62645833103143</v>
      </c>
      <c r="F51" s="6" t="n">
        <v>128.3065680378463</v>
      </c>
      <c r="G51" s="6" t="n">
        <v>27.68322695294697</v>
      </c>
      <c r="H51" s="6" t="n">
        <v>0.0054806850325279</v>
      </c>
      <c r="I51" s="6" t="n">
        <v>0.0</v>
      </c>
      <c r="J51" s="6">
        <f si="0" t="shared"/>
        <v>1079.571446648275</v>
      </c>
      <c r="L51" s="12">
        <v>1</v>
      </c>
      <c r="M51" s="9" t="n">
        <v>1689.2041015625</v>
      </c>
      <c r="N51" s="9" t="n">
        <v>192.1613311767578</v>
      </c>
      <c r="O51" s="9" t="n">
        <v>0.0</v>
      </c>
      <c r="P51" s="9" t="n">
        <v>0.0</v>
      </c>
      <c r="Q51" s="9" t="n">
        <v>80.46697521209717</v>
      </c>
      <c r="R51" s="9" t="n">
        <v>24.425678253173828</v>
      </c>
      <c r="S51" s="9" t="n">
        <v>0.0</v>
      </c>
      <c r="T51" s="9" t="n">
        <v>0.0</v>
      </c>
      <c r="U51">
        <f si="1" t="shared"/>
        <v>1870.6724786758423</v>
      </c>
    </row>
    <row r="52" spans="1:21" x14ac:dyDescent="0.25">
      <c r="A52" s="12">
        <v>1.0208333333333333</v>
      </c>
      <c r="B52" s="6" t="n">
        <v>1110.969345309371</v>
      </c>
      <c r="C52" s="6" t="n">
        <v>67.78254269284183</v>
      </c>
      <c r="D52" s="6" t="n">
        <v>21.49928245505987</v>
      </c>
      <c r="E52" s="6" t="n">
        <v>20.941337512483955</v>
      </c>
      <c r="F52" s="6" t="n">
        <v>73.35138831326067</v>
      </c>
      <c r="G52" s="6" t="n">
        <v>14.142278154245965</v>
      </c>
      <c r="H52" s="6" t="n">
        <v>2.7403425162639505E-4</v>
      </c>
      <c r="I52" s="6" t="n">
        <v>0.0</v>
      </c>
      <c r="J52" s="6">
        <f si="0" t="shared"/>
        <v>548.84113387415175</v>
      </c>
      <c r="L52" s="12">
        <v>1.0208333333333333</v>
      </c>
      <c r="M52" s="9" t="n">
        <v>1031.1399021148682</v>
      </c>
      <c r="N52" s="9" t="n">
        <v>116.15487575531006</v>
      </c>
      <c r="O52" s="9" t="n">
        <v>0.0</v>
      </c>
      <c r="P52" s="9" t="n">
        <v>0.0</v>
      </c>
      <c r="Q52" s="9" t="n">
        <v>49.9234676361084</v>
      </c>
      <c r="R52" s="9" t="n">
        <v>14.921381950378418</v>
      </c>
      <c r="S52" s="9" t="n">
        <v>0.0</v>
      </c>
      <c r="T52" s="9" t="n">
        <v>0.0</v>
      </c>
      <c r="U52">
        <f si="1" t="shared"/>
        <v>1136.9354677200317</v>
      </c>
    </row>
    <row r="53" spans="1:21" x14ac:dyDescent="0.25">
      <c r="A53" s="12">
        <v>4.1666666666666664E-2</v>
      </c>
      <c r="B53" s="6" t="n">
        <v>558.1346576653142</v>
      </c>
      <c r="C53" s="6" t="n">
        <v>31.96765961832541</v>
      </c>
      <c r="D53" s="6" t="n">
        <v>8.55828357525792</v>
      </c>
      <c r="E53" s="6" t="n">
        <v>9.213762683766506</v>
      </c>
      <c r="F53" s="6" t="n">
        <v>37.22827216518152</v>
      </c>
      <c r="G53" s="6" t="n">
        <v>6.187965082118588</v>
      </c>
      <c r="H53" s="6" t="n">
        <v>0.0</v>
      </c>
      <c r="I53" s="6" t="n">
        <v>0.0</v>
      </c>
      <c r="J53" s="6">
        <f si="0" t="shared"/>
        <v>237.82915459312579</v>
      </c>
      <c r="L53" s="12">
        <v>4.1666666666666664E-2</v>
      </c>
      <c r="M53" s="9" t="n">
        <v>538.9317874908447</v>
      </c>
      <c r="N53" s="9" t="n">
        <v>60.28317832946777</v>
      </c>
      <c r="O53" s="9" t="n">
        <v>0.0</v>
      </c>
      <c r="P53" s="9" t="n">
        <v>0.0</v>
      </c>
      <c r="Q53" s="9" t="n">
        <v>26.44984722137451</v>
      </c>
      <c r="R53" s="9" t="n">
        <v>7.779516220092773</v>
      </c>
      <c r="S53" s="9" t="n">
        <v>0.0</v>
      </c>
      <c r="T53" s="9" t="n">
        <v>0.0</v>
      </c>
      <c r="U53">
        <f si="1" t="shared"/>
        <v>591.80588245391846</v>
      </c>
    </row>
    <row r="54" spans="1:21" x14ac:dyDescent="0.25">
      <c r="A54" s="12">
        <v>6.25E-2</v>
      </c>
      <c r="B54" s="6" t="n">
        <v>232.57494961770954</v>
      </c>
      <c r="C54" s="6" t="n">
        <v>12.776051012189566</v>
      </c>
      <c r="D54" s="6" t="n">
        <v>2.6658324908585107</v>
      </c>
      <c r="E54" s="6" t="n">
        <v>3.356705757442799</v>
      </c>
      <c r="F54" s="6" t="n">
        <v>16.301720188952707</v>
      </c>
      <c r="G54" s="6" t="n">
        <v>2.254358899129831</v>
      </c>
      <c r="H54" s="6" t="n">
        <v>0.0</v>
      </c>
      <c r="I54" s="6" t="n">
        <v>0.0</v>
      </c>
      <c r="J54" s="6">
        <f si="0" t="shared"/>
        <v>87.011745217593571</v>
      </c>
      <c r="L54" s="12">
        <v>6.25E-2</v>
      </c>
      <c r="M54" s="9" t="n">
        <v>236.12567710876465</v>
      </c>
      <c r="N54" s="9" t="n">
        <v>26.297645568847656</v>
      </c>
      <c r="O54" s="9" t="n">
        <v>0.0</v>
      </c>
      <c r="P54" s="9" t="n">
        <v>0.0</v>
      </c>
      <c r="Q54" s="9" t="n">
        <v>11.730842590332031</v>
      </c>
      <c r="R54" s="9" t="n">
        <v>3.395261764526367</v>
      </c>
      <c r="S54" s="9" t="n">
        <v>0.0</v>
      </c>
      <c r="T54" s="9" t="n">
        <v>0.0</v>
      </c>
      <c r="U54">
        <f si="1" t="shared"/>
        <v>258.38560104370117</v>
      </c>
    </row>
    <row r="55" spans="1:21" x14ac:dyDescent="0.25">
      <c r="A55" s="12">
        <v>8.3333333333333329E-2</v>
      </c>
      <c r="B55" s="6" t="n">
        <v>78.69562857167308</v>
      </c>
      <c r="C55" s="6" t="n">
        <v>4.203737135723934</v>
      </c>
      <c r="D55" s="6" t="n">
        <v>0.6259720595590914</v>
      </c>
      <c r="E55" s="6" t="n">
        <v>1.005854732596756</v>
      </c>
      <c r="F55" s="6" t="n">
        <v>5.964374397010375</v>
      </c>
      <c r="G55" s="6" t="n">
        <v>0.6612319912049331</v>
      </c>
      <c r="H55" s="6" t="n">
        <v>0.0</v>
      </c>
      <c r="I55" s="6" t="n">
        <v>0.0</v>
      </c>
      <c r="J55" s="6">
        <f si="0" t="shared"/>
        <v>26.568504038551893</v>
      </c>
      <c r="L55" s="12">
        <v>8.3333333333333329E-2</v>
      </c>
      <c r="M55" s="9" t="n">
        <v>84.72671127319336</v>
      </c>
      <c r="N55" s="9" t="n">
        <v>9.416872024536133</v>
      </c>
      <c r="O55" s="9" t="n">
        <v>0.0</v>
      </c>
      <c r="P55" s="9" t="n">
        <v>0.0</v>
      </c>
      <c r="Q55" s="9" t="n">
        <v>4.257648468017578</v>
      </c>
      <c r="R55" s="9" t="n">
        <v>1.2128467559814453</v>
      </c>
      <c r="S55" s="9" t="n">
        <v>0.0</v>
      </c>
      <c r="T55" s="9" t="n">
        <v>0.0</v>
      </c>
      <c r="U55">
        <f si="1" t="shared"/>
        <v>92.461318969726563</v>
      </c>
    </row>
    <row r="56" spans="1:21" x14ac:dyDescent="0.25">
      <c r="A56" s="12">
        <v>0.10416666666666667</v>
      </c>
      <c r="B56" s="6" t="n">
        <v>21.032866751380467</v>
      </c>
      <c r="C56" s="6" t="n">
        <v>1.100148490575578</v>
      </c>
      <c r="D56" s="6" t="n">
        <v>0.10420753797690697</v>
      </c>
      <c r="E56" s="6" t="n">
        <v>0.24522717969743535</v>
      </c>
      <c r="F56" s="6" t="n">
        <v>1.7574397067841083</v>
      </c>
      <c r="G56" s="6" t="n">
        <v>0.14938353526858542</v>
      </c>
      <c r="H56" s="6" t="n">
        <v>0.0</v>
      </c>
      <c r="I56" s="6" t="n">
        <v>0.0</v>
      </c>
      <c r="J56" s="6">
        <f si="0" t="shared"/>
        <v>6.6464487223707067</v>
      </c>
      <c r="L56" s="12">
        <v>0.10416666666666667</v>
      </c>
      <c r="M56" s="9" t="n">
        <v>24.17716407775879</v>
      </c>
      <c r="N56" s="9" t="n">
        <v>2.686626434326172</v>
      </c>
      <c r="O56" s="9" t="n">
        <v>0.0</v>
      </c>
      <c r="P56" s="9" t="n">
        <v>0.0</v>
      </c>
      <c r="Q56" s="9" t="n">
        <v>1.2283306121826172</v>
      </c>
      <c r="R56" s="9" t="n">
        <v>0.3444633483886719</v>
      </c>
      <c r="S56" s="9" t="n">
        <v>0.0</v>
      </c>
      <c r="T56" s="9" t="n">
        <v>0.0</v>
      </c>
      <c r="U56">
        <f si="1" t="shared"/>
        <v>26.334152221679688</v>
      </c>
    </row>
    <row r="57" spans="1:21" x14ac:dyDescent="0.25">
      <c r="A57" s="12">
        <v>0.125</v>
      </c>
      <c r="B57" s="6" t="n">
        <v>4.212739295966614</v>
      </c>
      <c r="C57" s="6" t="n">
        <v>0.21615231763501508</v>
      </c>
      <c r="D57" s="6" t="n">
        <v>0.010963749623902617</v>
      </c>
      <c r="E57" s="6" t="n">
        <v>0.04689299546349269</v>
      </c>
      <c r="F57" s="6" t="n">
        <v>0.3916687331227302</v>
      </c>
      <c r="G57" s="6" t="n">
        <v>0.02419411929413426</v>
      </c>
      <c r="H57" s="6" t="n">
        <v>0.0</v>
      </c>
      <c r="I57" s="6" t="n">
        <v>0.0</v>
      </c>
      <c r="J57" s="6">
        <f si="0" t="shared"/>
        <v>1.2995693397997614</v>
      </c>
      <c r="L57" s="12">
        <v>0.125</v>
      </c>
      <c r="M57" s="9" t="n">
        <v>5.1875457763671875</v>
      </c>
      <c r="N57" s="9" t="n">
        <v>0.5771150588989258</v>
      </c>
      <c r="O57" s="9" t="n">
        <v>0.0</v>
      </c>
      <c r="P57" s="9" t="n">
        <v>0.0</v>
      </c>
      <c r="Q57" s="9" t="n">
        <v>0.2662925720214844</v>
      </c>
      <c r="R57" s="9" t="n">
        <v>0.07356452941894531</v>
      </c>
      <c r="S57" s="9" t="n">
        <v>0.0</v>
      </c>
      <c r="T57" s="9" t="n">
        <v>0.0</v>
      </c>
      <c r="U57">
        <f si="1" t="shared"/>
        <v>5.644068717956543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drawing r:id="rId1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AA58"/>
  <sheetViews>
    <sheetView topLeftCell="H4" workbookViewId="0">
      <selection activeCell="U33" sqref="U33:U36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40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56</v>
      </c>
      <c r="B6" s="1"/>
      <c r="C6" s="1"/>
      <c r="D6" s="1"/>
      <c r="E6" s="1"/>
      <c r="F6" s="1"/>
      <c r="G6" s="1"/>
      <c r="H6" s="1"/>
      <c r="I6" s="1"/>
      <c r="J6" s="1"/>
      <c r="L6" s="3" t="s">
        <v>41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6.6823958168861397</v>
      </c>
      <c r="L8" t="s">
        <v>5</v>
      </c>
      <c r="M8" s="9" t="n">
        <v>3.0</v>
      </c>
      <c r="N8" s="9" t="n">
        <v>0.0</v>
      </c>
      <c r="O8" s="9" t="n">
        <v>0.0</v>
      </c>
      <c r="P8" s="9" t="n">
        <v>0.0</v>
      </c>
      <c r="Q8" s="9" t="n">
        <v>0.0</v>
      </c>
      <c r="R8" s="9" t="n">
        <v>0.0</v>
      </c>
      <c r="S8" s="9" t="n">
        <v>0.0</v>
      </c>
      <c r="T8" s="9" t="n">
        <v>0.0</v>
      </c>
      <c r="U8">
        <f>SUM(M8:T8)</f>
        <v>20</v>
      </c>
      <c r="W8" s="5"/>
      <c r="X8" s="16"/>
      <c r="Y8" s="16"/>
      <c r="Z8" s="5"/>
    </row>
    <row r="9" spans="1:26" x14ac:dyDescent="0.25">
      <c r="A9" s="12">
        <v>0.125</v>
      </c>
      <c r="B9" s="6" t="n">
        <v>0.0</v>
      </c>
      <c r="C9" s="6" t="n">
        <v>0.009319091611603892</v>
      </c>
      <c r="D9" s="6" t="n">
        <v>0.0</v>
      </c>
      <c r="E9" s="6" t="n">
        <v>0.0</v>
      </c>
      <c r="F9" s="6" t="n">
        <v>1.0436364924903011E-4</v>
      </c>
      <c r="G9" s="6" t="n">
        <v>4.154046141785498E-4</v>
      </c>
      <c r="H9" s="6" t="n">
        <v>6.717384878200779E-5</v>
      </c>
      <c r="I9" s="6" t="n">
        <v>0.0</v>
      </c>
      <c r="J9" s="6">
        <f ref="J9:J58" si="0" t="shared">SUM(B9:I9)</f>
        <v>11.272201327523979</v>
      </c>
      <c r="L9" s="12">
        <v>0.125</v>
      </c>
      <c r="M9" s="9" t="n">
        <v>1.9917678833007812</v>
      </c>
      <c r="N9" s="9" t="n">
        <v>0.0</v>
      </c>
      <c r="O9" s="9" t="n">
        <v>0.0</v>
      </c>
      <c r="P9" s="9" t="n">
        <v>0.0</v>
      </c>
      <c r="Q9" s="9" t="n">
        <v>0.004225730895996094</v>
      </c>
      <c r="R9" s="9" t="n">
        <v>0.018476486206054688</v>
      </c>
      <c r="S9" s="9" t="n">
        <v>1.9042348861694336</v>
      </c>
      <c r="T9" s="9" t="n">
        <v>0.0</v>
      </c>
      <c r="U9">
        <f ref="U9:U58" si="1" t="shared">SUM(M9:T9)</f>
        <v>14.25511360168457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0.0</v>
      </c>
      <c r="C10" s="6" t="n">
        <v>0.05621039384776952</v>
      </c>
      <c r="D10" s="6" t="n">
        <v>0.0</v>
      </c>
      <c r="E10" s="6" t="n">
        <v>0.0</v>
      </c>
      <c r="F10" s="6" t="n">
        <v>0.0023457535449227414</v>
      </c>
      <c r="G10" s="6" t="n">
        <v>0.008537142978258519</v>
      </c>
      <c r="H10" s="6" t="n">
        <v>0.0013434769756401558</v>
      </c>
      <c r="I10" s="6" t="n">
        <v>0.0</v>
      </c>
      <c r="J10" s="6">
        <f si="0" t="shared"/>
        <v>25.299243753312609</v>
      </c>
      <c r="L10" s="12">
        <v>0.14583333333333334</v>
      </c>
      <c r="M10" s="9" t="n">
        <v>1.155991554260254</v>
      </c>
      <c r="N10" s="9" t="n">
        <v>0.0</v>
      </c>
      <c r="O10" s="9" t="n">
        <v>0.0</v>
      </c>
      <c r="P10" s="9" t="n">
        <v>0.0</v>
      </c>
      <c r="Q10" s="9" t="n">
        <v>0.02543354034423828</v>
      </c>
      <c r="R10" s="9" t="n">
        <v>0.1172647476196289</v>
      </c>
      <c r="S10" s="9" t="n">
        <v>3.1828813552856445</v>
      </c>
      <c r="T10" s="9" t="n">
        <v>0.0</v>
      </c>
      <c r="U10">
        <f si="1" t="shared"/>
        <v>13.8916015625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0.0</v>
      </c>
      <c r="C11" s="6" t="n">
        <v>0.23889417385302045</v>
      </c>
      <c r="D11" s="6" t="n">
        <v>0.0</v>
      </c>
      <c r="E11" s="6" t="n">
        <v>0.0</v>
      </c>
      <c r="F11" s="6" t="n">
        <v>0.02512181341841488</v>
      </c>
      <c r="G11" s="6" t="n">
        <v>0.08350789058767491</v>
      </c>
      <c r="H11" s="6" t="n">
        <v>0.01287096427071308</v>
      </c>
      <c r="I11" s="6" t="n">
        <v>0.0</v>
      </c>
      <c r="J11" s="6">
        <f si="0" t="shared"/>
        <v>79.709840351953957</v>
      </c>
      <c r="L11" s="12">
        <v>0.16666666666666666</v>
      </c>
      <c r="M11" s="9" t="n">
        <v>0.5968332290649414</v>
      </c>
      <c r="N11" s="9" t="n">
        <v>0.0</v>
      </c>
      <c r="O11" s="9" t="n">
        <v>0.0</v>
      </c>
      <c r="P11" s="9" t="n">
        <v>0.0</v>
      </c>
      <c r="Q11" s="9" t="n">
        <v>0.11269092559814453</v>
      </c>
      <c r="R11" s="9" t="n">
        <v>0.5282411575317383</v>
      </c>
      <c r="S11" s="9" t="n">
        <v>4.262714385986328</v>
      </c>
      <c r="T11" s="9" t="n">
        <v>0.0</v>
      </c>
      <c r="U11">
        <f si="1" t="shared"/>
        <v>32.998619079589844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0.0</v>
      </c>
      <c r="C12" s="6" t="n">
        <v>0.7644613563296654</v>
      </c>
      <c r="D12" s="6" t="n">
        <v>0.0</v>
      </c>
      <c r="E12" s="6" t="n">
        <v>0.0</v>
      </c>
      <c r="F12" s="6" t="n">
        <v>0.17079394311463023</v>
      </c>
      <c r="G12" s="6" t="n">
        <v>0.517080892154176</v>
      </c>
      <c r="H12" s="6" t="n">
        <v>0.07878684498832965</v>
      </c>
      <c r="I12" s="6" t="n">
        <v>0.0</v>
      </c>
      <c r="J12" s="6">
        <f si="0" t="shared"/>
        <v>254.47072510728202</v>
      </c>
      <c r="L12" s="12">
        <v>0.1875</v>
      </c>
      <c r="M12" s="9" t="n">
        <v>0.3411407470703125</v>
      </c>
      <c r="N12" s="9" t="n">
        <v>0.0</v>
      </c>
      <c r="O12" s="9" t="n">
        <v>0.0</v>
      </c>
      <c r="P12" s="9" t="n">
        <v>0.0</v>
      </c>
      <c r="Q12" s="9" t="n">
        <v>0.3892793655395508</v>
      </c>
      <c r="R12" s="9" t="n">
        <v>1.806483268737793</v>
      </c>
      <c r="S12" s="9" t="n">
        <v>7.210378646850586</v>
      </c>
      <c r="T12" s="9" t="n">
        <v>0.0</v>
      </c>
      <c r="U12">
        <f si="1" t="shared"/>
        <v>108.36406707763672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0.0</v>
      </c>
      <c r="C13" s="6" t="n">
        <v>1.9111533908241634</v>
      </c>
      <c r="D13" s="6" t="n">
        <v>0.0</v>
      </c>
      <c r="E13" s="6" t="n">
        <v>0.0</v>
      </c>
      <c r="F13" s="6" t="n">
        <v>0.8289314221284404</v>
      </c>
      <c r="G13" s="6" t="n">
        <v>2.273753147638849</v>
      </c>
      <c r="H13" s="6" t="n">
        <v>0.348117897853548</v>
      </c>
      <c r="I13" s="6" t="n">
        <v>0.0</v>
      </c>
      <c r="J13" s="6">
        <f si="0" t="shared"/>
        <v>699.11068332124159</v>
      </c>
      <c r="L13" s="12">
        <v>0.20833333333333334</v>
      </c>
      <c r="M13" s="9" t="n">
        <v>0.38559722900390625</v>
      </c>
      <c r="N13" s="9" t="n">
        <v>0.0</v>
      </c>
      <c r="O13" s="9" t="n">
        <v>0.0</v>
      </c>
      <c r="P13" s="9" t="n">
        <v>0.0</v>
      </c>
      <c r="Q13" s="9" t="n">
        <v>1.0857038497924805</v>
      </c>
      <c r="R13" s="9" t="n">
        <v>4.874970436096191</v>
      </c>
      <c r="S13" s="9" t="n">
        <v>15.546347618103027</v>
      </c>
      <c r="T13" s="9" t="n">
        <v>0.0</v>
      </c>
      <c r="U13">
        <f si="1" t="shared"/>
        <v>315.03516674041748</v>
      </c>
    </row>
    <row r="14" spans="1:26" x14ac:dyDescent="0.25">
      <c r="A14" s="12">
        <v>0.22916666666666666</v>
      </c>
      <c r="B14" s="6" t="n">
        <v>6.274185971449537E-5</v>
      </c>
      <c r="C14" s="6" t="n">
        <v>3.8223067816483267</v>
      </c>
      <c r="D14" s="6" t="n">
        <v>3.970827518190632E-5</v>
      </c>
      <c r="E14" s="6" t="n">
        <v>9.047603254113827E-5</v>
      </c>
      <c r="F14" s="6" t="n">
        <v>3.063922261947009</v>
      </c>
      <c r="G14" s="6" t="n">
        <v>7.550418051165095</v>
      </c>
      <c r="H14" s="6" t="n">
        <v>1.1972855489786614</v>
      </c>
      <c r="I14" s="6" t="n">
        <v>0.0</v>
      </c>
      <c r="J14" s="6">
        <f si="0" t="shared"/>
        <v>1607.9594293748364</v>
      </c>
      <c r="L14" s="12">
        <v>0.22916666666666666</v>
      </c>
      <c r="M14" s="9" t="n">
        <v>0.7381391525268555</v>
      </c>
      <c r="N14" s="9" t="n">
        <v>0.0</v>
      </c>
      <c r="O14" s="9" t="n">
        <v>0.0</v>
      </c>
      <c r="P14" s="9" t="n">
        <v>0.0</v>
      </c>
      <c r="Q14" s="9" t="n">
        <v>2.5119781494140625</v>
      </c>
      <c r="R14" s="9" t="n">
        <v>10.655795097351074</v>
      </c>
      <c r="S14" s="9" t="n">
        <v>32.93912315368652</v>
      </c>
      <c r="T14" s="9" t="n">
        <v>0.0</v>
      </c>
      <c r="U14">
        <f si="1" t="shared"/>
        <v>766.05937004089355</v>
      </c>
    </row>
    <row r="15" spans="1:26" x14ac:dyDescent="0.25">
      <c r="A15" s="12">
        <v>0.25</v>
      </c>
      <c r="B15" s="6" t="n">
        <v>0.0013206613216761114</v>
      </c>
      <c r="C15" s="6" t="n">
        <v>6.211248520178531</v>
      </c>
      <c r="D15" s="6" t="n">
        <v>7.941655036381263E-4</v>
      </c>
      <c r="E15" s="6" t="n">
        <v>0.0018095206508227657</v>
      </c>
      <c r="F15" s="6" t="n">
        <v>8.99352712507285</v>
      </c>
      <c r="G15" s="6" t="n">
        <v>19.65748966540936</v>
      </c>
      <c r="H15" s="6" t="n">
        <v>3.407046209477762</v>
      </c>
      <c r="I15" s="6" t="n">
        <v>0.0</v>
      </c>
      <c r="J15" s="6">
        <f si="0" t="shared"/>
        <v>3117.1684085428242</v>
      </c>
      <c r="L15" s="12">
        <v>0.25</v>
      </c>
      <c r="M15" s="9" t="n">
        <v>1.3993349075317383</v>
      </c>
      <c r="N15" s="9" t="n">
        <v>0.0</v>
      </c>
      <c r="O15" s="9" t="n">
        <v>0.0</v>
      </c>
      <c r="P15" s="9" t="n">
        <v>0.0</v>
      </c>
      <c r="Q15" s="9" t="n">
        <v>4.936026573181152</v>
      </c>
      <c r="R15" s="9" t="n">
        <v>19.226588249206543</v>
      </c>
      <c r="S15" s="9" t="n">
        <v>60.72781848907471</v>
      </c>
      <c r="T15" s="9" t="n">
        <v>0.0</v>
      </c>
      <c r="U15">
        <f si="1" t="shared"/>
        <v>1575.8458662033081</v>
      </c>
    </row>
    <row r="16" spans="1:26" x14ac:dyDescent="0.25">
      <c r="A16" s="12">
        <v>0.27083333333333331</v>
      </c>
      <c r="B16" s="6" t="n">
        <v>0.013237435893478196</v>
      </c>
      <c r="C16" s="6" t="n">
        <v>8.281664693571376</v>
      </c>
      <c r="D16" s="6" t="n">
        <v>0.0075445722845622</v>
      </c>
      <c r="E16" s="6" t="n">
        <v>0.017397036454890172</v>
      </c>
      <c r="F16" s="6" t="n">
        <v>21.617198847807725</v>
      </c>
      <c r="G16" s="6" t="n">
        <v>41.13586982048633</v>
      </c>
      <c r="H16" s="6" t="n">
        <v>8.482662899036734</v>
      </c>
      <c r="I16" s="6" t="n">
        <v>0.0</v>
      </c>
      <c r="J16" s="6">
        <f si="0" t="shared"/>
        <v>5157.00507269638</v>
      </c>
      <c r="L16" s="12">
        <v>0.27083333333333331</v>
      </c>
      <c r="M16" s="9" t="n">
        <v>2.3014230728149414</v>
      </c>
      <c r="N16" s="9" t="n">
        <v>0.0</v>
      </c>
      <c r="O16" s="9" t="n">
        <v>0.0</v>
      </c>
      <c r="P16" s="9" t="n">
        <v>0.0</v>
      </c>
      <c r="Q16" s="9" t="n">
        <v>8.431129455566406</v>
      </c>
      <c r="R16" s="9" t="n">
        <v>29.074996948242188</v>
      </c>
      <c r="S16" s="9" t="n">
        <v>95.64290714263916</v>
      </c>
      <c r="T16" s="9" t="n">
        <v>0.0</v>
      </c>
      <c r="U16">
        <f si="1" t="shared"/>
        <v>2790.776515007019</v>
      </c>
    </row>
    <row r="17" spans="1:21" x14ac:dyDescent="0.25">
      <c r="A17" s="12">
        <v>0.29166666666666669</v>
      </c>
      <c r="B17" s="6" t="n">
        <v>0.0840665748973472</v>
      </c>
      <c r="C17" s="6" t="n">
        <v>9.109831162928511</v>
      </c>
      <c r="D17" s="6" t="n">
        <v>0.045267433707373204</v>
      </c>
      <c r="E17" s="6" t="n">
        <v>0.10727448253837558</v>
      </c>
      <c r="F17" s="6" t="n">
        <v>43.65089865555244</v>
      </c>
      <c r="G17" s="6" t="n">
        <v>70.46696274628678</v>
      </c>
      <c r="H17" s="6" t="n">
        <v>19.327098413763764</v>
      </c>
      <c r="I17" s="6" t="n">
        <v>0.0</v>
      </c>
      <c r="J17" s="6">
        <f si="0" t="shared"/>
        <v>7376.8001357192461</v>
      </c>
      <c r="L17" s="12">
        <v>0.29166666666666669</v>
      </c>
      <c r="M17" s="9" t="n">
        <v>3.289539337158203</v>
      </c>
      <c r="N17" s="9" t="n">
        <v>0.0</v>
      </c>
      <c r="O17" s="9" t="n">
        <v>0.0</v>
      </c>
      <c r="P17" s="9" t="n">
        <v>0.0</v>
      </c>
      <c r="Q17" s="9" t="n">
        <v>12.850381851196289</v>
      </c>
      <c r="R17" s="9" t="n">
        <v>37.39710998535156</v>
      </c>
      <c r="S17" s="9" t="n">
        <v>130.45946216583252</v>
      </c>
      <c r="T17" s="9" t="n">
        <v>0.0</v>
      </c>
      <c r="U17">
        <f si="1" t="shared"/>
        <v>4332.3036813735962</v>
      </c>
    </row>
    <row r="18" spans="1:21" x14ac:dyDescent="0.25">
      <c r="A18" s="12">
        <v>0.3125</v>
      </c>
      <c r="B18" s="6" t="n">
        <v>0.3804610219704911</v>
      </c>
      <c r="C18" s="6" t="n">
        <v>8.281664693571376</v>
      </c>
      <c r="D18" s="6" t="n">
        <v>0.19241468339728496</v>
      </c>
      <c r="E18" s="6" t="n">
        <v>0.4776085293558553</v>
      </c>
      <c r="F18" s="6" t="n">
        <v>75.9109802228695</v>
      </c>
      <c r="G18" s="6" t="n">
        <v>100.51809807640204</v>
      </c>
      <c r="H18" s="6" t="n">
        <v>41.18763718909694</v>
      </c>
      <c r="I18" s="6" t="n">
        <v>0.0</v>
      </c>
      <c r="J18" s="6">
        <f si="0" t="shared"/>
        <v>9253.8379946325949</v>
      </c>
      <c r="L18" s="12">
        <v>0.3125</v>
      </c>
      <c r="M18" s="9" t="n">
        <v>4.210782051086426</v>
      </c>
      <c r="N18" s="9" t="n">
        <v>0.0</v>
      </c>
      <c r="O18" s="9" t="n">
        <v>0.0</v>
      </c>
      <c r="P18" s="9" t="n">
        <v>0.0</v>
      </c>
      <c r="Q18" s="9" t="n">
        <v>18.03514003753662</v>
      </c>
      <c r="R18" s="9" t="n">
        <v>41.70460319519043</v>
      </c>
      <c r="S18" s="9" t="n">
        <v>158.93486785888672</v>
      </c>
      <c r="T18" s="9" t="n">
        <v>0.0</v>
      </c>
      <c r="U18">
        <f si="1" t="shared"/>
        <v>6011.2763595581055</v>
      </c>
    </row>
    <row r="19" spans="1:21" x14ac:dyDescent="0.25">
      <c r="A19" s="12">
        <v>0.33333333333333331</v>
      </c>
      <c r="B19" s="6" t="n">
        <v>1.3133022896096138</v>
      </c>
      <c r="C19" s="6" t="n">
        <v>6.211248520178531</v>
      </c>
      <c r="D19" s="6" t="n">
        <v>0.6161989012392528</v>
      </c>
      <c r="E19" s="6" t="n">
        <v>1.6382533186820496</v>
      </c>
      <c r="F19" s="6" t="n">
        <v>116.95858633086945</v>
      </c>
      <c r="G19" s="6" t="n">
        <v>122.41973768227697</v>
      </c>
      <c r="H19" s="6" t="n">
        <v>81.96422048203135</v>
      </c>
      <c r="I19" s="6" t="n">
        <v>0.0</v>
      </c>
      <c r="J19" s="6">
        <f si="0" t="shared"/>
        <v>10360.242862785317</v>
      </c>
      <c r="L19" s="12">
        <v>0.33333333333333331</v>
      </c>
      <c r="M19" s="9" t="n">
        <v>5.066118240356445</v>
      </c>
      <c r="N19" s="9" t="n">
        <v>0.0</v>
      </c>
      <c r="O19" s="9" t="n">
        <v>0.0</v>
      </c>
      <c r="P19" s="9" t="n">
        <v>0.0</v>
      </c>
      <c r="Q19" s="9" t="n">
        <v>24.134479522705078</v>
      </c>
      <c r="R19" s="9" t="n">
        <v>41.63972568511963</v>
      </c>
      <c r="S19" s="9" t="n">
        <v>182.17916584014893</v>
      </c>
      <c r="T19" s="9" t="n">
        <v>0.0</v>
      </c>
      <c r="U19">
        <f si="1" t="shared"/>
        <v>7621.6625022888184</v>
      </c>
    </row>
    <row r="20" spans="1:21" x14ac:dyDescent="0.25">
      <c r="A20" s="12">
        <v>0.35416666666666669</v>
      </c>
      <c r="B20" s="6" t="n">
        <v>3.636103938443085</v>
      </c>
      <c r="C20" s="6" t="n">
        <v>3.8223067816483276</v>
      </c>
      <c r="D20" s="6" t="n">
        <v>1.5444298728309718</v>
      </c>
      <c r="E20" s="6" t="n">
        <v>4.507823082086759</v>
      </c>
      <c r="F20" s="6" t="n">
        <v>165.41581185497975</v>
      </c>
      <c r="G20" s="6" t="n">
        <v>133.97590992925015</v>
      </c>
      <c r="H20" s="6" t="n">
        <v>150.83377151359187</v>
      </c>
      <c r="I20" s="6" t="n">
        <v>0.0</v>
      </c>
      <c r="J20" s="6">
        <f si="0" t="shared"/>
        <v>10609.398318075651</v>
      </c>
      <c r="L20" s="12">
        <v>0.35416666666666669</v>
      </c>
      <c r="M20" s="9" t="n">
        <v>6.08162784576416</v>
      </c>
      <c r="N20" s="9" t="n">
        <v>0.0</v>
      </c>
      <c r="O20" s="9" t="n">
        <v>0.0</v>
      </c>
      <c r="P20" s="9" t="n">
        <v>0.0</v>
      </c>
      <c r="Q20" s="9" t="n">
        <v>31.71095848083496</v>
      </c>
      <c r="R20" s="9" t="n">
        <v>39.39628791809082</v>
      </c>
      <c r="S20" s="9" t="n">
        <v>211.0142469406128</v>
      </c>
      <c r="T20" s="9" t="n">
        <v>0.0</v>
      </c>
      <c r="U20">
        <f si="1" t="shared"/>
        <v>9041.3329601287842</v>
      </c>
    </row>
    <row r="21" spans="1:21" x14ac:dyDescent="0.25">
      <c r="A21" s="12">
        <v>0.375</v>
      </c>
      <c r="B21" s="6" t="n">
        <v>8.456198116461076</v>
      </c>
      <c r="C21" s="6" t="n">
        <v>1.9111934932686787</v>
      </c>
      <c r="D21" s="6" t="n">
        <v>3.1102082527830746</v>
      </c>
      <c r="E21" s="6" t="n">
        <v>10.217521472706958</v>
      </c>
      <c r="F21" s="6" t="n">
        <v>223.96049357875455</v>
      </c>
      <c r="G21" s="6" t="n">
        <v>145.44281530969397</v>
      </c>
      <c r="H21" s="6" t="n">
        <v>255.74725045640784</v>
      </c>
      <c r="I21" s="6" t="n">
        <v>0.0</v>
      </c>
      <c r="J21" s="6">
        <f si="0" t="shared"/>
        <v>10298.814739338408</v>
      </c>
      <c r="L21" s="12">
        <v>0.375</v>
      </c>
      <c r="M21" s="9" t="n">
        <v>7.601189613342285</v>
      </c>
      <c r="N21" s="9" t="n">
        <v>0.0</v>
      </c>
      <c r="O21" s="9" t="n">
        <v>0.0</v>
      </c>
      <c r="P21" s="9" t="n">
        <v>0.0</v>
      </c>
      <c r="Q21" s="9" t="n">
        <v>41.466599464416504</v>
      </c>
      <c r="R21" s="9" t="n">
        <v>38.39268493652344</v>
      </c>
      <c r="S21" s="9" t="n">
        <v>262.43450355529785</v>
      </c>
      <c r="T21" s="9" t="n">
        <v>0.0</v>
      </c>
      <c r="U21">
        <f si="1" t="shared"/>
        <v>10249.015560150146</v>
      </c>
    </row>
    <row r="22" spans="1:21" x14ac:dyDescent="0.25">
      <c r="A22" s="12">
        <v>0.39583333333333331</v>
      </c>
      <c r="B22" s="6" t="n">
        <v>17.300570687521642</v>
      </c>
      <c r="C22" s="6" t="n">
        <v>0.7654668780437299</v>
      </c>
      <c r="D22" s="6" t="n">
        <v>5.138148157561948</v>
      </c>
      <c r="E22" s="6" t="n">
        <v>19.412721357691584</v>
      </c>
      <c r="F22" s="6" t="n">
        <v>301.28475217892867</v>
      </c>
      <c r="G22" s="6" t="n">
        <v>175.40887102935528</v>
      </c>
      <c r="H22" s="6" t="n">
        <v>401.42842358131753</v>
      </c>
      <c r="I22" s="6" t="n">
        <v>0.0</v>
      </c>
      <c r="J22" s="6">
        <f si="0" t="shared"/>
        <v>9925.1353187751483</v>
      </c>
      <c r="L22" s="12">
        <v>0.39583333333333331</v>
      </c>
      <c r="M22" s="9" t="n">
        <v>9.908787727355957</v>
      </c>
      <c r="N22" s="9" t="n">
        <v>0.0</v>
      </c>
      <c r="O22" s="9" t="n">
        <v>0.0</v>
      </c>
      <c r="P22" s="9" t="n">
        <v>0.0</v>
      </c>
      <c r="Q22" s="9" t="n">
        <v>54.03688621520996</v>
      </c>
      <c r="R22" s="9" t="n">
        <v>41.741074562072754</v>
      </c>
      <c r="S22" s="9" t="n">
        <v>356.7357482910156</v>
      </c>
      <c r="T22" s="9" t="n">
        <v>0.0</v>
      </c>
      <c r="U22">
        <f si="1" t="shared"/>
        <v>11254.089202880859</v>
      </c>
    </row>
    <row r="23" spans="1:21" x14ac:dyDescent="0.25">
      <c r="A23" s="12">
        <v>0.41666666666666669</v>
      </c>
      <c r="B23" s="6" t="n">
        <v>32.413089180206754</v>
      </c>
      <c r="C23" s="6" t="n">
        <v>0.2505830947861263</v>
      </c>
      <c r="D23" s="6" t="n">
        <v>7.104982583143678</v>
      </c>
      <c r="E23" s="6" t="n">
        <v>31.259818975238236</v>
      </c>
      <c r="F23" s="6" t="n">
        <v>408.2870107907078</v>
      </c>
      <c r="G23" s="6" t="n">
        <v>238.0417023382697</v>
      </c>
      <c r="H23" s="6" t="n">
        <v>588.1233618780839</v>
      </c>
      <c r="I23" s="6" t="n">
        <v>0.0</v>
      </c>
      <c r="J23" s="6">
        <f si="0" t="shared"/>
        <v>9916.0087704158468</v>
      </c>
      <c r="L23" s="12">
        <v>0.41666666666666669</v>
      </c>
      <c r="M23" s="9" t="n">
        <v>13.290570259094238</v>
      </c>
      <c r="N23" s="9" t="n">
        <v>0.0</v>
      </c>
      <c r="O23" s="9" t="n">
        <v>0.0</v>
      </c>
      <c r="P23" s="9" t="n">
        <v>0.0</v>
      </c>
      <c r="Q23" s="9" t="n">
        <v>70.8593692779541</v>
      </c>
      <c r="R23" s="9" t="n">
        <v>52.67152786254883</v>
      </c>
      <c r="S23" s="9" t="n">
        <v>527.5726823806763</v>
      </c>
      <c r="T23" s="9" t="n">
        <v>0.0</v>
      </c>
      <c r="U23">
        <f si="1" t="shared"/>
        <v>12043.9506483078</v>
      </c>
    </row>
    <row r="24" spans="1:21" x14ac:dyDescent="0.25">
      <c r="A24" s="12">
        <v>0.4375</v>
      </c>
      <c r="B24" s="6" t="n">
        <v>56.78827170035536</v>
      </c>
      <c r="C24" s="6" t="n">
        <v>0.14058701710968535</v>
      </c>
      <c r="D24" s="6" t="n">
        <v>8.426538719078488</v>
      </c>
      <c r="E24" s="6" t="n">
        <v>42.95433158145732</v>
      </c>
      <c r="F24" s="6" t="n">
        <v>548.8853347336322</v>
      </c>
      <c r="G24" s="6" t="n">
        <v>332.98818111096244</v>
      </c>
      <c r="H24" s="6" t="n">
        <v>814.6671493327945</v>
      </c>
      <c r="I24" s="6" t="n">
        <v>0.0</v>
      </c>
      <c r="J24" s="6">
        <f si="0" t="shared"/>
        <v>10461.847644743955</v>
      </c>
      <c r="L24" s="12">
        <v>0.4375</v>
      </c>
      <c r="M24" s="9" t="n">
        <v>18.596994400024414</v>
      </c>
      <c r="N24" s="9" t="n">
        <v>0.0</v>
      </c>
      <c r="O24" s="9" t="n">
        <v>0.0</v>
      </c>
      <c r="P24" s="9" t="n">
        <v>0.0</v>
      </c>
      <c r="Q24" s="9" t="n">
        <v>96.65063381195068</v>
      </c>
      <c r="R24" s="9" t="n">
        <v>77.67106914520264</v>
      </c>
      <c r="S24" s="9" t="n">
        <v>851.0562114715576</v>
      </c>
      <c r="T24" s="9" t="n">
        <v>0.0</v>
      </c>
      <c r="U24">
        <f si="1" t="shared"/>
        <v>12643.045272827148</v>
      </c>
    </row>
    <row r="25" spans="1:21" x14ac:dyDescent="0.25">
      <c r="A25" s="12">
        <v>0.45833333333333331</v>
      </c>
      <c r="B25" s="6" t="n">
        <v>92.75210891369285</v>
      </c>
      <c r="C25" s="6" t="n">
        <v>0.4356237617383531</v>
      </c>
      <c r="D25" s="6" t="n">
        <v>8.860465906637453</v>
      </c>
      <c r="E25" s="6" t="n">
        <v>50.641959705040534</v>
      </c>
      <c r="F25" s="6" t="n">
        <v>711.6592339679175</v>
      </c>
      <c r="G25" s="6" t="n">
        <v>451.2241107553146</v>
      </c>
      <c r="H25" s="6" t="n">
        <v>1105.9177779263148</v>
      </c>
      <c r="I25" s="6" t="n">
        <v>0.0</v>
      </c>
      <c r="J25" s="6">
        <f si="0" t="shared"/>
        <v>11546.193925304859</v>
      </c>
      <c r="L25" s="12">
        <v>0.45833333333333331</v>
      </c>
      <c r="M25" s="9" t="n">
        <v>28.17254066467285</v>
      </c>
      <c r="N25" s="9" t="n">
        <v>0.0</v>
      </c>
      <c r="O25" s="9" t="n">
        <v>0.0</v>
      </c>
      <c r="P25" s="9" t="n">
        <v>0.0</v>
      </c>
      <c r="Q25" s="9" t="n">
        <v>142.14948844909668</v>
      </c>
      <c r="R25" s="9" t="n">
        <v>130.68008708953857</v>
      </c>
      <c r="S25" s="9" t="n">
        <v>1480.2802724838257</v>
      </c>
      <c r="T25" s="9" t="n">
        <v>0.0</v>
      </c>
      <c r="U25">
        <f si="1" t="shared"/>
        <v>13234.743285179138</v>
      </c>
    </row>
    <row r="26" spans="1:21" x14ac:dyDescent="0.25">
      <c r="A26" s="12">
        <v>0.47916666666666669</v>
      </c>
      <c r="B26" s="6" t="n">
        <v>139.04000034170232</v>
      </c>
      <c r="C26" s="6" t="n">
        <v>1.6085602781465038</v>
      </c>
      <c r="D26" s="6" t="n">
        <v>8.62185837966867</v>
      </c>
      <c r="E26" s="6" t="n">
        <v>51.75704170245743</v>
      </c>
      <c r="F26" s="6" t="n">
        <v>870.4478733222195</v>
      </c>
      <c r="G26" s="6" t="n">
        <v>600.4376913529877</v>
      </c>
      <c r="H26" s="6" t="n">
        <v>1595.2306046203068</v>
      </c>
      <c r="I26" s="6" t="n">
        <v>0.0</v>
      </c>
      <c r="J26" s="6">
        <f si="0" t="shared"/>
        <v>13152.874683090691</v>
      </c>
      <c r="L26" s="12">
        <v>0.47916666666666669</v>
      </c>
      <c r="M26" s="9" t="n">
        <v>46.56270503997803</v>
      </c>
      <c r="N26" s="9" t="n">
        <v>0.0</v>
      </c>
      <c r="O26" s="9" t="n">
        <v>0.0</v>
      </c>
      <c r="P26" s="9" t="n">
        <v>0.0</v>
      </c>
      <c r="Q26" s="9" t="n">
        <v>224.035475730896</v>
      </c>
      <c r="R26" s="9" t="n">
        <v>235.14233684539795</v>
      </c>
      <c r="S26" s="9" t="n">
        <v>2653.3134593963623</v>
      </c>
      <c r="T26" s="9" t="n">
        <v>0.0</v>
      </c>
      <c r="U26">
        <f si="1" t="shared"/>
        <v>14184.329309463501</v>
      </c>
    </row>
    <row r="27" spans="1:21" x14ac:dyDescent="0.25">
      <c r="A27" s="12">
        <v>0.5</v>
      </c>
      <c r="B27" s="6" t="n">
        <v>188.9768336992866</v>
      </c>
      <c r="C27" s="6" t="n">
        <v>4.709205503758191</v>
      </c>
      <c r="D27" s="6" t="n">
        <v>8.14475503049773</v>
      </c>
      <c r="E27" s="6" t="n">
        <v>47.35053024562716</v>
      </c>
      <c r="F27" s="6" t="n">
        <v>996.360531858595</v>
      </c>
      <c r="G27" s="6" t="n">
        <v>835.0181916521828</v>
      </c>
      <c r="H27" s="6" t="n">
        <v>2647.505603747247</v>
      </c>
      <c r="I27" s="6" t="n">
        <v>0.0</v>
      </c>
      <c r="J27" s="6">
        <f si="0" t="shared"/>
        <v>15507.581995278104</v>
      </c>
      <c r="L27" s="12">
        <v>0.5</v>
      </c>
      <c r="M27" s="9" t="n">
        <v>80.36100387573242</v>
      </c>
      <c r="N27" s="9" t="n">
        <v>0.0</v>
      </c>
      <c r="O27" s="9" t="n">
        <v>0.0</v>
      </c>
      <c r="P27" s="9" t="n">
        <v>0.0</v>
      </c>
      <c r="Q27" s="9" t="n">
        <v>359.98094367980957</v>
      </c>
      <c r="R27" s="9" t="n">
        <v>421.4754333496094</v>
      </c>
      <c r="S27" s="9" t="n">
        <v>4649.9089097976685</v>
      </c>
      <c r="T27" s="9" t="n">
        <v>0.0</v>
      </c>
      <c r="U27">
        <f si="1" t="shared"/>
        <v>15874.589281082153</v>
      </c>
    </row>
    <row r="28" spans="1:21" x14ac:dyDescent="0.25">
      <c r="A28" s="12">
        <v>0.52083333333333337</v>
      </c>
      <c r="B28" s="6" t="n">
        <v>232.66261173150738</v>
      </c>
      <c r="C28" s="6" t="n">
        <v>10.998242063777942</v>
      </c>
      <c r="D28" s="6" t="n">
        <v>7.868744242012119</v>
      </c>
      <c r="E28" s="6" t="n">
        <v>42.47763516263813</v>
      </c>
      <c r="F28" s="6" t="n">
        <v>1073.9020353254725</v>
      </c>
      <c r="G28" s="6" t="n">
        <v>1258.1489853550202</v>
      </c>
      <c r="H28" s="6" t="n">
        <v>4894.443008708346</v>
      </c>
      <c r="I28" s="6" t="n">
        <v>0.0</v>
      </c>
      <c r="J28" s="6">
        <f si="0" t="shared"/>
        <v>19113.223898649427</v>
      </c>
      <c r="L28" s="12">
        <v>0.52083333333333337</v>
      </c>
      <c r="M28" s="9" t="n">
        <v>136.91704559326172</v>
      </c>
      <c r="N28" s="9" t="n">
        <v>0.0</v>
      </c>
      <c r="O28" s="9" t="n">
        <v>0.0</v>
      </c>
      <c r="P28" s="9" t="n">
        <v>0.0</v>
      </c>
      <c r="Q28" s="9" t="n">
        <v>560.6661043167114</v>
      </c>
      <c r="R28" s="9" t="n">
        <v>719.5850706100464</v>
      </c>
      <c r="S28" s="9" t="n">
        <v>7702.386053085327</v>
      </c>
      <c r="T28" s="9" t="n">
        <v>0.0</v>
      </c>
      <c r="U28">
        <f si="1" t="shared"/>
        <v>18465.788507461548</v>
      </c>
    </row>
    <row r="29" spans="1:21" x14ac:dyDescent="0.25">
      <c r="A29" s="12">
        <v>0.54166666666666663</v>
      </c>
      <c r="B29" s="6" t="n">
        <v>262.2387808644692</v>
      </c>
      <c r="C29" s="6" t="n">
        <v>20.852811200352857</v>
      </c>
      <c r="D29" s="6" t="n">
        <v>8.312383884833967</v>
      </c>
      <c r="E29" s="6" t="n">
        <v>43.94158871342876</v>
      </c>
      <c r="F29" s="6" t="n">
        <v>1108.8607269851</v>
      </c>
      <c r="G29" s="6" t="n">
        <v>1966.0752444087614</v>
      </c>
      <c r="H29" s="6" t="n">
        <v>8982.278358089565</v>
      </c>
      <c r="I29" s="6" t="n">
        <v>0.0</v>
      </c>
      <c r="J29" s="6">
        <f si="0" t="shared"/>
        <v>24384.62468484469</v>
      </c>
      <c r="L29" s="12">
        <v>0.54166666666666663</v>
      </c>
      <c r="M29" s="9" t="n">
        <v>221.67968463897705</v>
      </c>
      <c r="N29" s="9" t="n">
        <v>0.0</v>
      </c>
      <c r="O29" s="9" t="n">
        <v>0.0</v>
      </c>
      <c r="P29" s="9" t="n">
        <v>0.0</v>
      </c>
      <c r="Q29" s="9" t="n">
        <v>822.7037010192871</v>
      </c>
      <c r="R29" s="9" t="n">
        <v>1146.0062103271484</v>
      </c>
      <c r="S29" s="9" t="n">
        <v>11875.911441802979</v>
      </c>
      <c r="T29" s="9" t="n">
        <v>0.0</v>
      </c>
      <c r="U29">
        <f si="1" t="shared"/>
        <v>21784.854907989502</v>
      </c>
    </row>
    <row r="30" spans="1:21" x14ac:dyDescent="0.25">
      <c r="A30" s="12">
        <v>0.5625</v>
      </c>
      <c r="B30" s="6" t="n">
        <v>276.079658301918</v>
      </c>
      <c r="C30" s="6" t="n">
        <v>32.537107757543446</v>
      </c>
      <c r="D30" s="6" t="n">
        <v>10.186517322642702</v>
      </c>
      <c r="E30" s="6" t="n">
        <v>56.75892405662837</v>
      </c>
      <c r="F30" s="6" t="n">
        <v>1120.8615855708115</v>
      </c>
      <c r="G30" s="6" t="n">
        <v>2945.3722303646637</v>
      </c>
      <c r="H30" s="6" t="n">
        <v>14991.553931327011</v>
      </c>
      <c r="I30" s="6" t="n">
        <v>0.0</v>
      </c>
      <c r="J30" s="6">
        <f si="0" t="shared"/>
        <v>31004.265943454066</v>
      </c>
      <c r="L30" s="12">
        <v>0.5625</v>
      </c>
      <c r="M30" s="9" t="n">
        <v>333.6963014602661</v>
      </c>
      <c r="N30" s="9" t="n">
        <v>0.0</v>
      </c>
      <c r="O30" s="9" t="n">
        <v>0.0</v>
      </c>
      <c r="P30" s="9" t="n">
        <v>0.0</v>
      </c>
      <c r="Q30" s="9" t="n">
        <v>1123.6874151229858</v>
      </c>
      <c r="R30" s="9" t="n">
        <v>1683.8598909378052</v>
      </c>
      <c r="S30" s="9" t="n">
        <v>16912.55603981018</v>
      </c>
      <c r="T30" s="9" t="n">
        <v>0.0</v>
      </c>
      <c r="U30">
        <f si="1" t="shared"/>
        <v>25409.137544631958</v>
      </c>
    </row>
    <row r="31" spans="1:21" x14ac:dyDescent="0.25">
      <c r="A31" s="12">
        <v>0.58333333333333337</v>
      </c>
      <c r="B31" s="6" t="n">
        <v>279.56973745924984</v>
      </c>
      <c r="C31" s="6" t="n">
        <v>42.32004353500747</v>
      </c>
      <c r="D31" s="6" t="n">
        <v>14.195223320503175</v>
      </c>
      <c r="E31" s="6" t="n">
        <v>82.0220213722543</v>
      </c>
      <c r="F31" s="6" t="n">
        <v>1125.7873518676631</v>
      </c>
      <c r="G31" s="6" t="n">
        <v>3997.0776721812936</v>
      </c>
      <c r="H31" s="6" t="n">
        <v>21885.255378101087</v>
      </c>
      <c r="I31" s="6" t="n">
        <v>0.0</v>
      </c>
      <c r="J31" s="6">
        <f si="0" t="shared"/>
        <v>37540.186027497373</v>
      </c>
      <c r="L31" s="12">
        <v>0.58333333333333337</v>
      </c>
      <c r="M31" s="9" t="n">
        <v>460.1347703933716</v>
      </c>
      <c r="N31" s="9" t="n">
        <v>0.0</v>
      </c>
      <c r="O31" s="9" t="n">
        <v>0.0</v>
      </c>
      <c r="P31" s="9" t="n">
        <v>0.0</v>
      </c>
      <c r="Q31" s="9" t="n">
        <v>1418.6734809875488</v>
      </c>
      <c r="R31" s="9" t="n">
        <v>2260.1490354537964</v>
      </c>
      <c r="S31" s="9" t="n">
        <v>22069.83240699768</v>
      </c>
      <c r="T31" s="9" t="n">
        <v>0.0</v>
      </c>
      <c r="U31">
        <f si="1" t="shared"/>
        <v>28813.514652252197</v>
      </c>
    </row>
    <row r="32" spans="1:21" x14ac:dyDescent="0.25">
      <c r="A32" s="12">
        <v>0.60416666666666663</v>
      </c>
      <c r="B32" s="6" t="n">
        <v>283.5413248813428</v>
      </c>
      <c r="C32" s="6" t="n">
        <v>46.73241705423185</v>
      </c>
      <c r="D32" s="6" t="n">
        <v>20.5724956925702</v>
      </c>
      <c r="E32" s="6" t="n">
        <v>118.04736732473594</v>
      </c>
      <c r="F32" s="6" t="n">
        <v>1122.4636431720967</v>
      </c>
      <c r="G32" s="6" t="n">
        <v>4781.076760243296</v>
      </c>
      <c r="H32" s="6" t="n">
        <v>27594.946503951738</v>
      </c>
      <c r="I32" s="6" t="n">
        <v>0.0</v>
      </c>
      <c r="J32" s="6">
        <f si="0" t="shared"/>
        <v>41892.394695826464</v>
      </c>
      <c r="L32" s="12">
        <v>0.60416666666666663</v>
      </c>
      <c r="M32" s="9" t="n">
        <v>574.4464254379272</v>
      </c>
      <c r="N32" s="9" t="n">
        <v>0.0</v>
      </c>
      <c r="O32" s="9" t="n">
        <v>0.0</v>
      </c>
      <c r="P32" s="9" t="n">
        <v>0.0</v>
      </c>
      <c r="Q32" s="9" t="n">
        <v>1643.0844230651855</v>
      </c>
      <c r="R32" s="9" t="n">
        <v>2741.7630281448364</v>
      </c>
      <c r="S32" s="9" t="n">
        <v>26124.432865142822</v>
      </c>
      <c r="T32" s="9" t="n">
        <v>0.0</v>
      </c>
      <c r="U32">
        <f si="1" t="shared"/>
        <v>31459.200167655945</v>
      </c>
    </row>
    <row r="33" spans="1:21" x14ac:dyDescent="0.25">
      <c r="A33" s="12">
        <v>0.625</v>
      </c>
      <c r="B33" s="6" t="n">
        <v>301.1715877421923</v>
      </c>
      <c r="C33" s="6" t="n">
        <v>45.40386967858143</v>
      </c>
      <c r="D33" s="6" t="n">
        <v>28.63510527688335</v>
      </c>
      <c r="E33" s="6" t="n">
        <v>163.3167371790761</v>
      </c>
      <c r="F33" s="6" t="n">
        <v>1094.891775723941</v>
      </c>
      <c r="G33" s="6" t="n">
        <v>4993.354178383317</v>
      </c>
      <c r="H33" s="6" t="n">
        <v>29996.200565799925</v>
      </c>
      <c r="I33" s="6" t="n">
        <v>0.0</v>
      </c>
      <c r="J33" s="6">
        <f si="0" t="shared"/>
        <v>42476.421382457178</v>
      </c>
      <c r="L33" s="12">
        <v>0.625</v>
      </c>
      <c r="M33" s="9" t="n">
        <v>644.213056564331</v>
      </c>
      <c r="N33" s="9" t="n">
        <v>0.0</v>
      </c>
      <c r="O33" s="9" t="n">
        <v>0.0</v>
      </c>
      <c r="P33" s="9" t="n">
        <v>0.0</v>
      </c>
      <c r="Q33" s="9" t="n">
        <v>1731.9385776519775</v>
      </c>
      <c r="R33" s="9" t="n">
        <v>2976.502993583679</v>
      </c>
      <c r="S33" s="9" t="n">
        <v>27759.62574672699</v>
      </c>
      <c r="T33" s="9" t="n">
        <v>0.0</v>
      </c>
      <c r="U33">
        <f si="1" t="shared"/>
        <v>32875.943613052368</v>
      </c>
    </row>
    <row r="34" spans="1:21" x14ac:dyDescent="0.25">
      <c r="A34" s="12">
        <v>0.64583333333333337</v>
      </c>
      <c r="B34" s="6" t="n">
        <v>342.3084992331565</v>
      </c>
      <c r="C34" s="6" t="n">
        <v>41.59898149656287</v>
      </c>
      <c r="D34" s="6" t="n">
        <v>36.549870650063525</v>
      </c>
      <c r="E34" s="6" t="n">
        <v>216.44964045587898</v>
      </c>
      <c r="F34" s="6" t="n">
        <v>1027.2130896818721</v>
      </c>
      <c r="G34" s="6" t="n">
        <v>4557.1092091869505</v>
      </c>
      <c r="H34" s="6" t="n">
        <v>28190.66927684149</v>
      </c>
      <c r="I34" s="6" t="n">
        <v>0.0</v>
      </c>
      <c r="J34" s="6">
        <f si="0" t="shared"/>
        <v>39235.158508200489</v>
      </c>
      <c r="L34" s="12">
        <v>0.64583333333333337</v>
      </c>
      <c r="M34" s="9" t="n">
        <v>647.8295450210571</v>
      </c>
      <c r="N34" s="9" t="n">
        <v>0.0</v>
      </c>
      <c r="O34" s="9" t="n">
        <v>0.0</v>
      </c>
      <c r="P34" s="9" t="n">
        <v>0.0</v>
      </c>
      <c r="Q34" s="9" t="n">
        <v>1653.4043893814087</v>
      </c>
      <c r="R34" s="9" t="n">
        <v>2872.439513206482</v>
      </c>
      <c r="S34" s="9" t="n">
        <v>26265.612917900085</v>
      </c>
      <c r="T34" s="9" t="n">
        <v>0.0</v>
      </c>
      <c r="U34">
        <f si="1" t="shared"/>
        <v>32818.339781761169</v>
      </c>
    </row>
    <row r="35" spans="1:21" x14ac:dyDescent="0.25">
      <c r="A35" s="12">
        <v>0.66666666666666663</v>
      </c>
      <c r="B35" s="6" t="n">
        <v>405.99696688293113</v>
      </c>
      <c r="C35" s="6" t="n">
        <v>39.64138285646258</v>
      </c>
      <c r="D35" s="6" t="n">
        <v>41.61452882296598</v>
      </c>
      <c r="E35" s="6" t="n">
        <v>270.9783611997902</v>
      </c>
      <c r="F35" s="6" t="n">
        <v>917.1463857327692</v>
      </c>
      <c r="G35" s="6" t="n">
        <v>3669.086746268171</v>
      </c>
      <c r="H35" s="6" t="n">
        <v>23063.126381720693</v>
      </c>
      <c r="I35" s="6" t="n">
        <v>0.0</v>
      </c>
      <c r="J35" s="6">
        <f si="0" t="shared"/>
        <v>33571.724573469051</v>
      </c>
      <c r="L35" s="12">
        <v>0.66666666666666663</v>
      </c>
      <c r="M35" s="9" t="n">
        <v>588.3385744094849</v>
      </c>
      <c r="N35" s="9" t="n">
        <v>0.0</v>
      </c>
      <c r="O35" s="9" t="n">
        <v>0.0</v>
      </c>
      <c r="P35" s="9" t="n">
        <v>0.0</v>
      </c>
      <c r="Q35" s="9" t="n">
        <v>1432.7578048706055</v>
      </c>
      <c r="R35" s="9" t="n">
        <v>2459.9313802719116</v>
      </c>
      <c r="S35" s="9" t="n">
        <v>22052.742213249207</v>
      </c>
      <c r="T35" s="9" t="n">
        <v>0.0</v>
      </c>
      <c r="U35">
        <f si="1" t="shared"/>
        <v>31393.565921783447</v>
      </c>
    </row>
    <row r="36" spans="1:21" x14ac:dyDescent="0.25">
      <c r="A36" s="12">
        <v>0.6875</v>
      </c>
      <c r="B36" s="6" t="n">
        <v>476.29413616533543</v>
      </c>
      <c r="C36" s="6" t="n">
        <v>41.92244680030858</v>
      </c>
      <c r="D36" s="6" t="n">
        <v>41.41011571484313</v>
      </c>
      <c r="E36" s="6" t="n">
        <v>311.0206544568834</v>
      </c>
      <c r="F36" s="6" t="n">
        <v>777.1734190407167</v>
      </c>
      <c r="G36" s="6" t="n">
        <v>2662.927969315746</v>
      </c>
      <c r="H36" s="6" t="n">
        <v>16642.783586088633</v>
      </c>
      <c r="I36" s="6" t="n">
        <v>0.0</v>
      </c>
      <c r="J36" s="6">
        <f si="0" t="shared"/>
        <v>27295.637031132093</v>
      </c>
      <c r="L36" s="12">
        <v>0.6875</v>
      </c>
      <c r="M36" s="9" t="n">
        <v>491.87522983551025</v>
      </c>
      <c r="N36" s="9" t="n">
        <v>0.0</v>
      </c>
      <c r="O36" s="9" t="n">
        <v>0.0</v>
      </c>
      <c r="P36" s="9" t="n">
        <v>0.0</v>
      </c>
      <c r="Q36" s="9" t="n">
        <v>1141.8198652267456</v>
      </c>
      <c r="R36" s="9" t="n">
        <v>1878.887056350708</v>
      </c>
      <c r="S36" s="9" t="n">
        <v>16480.784291267395</v>
      </c>
      <c r="T36" s="9" t="n">
        <v>0.0</v>
      </c>
      <c r="U36">
        <f si="1" t="shared"/>
        <v>28986.239757537842</v>
      </c>
    </row>
    <row r="37" spans="1:21" x14ac:dyDescent="0.25">
      <c r="A37" s="12">
        <v>0.70833333333333337</v>
      </c>
      <c r="B37" s="6" t="n">
        <v>527.192658649801</v>
      </c>
      <c r="C37" s="6" t="n">
        <v>48.62030856711611</v>
      </c>
      <c r="D37" s="6" t="n">
        <v>35.424447795920855</v>
      </c>
      <c r="E37" s="6" t="n">
        <v>317.00463288786364</v>
      </c>
      <c r="F37" s="6" t="n">
        <v>626.4794764769133</v>
      </c>
      <c r="G37" s="6" t="n">
        <v>1812.2830600554807</v>
      </c>
      <c r="H37" s="6" t="n">
        <v>10851.919018496355</v>
      </c>
      <c r="I37" s="6" t="n">
        <v>0.0</v>
      </c>
      <c r="J37" s="6">
        <f si="0" t="shared"/>
        <v>21590.080985213652</v>
      </c>
      <c r="L37" s="12">
        <v>0.70833333333333337</v>
      </c>
      <c r="M37" s="9" t="n">
        <v>391.64528465270996</v>
      </c>
      <c r="N37" s="9" t="n">
        <v>0.0</v>
      </c>
      <c r="O37" s="9" t="n">
        <v>0.0</v>
      </c>
      <c r="P37" s="9" t="n">
        <v>0.0</v>
      </c>
      <c r="Q37" s="9" t="n">
        <v>859.0425939559937</v>
      </c>
      <c r="R37" s="9" t="n">
        <v>1297.4868335723877</v>
      </c>
      <c r="S37" s="9" t="n">
        <v>11092.38732624054</v>
      </c>
      <c r="T37" s="9" t="n">
        <v>0.0</v>
      </c>
      <c r="U37">
        <f si="1" t="shared"/>
        <v>26022.940831184387</v>
      </c>
    </row>
    <row r="38" spans="1:21" x14ac:dyDescent="0.25">
      <c r="A38" s="12">
        <v>0.72916666666666663</v>
      </c>
      <c r="B38" s="6" t="n">
        <v>536.4422431175842</v>
      </c>
      <c r="C38" s="6" t="n">
        <v>59.70994175630233</v>
      </c>
      <c r="D38" s="6" t="n">
        <v>25.76444943923196</v>
      </c>
      <c r="E38" s="6" t="n">
        <v>280.2458060316779</v>
      </c>
      <c r="F38" s="6" t="n">
        <v>484.0401518703162</v>
      </c>
      <c r="G38" s="6" t="n">
        <v>1225.276152828284</v>
      </c>
      <c r="H38" s="6" t="n">
        <v>6650.63070976585</v>
      </c>
      <c r="I38" s="6" t="n">
        <v>0.0</v>
      </c>
      <c r="J38" s="6">
        <f si="0" t="shared"/>
        <v>16800.9000057351</v>
      </c>
      <c r="L38" s="12">
        <v>0.72916666666666663</v>
      </c>
      <c r="M38" s="9" t="n">
        <v>311.3457956314087</v>
      </c>
      <c r="N38" s="9" t="n">
        <v>0.0</v>
      </c>
      <c r="O38" s="9" t="n">
        <v>0.0</v>
      </c>
      <c r="P38" s="9" t="n">
        <v>0.0</v>
      </c>
      <c r="Q38" s="9" t="n">
        <v>633.06960105896</v>
      </c>
      <c r="R38" s="9" t="n">
        <v>829.6696271896362</v>
      </c>
      <c r="S38" s="9" t="n">
        <v>6875.1814794540405</v>
      </c>
      <c r="T38" s="9" t="n">
        <v>0.0</v>
      </c>
      <c r="U38">
        <f si="1" t="shared"/>
        <v>22814.383177757263</v>
      </c>
    </row>
    <row r="39" spans="1:21" x14ac:dyDescent="0.25">
      <c r="A39" s="12">
        <v>0.75</v>
      </c>
      <c r="B39" s="6" t="n">
        <v>499.41972134942637</v>
      </c>
      <c r="C39" s="6" t="n">
        <v>75.82236040336102</v>
      </c>
      <c r="D39" s="6" t="n">
        <v>16.028047474318072</v>
      </c>
      <c r="E39" s="6" t="n">
        <v>212.47034680061563</v>
      </c>
      <c r="F39" s="6" t="n">
        <v>367.3043105844138</v>
      </c>
      <c r="G39" s="6" t="n">
        <v>869.2937355000238</v>
      </c>
      <c r="H39" s="6" t="n">
        <v>4031.793707394459</v>
      </c>
      <c r="I39" s="6" t="n">
        <v>0.0</v>
      </c>
      <c r="J39" s="6">
        <f si="0" t="shared"/>
        <v>12885.383968789791</v>
      </c>
      <c r="L39" s="12">
        <v>0.75</v>
      </c>
      <c r="M39" s="9" t="n">
        <v>259.48114013671875</v>
      </c>
      <c r="N39" s="9" t="n">
        <v>0.0</v>
      </c>
      <c r="O39" s="9" t="n">
        <v>0.0</v>
      </c>
      <c r="P39" s="9" t="n">
        <v>0.0</v>
      </c>
      <c r="Q39" s="9" t="n">
        <v>474.6768674850464</v>
      </c>
      <c r="R39" s="9" t="n">
        <v>508.42866134643555</v>
      </c>
      <c r="S39" s="9" t="n">
        <v>4055.86203956604</v>
      </c>
      <c r="T39" s="9" t="n">
        <v>0.0</v>
      </c>
      <c r="U39">
        <f si="1" t="shared"/>
        <v>19583.464508056641</v>
      </c>
    </row>
    <row r="40" spans="1:21" x14ac:dyDescent="0.25">
      <c r="A40" s="12">
        <v>0.77083333333333337</v>
      </c>
      <c r="B40" s="6" t="n">
        <v>432.0510094594696</v>
      </c>
      <c r="C40" s="6" t="n">
        <v>96.09383826832308</v>
      </c>
      <c r="D40" s="6" t="n">
        <v>9.178413103509875</v>
      </c>
      <c r="E40" s="6" t="n">
        <v>139.33167780378898</v>
      </c>
      <c r="F40" s="6" t="n">
        <v>291.60427937601895</v>
      </c>
      <c r="G40" s="6" t="n">
        <v>655.8196840144944</v>
      </c>
      <c r="H40" s="6" t="n">
        <v>2529.753252032084</v>
      </c>
      <c r="I40" s="6" t="n">
        <v>0.0</v>
      </c>
      <c r="J40" s="6">
        <f si="0" t="shared"/>
        <v>9830.3969397569726</v>
      </c>
      <c r="L40" s="12">
        <v>0.77083333333333337</v>
      </c>
      <c r="M40" s="9" t="n">
        <v>233.38310432434082</v>
      </c>
      <c r="N40" s="9" t="n">
        <v>0.0</v>
      </c>
      <c r="O40" s="9" t="n">
        <v>0.0</v>
      </c>
      <c r="P40" s="9" t="n">
        <v>0.0</v>
      </c>
      <c r="Q40" s="9" t="n">
        <v>371.7110204696655</v>
      </c>
      <c r="R40" s="9" t="n">
        <v>311.67999362945557</v>
      </c>
      <c r="S40" s="9" t="n">
        <v>2371.323139190674</v>
      </c>
      <c r="T40" s="9" t="n">
        <v>0.0</v>
      </c>
      <c r="U40">
        <f si="1" t="shared"/>
        <v>16535.965547561646</v>
      </c>
    </row>
    <row r="41" spans="1:21" x14ac:dyDescent="0.25">
      <c r="A41" s="12">
        <v>0.79166666666666663</v>
      </c>
      <c r="B41" s="6" t="n">
        <v>360.3975295228061</v>
      </c>
      <c r="C41" s="6" t="n">
        <v>115.483257033421</v>
      </c>
      <c r="D41" s="6" t="n">
        <v>6.163690970928274</v>
      </c>
      <c r="E41" s="6" t="n">
        <v>83.52587956952084</v>
      </c>
      <c r="F41" s="6" t="n">
        <v>264.75348226832136</v>
      </c>
      <c r="G41" s="6" t="n">
        <v>507.44113343462914</v>
      </c>
      <c r="H41" s="6" t="n">
        <v>1678.3863784508308</v>
      </c>
      <c r="I41" s="6" t="n">
        <v>0.0</v>
      </c>
      <c r="J41" s="6">
        <f si="0" t="shared"/>
        <v>7675.4164233008396</v>
      </c>
      <c r="L41" s="12">
        <v>0.79166666666666663</v>
      </c>
      <c r="M41" s="9" t="n">
        <v>225.06919384002686</v>
      </c>
      <c r="N41" s="9" t="n">
        <v>0.0</v>
      </c>
      <c r="O41" s="9" t="n">
        <v>0.0</v>
      </c>
      <c r="P41" s="9" t="n">
        <v>0.0</v>
      </c>
      <c r="Q41" s="9" t="n">
        <v>306.12821865081787</v>
      </c>
      <c r="R41" s="9" t="n">
        <v>200.24026012420654</v>
      </c>
      <c r="S41" s="9" t="n">
        <v>1433.0720176696777</v>
      </c>
      <c r="T41" s="9" t="n">
        <v>0.0</v>
      </c>
      <c r="U41">
        <f si="1" t="shared"/>
        <v>13826.869688034058</v>
      </c>
    </row>
    <row r="42" spans="1:21" x14ac:dyDescent="0.25">
      <c r="A42" s="12">
        <v>0.8125</v>
      </c>
      <c r="B42" s="6" t="n">
        <v>305.5791135449723</v>
      </c>
      <c r="C42" s="6" t="n">
        <v>125.62796713253255</v>
      </c>
      <c r="D42" s="6" t="n">
        <v>6.043369464380368</v>
      </c>
      <c r="E42" s="6" t="n">
        <v>52.82786473377873</v>
      </c>
      <c r="F42" s="6" t="n">
        <v>279.27217318903246</v>
      </c>
      <c r="G42" s="6" t="n">
        <v>382.68636895708727</v>
      </c>
      <c r="H42" s="6" t="n">
        <v>1175.3220055715635</v>
      </c>
      <c r="I42" s="6" t="n">
        <v>0.0</v>
      </c>
      <c r="J42" s="6">
        <f si="0" t="shared"/>
        <v>6322.5061519620012</v>
      </c>
      <c r="L42" s="12">
        <v>0.8125</v>
      </c>
      <c r="M42" s="9" t="n">
        <v>224.9578971862793</v>
      </c>
      <c r="N42" s="9" t="n">
        <v>0.0</v>
      </c>
      <c r="O42" s="9" t="n">
        <v>0.0</v>
      </c>
      <c r="P42" s="9" t="n">
        <v>0.0</v>
      </c>
      <c r="Q42" s="9" t="n">
        <v>261.8654718399048</v>
      </c>
      <c r="R42" s="9" t="n">
        <v>139.8189811706543</v>
      </c>
      <c r="S42" s="9" t="n">
        <v>926.7358331680298</v>
      </c>
      <c r="T42" s="9" t="n">
        <v>0.0</v>
      </c>
      <c r="U42">
        <f si="1" t="shared"/>
        <v>11479.196510314941</v>
      </c>
    </row>
    <row r="43" spans="1:21" x14ac:dyDescent="0.25">
      <c r="A43" s="12">
        <v>0.83333333333333337</v>
      </c>
      <c r="B43" s="6" t="n">
        <v>274.44184291886427</v>
      </c>
      <c r="C43" s="6" t="n">
        <v>119.87664193191674</v>
      </c>
      <c r="D43" s="6" t="n">
        <v>7.022774664111041</v>
      </c>
      <c r="E43" s="6" t="n">
        <v>41.10517421457591</v>
      </c>
      <c r="F43" s="6" t="n">
        <v>311.29259286378567</v>
      </c>
      <c r="G43" s="6" t="n">
        <v>271.5543739288698</v>
      </c>
      <c r="H43" s="6" t="n">
        <v>852.6992883222623</v>
      </c>
      <c r="I43" s="6" t="n">
        <v>0.0</v>
      </c>
      <c r="J43" s="6">
        <f si="0" t="shared"/>
        <v>5459.4457453767973</v>
      </c>
      <c r="L43" s="12">
        <v>0.83333333333333337</v>
      </c>
      <c r="M43" s="9" t="n">
        <v>224.7921018600464</v>
      </c>
      <c r="N43" s="9" t="n">
        <v>0.0</v>
      </c>
      <c r="O43" s="9" t="n">
        <v>0.0</v>
      </c>
      <c r="P43" s="9" t="n">
        <v>0.0</v>
      </c>
      <c r="Q43" s="9" t="n">
        <v>226.64147663116455</v>
      </c>
      <c r="R43" s="9" t="n">
        <v>106.6613187789917</v>
      </c>
      <c r="S43" s="9" t="n">
        <v>649.129695892334</v>
      </c>
      <c r="T43" s="9" t="n">
        <v>0.0</v>
      </c>
      <c r="U43">
        <f si="1" t="shared"/>
        <v>9397.1321725845337</v>
      </c>
    </row>
    <row r="44" spans="1:21" x14ac:dyDescent="0.25">
      <c r="A44" s="12">
        <v>0.85416666666666663</v>
      </c>
      <c r="B44" s="6" t="n">
        <v>259.36023233497076</v>
      </c>
      <c r="C44" s="6" t="n">
        <v>98.38233624109928</v>
      </c>
      <c r="D44" s="6" t="n">
        <v>7.51832879739875</v>
      </c>
      <c r="E44" s="6" t="n">
        <v>37.459261179971605</v>
      </c>
      <c r="F44" s="6" t="n">
        <v>331.4991785008799</v>
      </c>
      <c r="G44" s="6" t="n">
        <v>179.3254963508167</v>
      </c>
      <c r="H44" s="6" t="n">
        <v>618.9432926048125</v>
      </c>
      <c r="I44" s="6" t="n">
        <v>0.0</v>
      </c>
      <c r="J44" s="6">
        <f si="0" t="shared"/>
        <v>4700.4828081171072</v>
      </c>
      <c r="L44" s="12">
        <v>0.85416666666666663</v>
      </c>
      <c r="M44" s="9" t="n">
        <v>220.785906791687</v>
      </c>
      <c r="N44" s="9" t="n">
        <v>0.0</v>
      </c>
      <c r="O44" s="9" t="n">
        <v>0.0</v>
      </c>
      <c r="P44" s="9" t="n">
        <v>0.0</v>
      </c>
      <c r="Q44" s="9" t="n">
        <v>193.27364921569824</v>
      </c>
      <c r="R44" s="9" t="n">
        <v>86.77708721160889</v>
      </c>
      <c r="S44" s="9" t="n">
        <v>484.45354557037354</v>
      </c>
      <c r="T44" s="9" t="n">
        <v>0.0</v>
      </c>
      <c r="U44">
        <f si="1" t="shared"/>
        <v>7484.0220260620117</v>
      </c>
    </row>
    <row r="45" spans="1:21" x14ac:dyDescent="0.25">
      <c r="A45" s="12">
        <v>0.875</v>
      </c>
      <c r="B45" s="6" t="n">
        <v>244.7824828604043</v>
      </c>
      <c r="C45" s="6" t="n">
        <v>68.47519723517752</v>
      </c>
      <c r="D45" s="6" t="n">
        <v>6.805182387926356</v>
      </c>
      <c r="E45" s="6" t="n">
        <v>34.19377998928842</v>
      </c>
      <c r="F45" s="6" t="n">
        <v>321.478156513086</v>
      </c>
      <c r="G45" s="6" t="n">
        <v>111.30241474206949</v>
      </c>
      <c r="H45" s="6" t="n">
        <v>430.40174939980193</v>
      </c>
      <c r="I45" s="6" t="n">
        <v>0.0</v>
      </c>
      <c r="J45" s="6">
        <f si="0" t="shared"/>
        <v>3807.3021382916536</v>
      </c>
      <c r="L45" s="12">
        <v>0.875</v>
      </c>
      <c r="M45" s="9" t="n">
        <v>214.8103380203247</v>
      </c>
      <c r="N45" s="9" t="n">
        <v>0.0</v>
      </c>
      <c r="O45" s="9" t="n">
        <v>0.0</v>
      </c>
      <c r="P45" s="9" t="n">
        <v>0.0</v>
      </c>
      <c r="Q45" s="9" t="n">
        <v>160.63148403167725</v>
      </c>
      <c r="R45" s="9" t="n">
        <v>73.76760005950928</v>
      </c>
      <c r="S45" s="9" t="n">
        <v>376.6022262573242</v>
      </c>
      <c r="T45" s="9" t="n">
        <v>0.0</v>
      </c>
      <c r="U45">
        <f si="1" t="shared"/>
        <v>5740.4594469070435</v>
      </c>
    </row>
    <row r="46" spans="1:21" x14ac:dyDescent="0.25">
      <c r="A46" s="12">
        <v>0.89583333333333337</v>
      </c>
      <c r="B46" s="6" t="n">
        <v>216.94820494460893</v>
      </c>
      <c r="C46" s="6" t="n">
        <v>39.89906907278998</v>
      </c>
      <c r="D46" s="6" t="n">
        <v>5.101167776721454</v>
      </c>
      <c r="E46" s="6" t="n">
        <v>29.000850944517577</v>
      </c>
      <c r="F46" s="6" t="n">
        <v>281.80649323966355</v>
      </c>
      <c r="G46" s="6" t="n">
        <v>66.14155673942028</v>
      </c>
      <c r="H46" s="6" t="n">
        <v>275.88979873750657</v>
      </c>
      <c r="I46" s="6" t="n">
        <v>0.0</v>
      </c>
      <c r="J46" s="6">
        <f si="0" t="shared"/>
        <v>2793.428510391871</v>
      </c>
      <c r="L46" s="12">
        <v>0.89583333333333337</v>
      </c>
      <c r="M46" s="9" t="n">
        <v>211.33037662506104</v>
      </c>
      <c r="N46" s="9" t="n">
        <v>0.0</v>
      </c>
      <c r="O46" s="9" t="n">
        <v>0.0</v>
      </c>
      <c r="P46" s="9" t="n">
        <v>0.0</v>
      </c>
      <c r="Q46" s="9" t="n">
        <v>131.73445987701416</v>
      </c>
      <c r="R46" s="9" t="n">
        <v>65.61078643798828</v>
      </c>
      <c r="S46" s="9" t="n">
        <v>304.23277854919434</v>
      </c>
      <c r="T46" s="9" t="n">
        <v>0.0</v>
      </c>
      <c r="U46">
        <f si="1" t="shared"/>
        <v>4248.5298538208008</v>
      </c>
    </row>
    <row r="47" spans="1:21" x14ac:dyDescent="0.25">
      <c r="A47" s="12">
        <v>0.91666666666666663</v>
      </c>
      <c r="B47" s="6" t="n">
        <v>172.20749242569897</v>
      </c>
      <c r="C47" s="6" t="n">
        <v>19.177173896737752</v>
      </c>
      <c r="D47" s="6" t="n">
        <v>3.1390606531814083</v>
      </c>
      <c r="E47" s="6" t="n">
        <v>22.81109190701624</v>
      </c>
      <c r="F47" s="6" t="n">
        <v>225.89191409233126</v>
      </c>
      <c r="G47" s="6" t="n">
        <v>37.85060569983348</v>
      </c>
      <c r="H47" s="6" t="n">
        <v>158.5116966835867</v>
      </c>
      <c r="I47" s="6" t="n">
        <v>0.0</v>
      </c>
      <c r="J47" s="6">
        <f si="0" t="shared"/>
        <v>1837.3821262238303</v>
      </c>
      <c r="L47" s="12">
        <v>0.91666666666666663</v>
      </c>
      <c r="M47" s="9" t="n">
        <v>211.67591667175293</v>
      </c>
      <c r="N47" s="9" t="n">
        <v>0.0</v>
      </c>
      <c r="O47" s="9" t="n">
        <v>0.0</v>
      </c>
      <c r="P47" s="9" t="n">
        <v>0.0</v>
      </c>
      <c r="Q47" s="9" t="n">
        <v>109.36926364898682</v>
      </c>
      <c r="R47" s="9" t="n">
        <v>61.12549591064453</v>
      </c>
      <c r="S47" s="9" t="n">
        <v>258.0898666381836</v>
      </c>
      <c r="T47" s="9" t="n">
        <v>0.0</v>
      </c>
      <c r="U47">
        <f si="1" t="shared"/>
        <v>3077.9076623916626</v>
      </c>
    </row>
    <row r="48" spans="1:21" x14ac:dyDescent="0.25">
      <c r="A48" s="12">
        <v>0.9375</v>
      </c>
      <c r="B48" s="6" t="n">
        <v>118.57798822601086</v>
      </c>
      <c r="C48" s="6" t="n">
        <v>7.459663281911851</v>
      </c>
      <c r="D48" s="6" t="n">
        <v>1.5695303265907041</v>
      </c>
      <c r="E48" s="6" t="n">
        <v>16.977331351061327</v>
      </c>
      <c r="F48" s="6" t="n">
        <v>167.73486661793123</v>
      </c>
      <c r="G48" s="6" t="n">
        <v>20.41445665623512</v>
      </c>
      <c r="H48" s="6" t="n">
        <v>79.9801706448364</v>
      </c>
      <c r="I48" s="6" t="n">
        <v>0.0</v>
      </c>
      <c r="J48" s="6">
        <f si="0" t="shared"/>
        <v>1104.1299843757777</v>
      </c>
      <c r="L48" s="12">
        <v>0.9375</v>
      </c>
      <c r="M48" s="9" t="n">
        <v>210.64862442016602</v>
      </c>
      <c r="N48" s="9" t="n">
        <v>0.0</v>
      </c>
      <c r="O48" s="9" t="n">
        <v>0.0</v>
      </c>
      <c r="P48" s="9" t="n">
        <v>0.0</v>
      </c>
      <c r="Q48" s="9" t="n">
        <v>92.80517196655273</v>
      </c>
      <c r="R48" s="9" t="n">
        <v>57.97543239593506</v>
      </c>
      <c r="S48" s="9" t="n">
        <v>227.24154567718506</v>
      </c>
      <c r="T48" s="9" t="n">
        <v>0.0</v>
      </c>
      <c r="U48">
        <f si="1" t="shared"/>
        <v>2217.3425960540771</v>
      </c>
    </row>
    <row r="49" spans="1:21" x14ac:dyDescent="0.25">
      <c r="A49" s="12">
        <v>0.95833333333333337</v>
      </c>
      <c r="B49" s="6" t="n">
        <v>69.24800463466467</v>
      </c>
      <c r="C49" s="6" t="n">
        <v>2.2871991011602963</v>
      </c>
      <c r="D49" s="6" t="n">
        <v>0.6278121306362816</v>
      </c>
      <c r="E49" s="6" t="n">
        <v>12.046456459290091</v>
      </c>
      <c r="F49" s="6" t="n">
        <v>115.35521624170354</v>
      </c>
      <c r="G49" s="6" t="n">
        <v>9.953337508007642</v>
      </c>
      <c r="H49" s="6" t="n">
        <v>34.80324435106216</v>
      </c>
      <c r="I49" s="6" t="n">
        <v>0.0</v>
      </c>
      <c r="J49" s="6">
        <f si="0" t="shared"/>
        <v>634.6723961540373</v>
      </c>
      <c r="L49" s="12">
        <v>0.95833333333333337</v>
      </c>
      <c r="M49" s="9" t="n">
        <v>199.1912784576416</v>
      </c>
      <c r="N49" s="9" t="n">
        <v>0.0</v>
      </c>
      <c r="O49" s="9" t="n">
        <v>0.0</v>
      </c>
      <c r="P49" s="9" t="n">
        <v>0.0</v>
      </c>
      <c r="Q49" s="9" t="n">
        <v>78.33090400695801</v>
      </c>
      <c r="R49" s="9" t="n">
        <v>53.130269050598145</v>
      </c>
      <c r="S49" s="9" t="n">
        <v>198.20587635040283</v>
      </c>
      <c r="T49" s="9" t="n">
        <v>0.0</v>
      </c>
      <c r="U49">
        <f si="1" t="shared"/>
        <v>1587.1081018447876</v>
      </c>
    </row>
    <row r="50" spans="1:21" x14ac:dyDescent="0.25">
      <c r="A50" s="12">
        <v>0.97916666666666663</v>
      </c>
      <c r="B50" s="6" t="n">
        <v>33.65611564697849</v>
      </c>
      <c r="C50" s="6" t="n">
        <v>0.5316356403611048</v>
      </c>
      <c r="D50" s="6" t="n">
        <v>0.19619129082383802</v>
      </c>
      <c r="E50" s="6" t="n">
        <v>8.007230011864493</v>
      </c>
      <c r="F50" s="6" t="n">
        <v>72.11206538208344</v>
      </c>
      <c r="G50" s="6" t="n">
        <v>4.194071075867752</v>
      </c>
      <c r="H50" s="6" t="n">
        <v>12.798964420419964</v>
      </c>
      <c r="I50" s="6" t="n">
        <v>0.0</v>
      </c>
      <c r="J50" s="6">
        <f si="0" t="shared"/>
        <v>365.32485203722354</v>
      </c>
      <c r="L50" s="12">
        <v>0.97916666666666663</v>
      </c>
      <c r="M50" s="9" t="n">
        <v>171.4376344680786</v>
      </c>
      <c r="N50" s="9" t="n">
        <v>0.0</v>
      </c>
      <c r="O50" s="9" t="n">
        <v>0.0</v>
      </c>
      <c r="P50" s="9" t="n">
        <v>0.0</v>
      </c>
      <c r="Q50" s="9" t="n">
        <v>62.57050323486328</v>
      </c>
      <c r="R50" s="9" t="n">
        <v>44.73182201385498</v>
      </c>
      <c r="S50" s="9" t="n">
        <v>161.79495906829834</v>
      </c>
      <c r="T50" s="9" t="n">
        <v>0.0</v>
      </c>
      <c r="U50">
        <f si="1" t="shared"/>
        <v>1100.8892488479614</v>
      </c>
    </row>
    <row r="51" spans="1:21" x14ac:dyDescent="0.25">
      <c r="A51" s="12">
        <v>1</v>
      </c>
      <c r="B51" s="6" t="n">
        <v>13.353062180738341</v>
      </c>
      <c r="C51" s="6" t="n">
        <v>0.0879893260685041</v>
      </c>
      <c r="D51" s="6" t="n">
        <v>0.04616265666443248</v>
      </c>
      <c r="E51" s="6" t="n">
        <v>4.8222880032044255</v>
      </c>
      <c r="F51" s="6" t="n">
        <v>39.720220247921176</v>
      </c>
      <c r="G51" s="6" t="n">
        <v>1.4667229979836023</v>
      </c>
      <c r="H51" s="6" t="n">
        <v>3.8774416784576147</v>
      </c>
      <c r="I51" s="6" t="n">
        <v>0.0</v>
      </c>
      <c r="J51" s="6">
        <f si="0" t="shared"/>
        <v>209.82423014715286</v>
      </c>
      <c r="L51" s="12">
        <v>1</v>
      </c>
      <c r="M51" s="9" t="n">
        <v>130.0352087020874</v>
      </c>
      <c r="N51" s="9" t="n">
        <v>0.0</v>
      </c>
      <c r="O51" s="9" t="n">
        <v>0.0</v>
      </c>
      <c r="P51" s="9" t="n">
        <v>0.0</v>
      </c>
      <c r="Q51" s="9" t="n">
        <v>45.141597747802734</v>
      </c>
      <c r="R51" s="9" t="n">
        <v>33.355825424194336</v>
      </c>
      <c r="S51" s="9" t="n">
        <v>118.18418598175049</v>
      </c>
      <c r="T51" s="9" t="n">
        <v>0.0</v>
      </c>
      <c r="U51">
        <f si="1" t="shared"/>
        <v>712.07851409912109</v>
      </c>
    </row>
    <row r="52" spans="1:21" x14ac:dyDescent="0.25">
      <c r="A52" s="12">
        <v>1.0208333333333333</v>
      </c>
      <c r="B52" s="6" t="n">
        <v>4.22506313672848</v>
      </c>
      <c r="C52" s="6" t="n">
        <v>0.009234217150443438</v>
      </c>
      <c r="D52" s="6" t="n">
        <v>0.007693776110738746</v>
      </c>
      <c r="E52" s="6" t="n">
        <v>2.5417277032972985</v>
      </c>
      <c r="F52" s="6" t="n">
        <v>18.624684151125983</v>
      </c>
      <c r="G52" s="6" t="n">
        <v>0.4094598044080764</v>
      </c>
      <c r="H52" s="6" t="n">
        <v>0.9352860471180119</v>
      </c>
      <c r="I52" s="6" t="n">
        <v>0.0</v>
      </c>
      <c r="J52" s="6">
        <f si="0" t="shared"/>
        <v>113.29104484475575</v>
      </c>
      <c r="L52" s="12">
        <v>1.0208333333333333</v>
      </c>
      <c r="M52" s="9" t="n">
        <v>84.93319129943848</v>
      </c>
      <c r="N52" s="9" t="n">
        <v>0.0</v>
      </c>
      <c r="O52" s="9" t="n">
        <v>0.0</v>
      </c>
      <c r="P52" s="9" t="n">
        <v>0.0</v>
      </c>
      <c r="Q52" s="9" t="n">
        <v>28.425822257995605</v>
      </c>
      <c r="R52" s="9" t="n">
        <v>21.48233413696289</v>
      </c>
      <c r="S52" s="9" t="n">
        <v>74.93969345092773</v>
      </c>
      <c r="T52" s="9" t="n">
        <v>0.0</v>
      </c>
      <c r="U52">
        <f si="1" t="shared"/>
        <v>413.54938983917236</v>
      </c>
    </row>
    <row r="53" spans="1:21" x14ac:dyDescent="0.25">
      <c r="A53" s="12">
        <v>4.1666666666666664E-2</v>
      </c>
      <c r="B53" s="6" t="n">
        <v>1.0331441559444077</v>
      </c>
      <c r="C53" s="6" t="n">
        <v>4.617108575221719E-4</v>
      </c>
      <c r="D53" s="6" t="n">
        <v>8.09871169551447E-4</v>
      </c>
      <c r="E53" s="6" t="n">
        <v>1.1375995152813525</v>
      </c>
      <c r="F53" s="6" t="n">
        <v>7.186416451710603</v>
      </c>
      <c r="G53" s="6" t="n">
        <v>0.08717444342017763</v>
      </c>
      <c r="H53" s="6" t="n">
        <v>0.1712394590422152</v>
      </c>
      <c r="I53" s="6" t="n">
        <v>0.0</v>
      </c>
      <c r="J53" s="6">
        <f si="0" t="shared"/>
        <v>53.544458019915915</v>
      </c>
      <c r="L53" s="12">
        <v>4.1666666666666664E-2</v>
      </c>
      <c r="M53" s="9" t="n">
        <v>46.886900901794434</v>
      </c>
      <c r="N53" s="9" t="n">
        <v>0.0</v>
      </c>
      <c r="O53" s="9" t="n">
        <v>0.0</v>
      </c>
      <c r="P53" s="9" t="n">
        <v>0.0</v>
      </c>
      <c r="Q53" s="9" t="n">
        <v>15.241426467895508</v>
      </c>
      <c r="R53" s="9" t="n">
        <v>11.718328475952148</v>
      </c>
      <c r="S53" s="9" t="n">
        <v>40.35270690917969</v>
      </c>
      <c r="T53" s="9" t="n">
        <v>0.0</v>
      </c>
      <c r="U53">
        <f si="1" t="shared"/>
        <v>208.92552375793457</v>
      </c>
    </row>
    <row r="54" spans="1:21" x14ac:dyDescent="0.25">
      <c r="A54" s="12">
        <v>6.25E-2</v>
      </c>
      <c r="B54" s="6" t="n">
        <v>0.18641000397678173</v>
      </c>
      <c r="C54" s="6" t="n">
        <v>0.0</v>
      </c>
      <c r="D54" s="6" t="n">
        <v>4.049355847757235E-5</v>
      </c>
      <c r="E54" s="6" t="n">
        <v>0.4203950167754965</v>
      </c>
      <c r="F54" s="6" t="n">
        <v>2.2020124831675254</v>
      </c>
      <c r="G54" s="6" t="n">
        <v>0.013245467730389447</v>
      </c>
      <c r="H54" s="6" t="n">
        <v>0.022116462648638598</v>
      </c>
      <c r="I54" s="6" t="n">
        <v>0.0</v>
      </c>
      <c r="J54" s="6">
        <f si="0" t="shared"/>
        <v>20.95436646628125</v>
      </c>
      <c r="L54" s="12">
        <v>6.25E-2</v>
      </c>
      <c r="M54" s="9" t="n">
        <v>21.4827823638916</v>
      </c>
      <c r="N54" s="9" t="n">
        <v>0.0</v>
      </c>
      <c r="O54" s="9" t="n">
        <v>0.0</v>
      </c>
      <c r="P54" s="9" t="n">
        <v>0.0</v>
      </c>
      <c r="Q54" s="9" t="n">
        <v>6.812930107116699</v>
      </c>
      <c r="R54" s="9" t="n">
        <v>5.314266204833984</v>
      </c>
      <c r="S54" s="9" t="n">
        <v>18.093852043151855</v>
      </c>
      <c r="T54" s="9" t="n">
        <v>0.0</v>
      </c>
      <c r="U54">
        <f si="1" t="shared"/>
        <v>89.353551864624023</v>
      </c>
    </row>
    <row r="55" spans="1:21" x14ac:dyDescent="0.25">
      <c r="A55" s="12">
        <v>8.3333333333333329E-2</v>
      </c>
      <c r="B55" s="6" t="n">
        <v>0.023030719817700728</v>
      </c>
      <c r="C55" s="6" t="n">
        <v>0.0</v>
      </c>
      <c r="D55" s="6" t="n">
        <v>0.0</v>
      </c>
      <c r="E55" s="6" t="n">
        <v>0.12431601006824486</v>
      </c>
      <c r="F55" s="6" t="n">
        <v>0.5127660378339527</v>
      </c>
      <c r="G55" s="6" t="n">
        <v>0.00127607933505486</v>
      </c>
      <c r="H55" s="6" t="n">
        <v>0.001769616946140678</v>
      </c>
      <c r="I55" s="6" t="n">
        <v>0.0</v>
      </c>
      <c r="J55" s="6">
        <f si="0" t="shared"/>
        <v>6.5018536352114715</v>
      </c>
      <c r="L55" s="12">
        <v>8.3333333333333329E-2</v>
      </c>
      <c r="M55" s="9" t="n">
        <v>7.999524116516113</v>
      </c>
      <c r="N55" s="9" t="n">
        <v>0.0</v>
      </c>
      <c r="O55" s="9" t="n">
        <v>0.0</v>
      </c>
      <c r="P55" s="9" t="n">
        <v>0.0</v>
      </c>
      <c r="Q55" s="9" t="n">
        <v>2.482532501220703</v>
      </c>
      <c r="R55" s="9" t="n">
        <v>1.9613761901855469</v>
      </c>
      <c r="S55" s="9" t="n">
        <v>6.611105918884277</v>
      </c>
      <c r="T55" s="9" t="n">
        <v>0.0</v>
      </c>
      <c r="U55">
        <f si="1" t="shared"/>
        <v>31.49345874786377</v>
      </c>
    </row>
    <row r="56" spans="1:21" x14ac:dyDescent="0.25">
      <c r="A56" s="12">
        <v>0.10416666666666667</v>
      </c>
      <c r="B56" s="6" t="n">
        <v>0.0016964415771185443</v>
      </c>
      <c r="C56" s="6" t="n">
        <v>0.0</v>
      </c>
      <c r="D56" s="6" t="n">
        <v>0.0</v>
      </c>
      <c r="E56" s="6" t="n">
        <v>0.028208420629657963</v>
      </c>
      <c r="F56" s="6" t="n">
        <v>0.08502733307850822</v>
      </c>
      <c r="G56" s="6" t="n">
        <v>5.8457709384322645E-5</v>
      </c>
      <c r="H56" s="6" t="n">
        <v>6.450222644852496E-5</v>
      </c>
      <c r="I56" s="6" t="n">
        <v>0.0</v>
      </c>
      <c r="J56" s="6">
        <f si="0" t="shared"/>
        <v>1.5295642642664542</v>
      </c>
      <c r="L56" s="12">
        <v>0.10416666666666667</v>
      </c>
      <c r="M56" s="9" t="n">
        <v>2.354764938354492</v>
      </c>
      <c r="N56" s="9" t="n">
        <v>0.0</v>
      </c>
      <c r="O56" s="9" t="n">
        <v>0.0</v>
      </c>
      <c r="P56" s="9" t="n">
        <v>0.0</v>
      </c>
      <c r="Q56" s="9" t="n">
        <v>0.7167634963989258</v>
      </c>
      <c r="R56" s="9" t="n">
        <v>0.5729246139526367</v>
      </c>
      <c r="S56" s="9" t="n">
        <v>1.9138898849487305</v>
      </c>
      <c r="T56" s="9" t="n">
        <v>0.0</v>
      </c>
      <c r="U56">
        <f si="1" t="shared"/>
        <v>8.8641548156738281</v>
      </c>
    </row>
    <row r="57" spans="1:21" x14ac:dyDescent="0.25">
      <c r="A57" s="12">
        <v>0.125</v>
      </c>
      <c r="B57" s="6" t="n">
        <v>5.323539914952936E-5</v>
      </c>
      <c r="C57" s="6" t="n">
        <v>0.0</v>
      </c>
      <c r="D57" s="6" t="n">
        <v>0.0</v>
      </c>
      <c r="E57" s="6" t="n">
        <v>0.004578950044111597</v>
      </c>
      <c r="F57" s="6" t="n">
        <v>0.008932693843420011</v>
      </c>
      <c r="G57" s="6" t="n">
        <v>0.0</v>
      </c>
      <c r="H57" s="6" t="n">
        <v>0.0</v>
      </c>
      <c r="I57" s="6" t="n">
        <v>0.0</v>
      </c>
      <c r="J57" s="6">
        <f si="0" t="shared"/>
        <v>0.25480930781562494</v>
      </c>
      <c r="L57" s="12">
        <v>0.125</v>
      </c>
      <c r="M57" s="9" t="n">
        <v>0.5184164047241211</v>
      </c>
      <c r="N57" s="9" t="n">
        <v>0.0</v>
      </c>
      <c r="O57" s="9" t="n">
        <v>0.0</v>
      </c>
      <c r="P57" s="9" t="n">
        <v>0.0</v>
      </c>
      <c r="Q57" s="9" t="n">
        <v>0.15514278411865234</v>
      </c>
      <c r="R57" s="9" t="n">
        <v>0.12530899047851562</v>
      </c>
      <c r="S57" s="9" t="n">
        <v>0.41536903381347656</v>
      </c>
      <c r="T57" s="9" t="n">
        <v>0.0</v>
      </c>
      <c r="U57">
        <f si="1" t="shared"/>
        <v>1.8816995620727539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drawing r:id="rId1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AA58"/>
  <sheetViews>
    <sheetView workbookViewId="0">
      <selection activeCell="A3" sqref="A3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42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57</v>
      </c>
      <c r="B6" s="1"/>
      <c r="C6" s="1"/>
      <c r="D6" s="1"/>
      <c r="E6" s="1"/>
      <c r="F6" s="1"/>
      <c r="G6" s="1"/>
      <c r="H6" s="1"/>
      <c r="I6" s="1"/>
      <c r="J6" s="1"/>
      <c r="L6" s="3" t="s">
        <v>43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1168.0675048756978</v>
      </c>
      <c r="C8" s="6" t="n">
        <v>35.5013426149301</v>
      </c>
      <c r="D8" s="6" t="n">
        <v>25.4962415737039</v>
      </c>
      <c r="E8" s="6" t="n">
        <v>895.4244359359922</v>
      </c>
      <c r="F8" s="6" t="n">
        <v>471.1122071383322</v>
      </c>
      <c r="G8" s="6" t="n">
        <v>150.343673464753</v>
      </c>
      <c r="H8" s="6" t="n">
        <v>0.0</v>
      </c>
      <c r="I8" s="6" t="n">
        <v>0.0</v>
      </c>
      <c r="J8" s="6">
        <f>SUM(B8:I8)</f>
        <v>8340.7345682513132</v>
      </c>
      <c r="L8" t="s">
        <v>5</v>
      </c>
      <c r="M8" s="9" t="n">
        <v>826.0</v>
      </c>
      <c r="N8" s="9" t="n">
        <v>151.0</v>
      </c>
      <c r="O8" s="9" t="n">
        <v>176.0</v>
      </c>
      <c r="P8" s="9" t="n">
        <v>185.0</v>
      </c>
      <c r="Q8" s="9" t="n">
        <v>62.0</v>
      </c>
      <c r="R8" s="9" t="n">
        <v>84.0</v>
      </c>
      <c r="S8" s="9" t="n">
        <v>688.0</v>
      </c>
      <c r="T8" s="9" t="n">
        <v>0.0</v>
      </c>
      <c r="U8">
        <f>SUM(M8:T8)</f>
        <v>7000</v>
      </c>
      <c r="W8" s="5"/>
      <c r="X8" s="16"/>
      <c r="Y8" s="16"/>
      <c r="Z8" s="5"/>
    </row>
    <row r="9" spans="1:26" x14ac:dyDescent="0.25">
      <c r="A9" s="12">
        <v>0.125</v>
      </c>
      <c r="B9" s="6" t="n">
        <v>806.9184055265725</v>
      </c>
      <c r="C9" s="6" t="n">
        <v>30.262438569117315</v>
      </c>
      <c r="D9" s="6" t="n">
        <v>26.53544749998878</v>
      </c>
      <c r="E9" s="6" t="n">
        <v>606.966514026088</v>
      </c>
      <c r="F9" s="6" t="n">
        <v>316.7269065390283</v>
      </c>
      <c r="G9" s="6" t="n">
        <v>99.79231762026015</v>
      </c>
      <c r="H9" s="6" t="n">
        <v>0.8632957403456863</v>
      </c>
      <c r="I9" s="6" t="n">
        <v>0.0</v>
      </c>
      <c r="J9" s="6">
        <f ref="J9:J58" si="0" t="shared">SUM(B9:I9)</f>
        <v>5823.4025005095718</v>
      </c>
      <c r="L9" s="12">
        <v>0.125</v>
      </c>
      <c r="M9" s="9" t="n">
        <v>685.4045133590698</v>
      </c>
      <c r="N9" s="9" t="n">
        <v>134.56512069702148</v>
      </c>
      <c r="O9" s="9" t="n">
        <v>170.81866455078125</v>
      </c>
      <c r="P9" s="9" t="n">
        <v>183.52778148651123</v>
      </c>
      <c r="Q9" s="9" t="n">
        <v>43.77760696411133</v>
      </c>
      <c r="R9" s="9" t="n">
        <v>56.96965980529785</v>
      </c>
      <c r="S9" s="9" t="n">
        <v>483.5754737854004</v>
      </c>
      <c r="T9" s="9" t="n">
        <v>0.0</v>
      </c>
      <c r="U9">
        <f ref="U9:U58" si="1" t="shared">SUM(M9:T9)</f>
        <v>5511.3114070892334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536.156344386195</v>
      </c>
      <c r="C10" s="6" t="n">
        <v>28.205435435333683</v>
      </c>
      <c r="D10" s="6" t="n">
        <v>36.51787909310198</v>
      </c>
      <c r="E10" s="6" t="n">
        <v>382.65985353728877</v>
      </c>
      <c r="F10" s="6" t="n">
        <v>188.78428196762624</v>
      </c>
      <c r="G10" s="6" t="n">
        <v>57.752995197537295</v>
      </c>
      <c r="H10" s="6" t="n">
        <v>4.050238282435604</v>
      </c>
      <c r="I10" s="6" t="n">
        <v>0.0</v>
      </c>
      <c r="J10" s="6">
        <f si="0" t="shared"/>
        <v>3815.7720681247392</v>
      </c>
      <c r="L10" s="12">
        <v>0.14583333333333334</v>
      </c>
      <c r="M10" s="9" t="n">
        <v>588.1270666122437</v>
      </c>
      <c r="N10" s="9" t="n">
        <v>128.211501121521</v>
      </c>
      <c r="O10" s="9" t="n">
        <v>177.91447162628174</v>
      </c>
      <c r="P10" s="9" t="n">
        <v>195.57065773010254</v>
      </c>
      <c r="Q10" s="9" t="n">
        <v>29.407044410705566</v>
      </c>
      <c r="R10" s="9" t="n">
        <v>34.81380653381348</v>
      </c>
      <c r="S10" s="9" t="n">
        <v>313.77953910827637</v>
      </c>
      <c r="T10" s="9" t="n">
        <v>0.0</v>
      </c>
      <c r="U10">
        <f si="1" t="shared"/>
        <v>4348.3776378631592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429.45934130632065</v>
      </c>
      <c r="C11" s="6" t="n">
        <v>35.59825142777133</v>
      </c>
      <c r="D11" s="6" t="n">
        <v>64.06081785253012</v>
      </c>
      <c r="E11" s="6" t="n">
        <v>276.5645881789606</v>
      </c>
      <c r="F11" s="6" t="n">
        <v>103.63317359740165</v>
      </c>
      <c r="G11" s="6" t="n">
        <v>28.98214305185842</v>
      </c>
      <c r="H11" s="6" t="n">
        <v>14.310712512391534</v>
      </c>
      <c r="I11" s="6" t="n">
        <v>0.0</v>
      </c>
      <c r="J11" s="6">
        <f si="0" t="shared"/>
        <v>2699.1133720726734</v>
      </c>
      <c r="L11" s="12">
        <v>0.16666666666666666</v>
      </c>
      <c r="M11" s="9" t="n">
        <v>577.5335130691528</v>
      </c>
      <c r="N11" s="9" t="n">
        <v>145.6171178817749</v>
      </c>
      <c r="O11" s="9" t="n">
        <v>217.53735828399658</v>
      </c>
      <c r="P11" s="9" t="n">
        <v>244.3092555999756</v>
      </c>
      <c r="Q11" s="9" t="n">
        <v>21.925331115722656</v>
      </c>
      <c r="R11" s="9" t="n">
        <v>20.50881290435791</v>
      </c>
      <c r="S11" s="9" t="n">
        <v>202.29844760894775</v>
      </c>
      <c r="T11" s="9" t="n">
        <v>0.0</v>
      </c>
      <c r="U11">
        <f si="1" t="shared"/>
        <v>3728.9357328414917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540.8453668771809</v>
      </c>
      <c r="C12" s="6" t="n">
        <v>67.42387107555828</v>
      </c>
      <c r="D12" s="6" t="n">
        <v>118.58062263195228</v>
      </c>
      <c r="E12" s="6" t="n">
        <v>340.33555631670043</v>
      </c>
      <c r="F12" s="6" t="n">
        <v>66.33560403545368</v>
      </c>
      <c r="G12" s="6" t="n">
        <v>13.476119649070544</v>
      </c>
      <c r="H12" s="6" t="n">
        <v>40.16995740953662</v>
      </c>
      <c r="I12" s="6" t="n">
        <v>0.0</v>
      </c>
      <c r="J12" s="6">
        <f si="0" t="shared"/>
        <v>2692.0460978103742</v>
      </c>
      <c r="L12" s="12">
        <v>0.1875</v>
      </c>
      <c r="M12" s="9" t="n">
        <v>701.958309173584</v>
      </c>
      <c r="N12" s="9" t="n">
        <v>207.8580665588379</v>
      </c>
      <c r="O12" s="9" t="n">
        <v>327.0238380432129</v>
      </c>
      <c r="P12" s="9" t="n">
        <v>371.93862533569336</v>
      </c>
      <c r="Q12" s="9" t="n">
        <v>23.59054183959961</v>
      </c>
      <c r="R12" s="9" t="n">
        <v>14.670171737670898</v>
      </c>
      <c r="S12" s="9" t="n">
        <v>158.61125659942627</v>
      </c>
      <c r="T12" s="9" t="n">
        <v>0.0</v>
      </c>
      <c r="U12">
        <f si="1" t="shared"/>
        <v>3771.8184518814087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909.4618551724114</v>
      </c>
      <c r="C13" s="6" t="n">
        <v>153.1152736249752</v>
      </c>
      <c r="D13" s="6" t="n">
        <v>213.19437616219318</v>
      </c>
      <c r="E13" s="6" t="n">
        <v>641.1065518977264</v>
      </c>
      <c r="F13" s="6" t="n">
        <v>76.98771267468702</v>
      </c>
      <c r="G13" s="6" t="n">
        <v>8.239970853969545</v>
      </c>
      <c r="H13" s="6" t="n">
        <v>91.86755660267269</v>
      </c>
      <c r="I13" s="6" t="n">
        <v>0.0</v>
      </c>
      <c r="J13" s="6">
        <f si="0" t="shared"/>
        <v>3919.7098200139326</v>
      </c>
      <c r="L13" s="12">
        <v>0.20833333333333334</v>
      </c>
      <c r="M13" s="9" t="n">
        <v>1015.9156713485718</v>
      </c>
      <c r="N13" s="9" t="n">
        <v>344.09678649902344</v>
      </c>
      <c r="O13" s="9" t="n">
        <v>566.0178890228271</v>
      </c>
      <c r="P13" s="9" t="n">
        <v>642.5064878463745</v>
      </c>
      <c r="Q13" s="9" t="n">
        <v>36.54907035827637</v>
      </c>
      <c r="R13" s="9" t="n">
        <v>16.50870704650879</v>
      </c>
      <c r="S13" s="9" t="n">
        <v>182.04424667358398</v>
      </c>
      <c r="T13" s="9" t="n">
        <v>0.0</v>
      </c>
      <c r="U13">
        <f si="1" t="shared"/>
        <v>4606.2449169158936</v>
      </c>
    </row>
    <row r="14" spans="1:26" x14ac:dyDescent="0.25">
      <c r="A14" s="12">
        <v>0.22916666666666666</v>
      </c>
      <c r="B14" s="6" t="n">
        <v>1549.449118110546</v>
      </c>
      <c r="C14" s="6" t="n">
        <v>333.3960761052774</v>
      </c>
      <c r="D14" s="6" t="n">
        <v>366.23036206611016</v>
      </c>
      <c r="E14" s="6" t="n">
        <v>1256.4103098313547</v>
      </c>
      <c r="F14" s="6" t="n">
        <v>134.71883129759573</v>
      </c>
      <c r="G14" s="6" t="n">
        <v>9.562626676594666</v>
      </c>
      <c r="H14" s="6" t="n">
        <v>174.08788064433296</v>
      </c>
      <c r="I14" s="6" t="n">
        <v>0.0</v>
      </c>
      <c r="J14" s="6">
        <f si="0" t="shared"/>
        <v>6504.1594922661088</v>
      </c>
      <c r="L14" s="12">
        <v>0.22916666666666666</v>
      </c>
      <c r="M14" s="9" t="n">
        <v>1563.0573167800903</v>
      </c>
      <c r="N14" s="9" t="n">
        <v>584.0933122634888</v>
      </c>
      <c r="O14" s="9" t="n">
        <v>1007.6101350784302</v>
      </c>
      <c r="P14" s="9" t="n">
        <v>1128.3942699432373</v>
      </c>
      <c r="Q14" s="9" t="n">
        <v>63.06745147705078</v>
      </c>
      <c r="R14" s="9" t="n">
        <v>24.974568367004395</v>
      </c>
      <c r="S14" s="9" t="n">
        <v>266.14677333831787</v>
      </c>
      <c r="T14" s="9" t="n">
        <v>0.0</v>
      </c>
      <c r="U14">
        <f si="1" t="shared"/>
        <v>6449.2985153198242</v>
      </c>
    </row>
    <row r="15" spans="1:26" x14ac:dyDescent="0.25">
      <c r="A15" s="12">
        <v>0.25</v>
      </c>
      <c r="B15" s="6" t="n">
        <v>2413.1049778920947</v>
      </c>
      <c r="C15" s="6" t="n">
        <v>638.936315574452</v>
      </c>
      <c r="D15" s="6" t="n">
        <v>596.2062112383448</v>
      </c>
      <c r="E15" s="6" t="n">
        <v>2220.3816333971495</v>
      </c>
      <c r="F15" s="6" t="n">
        <v>233.06846845246085</v>
      </c>
      <c r="G15" s="6" t="n">
        <v>14.00484528384152</v>
      </c>
      <c r="H15" s="6" t="n">
        <v>276.4518190157759</v>
      </c>
      <c r="I15" s="6" t="n">
        <v>0.0</v>
      </c>
      <c r="J15" s="6">
        <f si="0" t="shared"/>
        <v>10559.153376278755</v>
      </c>
      <c r="L15" s="12">
        <v>0.25</v>
      </c>
      <c r="M15" s="9" t="n">
        <v>2341.372754096985</v>
      </c>
      <c r="N15" s="9" t="n">
        <v>941.9756116867065</v>
      </c>
      <c r="O15" s="9" t="n">
        <v>1709.4489345550537</v>
      </c>
      <c r="P15" s="9" t="n">
        <v>1877.2889394760132</v>
      </c>
      <c r="Q15" s="9" t="n">
        <v>104.60690021514893</v>
      </c>
      <c r="R15" s="9" t="n">
        <v>39.08017349243164</v>
      </c>
      <c r="S15" s="9" t="n">
        <v>398.3524103164673</v>
      </c>
      <c r="T15" s="9" t="n">
        <v>0.0</v>
      </c>
      <c r="U15">
        <f si="1" t="shared"/>
        <v>9544.0186977386475</v>
      </c>
    </row>
    <row r="16" spans="1:26" x14ac:dyDescent="0.25">
      <c r="A16" s="12">
        <v>0.27083333333333331</v>
      </c>
      <c r="B16" s="6" t="n">
        <v>3354.22481186425</v>
      </c>
      <c r="C16" s="6" t="n">
        <v>1055.4650931292592</v>
      </c>
      <c r="D16" s="6" t="n">
        <v>910.9570803996277</v>
      </c>
      <c r="E16" s="6" t="n">
        <v>3445.7542334201426</v>
      </c>
      <c r="F16" s="6" t="n">
        <v>352.2696803948088</v>
      </c>
      <c r="G16" s="6" t="n">
        <v>18.4077804941563</v>
      </c>
      <c r="H16" s="6" t="n">
        <v>370.5592704716164</v>
      </c>
      <c r="I16" s="6" t="n">
        <v>0.0</v>
      </c>
      <c r="J16" s="6">
        <f si="0" t="shared"/>
        <v>16023.630526784786</v>
      </c>
      <c r="L16" s="12">
        <v>0.27083333333333331</v>
      </c>
      <c r="M16" s="9" t="n">
        <v>3274.4809703826904</v>
      </c>
      <c r="N16" s="9" t="n">
        <v>1399.3955001831055</v>
      </c>
      <c r="O16" s="9" t="n">
        <v>2674.0249395370483</v>
      </c>
      <c r="P16" s="9" t="n">
        <v>2872.7280435562134</v>
      </c>
      <c r="Q16" s="9" t="n">
        <v>160.1615285873413</v>
      </c>
      <c r="R16" s="9" t="n">
        <v>57.49293041229248</v>
      </c>
      <c r="S16" s="9" t="n">
        <v>557.3416185379028</v>
      </c>
      <c r="T16" s="9" t="n">
        <v>0.0</v>
      </c>
      <c r="U16">
        <f si="1" t="shared"/>
        <v>13981.885075569153</v>
      </c>
    </row>
    <row r="17" spans="1:21" x14ac:dyDescent="0.25">
      <c r="A17" s="12">
        <v>0.29166666666666669</v>
      </c>
      <c r="B17" s="6" t="n">
        <v>4146.590618164842</v>
      </c>
      <c r="C17" s="6" t="n">
        <v>1502.4752391675406</v>
      </c>
      <c r="D17" s="6" t="n">
        <v>1301.0311325073162</v>
      </c>
      <c r="E17" s="6" t="n">
        <v>4697.853496476252</v>
      </c>
      <c r="F17" s="6" t="n">
        <v>460.1561590841213</v>
      </c>
      <c r="G17" s="6" t="n">
        <v>20.215122584087847</v>
      </c>
      <c r="H17" s="6" t="n">
        <v>421.06909130148824</v>
      </c>
      <c r="I17" s="6" t="n">
        <v>0.0</v>
      </c>
      <c r="J17" s="6">
        <f si="0" t="shared"/>
        <v>22424.215160458196</v>
      </c>
      <c r="L17" s="12">
        <v>0.29166666666666669</v>
      </c>
      <c r="M17" s="9" t="n">
        <v>4218.913068771362</v>
      </c>
      <c r="N17" s="9" t="n">
        <v>1901.2279272079468</v>
      </c>
      <c r="O17" s="9" t="n">
        <v>3823.3102102279663</v>
      </c>
      <c r="P17" s="9" t="n">
        <v>4015.0465421676636</v>
      </c>
      <c r="Q17" s="9" t="n">
        <v>225.13146495819092</v>
      </c>
      <c r="R17" s="9" t="n">
        <v>78.18882751464844</v>
      </c>
      <c r="S17" s="9" t="n">
        <v>714.6485261917114</v>
      </c>
      <c r="T17" s="9" t="n">
        <v>0.0</v>
      </c>
      <c r="U17">
        <f si="1" t="shared"/>
        <v>19549.318566322327</v>
      </c>
    </row>
    <row r="18" spans="1:21" x14ac:dyDescent="0.25">
      <c r="A18" s="12">
        <v>0.3125</v>
      </c>
      <c r="B18" s="6" t="n">
        <v>4580.588622305098</v>
      </c>
      <c r="C18" s="6" t="n">
        <v>1857.5933722584834</v>
      </c>
      <c r="D18" s="6" t="n">
        <v>1746.5874315144415</v>
      </c>
      <c r="E18" s="6" t="n">
        <v>5680.265568960411</v>
      </c>
      <c r="F18" s="6" t="n">
        <v>525.6727475905117</v>
      </c>
      <c r="G18" s="6" t="n">
        <v>18.374659968252256</v>
      </c>
      <c r="H18" s="6" t="n">
        <v>406.7588689438375</v>
      </c>
      <c r="I18" s="6" t="n">
        <v>0.0</v>
      </c>
      <c r="J18" s="6">
        <f si="0" t="shared"/>
        <v>28829.192574508179</v>
      </c>
      <c r="L18" s="12">
        <v>0.3125</v>
      </c>
      <c r="M18" s="9" t="n">
        <v>5015.100386619568</v>
      </c>
      <c r="N18" s="9" t="n">
        <v>2371.69779586792</v>
      </c>
      <c r="O18" s="9" t="n">
        <v>5012.909335136414</v>
      </c>
      <c r="P18" s="9" t="n">
        <v>5145.2806396484375</v>
      </c>
      <c r="Q18" s="9" t="n">
        <v>291.9248399734497</v>
      </c>
      <c r="R18" s="9" t="n">
        <v>98.75349807739258</v>
      </c>
      <c r="S18" s="9" t="n">
        <v>843.4149360656738</v>
      </c>
      <c r="T18" s="9" t="n">
        <v>0.0</v>
      </c>
      <c r="U18">
        <f si="1" t="shared"/>
        <v>25742.017602920532</v>
      </c>
    </row>
    <row r="19" spans="1:21" x14ac:dyDescent="0.25">
      <c r="A19" s="12">
        <v>0.33333333333333331</v>
      </c>
      <c r="B19" s="6" t="n">
        <v>4580.229754028505</v>
      </c>
      <c r="C19" s="6" t="n">
        <v>2025.036476647249</v>
      </c>
      <c r="D19" s="6" t="n">
        <v>2233.5160967814672</v>
      </c>
      <c r="E19" s="6" t="n">
        <v>6195.301912931561</v>
      </c>
      <c r="F19" s="6" t="n">
        <v>535.5129585578926</v>
      </c>
      <c r="G19" s="6" t="n">
        <v>13.78088744201418</v>
      </c>
      <c r="H19" s="6" t="n">
        <v>335.93053558741605</v>
      </c>
      <c r="I19" s="6" t="n">
        <v>0.0</v>
      </c>
      <c r="J19" s="6">
        <f si="0" t="shared"/>
        <v>34204.300198881632</v>
      </c>
      <c r="L19" s="12">
        <v>0.33333333333333331</v>
      </c>
      <c r="M19" s="9" t="n">
        <v>5555.426236152649</v>
      </c>
      <c r="N19" s="9" t="n">
        <v>2744.881947517395</v>
      </c>
      <c r="O19" s="9" t="n">
        <v>6086.897283554077</v>
      </c>
      <c r="P19" s="9" t="n">
        <v>6107.833646774292</v>
      </c>
      <c r="Q19" s="9" t="n">
        <v>352.5195560455322</v>
      </c>
      <c r="R19" s="9" t="n">
        <v>117.22308826446533</v>
      </c>
      <c r="S19" s="9" t="n">
        <v>929.6959142684937</v>
      </c>
      <c r="T19" s="9" t="n">
        <v>0.0</v>
      </c>
      <c r="U19">
        <f si="1" t="shared"/>
        <v>31968.219900131226</v>
      </c>
    </row>
    <row r="20" spans="1:21" x14ac:dyDescent="0.25">
      <c r="A20" s="12">
        <v>0.35416666666666669</v>
      </c>
      <c r="B20" s="6" t="n">
        <v>4244.0967212772575</v>
      </c>
      <c r="C20" s="6" t="n">
        <v>1998.2973203764236</v>
      </c>
      <c r="D20" s="6" t="n">
        <v>2765.1901519846624</v>
      </c>
      <c r="E20" s="6" t="n">
        <v>6257.9341735861035</v>
      </c>
      <c r="F20" s="6" t="n">
        <v>500.77077945714353</v>
      </c>
      <c r="G20" s="6" t="n">
        <v>8.48060448866289</v>
      </c>
      <c r="H20" s="6" t="n">
        <v>243.26505519902514</v>
      </c>
      <c r="I20" s="6" t="n">
        <v>0.0</v>
      </c>
      <c r="J20" s="6">
        <f si="0" t="shared"/>
        <v>38012.472766805906</v>
      </c>
      <c r="L20" s="12">
        <v>0.35416666666666669</v>
      </c>
      <c r="M20" s="9" t="n">
        <v>5825.594539642334</v>
      </c>
      <c r="N20" s="9" t="n">
        <v>2991.207649230957</v>
      </c>
      <c r="O20" s="9" t="n">
        <v>6941.424425125122</v>
      </c>
      <c r="P20" s="9" t="n">
        <v>6815.302175521851</v>
      </c>
      <c r="Q20" s="9" t="n">
        <v>401.7702102661133</v>
      </c>
      <c r="R20" s="9" t="n">
        <v>132.81292915344238</v>
      </c>
      <c r="S20" s="9" t="n">
        <v>977.8945903778076</v>
      </c>
      <c r="T20" s="9" t="n">
        <v>0.0</v>
      </c>
      <c r="U20">
        <f si="1" t="shared"/>
        <v>37793.869709968567</v>
      </c>
    </row>
    <row r="21" spans="1:21" x14ac:dyDescent="0.25">
      <c r="A21" s="12">
        <v>0.375</v>
      </c>
      <c r="B21" s="6" t="n">
        <v>3777.0781970519984</v>
      </c>
      <c r="C21" s="6" t="n">
        <v>1861.7043000821504</v>
      </c>
      <c r="D21" s="6" t="n">
        <v>3362.1351427923846</v>
      </c>
      <c r="E21" s="6" t="n">
        <v>6071.480255031309</v>
      </c>
      <c r="F21" s="6" t="n">
        <v>449.92684934614647</v>
      </c>
      <c r="G21" s="6" t="n">
        <v>4.241823009234771</v>
      </c>
      <c r="H21" s="6" t="n">
        <v>171.30701062180526</v>
      </c>
      <c r="I21" s="6" t="n">
        <v>0.0</v>
      </c>
      <c r="J21" s="6">
        <f si="0" t="shared"/>
        <v>40563.930349647228</v>
      </c>
      <c r="L21" s="12">
        <v>0.375</v>
      </c>
      <c r="M21" s="9" t="n">
        <v>5892.513016700745</v>
      </c>
      <c r="N21" s="9" t="n">
        <v>3122.3033199310303</v>
      </c>
      <c r="O21" s="9" t="n">
        <v>7553.798771858215</v>
      </c>
      <c r="P21" s="9" t="n">
        <v>7270.971222877502</v>
      </c>
      <c r="Q21" s="9" t="n">
        <v>439.24562549591064</v>
      </c>
      <c r="R21" s="9" t="n">
        <v>145.9132490158081</v>
      </c>
      <c r="S21" s="9" t="n">
        <v>1005.6449670791626</v>
      </c>
      <c r="T21" s="9" t="n">
        <v>0.0</v>
      </c>
      <c r="U21">
        <f si="1" t="shared"/>
        <v>43025.552706718445</v>
      </c>
    </row>
    <row r="22" spans="1:21" x14ac:dyDescent="0.25">
      <c r="A22" s="12">
        <v>0.39583333333333331</v>
      </c>
      <c r="B22" s="6" t="n">
        <v>3376.9256434496647</v>
      </c>
      <c r="C22" s="6" t="n">
        <v>1730.094939514216</v>
      </c>
      <c r="D22" s="6" t="n">
        <v>4051.2401393123773</v>
      </c>
      <c r="E22" s="6" t="n">
        <v>5893.628594894021</v>
      </c>
      <c r="F22" s="6" t="n">
        <v>414.7733721034473</v>
      </c>
      <c r="G22" s="6" t="n">
        <v>1.7149253367245063</v>
      </c>
      <c r="H22" s="6" t="n">
        <v>151.3363081402828</v>
      </c>
      <c r="I22" s="6" t="n">
        <v>0.0</v>
      </c>
      <c r="J22" s="6">
        <f si="0" t="shared"/>
        <v>42768.422502826725</v>
      </c>
      <c r="L22" s="12">
        <v>0.39583333333333331</v>
      </c>
      <c r="M22" s="9" t="n">
        <v>5851.655626296997</v>
      </c>
      <c r="N22" s="9" t="n">
        <v>3172.6482067108154</v>
      </c>
      <c r="O22" s="9" t="n">
        <v>7961.336723327637</v>
      </c>
      <c r="P22" s="9" t="n">
        <v>7536.612533569336</v>
      </c>
      <c r="Q22" s="9" t="n">
        <v>468.1715908050537</v>
      </c>
      <c r="R22" s="9" t="n">
        <v>157.38156509399414</v>
      </c>
      <c r="S22" s="9" t="n">
        <v>1031.8652648925781</v>
      </c>
      <c r="T22" s="9" t="n">
        <v>0.0</v>
      </c>
      <c r="U22">
        <f si="1" t="shared"/>
        <v>47579.29123878479</v>
      </c>
    </row>
    <row r="23" spans="1:21" x14ac:dyDescent="0.25">
      <c r="A23" s="12">
        <v>0.41666666666666669</v>
      </c>
      <c r="B23" s="6" t="n">
        <v>3159.558495546563</v>
      </c>
      <c r="C23" s="6" t="n">
        <v>1681.9480318688916</v>
      </c>
      <c r="D23" s="6" t="n">
        <v>4846.855478366141</v>
      </c>
      <c r="E23" s="6" t="n">
        <v>5903.5112072963175</v>
      </c>
      <c r="F23" s="6" t="n">
        <v>417.1307574838193</v>
      </c>
      <c r="G23" s="6" t="n">
        <v>0.6716709801005282</v>
      </c>
      <c r="H23" s="6" t="n">
        <v>193.8462519668592</v>
      </c>
      <c r="I23" s="6" t="n">
        <v>0.0</v>
      </c>
      <c r="J23" s="6">
        <f si="0" t="shared"/>
        <v>45476.584974608581</v>
      </c>
      <c r="L23" s="12">
        <v>0.41666666666666669</v>
      </c>
      <c r="M23" s="9" t="n">
        <v>5777.392151832581</v>
      </c>
      <c r="N23" s="9" t="n">
        <v>3175.6494693756104</v>
      </c>
      <c r="O23" s="9" t="n">
        <v>8219.173586845398</v>
      </c>
      <c r="P23" s="9" t="n">
        <v>7681.172365188599</v>
      </c>
      <c r="Q23" s="9" t="n">
        <v>492.67230701446533</v>
      </c>
      <c r="R23" s="9" t="n">
        <v>167.9164628982544</v>
      </c>
      <c r="S23" s="9" t="n">
        <v>1067.5881700515747</v>
      </c>
      <c r="T23" s="9" t="n">
        <v>0.0</v>
      </c>
      <c r="U23">
        <f si="1" t="shared"/>
        <v>51318.166880607605</v>
      </c>
    </row>
    <row r="24" spans="1:21" x14ac:dyDescent="0.25">
      <c r="A24" s="12">
        <v>0.4375</v>
      </c>
      <c r="B24" s="6" t="n">
        <v>3147.077396519946</v>
      </c>
      <c r="C24" s="6" t="n">
        <v>1735.738507033157</v>
      </c>
      <c r="D24" s="6" t="n">
        <v>5727.060003960237</v>
      </c>
      <c r="E24" s="6" t="n">
        <v>6149.8751649380865</v>
      </c>
      <c r="F24" s="6" t="n">
        <v>460.56714403672953</v>
      </c>
      <c r="G24" s="6" t="n">
        <v>0.8772972637874945</v>
      </c>
      <c r="H24" s="6" t="n">
        <v>288.0911067813729</v>
      </c>
      <c r="I24" s="6" t="n">
        <v>0.0</v>
      </c>
      <c r="J24" s="6">
        <f si="0" t="shared"/>
        <v>48945.012599948677</v>
      </c>
      <c r="L24" s="12">
        <v>0.4375</v>
      </c>
      <c r="M24" s="9" t="n">
        <v>5713.138965606689</v>
      </c>
      <c r="N24" s="9" t="n">
        <v>3155.1625003814697</v>
      </c>
      <c r="O24" s="9" t="n">
        <v>8381.828125</v>
      </c>
      <c r="P24" s="9" t="n">
        <v>7760.126128196716</v>
      </c>
      <c r="Q24" s="9" t="n">
        <v>516.3224067687988</v>
      </c>
      <c r="R24" s="9" t="n">
        <v>178.31388664245605</v>
      </c>
      <c r="S24" s="9" t="n">
        <v>1116.8393058776855</v>
      </c>
      <c r="T24" s="9" t="n">
        <v>0.0</v>
      </c>
      <c r="U24">
        <f si="1" t="shared"/>
        <v>54081.64134979248</v>
      </c>
    </row>
    <row r="25" spans="1:21" x14ac:dyDescent="0.25">
      <c r="A25" s="12">
        <v>0.45833333333333331</v>
      </c>
      <c r="B25" s="6" t="n">
        <v>3292.3566453731946</v>
      </c>
      <c r="C25" s="6" t="n">
        <v>1867.9069889387174</v>
      </c>
      <c r="D25" s="6" t="n">
        <v>6619.152192469168</v>
      </c>
      <c r="E25" s="6" t="n">
        <v>6577.019295035655</v>
      </c>
      <c r="F25" s="6" t="n">
        <v>530.3820867850159</v>
      </c>
      <c r="G25" s="6" t="n">
        <v>3.061699935754399</v>
      </c>
      <c r="H25" s="6" t="n">
        <v>408.03249116086613</v>
      </c>
      <c r="I25" s="6" t="n">
        <v>0.0</v>
      </c>
      <c r="J25" s="6">
        <f si="0" t="shared"/>
        <v>52791.066027173983</v>
      </c>
      <c r="L25" s="12">
        <v>0.45833333333333331</v>
      </c>
      <c r="M25" s="9" t="n">
        <v>5697.38179397583</v>
      </c>
      <c r="N25" s="9" t="n">
        <v>3135.2877988815308</v>
      </c>
      <c r="O25" s="9" t="n">
        <v>8518.496907234192</v>
      </c>
      <c r="P25" s="9" t="n">
        <v>7835.039566993713</v>
      </c>
      <c r="Q25" s="9" t="n">
        <v>543.2857456207275</v>
      </c>
      <c r="R25" s="9" t="n">
        <v>190.40340423583984</v>
      </c>
      <c r="S25" s="9" t="n">
        <v>1185.4162092208862</v>
      </c>
      <c r="T25" s="9" t="n">
        <v>0.0</v>
      </c>
      <c r="U25">
        <f si="1" t="shared"/>
        <v>55892.246265411377</v>
      </c>
    </row>
    <row r="26" spans="1:21" x14ac:dyDescent="0.25">
      <c r="A26" s="12">
        <v>0.47916666666666669</v>
      </c>
      <c r="B26" s="6" t="n">
        <v>3517.7263891905473</v>
      </c>
      <c r="C26" s="6" t="n">
        <v>2040.145007657796</v>
      </c>
      <c r="D26" s="6" t="n">
        <v>7413.99006510652</v>
      </c>
      <c r="E26" s="6" t="n">
        <v>7086.2312585309055</v>
      </c>
      <c r="F26" s="6" t="n">
        <v>604.3156731425836</v>
      </c>
      <c r="G26" s="6" t="n">
        <v>9.824115247888548</v>
      </c>
      <c r="H26" s="6" t="n">
        <v>525.729844003049</v>
      </c>
      <c r="I26" s="6" t="n">
        <v>0.0</v>
      </c>
      <c r="J26" s="6">
        <f si="0" t="shared"/>
        <v>56377.583519639957</v>
      </c>
      <c r="L26" s="12">
        <v>0.47916666666666669</v>
      </c>
      <c r="M26" s="9" t="n">
        <v>5784.804688453674</v>
      </c>
      <c r="N26" s="9" t="n">
        <v>3149.665609359741</v>
      </c>
      <c r="O26" s="9" t="n">
        <v>8723.740978240967</v>
      </c>
      <c r="P26" s="9" t="n">
        <v>7990.515646934509</v>
      </c>
      <c r="Q26" s="9" t="n">
        <v>579.5460824966431</v>
      </c>
      <c r="R26" s="9" t="n">
        <v>207.3770627975464</v>
      </c>
      <c r="S26" s="9" t="n">
        <v>1287.4215564727783</v>
      </c>
      <c r="T26" s="9" t="n">
        <v>0.0</v>
      </c>
      <c r="U26">
        <f si="1" t="shared"/>
        <v>57086.820831298828</v>
      </c>
    </row>
    <row r="27" spans="1:21" x14ac:dyDescent="0.25">
      <c r="A27" s="12">
        <v>0.5</v>
      </c>
      <c r="B27" s="6" t="n">
        <v>3762.1354291167304</v>
      </c>
      <c r="C27" s="6" t="n">
        <v>2217.289724848523</v>
      </c>
      <c r="D27" s="6" t="n">
        <v>8009.4429799811405</v>
      </c>
      <c r="E27" s="6" t="n">
        <v>7604.907522068555</v>
      </c>
      <c r="F27" s="6" t="n">
        <v>669.2299717379691</v>
      </c>
      <c r="G27" s="6" t="n">
        <v>26.291549253912926</v>
      </c>
      <c r="H27" s="6" t="n">
        <v>629.760506944812</v>
      </c>
      <c r="I27" s="6" t="n">
        <v>0.0</v>
      </c>
      <c r="J27" s="6">
        <f si="0" t="shared"/>
        <v>59295.884165806347</v>
      </c>
      <c r="L27" s="12">
        <v>0.5</v>
      </c>
      <c r="M27" s="9" t="n">
        <v>6028.934129714966</v>
      </c>
      <c r="N27" s="9" t="n">
        <v>3231.5760822296143</v>
      </c>
      <c r="O27" s="9" t="n">
        <v>9083.695642471313</v>
      </c>
      <c r="P27" s="9" t="n">
        <v>8305.29078578949</v>
      </c>
      <c r="Q27" s="9" t="n">
        <v>630.9438571929932</v>
      </c>
      <c r="R27" s="9" t="n">
        <v>232.4879913330078</v>
      </c>
      <c r="S27" s="9" t="n">
        <v>1441.573296546936</v>
      </c>
      <c r="T27" s="9" t="n">
        <v>0.0</v>
      </c>
      <c r="U27">
        <f si="1" t="shared"/>
        <v>58182.037863731384</v>
      </c>
    </row>
    <row r="28" spans="1:21" x14ac:dyDescent="0.25">
      <c r="A28" s="12">
        <v>0.52083333333333337</v>
      </c>
      <c r="B28" s="6" t="n">
        <v>4021.8350127057006</v>
      </c>
      <c r="C28" s="6" t="n">
        <v>2377.842906967524</v>
      </c>
      <c r="D28" s="6" t="n">
        <v>8353.153449104095</v>
      </c>
      <c r="E28" s="6" t="n">
        <v>8139.773718933937</v>
      </c>
      <c r="F28" s="6" t="n">
        <v>730.321830547997</v>
      </c>
      <c r="G28" s="6" t="n">
        <v>59.876192461313245</v>
      </c>
      <c r="H28" s="6" t="n">
        <v>736.2780691834423</v>
      </c>
      <c r="I28" s="6" t="n">
        <v>0.0</v>
      </c>
      <c r="J28" s="6">
        <f si="0" t="shared"/>
        <v>61619.007307552427</v>
      </c>
      <c r="L28" s="12">
        <v>0.52083333333333337</v>
      </c>
      <c r="M28" s="9" t="n">
        <v>6439.61287021637</v>
      </c>
      <c r="N28" s="9" t="n">
        <v>3389.9613075256348</v>
      </c>
      <c r="O28" s="9" t="n">
        <v>9612.816566467285</v>
      </c>
      <c r="P28" s="9" t="n">
        <v>8792.204255104065</v>
      </c>
      <c r="Q28" s="9" t="n">
        <v>698.731297492981</v>
      </c>
      <c r="R28" s="9" t="n">
        <v>266.85049533843994</v>
      </c>
      <c r="S28" s="9" t="n">
        <v>1660.5698280334473</v>
      </c>
      <c r="T28" s="9" t="n">
        <v>0.0</v>
      </c>
      <c r="U28">
        <f si="1" t="shared"/>
        <v>59574.230990409851</v>
      </c>
    </row>
    <row r="29" spans="1:21" x14ac:dyDescent="0.25">
      <c r="A29" s="12">
        <v>0.54166666666666663</v>
      </c>
      <c r="B29" s="6" t="n">
        <v>4351.715294521272</v>
      </c>
      <c r="C29" s="6" t="n">
        <v>2517.4253987670204</v>
      </c>
      <c r="D29" s="6" t="n">
        <v>8451.987396603468</v>
      </c>
      <c r="E29" s="6" t="n">
        <v>8767.539531833932</v>
      </c>
      <c r="F29" s="6" t="n">
        <v>802.8095087287445</v>
      </c>
      <c r="G29" s="6" t="n">
        <v>118.10509855031337</v>
      </c>
      <c r="H29" s="6" t="n">
        <v>879.2412093296576</v>
      </c>
      <c r="I29" s="6" t="n">
        <v>0.0</v>
      </c>
      <c r="J29" s="6">
        <f si="0" t="shared"/>
        <v>63775.07570176493</v>
      </c>
      <c r="L29" s="12">
        <v>0.54166666666666663</v>
      </c>
      <c r="M29" s="9" t="n">
        <v>6963.039108276367</v>
      </c>
      <c r="N29" s="9" t="n">
        <v>3596.7693033218384</v>
      </c>
      <c r="O29" s="9" t="n">
        <v>10223.514671325684</v>
      </c>
      <c r="P29" s="9" t="n">
        <v>9369.560872077942</v>
      </c>
      <c r="Q29" s="9" t="n">
        <v>777.26939868927</v>
      </c>
      <c r="R29" s="9" t="n">
        <v>308.4420166015625</v>
      </c>
      <c r="S29" s="9" t="n">
        <v>1944.9758100509644</v>
      </c>
      <c r="T29" s="9" t="n">
        <v>0.0</v>
      </c>
      <c r="U29">
        <f si="1" t="shared"/>
        <v>61340.28847694397</v>
      </c>
    </row>
    <row r="30" spans="1:21" x14ac:dyDescent="0.25">
      <c r="A30" s="12">
        <v>0.5625</v>
      </c>
      <c r="B30" s="6" t="n">
        <v>4809.250993478275</v>
      </c>
      <c r="C30" s="6" t="n">
        <v>2638.639010092271</v>
      </c>
      <c r="D30" s="6" t="n">
        <v>8347.381022302616</v>
      </c>
      <c r="E30" s="6" t="n">
        <v>9533.919941030672</v>
      </c>
      <c r="F30" s="6" t="n">
        <v>892.6283688783476</v>
      </c>
      <c r="G30" s="6" t="n">
        <v>203.9875273661803</v>
      </c>
      <c r="H30" s="6" t="n">
        <v>1081.9582118759645</v>
      </c>
      <c r="I30" s="6" t="n">
        <v>0.0</v>
      </c>
      <c r="J30" s="6">
        <f si="0" t="shared"/>
        <v>66138.879217801281</v>
      </c>
      <c r="L30" s="12">
        <v>0.5625</v>
      </c>
      <c r="M30" s="9" t="n">
        <v>7511.433785438538</v>
      </c>
      <c r="N30" s="9" t="n">
        <v>3802.013313293457</v>
      </c>
      <c r="O30" s="9" t="n">
        <v>10766.562423706055</v>
      </c>
      <c r="P30" s="9" t="n">
        <v>9900.943652153015</v>
      </c>
      <c r="Q30" s="9" t="n">
        <v>856.7901029586792</v>
      </c>
      <c r="R30" s="9" t="n">
        <v>353.4524984359741</v>
      </c>
      <c r="S30" s="9" t="n">
        <v>2287.904616355896</v>
      </c>
      <c r="T30" s="9" t="n">
        <v>0.0</v>
      </c>
      <c r="U30">
        <f si="1" t="shared"/>
        <v>63273.399543762207</v>
      </c>
    </row>
    <row r="31" spans="1:21" x14ac:dyDescent="0.25">
      <c r="A31" s="12">
        <v>0.58333333333333337</v>
      </c>
      <c r="B31" s="6" t="n">
        <v>5377.523650136758</v>
      </c>
      <c r="C31" s="6" t="n">
        <v>2732.627728693823</v>
      </c>
      <c r="D31" s="6" t="n">
        <v>8084.262530386197</v>
      </c>
      <c r="E31" s="6" t="n">
        <v>10326.834626105836</v>
      </c>
      <c r="F31" s="6" t="n">
        <v>984.9226851105406</v>
      </c>
      <c r="G31" s="6" t="n">
        <v>310.6151139799894</v>
      </c>
      <c r="H31" s="6" t="n">
        <v>1332.1588415985402</v>
      </c>
      <c r="I31" s="6" t="n">
        <v>0.0</v>
      </c>
      <c r="J31" s="6">
        <f si="0" t="shared"/>
        <v>68649.803561223613</v>
      </c>
      <c r="L31" s="12">
        <v>0.58333333333333337</v>
      </c>
      <c r="M31" s="9" t="n">
        <v>8016.780614852905</v>
      </c>
      <c r="N31" s="9" t="n">
        <v>3963.8539056777954</v>
      </c>
      <c r="O31" s="9" t="n">
        <v>11107.88339138031</v>
      </c>
      <c r="P31" s="9" t="n">
        <v>10268.784237861633</v>
      </c>
      <c r="Q31" s="9" t="n">
        <v>928.6405248641968</v>
      </c>
      <c r="R31" s="9" t="n">
        <v>398.64057540893555</v>
      </c>
      <c r="S31" s="9" t="n">
        <v>2683.6336574554443</v>
      </c>
      <c r="T31" s="9" t="n">
        <v>0.0</v>
      </c>
      <c r="U31">
        <f si="1" t="shared"/>
        <v>65050.018100738525</v>
      </c>
    </row>
    <row r="32" spans="1:21" x14ac:dyDescent="0.25">
      <c r="A32" s="12">
        <v>0.60416666666666663</v>
      </c>
      <c r="B32" s="6" t="n">
        <v>5948.58043170123</v>
      </c>
      <c r="C32" s="6" t="n">
        <v>2773.7639804238825</v>
      </c>
      <c r="D32" s="6" t="n">
        <v>7696.166998868061</v>
      </c>
      <c r="E32" s="6" t="n">
        <v>10862.68174506547</v>
      </c>
      <c r="F32" s="6" t="n">
        <v>1052.2257500585702</v>
      </c>
      <c r="G32" s="6" t="n">
        <v>419.9899532519303</v>
      </c>
      <c r="H32" s="6" t="n">
        <v>1585.9493140306745</v>
      </c>
      <c r="I32" s="6" t="n">
        <v>0.0</v>
      </c>
      <c r="J32" s="6">
        <f si="0" t="shared"/>
        <v>70772.057932843687</v>
      </c>
      <c r="L32" s="12">
        <v>0.60416666666666663</v>
      </c>
      <c r="M32" s="9" t="n">
        <v>8462.283913612366</v>
      </c>
      <c r="N32" s="9" t="n">
        <v>4066.8177738189697</v>
      </c>
      <c r="O32" s="9" t="n">
        <v>11176.316065788269</v>
      </c>
      <c r="P32" s="9" t="n">
        <v>10416.637930870056</v>
      </c>
      <c r="Q32" s="9" t="n">
        <v>988.2152481079102</v>
      </c>
      <c r="R32" s="9" t="n">
        <v>442.37558460235596</v>
      </c>
      <c r="S32" s="9" t="n">
        <v>3128.5103549957275</v>
      </c>
      <c r="T32" s="9" t="n">
        <v>0.0</v>
      </c>
      <c r="U32">
        <f si="1" t="shared"/>
        <v>66367.699084281921</v>
      </c>
    </row>
    <row r="33" spans="1:21" x14ac:dyDescent="0.25">
      <c r="A33" s="12">
        <v>0.625</v>
      </c>
      <c r="B33" s="6" t="n">
        <v>6416.021202458904</v>
      </c>
      <c r="C33" s="6" t="n">
        <v>2739.1474761549994</v>
      </c>
      <c r="D33" s="6" t="n">
        <v>7206.9998437230015</v>
      </c>
      <c r="E33" s="6" t="n">
        <v>10846.316169464419</v>
      </c>
      <c r="F33" s="6" t="n">
        <v>1075.0428279558496</v>
      </c>
      <c r="G33" s="6" t="n">
        <v>510.9594179775739</v>
      </c>
      <c r="H33" s="6" t="n">
        <v>1802.5672719369436</v>
      </c>
      <c r="I33" s="6" t="n">
        <v>0.0</v>
      </c>
      <c r="J33" s="6">
        <f si="0" t="shared"/>
        <v>71847.263710064581</v>
      </c>
      <c r="L33" s="12">
        <v>0.625</v>
      </c>
      <c r="M33" s="9" t="n">
        <v>8877.467151641846</v>
      </c>
      <c r="N33" s="9" t="n">
        <v>4117.713674545288</v>
      </c>
      <c r="O33" s="9" t="n">
        <v>10961.558966636658</v>
      </c>
      <c r="P33" s="9" t="n">
        <v>10339.36939239502</v>
      </c>
      <c r="Q33" s="9" t="n">
        <v>1034.3501710891724</v>
      </c>
      <c r="R33" s="9" t="n">
        <v>483.87580013275146</v>
      </c>
      <c r="S33" s="9" t="n">
        <v>3612.6553859710693</v>
      </c>
      <c r="T33" s="9" t="n">
        <v>0.0</v>
      </c>
      <c r="U33">
        <f si="1" t="shared"/>
        <v>67026.286315917969</v>
      </c>
    </row>
    <row r="34" spans="1:21" x14ac:dyDescent="0.25">
      <c r="A34" s="12">
        <v>0.64583333333333337</v>
      </c>
      <c r="B34" s="6" t="n">
        <v>6816.357398319942</v>
      </c>
      <c r="C34" s="6" t="n">
        <v>2634.8096817094906</v>
      </c>
      <c r="D34" s="6" t="n">
        <v>6640.427581289487</v>
      </c>
      <c r="E34" s="6" t="n">
        <v>10184.237075278817</v>
      </c>
      <c r="F34" s="6" t="n">
        <v>1056.061529531894</v>
      </c>
      <c r="G34" s="6" t="n">
        <v>573.4730354743068</v>
      </c>
      <c r="H34" s="6" t="n">
        <v>1979.6825482012332</v>
      </c>
      <c r="I34" s="6" t="n">
        <v>0.0</v>
      </c>
      <c r="J34" s="6">
        <f si="0" t="shared"/>
        <v>71551.891225035884</v>
      </c>
      <c r="L34" s="12">
        <v>0.64583333333333337</v>
      </c>
      <c r="M34" s="9" t="n">
        <v>9321.108731269836</v>
      </c>
      <c r="N34" s="9" t="n">
        <v>4132.649000167847</v>
      </c>
      <c r="O34" s="9" t="n">
        <v>10495.552276611328</v>
      </c>
      <c r="P34" s="9" t="n">
        <v>10056.785497665405</v>
      </c>
      <c r="Q34" s="9" t="n">
        <v>1067.9660263061523</v>
      </c>
      <c r="R34" s="9" t="n">
        <v>522.3874616622925</v>
      </c>
      <c r="S34" s="9" t="n">
        <v>4113.75853061676</v>
      </c>
      <c r="T34" s="9" t="n">
        <v>0.0</v>
      </c>
      <c r="U34">
        <f si="1" t="shared"/>
        <v>67008.606944084167</v>
      </c>
    </row>
    <row r="35" spans="1:21" x14ac:dyDescent="0.25">
      <c r="A35" s="12">
        <v>0.66666666666666663</v>
      </c>
      <c r="B35" s="6" t="n">
        <v>7378.479888969052</v>
      </c>
      <c r="C35" s="6" t="n">
        <v>2499.868379102212</v>
      </c>
      <c r="D35" s="6" t="n">
        <v>6031.104919190944</v>
      </c>
      <c r="E35" s="6" t="n">
        <v>9058.226739652548</v>
      </c>
      <c r="F35" s="6" t="n">
        <v>1016.5438499386643</v>
      </c>
      <c r="G35" s="6" t="n">
        <v>617.0962151222637</v>
      </c>
      <c r="H35" s="6" t="n">
        <v>2154.479811844284</v>
      </c>
      <c r="I35" s="6" t="n">
        <v>0.0</v>
      </c>
      <c r="J35" s="6">
        <f si="0" t="shared"/>
        <v>70094.462386734551</v>
      </c>
      <c r="L35" s="12">
        <v>0.66666666666666663</v>
      </c>
      <c r="M35" s="9" t="n">
        <v>9873.5808801651</v>
      </c>
      <c r="N35" s="9" t="n">
        <v>4131.161883354187</v>
      </c>
      <c r="O35" s="9" t="n">
        <v>9846.638579368591</v>
      </c>
      <c r="P35" s="9" t="n">
        <v>9607.158918380737</v>
      </c>
      <c r="Q35" s="9" t="n">
        <v>1092.1733474731445</v>
      </c>
      <c r="R35" s="9" t="n">
        <v>557.8039445877075</v>
      </c>
      <c r="S35" s="9" t="n">
        <v>4603.91362953186</v>
      </c>
      <c r="T35" s="9" t="n">
        <v>0.0</v>
      </c>
      <c r="U35">
        <f si="1" t="shared"/>
        <v>66535.167365074158</v>
      </c>
    </row>
    <row r="36" spans="1:21" x14ac:dyDescent="0.25">
      <c r="A36" s="12">
        <v>0.6875</v>
      </c>
      <c r="B36" s="6" t="n">
        <v>8399.442568216067</v>
      </c>
      <c r="C36" s="6" t="n">
        <v>2384.0294128438563</v>
      </c>
      <c r="D36" s="6" t="n">
        <v>5431.344625349962</v>
      </c>
      <c r="E36" s="6" t="n">
        <v>7802.450881187703</v>
      </c>
      <c r="F36" s="6" t="n">
        <v>981.0597166956088</v>
      </c>
      <c r="G36" s="6" t="n">
        <v>664.397231583364</v>
      </c>
      <c r="H36" s="6" t="n">
        <v>2371.439041940899</v>
      </c>
      <c r="I36" s="6" t="n">
        <v>0.0</v>
      </c>
      <c r="J36" s="6">
        <f si="0" t="shared"/>
        <v>68040.942756899822</v>
      </c>
      <c r="L36" s="12">
        <v>0.6875</v>
      </c>
      <c r="M36" s="9" t="n">
        <v>10629.383051872253</v>
      </c>
      <c r="N36" s="9" t="n">
        <v>4137.292475700378</v>
      </c>
      <c r="O36" s="9" t="n">
        <v>9116.295177459717</v>
      </c>
      <c r="P36" s="9" t="n">
        <v>9055.648290634155</v>
      </c>
      <c r="Q36" s="9" t="n">
        <v>1112.735095024109</v>
      </c>
      <c r="R36" s="9" t="n">
        <v>591.981686592102</v>
      </c>
      <c r="S36" s="9" t="n">
        <v>5066.409394264221</v>
      </c>
      <c r="T36" s="9" t="n">
        <v>0.0</v>
      </c>
      <c r="U36">
        <f si="1" t="shared"/>
        <v>65988.853669166565</v>
      </c>
    </row>
    <row r="37" spans="1:21" x14ac:dyDescent="0.25">
      <c r="A37" s="12">
        <v>0.70833333333333337</v>
      </c>
      <c r="B37" s="6" t="n">
        <v>10026.784824216198</v>
      </c>
      <c r="C37" s="6" t="n">
        <v>2320.982579018427</v>
      </c>
      <c r="D37" s="6" t="n">
        <v>4903.464840949827</v>
      </c>
      <c r="E37" s="6" t="n">
        <v>6711.022014730282</v>
      </c>
      <c r="F37" s="6" t="n">
        <v>965.4375496338929</v>
      </c>
      <c r="G37" s="6" t="n">
        <v>735.5091632018252</v>
      </c>
      <c r="H37" s="6" t="n">
        <v>2653.7250104592117</v>
      </c>
      <c r="I37" s="6" t="n">
        <v>0.0</v>
      </c>
      <c r="J37" s="6">
        <f si="0" t="shared"/>
        <v>65956.471148472323</v>
      </c>
      <c r="L37" s="12">
        <v>0.70833333333333337</v>
      </c>
      <c r="M37" s="9" t="n">
        <v>11666.4336977005</v>
      </c>
      <c r="N37" s="9" t="n">
        <v>4176.112329483032</v>
      </c>
      <c r="O37" s="9" t="n">
        <v>8415.819431304932</v>
      </c>
      <c r="P37" s="9" t="n">
        <v>8488.298377990723</v>
      </c>
      <c r="Q37" s="9" t="n">
        <v>1136.5309438705444</v>
      </c>
      <c r="R37" s="9" t="n">
        <v>628.6552820205688</v>
      </c>
      <c r="S37" s="9" t="n">
        <v>5506.075817108154</v>
      </c>
      <c r="T37" s="9" t="n">
        <v>0.0</v>
      </c>
      <c r="U37">
        <f si="1" t="shared"/>
        <v>65695.599298477173</v>
      </c>
    </row>
    <row r="38" spans="1:21" x14ac:dyDescent="0.25">
      <c r="A38" s="12">
        <v>0.72916666666666663</v>
      </c>
      <c r="B38" s="6" t="n">
        <v>12125.029556194311</v>
      </c>
      <c r="C38" s="6" t="n">
        <v>2317.590902305694</v>
      </c>
      <c r="D38" s="6" t="n">
        <v>4496.02524638614</v>
      </c>
      <c r="E38" s="6" t="n">
        <v>5930.27145344676</v>
      </c>
      <c r="F38" s="6" t="n">
        <v>974.4756703218858</v>
      </c>
      <c r="G38" s="6" t="n">
        <v>839.2003768352786</v>
      </c>
      <c r="H38" s="6" t="n">
        <v>3003.254708819103</v>
      </c>
      <c r="I38" s="6" t="n">
        <v>0.0</v>
      </c>
      <c r="J38" s="6">
        <f si="0" t="shared"/>
        <v>64123.458577127276</v>
      </c>
      <c r="L38" s="12">
        <v>0.72916666666666663</v>
      </c>
      <c r="M38" s="9" t="n">
        <v>12988.976161956787</v>
      </c>
      <c r="N38" s="9" t="n">
        <v>4260.108674049377</v>
      </c>
      <c r="O38" s="9" t="n">
        <v>7825.241991996765</v>
      </c>
      <c r="P38" s="9" t="n">
        <v>7979.539048194885</v>
      </c>
      <c r="Q38" s="9" t="n">
        <v>1167.619234085083</v>
      </c>
      <c r="R38" s="9" t="n">
        <v>670.912691116333</v>
      </c>
      <c r="S38" s="9" t="n">
        <v>5938.529630661011</v>
      </c>
      <c r="T38" s="9" t="n">
        <v>0.0</v>
      </c>
      <c r="U38">
        <f si="1" t="shared"/>
        <v>65700.153245925903</v>
      </c>
    </row>
    <row r="39" spans="1:21" x14ac:dyDescent="0.25">
      <c r="A39" s="12">
        <v>0.75</v>
      </c>
      <c r="B39" s="6" t="n">
        <v>14328.047874744727</v>
      </c>
      <c r="C39" s="6" t="n">
        <v>2356.8637810514924</v>
      </c>
      <c r="D39" s="6" t="n">
        <v>4218.9422115315</v>
      </c>
      <c r="E39" s="6" t="n">
        <v>5468.498020652473</v>
      </c>
      <c r="F39" s="6" t="n">
        <v>1003.5840437163433</v>
      </c>
      <c r="G39" s="6" t="n">
        <v>973.9798365942647</v>
      </c>
      <c r="H39" s="6" t="n">
        <v>3410.2880453631274</v>
      </c>
      <c r="I39" s="6" t="n">
        <v>0.0</v>
      </c>
      <c r="J39" s="6">
        <f si="0" t="shared"/>
        <v>62463.60394076012</v>
      </c>
      <c r="L39" s="12">
        <v>0.75</v>
      </c>
      <c r="M39" s="9" t="n">
        <v>14473.866869926453</v>
      </c>
      <c r="N39" s="9" t="n">
        <v>4373.5225467681885</v>
      </c>
      <c r="O39" s="9" t="n">
        <v>7359.60621547699</v>
      </c>
      <c r="P39" s="9" t="n">
        <v>7553.176939964294</v>
      </c>
      <c r="Q39" s="9" t="n">
        <v>1203.0592947006226</v>
      </c>
      <c r="R39" s="9" t="n">
        <v>717.49476146698</v>
      </c>
      <c r="S39" s="9" t="n">
        <v>6361.161357879639</v>
      </c>
      <c r="T39" s="9" t="n">
        <v>0.0</v>
      </c>
      <c r="U39">
        <f si="1" t="shared"/>
        <v>65687.968354225159</v>
      </c>
    </row>
    <row r="40" spans="1:21" x14ac:dyDescent="0.25">
      <c r="A40" s="12">
        <v>0.77083333333333337</v>
      </c>
      <c r="B40" s="6" t="n">
        <v>16210.02528980493</v>
      </c>
      <c r="C40" s="6" t="n">
        <v>2403.5581266496993</v>
      </c>
      <c r="D40" s="6" t="n">
        <v>4036.9628688976745</v>
      </c>
      <c r="E40" s="6" t="n">
        <v>5252.1501858824895</v>
      </c>
      <c r="F40" s="6" t="n">
        <v>1038.2519921671292</v>
      </c>
      <c r="G40" s="6" t="n">
        <v>1126.9969955419049</v>
      </c>
      <c r="H40" s="6" t="n">
        <v>3841.90489741138</v>
      </c>
      <c r="I40" s="6" t="n">
        <v>0.0</v>
      </c>
      <c r="J40" s="6">
        <f si="0" t="shared"/>
        <v>60630.100444243137</v>
      </c>
      <c r="L40" s="12">
        <v>0.77083333333333337</v>
      </c>
      <c r="M40" s="9" t="n">
        <v>15862.050881385803</v>
      </c>
      <c r="N40" s="9" t="n">
        <v>4468.31196308136</v>
      </c>
      <c r="O40" s="9" t="n">
        <v>6964.315498352051</v>
      </c>
      <c r="P40" s="9" t="n">
        <v>7168.068568229675</v>
      </c>
      <c r="Q40" s="9" t="n">
        <v>1231.4043493270874</v>
      </c>
      <c r="R40" s="9" t="n">
        <v>760.6310405731201</v>
      </c>
      <c r="S40" s="9" t="n">
        <v>6727.202262878418</v>
      </c>
      <c r="T40" s="9" t="n">
        <v>0.0</v>
      </c>
      <c r="U40">
        <f si="1" t="shared"/>
        <v>65074.558792114258</v>
      </c>
    </row>
    <row r="41" spans="1:21" x14ac:dyDescent="0.25">
      <c r="A41" s="12">
        <v>0.79166666666666663</v>
      </c>
      <c r="B41" s="6" t="n">
        <v>17424.34429667436</v>
      </c>
      <c r="C41" s="6" t="n">
        <v>2411.3461769816886</v>
      </c>
      <c r="D41" s="6" t="n">
        <v>3885.02268368932</v>
      </c>
      <c r="E41" s="6" t="n">
        <v>5164.828116000821</v>
      </c>
      <c r="F41" s="6" t="n">
        <v>1054.2783677716939</v>
      </c>
      <c r="G41" s="6" t="n">
        <v>1265.14079839304</v>
      </c>
      <c r="H41" s="6" t="n">
        <v>4219.289148204892</v>
      </c>
      <c r="I41" s="6" t="n">
        <v>0.0</v>
      </c>
      <c r="J41" s="6">
        <f si="0" t="shared"/>
        <v>58156.241888418823</v>
      </c>
      <c r="L41" s="12">
        <v>0.79166666666666663</v>
      </c>
      <c r="M41" s="9" t="n">
        <v>16815.831941604614</v>
      </c>
      <c r="N41" s="9" t="n">
        <v>4477.681449890137</v>
      </c>
      <c r="O41" s="9" t="n">
        <v>6542.554869651794</v>
      </c>
      <c r="P41" s="9" t="n">
        <v>6741.173831939697</v>
      </c>
      <c r="Q41" s="9" t="n">
        <v>1235.4333171844482</v>
      </c>
      <c r="R41" s="9" t="n">
        <v>787.5758113861084</v>
      </c>
      <c r="S41" s="9" t="n">
        <v>6946.562134742737</v>
      </c>
      <c r="T41" s="9" t="n">
        <v>0.0</v>
      </c>
      <c r="U41">
        <f si="1" t="shared"/>
        <v>63187.096691131592</v>
      </c>
    </row>
    <row r="42" spans="1:21" x14ac:dyDescent="0.25">
      <c r="A42" s="12">
        <v>0.8125</v>
      </c>
      <c r="B42" s="6" t="n">
        <v>17739.33018746445</v>
      </c>
      <c r="C42" s="6" t="n">
        <v>2337.8658691946443</v>
      </c>
      <c r="D42" s="6" t="n">
        <v>3692.0696562654794</v>
      </c>
      <c r="E42" s="6" t="n">
        <v>5069.253056641353</v>
      </c>
      <c r="F42" s="6" t="n">
        <v>1025.157421244493</v>
      </c>
      <c r="G42" s="6" t="n">
        <v>1334.3377926688936</v>
      </c>
      <c r="H42" s="6" t="n">
        <v>4426.206650355218</v>
      </c>
      <c r="I42" s="6" t="n">
        <v>0.0</v>
      </c>
      <c r="J42" s="6">
        <f si="0" t="shared"/>
        <v>54582.932940136867</v>
      </c>
      <c r="L42" s="12">
        <v>0.8125</v>
      </c>
      <c r="M42" s="9" t="n">
        <v>17026.805567741394</v>
      </c>
      <c r="N42" s="9" t="n">
        <v>4341.13627910614</v>
      </c>
      <c r="O42" s="9" t="n">
        <v>6001.858067512512</v>
      </c>
      <c r="P42" s="9" t="n">
        <v>6193.008304595947</v>
      </c>
      <c r="Q42" s="9" t="n">
        <v>1198.54847240448</v>
      </c>
      <c r="R42" s="9" t="n">
        <v>785.7853021621704</v>
      </c>
      <c r="S42" s="9" t="n">
        <v>6920.381030082703</v>
      </c>
      <c r="T42" s="9" t="n">
        <v>0.0</v>
      </c>
      <c r="U42">
        <f si="1" t="shared"/>
        <v>59484.898281097412</v>
      </c>
    </row>
    <row r="43" spans="1:21" x14ac:dyDescent="0.25">
      <c r="A43" s="12">
        <v>0.83333333333333337</v>
      </c>
      <c r="B43" s="6" t="n">
        <v>17033.92624446904</v>
      </c>
      <c r="C43" s="6" t="n">
        <v>2164.4920783460434</v>
      </c>
      <c r="D43" s="6" t="n">
        <v>3401.296925838831</v>
      </c>
      <c r="E43" s="6" t="n">
        <v>4840.624370207985</v>
      </c>
      <c r="F43" s="6" t="n">
        <v>936.1269117557988</v>
      </c>
      <c r="G43" s="6" t="n">
        <v>1283.8561526680562</v>
      </c>
      <c r="H43" s="6" t="n">
        <v>4363.105555871358</v>
      </c>
      <c r="I43" s="6" t="n">
        <v>0.0</v>
      </c>
      <c r="J43" s="6">
        <f si="0" t="shared"/>
        <v>49589.42633782958</v>
      </c>
      <c r="L43" s="12">
        <v>0.83333333333333337</v>
      </c>
      <c r="M43" s="9" t="n">
        <v>16333.502722740173</v>
      </c>
      <c r="N43" s="9" t="n">
        <v>4029.4374742507935</v>
      </c>
      <c r="O43" s="9" t="n">
        <v>5299.2483949661255</v>
      </c>
      <c r="P43" s="9" t="n">
        <v>5488.5837144851685</v>
      </c>
      <c r="Q43" s="9" t="n">
        <v>1112.4562683105469</v>
      </c>
      <c r="R43" s="9" t="n">
        <v>749.1407737731934</v>
      </c>
      <c r="S43" s="9" t="n">
        <v>6592.722764015198</v>
      </c>
      <c r="T43" s="9" t="n">
        <v>0.0</v>
      </c>
      <c r="U43">
        <f si="1" t="shared"/>
        <v>53800.894651412964</v>
      </c>
    </row>
    <row r="44" spans="1:21" x14ac:dyDescent="0.25">
      <c r="A44" s="12">
        <v>0.85416666666666663</v>
      </c>
      <c r="B44" s="6" t="n">
        <v>15337.368218432379</v>
      </c>
      <c r="C44" s="6" t="n">
        <v>1905.2982083819472</v>
      </c>
      <c r="D44" s="6" t="n">
        <v>2986.113353294299</v>
      </c>
      <c r="E44" s="6" t="n">
        <v>4412.013352852229</v>
      </c>
      <c r="F44" s="6" t="n">
        <v>795.9528152511052</v>
      </c>
      <c r="G44" s="6" t="n">
        <v>1103.1832913928033</v>
      </c>
      <c r="H44" s="6" t="n">
        <v>4006.196323678877</v>
      </c>
      <c r="I44" s="6" t="n">
        <v>0.0</v>
      </c>
      <c r="J44" s="6">
        <f si="0" t="shared"/>
        <v>43163.091857042469</v>
      </c>
      <c r="L44" s="12">
        <v>0.85416666666666663</v>
      </c>
      <c r="M44" s="9" t="n">
        <v>14796.522397994995</v>
      </c>
      <c r="N44" s="9" t="n">
        <v>3558.8395671844482</v>
      </c>
      <c r="O44" s="9" t="n">
        <v>4463.737364768982</v>
      </c>
      <c r="P44" s="9" t="n">
        <v>4654.571182250977</v>
      </c>
      <c r="Q44" s="9" t="n">
        <v>982.4385108947754</v>
      </c>
      <c r="R44" s="9" t="n">
        <v>681.4324378967285</v>
      </c>
      <c r="S44" s="9" t="n">
        <v>5987.824859619141</v>
      </c>
      <c r="T44" s="9" t="n">
        <v>0.0</v>
      </c>
      <c r="U44">
        <f si="1" t="shared"/>
        <v>46519.714579582214</v>
      </c>
    </row>
    <row r="45" spans="1:21" x14ac:dyDescent="0.25">
      <c r="A45" s="12">
        <v>0.875</v>
      </c>
      <c r="B45" s="6" t="n">
        <v>12886.753214470373</v>
      </c>
      <c r="C45" s="6" t="n">
        <v>1595.5696093289062</v>
      </c>
      <c r="D45" s="6" t="n">
        <v>2462.2747067108894</v>
      </c>
      <c r="E45" s="6" t="n">
        <v>3799.141981719653</v>
      </c>
      <c r="F45" s="6" t="n">
        <v>636.2827496126326</v>
      </c>
      <c r="G45" s="6" t="n">
        <v>836.9715799066316</v>
      </c>
      <c r="H45" s="6" t="n">
        <v>3420.108045274181</v>
      </c>
      <c r="I45" s="6" t="n">
        <v>0.0</v>
      </c>
      <c r="J45" s="6">
        <f si="0" t="shared"/>
        <v>35714.374144800153</v>
      </c>
      <c r="L45" s="12">
        <v>0.875</v>
      </c>
      <c r="M45" s="9" t="n">
        <v>12684.257444381714</v>
      </c>
      <c r="N45" s="9" t="n">
        <v>2987.1815004348755</v>
      </c>
      <c r="O45" s="9" t="n">
        <v>3582.9548654556274</v>
      </c>
      <c r="P45" s="9" t="n">
        <v>3767.380624771118</v>
      </c>
      <c r="Q45" s="9" t="n">
        <v>826.4422826766968</v>
      </c>
      <c r="R45" s="9" t="n">
        <v>594.590160369873</v>
      </c>
      <c r="S45" s="9" t="n">
        <v>5205.436700820923</v>
      </c>
      <c r="T45" s="9" t="n">
        <v>0.0</v>
      </c>
      <c r="U45">
        <f si="1" t="shared"/>
        <v>38522.762751579285</v>
      </c>
    </row>
    <row r="46" spans="1:21" x14ac:dyDescent="0.25">
      <c r="A46" s="12">
        <v>0.89583333333333337</v>
      </c>
      <c r="B46" s="6" t="n">
        <v>10096.418410246897</v>
      </c>
      <c r="C46" s="6" t="n">
        <v>1270.6716301873457</v>
      </c>
      <c r="D46" s="6" t="n">
        <v>1887.4353546151276</v>
      </c>
      <c r="E46" s="6" t="n">
        <v>3081.1367458837776</v>
      </c>
      <c r="F46" s="6" t="n">
        <v>495.7799983451765</v>
      </c>
      <c r="G46" s="6" t="n">
        <v>560.8514628411432</v>
      </c>
      <c r="H46" s="6" t="n">
        <v>2718.2750746910147</v>
      </c>
      <c r="I46" s="6" t="n">
        <v>0.0</v>
      </c>
      <c r="J46" s="6">
        <f si="0" t="shared"/>
        <v>27981.631844670545</v>
      </c>
      <c r="L46" s="12">
        <v>0.89583333333333337</v>
      </c>
      <c r="M46" s="9" t="n">
        <v>10361.41540145874</v>
      </c>
      <c r="N46" s="9" t="n">
        <v>2391.3508043289185</v>
      </c>
      <c r="O46" s="9" t="n">
        <v>2759.4665203094482</v>
      </c>
      <c r="P46" s="9" t="n">
        <v>2919.247339248657</v>
      </c>
      <c r="Q46" s="9" t="n">
        <v>667.2094287872314</v>
      </c>
      <c r="R46" s="9" t="n">
        <v>502.5268831253052</v>
      </c>
      <c r="S46" s="9" t="n">
        <v>4372.5288438797</v>
      </c>
      <c r="T46" s="9" t="n">
        <v>0.0</v>
      </c>
      <c r="U46">
        <f si="1" t="shared"/>
        <v>30827.717595100403</v>
      </c>
    </row>
    <row r="47" spans="1:21" x14ac:dyDescent="0.25">
      <c r="A47" s="12">
        <v>0.91666666666666663</v>
      </c>
      <c r="B47" s="6" t="n">
        <v>7407.172963966093</v>
      </c>
      <c r="C47" s="6" t="n">
        <v>954.9931117937548</v>
      </c>
      <c r="D47" s="6" t="n">
        <v>1339.6019180587189</v>
      </c>
      <c r="E47" s="6" t="n">
        <v>2353.613327217203</v>
      </c>
      <c r="F47" s="6" t="n">
        <v>397.96709908705407</v>
      </c>
      <c r="G47" s="6" t="n">
        <v>338.33100196602584</v>
      </c>
      <c r="H47" s="6" t="n">
        <v>2010.5121715460255</v>
      </c>
      <c r="I47" s="6" t="n">
        <v>0.0</v>
      </c>
      <c r="J47" s="6">
        <f si="0" t="shared"/>
        <v>20740.099651939501</v>
      </c>
      <c r="L47" s="12">
        <v>0.91666666666666663</v>
      </c>
      <c r="M47" s="9" t="n">
        <v>8139.146459579468</v>
      </c>
      <c r="N47" s="9" t="n">
        <v>1837.3230752944946</v>
      </c>
      <c r="O47" s="9" t="n">
        <v>2063.207371711731</v>
      </c>
      <c r="P47" s="9" t="n">
        <v>2180.3066396713257</v>
      </c>
      <c r="Q47" s="9" t="n">
        <v>522.0511484146118</v>
      </c>
      <c r="R47" s="9" t="n">
        <v>414.6921262741089</v>
      </c>
      <c r="S47" s="9" t="n">
        <v>3582.7389183044434</v>
      </c>
      <c r="T47" s="9" t="n">
        <v>0.0</v>
      </c>
      <c r="U47">
        <f si="1" t="shared"/>
        <v>24123.029413223267</v>
      </c>
    </row>
    <row r="48" spans="1:21" x14ac:dyDescent="0.25">
      <c r="A48" s="12">
        <v>0.9375</v>
      </c>
      <c r="B48" s="6" t="n">
        <v>5120.417721555855</v>
      </c>
      <c r="C48" s="6" t="n">
        <v>666.1754850300381</v>
      </c>
      <c r="D48" s="6" t="n">
        <v>883.0568223606916</v>
      </c>
      <c r="E48" s="6" t="n">
        <v>1690.8768404317436</v>
      </c>
      <c r="F48" s="6" t="n">
        <v>338.92066682671367</v>
      </c>
      <c r="G48" s="6" t="n">
        <v>193.3878160450559</v>
      </c>
      <c r="H48" s="6" t="n">
        <v>1375.130770598384</v>
      </c>
      <c r="I48" s="6" t="n">
        <v>0.0</v>
      </c>
      <c r="J48" s="6">
        <f si="0" t="shared"/>
        <v>14531.071234437277</v>
      </c>
      <c r="L48" s="12">
        <v>0.9375</v>
      </c>
      <c r="M48" s="9" t="n">
        <v>6181.186303138733</v>
      </c>
      <c r="N48" s="9" t="n">
        <v>1360.7634029388428</v>
      </c>
      <c r="O48" s="9" t="n">
        <v>1510.3342304229736</v>
      </c>
      <c r="P48" s="9" t="n">
        <v>1578.0728282928467</v>
      </c>
      <c r="Q48" s="9" t="n">
        <v>397.4791021347046</v>
      </c>
      <c r="R48" s="9" t="n">
        <v>333.69874572753906</v>
      </c>
      <c r="S48" s="9" t="n">
        <v>2866.6662168502808</v>
      </c>
      <c r="T48" s="9" t="n">
        <v>0.0</v>
      </c>
      <c r="U48">
        <f si="1" t="shared"/>
        <v>18546.263427734375</v>
      </c>
    </row>
    <row r="49" spans="1:21" x14ac:dyDescent="0.25">
      <c r="A49" s="12">
        <v>0.95833333333333337</v>
      </c>
      <c r="B49" s="6" t="n">
        <v>3341.759142286318</v>
      </c>
      <c r="C49" s="6" t="n">
        <v>421.7741474642833</v>
      </c>
      <c r="D49" s="6" t="n">
        <v>544.8150676401763</v>
      </c>
      <c r="E49" s="6" t="n">
        <v>1135.3917062393407</v>
      </c>
      <c r="F49" s="6" t="n">
        <v>294.93414043815017</v>
      </c>
      <c r="G49" s="6" t="n">
        <v>113.68483356542079</v>
      </c>
      <c r="H49" s="6" t="n">
        <v>858.0141795460718</v>
      </c>
      <c r="I49" s="6" t="n">
        <v>0.0</v>
      </c>
      <c r="J49" s="6">
        <f si="0" t="shared"/>
        <v>9584.9730071624126</v>
      </c>
      <c r="L49" s="12">
        <v>0.95833333333333337</v>
      </c>
      <c r="M49" s="9" t="n">
        <v>4516.570630073547</v>
      </c>
      <c r="N49" s="9" t="n">
        <v>968.2642288208008</v>
      </c>
      <c r="O49" s="9" t="n">
        <v>1077.7545700073242</v>
      </c>
      <c r="P49" s="9" t="n">
        <v>1103.816421508789</v>
      </c>
      <c r="Q49" s="9" t="n">
        <v>291.8603219985962</v>
      </c>
      <c r="R49" s="9" t="n">
        <v>258.0938968658447</v>
      </c>
      <c r="S49" s="9" t="n">
        <v>2211.0999450683594</v>
      </c>
      <c r="T49" s="9" t="n">
        <v>0.0</v>
      </c>
      <c r="U49">
        <f si="1" t="shared"/>
        <v>13858.2612657547</v>
      </c>
    </row>
    <row r="50" spans="1:21" x14ac:dyDescent="0.25">
      <c r="A50" s="12">
        <v>0.97916666666666663</v>
      </c>
      <c r="B50" s="6" t="n">
        <v>2042.4483560756632</v>
      </c>
      <c r="C50" s="6" t="n">
        <v>236.73105340164483</v>
      </c>
      <c r="D50" s="6" t="n">
        <v>316.21976689164876</v>
      </c>
      <c r="E50" s="6" t="n">
        <v>704.480081423575</v>
      </c>
      <c r="F50" s="6" t="n">
        <v>243.4863731897721</v>
      </c>
      <c r="G50" s="6" t="n">
        <v>72.34763197957389</v>
      </c>
      <c r="H50" s="6" t="n">
        <v>478.9480021898914</v>
      </c>
      <c r="I50" s="6" t="n">
        <v>0.0</v>
      </c>
      <c r="J50" s="6">
        <f si="0" t="shared"/>
        <v>5901.3523908506531</v>
      </c>
      <c r="L50" s="12">
        <v>0.97916666666666663</v>
      </c>
      <c r="M50" s="9" t="n">
        <v>3121.872289657593</v>
      </c>
      <c r="N50" s="9" t="n">
        <v>652.7423877716064</v>
      </c>
      <c r="O50" s="9" t="n">
        <v>734.7433929443359</v>
      </c>
      <c r="P50" s="9" t="n">
        <v>735.2217855453491</v>
      </c>
      <c r="Q50" s="9" t="n">
        <v>202.20299530029297</v>
      </c>
      <c r="R50" s="9" t="n">
        <v>187.22920417785645</v>
      </c>
      <c r="S50" s="9" t="n">
        <v>1603.916368484497</v>
      </c>
      <c r="T50" s="9" t="n">
        <v>0.0</v>
      </c>
      <c r="U50">
        <f si="1" t="shared"/>
        <v>9811.645336151123</v>
      </c>
    </row>
    <row r="51" spans="1:21" x14ac:dyDescent="0.25">
      <c r="A51" s="12">
        <v>1</v>
      </c>
      <c r="B51" s="6" t="n">
        <v>1147.4364627791822</v>
      </c>
      <c r="C51" s="6" t="n">
        <v>115.20235386127953</v>
      </c>
      <c r="D51" s="6" t="n">
        <v>171.60026859383635</v>
      </c>
      <c r="E51" s="6" t="n">
        <v>397.79156779745813</v>
      </c>
      <c r="F51" s="6" t="n">
        <v>179.27971171111366</v>
      </c>
      <c r="G51" s="6" t="n">
        <v>47.585669754379154</v>
      </c>
      <c r="H51" s="6" t="n">
        <v>233.7557697304527</v>
      </c>
      <c r="I51" s="6" t="n">
        <v>0.0</v>
      </c>
      <c r="J51" s="6">
        <f si="0" t="shared"/>
        <v>3349.4268440607807</v>
      </c>
      <c r="L51" s="12">
        <v>1</v>
      </c>
      <c r="M51" s="9" t="n">
        <v>1990.222191810608</v>
      </c>
      <c r="N51" s="9" t="n">
        <v>407.51867866516113</v>
      </c>
      <c r="O51" s="9" t="n">
        <v>464.48058891296387</v>
      </c>
      <c r="P51" s="9" t="n">
        <v>455.0455913543701</v>
      </c>
      <c r="Q51" s="9" t="n">
        <v>128.4904441833496</v>
      </c>
      <c r="R51" s="9" t="n">
        <v>123.87821769714355</v>
      </c>
      <c r="S51" s="9" t="n">
        <v>1062.6259117126465</v>
      </c>
      <c r="T51" s="9" t="n">
        <v>0.0</v>
      </c>
      <c r="U51">
        <f si="1" t="shared"/>
        <v>6378.4411239624023</v>
      </c>
    </row>
    <row r="52" spans="1:21" x14ac:dyDescent="0.25">
      <c r="A52" s="12">
        <v>1.0208333333333333</v>
      </c>
      <c r="B52" s="6" t="n">
        <v>578.0635156923155</v>
      </c>
      <c r="C52" s="6" t="n">
        <v>47.5919059558942</v>
      </c>
      <c r="D52" s="6" t="n">
        <v>85.27318427202383</v>
      </c>
      <c r="E52" s="6" t="n">
        <v>200.85568645179444</v>
      </c>
      <c r="F52" s="6" t="n">
        <v>113.34370445856374</v>
      </c>
      <c r="G52" s="6" t="n">
        <v>29.37445985553481</v>
      </c>
      <c r="H52" s="6" t="n">
        <v>97.29262787032908</v>
      </c>
      <c r="I52" s="6" t="n">
        <v>0.0</v>
      </c>
      <c r="J52" s="6">
        <f si="0" t="shared"/>
        <v>1726.1749555988135</v>
      </c>
      <c r="L52" s="12">
        <v>1.0208333333333333</v>
      </c>
      <c r="M52" s="9" t="n">
        <v>1137.969386100769</v>
      </c>
      <c r="N52" s="9" t="n">
        <v>229.36470127105713</v>
      </c>
      <c r="O52" s="9" t="n">
        <v>263.8798294067383</v>
      </c>
      <c r="P52" s="9" t="n">
        <v>254.3128480911255</v>
      </c>
      <c r="Q52" s="9" t="n">
        <v>72.80142879486084</v>
      </c>
      <c r="R52" s="9" t="n">
        <v>72.77193927764893</v>
      </c>
      <c r="S52" s="9" t="n">
        <v>625.1114921569824</v>
      </c>
      <c r="T52" s="9" t="n">
        <v>0.0</v>
      </c>
      <c r="U52">
        <f si="1" t="shared"/>
        <v>3694.759259223938</v>
      </c>
    </row>
    <row r="53" spans="1:21" x14ac:dyDescent="0.25">
      <c r="A53" s="12">
        <v>4.1666666666666664E-2</v>
      </c>
      <c r="B53" s="6" t="n">
        <v>254.48818827318883</v>
      </c>
      <c r="C53" s="6" t="n">
        <v>16.330316641410036</v>
      </c>
      <c r="D53" s="6" t="n">
        <v>37.63869273143767</v>
      </c>
      <c r="E53" s="6" t="n">
        <v>88.94730430184912</v>
      </c>
      <c r="F53" s="6" t="n">
        <v>60.09333113434015</v>
      </c>
      <c r="G53" s="6" t="n">
        <v>15.795588796006744</v>
      </c>
      <c r="H53" s="6" t="n">
        <v>33.597255846099145</v>
      </c>
      <c r="I53" s="6" t="n">
        <v>0.0</v>
      </c>
      <c r="J53" s="6">
        <f si="0" t="shared"/>
        <v>793.55164114497416</v>
      </c>
      <c r="L53" s="12">
        <v>4.1666666666666664E-2</v>
      </c>
      <c r="M53" s="9" t="n">
        <v>567.8876323699951</v>
      </c>
      <c r="N53" s="9" t="n">
        <v>113.21869945526123</v>
      </c>
      <c r="O53" s="9" t="n">
        <v>130.89358806610107</v>
      </c>
      <c r="P53" s="9" t="n">
        <v>124.71468925476074</v>
      </c>
      <c r="Q53" s="9" t="n">
        <v>35.83581829071045</v>
      </c>
      <c r="R53" s="9" t="n">
        <v>37.0281400680542</v>
      </c>
      <c r="S53" s="9" t="n">
        <v>318.2823247909546</v>
      </c>
      <c r="T53" s="9" t="n">
        <v>0.0</v>
      </c>
      <c r="U53">
        <f si="1" t="shared"/>
        <v>1857.0069694519043</v>
      </c>
    </row>
    <row r="54" spans="1:21" x14ac:dyDescent="0.25">
      <c r="A54" s="12">
        <v>6.25E-2</v>
      </c>
      <c r="B54" s="6" t="n">
        <v>95.47877183722159</v>
      </c>
      <c r="C54" s="6" t="n">
        <v>4.53772820174188</v>
      </c>
      <c r="D54" s="6" t="n">
        <v>14.27554410963451</v>
      </c>
      <c r="E54" s="6" t="n">
        <v>33.7965333621423</v>
      </c>
      <c r="F54" s="6" t="n">
        <v>26.221624919000387</v>
      </c>
      <c r="G54" s="6" t="n">
        <v>7.081382793821696</v>
      </c>
      <c r="H54" s="6" t="n">
        <v>9.31608708673959</v>
      </c>
      <c r="I54" s="6" t="n">
        <v>0.0</v>
      </c>
      <c r="J54" s="6">
        <f si="0" t="shared"/>
        <v>318.42133867148073</v>
      </c>
      <c r="L54" s="12">
        <v>6.25E-2</v>
      </c>
      <c r="M54" s="9" t="n">
        <v>240.89299488067627</v>
      </c>
      <c r="N54" s="9" t="n">
        <v>47.692501068115234</v>
      </c>
      <c r="O54" s="9" t="n">
        <v>55.191086769104004</v>
      </c>
      <c r="P54" s="9" t="n">
        <v>52.19502067565918</v>
      </c>
      <c r="Q54" s="9" t="n">
        <v>14.951630592346191</v>
      </c>
      <c r="R54" s="9" t="n">
        <v>15.933148384094238</v>
      </c>
      <c r="S54" s="9" t="n">
        <v>136.90150260925293</v>
      </c>
      <c r="T54" s="9" t="n">
        <v>0.0</v>
      </c>
      <c r="U54">
        <f si="1" t="shared"/>
        <v>790.06365776062012</v>
      </c>
    </row>
    <row r="55" spans="1:21" x14ac:dyDescent="0.25">
      <c r="A55" s="12">
        <v>8.3333333333333329E-2</v>
      </c>
      <c r="B55" s="6" t="n">
        <v>29.754428111028428</v>
      </c>
      <c r="C55" s="6" t="n">
        <v>0.9880875615306743</v>
      </c>
      <c r="D55" s="6" t="n">
        <v>4.502529942993591</v>
      </c>
      <c r="E55" s="6" t="n">
        <v>10.733892905986865</v>
      </c>
      <c r="F55" s="6" t="n">
        <v>9.228103174953237</v>
      </c>
      <c r="G55" s="6" t="n">
        <v>2.5689821476313885</v>
      </c>
      <c r="H55" s="6" t="n">
        <v>1.9860794804408393</v>
      </c>
      <c r="I55" s="6" t="n">
        <v>0.0</v>
      </c>
      <c r="J55" s="6">
        <f si="0" t="shared"/>
        <v>108.49194706298425</v>
      </c>
      <c r="L55" s="12">
        <v>8.3333333333333329E-2</v>
      </c>
      <c r="M55" s="9" t="n">
        <v>84.4953842163086</v>
      </c>
      <c r="N55" s="9" t="n">
        <v>16.660698890686035</v>
      </c>
      <c r="O55" s="9" t="n">
        <v>19.245957374572754</v>
      </c>
      <c r="P55" s="9" t="n">
        <v>18.115086555480957</v>
      </c>
      <c r="Q55" s="9" t="n">
        <v>5.151506423950195</v>
      </c>
      <c r="R55" s="9" t="n">
        <v>5.650927543640137</v>
      </c>
      <c r="S55" s="9" t="n">
        <v>48.48237991333008</v>
      </c>
      <c r="T55" s="9" t="n">
        <v>0.0</v>
      </c>
      <c r="U55">
        <f si="1" t="shared"/>
        <v>277.25254535675049</v>
      </c>
    </row>
    <row r="56" spans="1:21" x14ac:dyDescent="0.25">
      <c r="A56" s="12">
        <v>0.10416666666666667</v>
      </c>
      <c r="B56" s="6" t="n">
        <v>7.474469374577554</v>
      </c>
      <c r="C56" s="6" t="n">
        <v>0.16087327623570058</v>
      </c>
      <c r="D56" s="6" t="n">
        <v>1.140797049208301</v>
      </c>
      <c r="E56" s="6" t="n">
        <v>2.756680323384109</v>
      </c>
      <c r="F56" s="6" t="n">
        <v>2.5504615306583744</v>
      </c>
      <c r="G56" s="6" t="n">
        <v>0.7321454057902779</v>
      </c>
      <c r="H56" s="6" t="n">
        <v>0.3047996284554179</v>
      </c>
      <c r="I56" s="6" t="n">
        <v>0.0</v>
      </c>
      <c r="J56" s="6">
        <f si="0" t="shared"/>
        <v>30.281364727193438</v>
      </c>
      <c r="L56" s="12">
        <v>0.10416666666666667</v>
      </c>
      <c r="M56" s="9" t="n">
        <v>23.722808837890625</v>
      </c>
      <c r="N56" s="9" t="n">
        <v>4.668111801147461</v>
      </c>
      <c r="O56" s="9" t="n">
        <v>5.374248504638672</v>
      </c>
      <c r="P56" s="9" t="n">
        <v>5.0429182052612305</v>
      </c>
      <c r="Q56" s="9" t="n">
        <v>1.4204063415527344</v>
      </c>
      <c r="R56" s="9" t="n">
        <v>1.6011505126953125</v>
      </c>
      <c r="S56" s="9" t="n">
        <v>13.70383358001709</v>
      </c>
      <c r="T56" s="9" t="n">
        <v>0.0</v>
      </c>
      <c r="U56">
        <f si="1" t="shared"/>
        <v>77.782635688781738</v>
      </c>
    </row>
    <row r="57" spans="1:21" x14ac:dyDescent="0.25">
      <c r="A57" s="12">
        <v>0.125</v>
      </c>
      <c r="B57" s="6" t="n">
        <v>1.4353062306828608</v>
      </c>
      <c r="C57" s="6" t="n">
        <v>0.018145160877259</v>
      </c>
      <c r="D57" s="6" t="n">
        <v>0.21973982474755882</v>
      </c>
      <c r="E57" s="6" t="n">
        <v>0.5402483002399301</v>
      </c>
      <c r="F57" s="6" t="n">
        <v>0.5253222895221528</v>
      </c>
      <c r="G57" s="6" t="n">
        <v>0.15534236981979865</v>
      </c>
      <c r="H57" s="6" t="n">
        <v>0.029921607855005652</v>
      </c>
      <c r="I57" s="6" t="n">
        <v>0.0</v>
      </c>
      <c r="J57" s="6">
        <f si="0" t="shared"/>
        <v>6.4949261991346745</v>
      </c>
      <c r="L57" s="12">
        <v>0.125</v>
      </c>
      <c r="M57" s="9" t="n">
        <v>5.030816078186035</v>
      </c>
      <c r="N57" s="9" t="n">
        <v>0.989262580871582</v>
      </c>
      <c r="O57" s="9" t="n">
        <v>1.134352684020996</v>
      </c>
      <c r="P57" s="9" t="n">
        <v>1.0621652603149414</v>
      </c>
      <c r="Q57" s="9" t="n">
        <v>0.29610157012939453</v>
      </c>
      <c r="R57" s="9" t="n">
        <v>0.3422365188598633</v>
      </c>
      <c r="S57" s="9" t="n">
        <v>2.9200973510742188</v>
      </c>
      <c r="T57" s="9" t="n">
        <v>0.0</v>
      </c>
      <c r="U57">
        <f si="1" t="shared"/>
        <v>16.476755142211914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drawing r:id="rId1"/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AA58"/>
  <sheetViews>
    <sheetView workbookViewId="0">
      <selection activeCell="U1" sqref="U1:U1048576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44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58</v>
      </c>
      <c r="B6" s="1"/>
      <c r="C6" s="1"/>
      <c r="D6" s="1"/>
      <c r="E6" s="1"/>
      <c r="F6" s="1"/>
      <c r="G6" s="1"/>
      <c r="H6" s="1"/>
      <c r="I6" s="1"/>
      <c r="J6" s="1"/>
      <c r="L6" s="3" t="s">
        <v>45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18.0</v>
      </c>
      <c r="N8" s="9" t="n">
        <v>5.0</v>
      </c>
      <c r="O8" s="9" t="n">
        <v>0.0</v>
      </c>
      <c r="P8" s="9" t="n">
        <v>0.0</v>
      </c>
      <c r="Q8" s="9" t="n">
        <v>0.0</v>
      </c>
      <c r="R8" s="9" t="n">
        <v>0.0</v>
      </c>
      <c r="S8" s="9" t="n">
        <v>0.0</v>
      </c>
      <c r="T8" s="9" t="n">
        <v>0.0</v>
      </c>
      <c r="U8">
        <f>SUM(M8:T8)</f>
        <v>75</v>
      </c>
      <c r="W8" s="5"/>
      <c r="X8" s="16"/>
      <c r="Y8" s="16"/>
      <c r="Z8" s="5"/>
    </row>
    <row r="9" spans="1:26" x14ac:dyDescent="0.25">
      <c r="A9" s="12">
        <v>0.125</v>
      </c>
      <c r="B9" s="6" t="n">
        <v>0.06824565585510407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ref="J9:J58" si="0" t="shared">SUM(B9:I9)</f>
        <v>4.4417298594485626</v>
      </c>
      <c r="L9" s="12">
        <v>0.125</v>
      </c>
      <c r="M9" s="9" t="n">
        <v>14.939715385437012</v>
      </c>
      <c r="N9" s="9" t="n">
        <v>3.8078184127807617</v>
      </c>
      <c r="O9" s="9" t="n">
        <v>0.0</v>
      </c>
      <c r="P9" s="9" t="n">
        <v>0.0</v>
      </c>
      <c r="Q9" s="9" t="n">
        <v>2.765655517578125E-4</v>
      </c>
      <c r="R9" s="9" t="n">
        <v>0.001068115234375</v>
      </c>
      <c r="S9" s="9" t="n">
        <v>0.0</v>
      </c>
      <c r="T9" s="9" t="n">
        <v>0.0</v>
      </c>
      <c r="U9">
        <f ref="U9:U58" si="1" t="shared">SUM(M9:T9)</f>
        <v>71.934614181518555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0.4509851225911849</v>
      </c>
      <c r="C10" s="6" t="n">
        <v>1.2914381274778633E-4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0" t="shared"/>
        <v>13.917985948258814</v>
      </c>
      <c r="L10" s="12">
        <v>0.14583333333333334</v>
      </c>
      <c r="M10" s="9" t="n">
        <v>13.114949226379395</v>
      </c>
      <c r="N10" s="9" t="n">
        <v>2.8708620071411133</v>
      </c>
      <c r="O10" s="9" t="n">
        <v>0.0</v>
      </c>
      <c r="P10" s="9" t="n">
        <v>0.0</v>
      </c>
      <c r="Q10" s="9" t="n">
        <v>0.0020151138305664062</v>
      </c>
      <c r="R10" s="9" t="n">
        <v>0.004619598388671875</v>
      </c>
      <c r="S10" s="9" t="n">
        <v>0.0</v>
      </c>
      <c r="T10" s="9" t="n">
        <v>0.0</v>
      </c>
      <c r="U10">
        <f si="1" t="shared"/>
        <v>79.519104957580566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2.13934084572566</v>
      </c>
      <c r="C11" s="6" t="n">
        <v>0.002771255372464245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0" t="shared"/>
        <v>34.274866636350893</v>
      </c>
      <c r="L11" s="12">
        <v>0.16666666666666666</v>
      </c>
      <c r="M11" s="9" t="n">
        <v>13.252418518066406</v>
      </c>
      <c r="N11" s="9" t="n">
        <v>2.3933486938476562</v>
      </c>
      <c r="O11" s="9" t="n">
        <v>0.0</v>
      </c>
      <c r="P11" s="9" t="n">
        <v>0.0</v>
      </c>
      <c r="Q11" s="9" t="n">
        <v>0.010297775268554688</v>
      </c>
      <c r="R11" s="9" t="n">
        <v>0.0147857666015625</v>
      </c>
      <c r="S11" s="9" t="n">
        <v>0.0</v>
      </c>
      <c r="T11" s="9" t="n">
        <v>0.0</v>
      </c>
      <c r="U11">
        <f si="1" t="shared"/>
        <v>106.44105911254883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7.821965453759369</v>
      </c>
      <c r="C12" s="6" t="n">
        <v>0.028457143769462182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0" t="shared"/>
        <v>71.381720169418642</v>
      </c>
      <c r="L12" s="12">
        <v>0.1875</v>
      </c>
      <c r="M12" s="9" t="n">
        <v>15.556842803955078</v>
      </c>
      <c r="N12" s="9" t="n">
        <v>2.537626266479492</v>
      </c>
      <c r="O12" s="9" t="n">
        <v>0.0</v>
      </c>
      <c r="P12" s="9" t="n">
        <v>0.0</v>
      </c>
      <c r="Q12" s="9" t="n">
        <v>0.03958320617675781</v>
      </c>
      <c r="R12" s="9" t="n">
        <v>0.036965370178222656</v>
      </c>
      <c r="S12" s="9" t="n">
        <v>0.0</v>
      </c>
      <c r="T12" s="9" t="n">
        <v>0.0</v>
      </c>
      <c r="U12">
        <f si="1" t="shared"/>
        <v>159.69112396240234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23.024722792138554</v>
      </c>
      <c r="C13" s="6" t="n">
        <v>0.18606071880334313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0.0</v>
      </c>
      <c r="J13" s="6">
        <f si="0" t="shared"/>
        <v>129.23481612008342</v>
      </c>
      <c r="L13" s="12">
        <v>0.20833333333333334</v>
      </c>
      <c r="M13" s="9" t="n">
        <v>20.353473663330078</v>
      </c>
      <c r="N13" s="9" t="n">
        <v>3.5151233673095703</v>
      </c>
      <c r="O13" s="9" t="n">
        <v>0.0</v>
      </c>
      <c r="P13" s="9" t="n">
        <v>0.0</v>
      </c>
      <c r="Q13" s="9" t="n">
        <v>0.11949920654296875</v>
      </c>
      <c r="R13" s="9" t="n">
        <v>0.07394981384277344</v>
      </c>
      <c r="S13" s="9" t="n">
        <v>0.0</v>
      </c>
      <c r="T13" s="9" t="n">
        <v>0.0</v>
      </c>
      <c r="U13">
        <f si="1" t="shared"/>
        <v>247.78044700622559</v>
      </c>
    </row>
    <row r="14" spans="1:26" x14ac:dyDescent="0.25">
      <c r="A14" s="12">
        <v>0.22916666666666666</v>
      </c>
      <c r="B14" s="6" t="n">
        <v>56.323553866497306</v>
      </c>
      <c r="C14" s="6" t="n">
        <v>0.8694210318316433</v>
      </c>
      <c r="D14" s="6" t="n">
        <v>0.0</v>
      </c>
      <c r="E14" s="6" t="n">
        <v>0.0</v>
      </c>
      <c r="F14" s="6" t="n">
        <v>5.6444244661034586E-5</v>
      </c>
      <c r="G14" s="6" t="n">
        <v>0.0</v>
      </c>
      <c r="H14" s="6" t="n">
        <v>0.0</v>
      </c>
      <c r="I14" s="6" t="n">
        <v>0.0</v>
      </c>
      <c r="J14" s="6">
        <f si="0" t="shared"/>
        <v>210.29307915530973</v>
      </c>
      <c r="L14" s="12">
        <v>0.22916666666666666</v>
      </c>
      <c r="M14" s="9" t="n">
        <v>29.040331840515137</v>
      </c>
      <c r="N14" s="9" t="n">
        <v>5.71856689453125</v>
      </c>
      <c r="O14" s="9" t="n">
        <v>0.0</v>
      </c>
      <c r="P14" s="9" t="n">
        <v>0.0</v>
      </c>
      <c r="Q14" s="9" t="n">
        <v>0.29292774200439453</v>
      </c>
      <c r="R14" s="9" t="n">
        <v>0.12035942077636719</v>
      </c>
      <c r="S14" s="9" t="n">
        <v>0.0</v>
      </c>
      <c r="T14" s="9" t="n">
        <v>0.0</v>
      </c>
      <c r="U14">
        <f si="1" t="shared"/>
        <v>385.35086154937744</v>
      </c>
    </row>
    <row r="15" spans="1:26" x14ac:dyDescent="0.25">
      <c r="A15" s="12">
        <v>0.25</v>
      </c>
      <c r="B15" s="6" t="n">
        <v>117.4231530469016</v>
      </c>
      <c r="C15" s="6" t="n">
        <v>3.089489702126162</v>
      </c>
      <c r="D15" s="6" t="n">
        <v>0.0</v>
      </c>
      <c r="E15" s="6" t="n">
        <v>0.0</v>
      </c>
      <c r="F15" s="6" t="n">
        <v>0.0011288848932206918</v>
      </c>
      <c r="G15" s="6" t="n">
        <v>0.0</v>
      </c>
      <c r="H15" s="6" t="n">
        <v>0.0</v>
      </c>
      <c r="I15" s="6" t="n">
        <v>0.0</v>
      </c>
      <c r="J15" s="6">
        <f si="0" t="shared"/>
        <v>321.23442013510902</v>
      </c>
      <c r="L15" s="12">
        <v>0.25</v>
      </c>
      <c r="M15" s="9" t="n">
        <v>44.91481590270996</v>
      </c>
      <c r="N15" s="9" t="n">
        <v>9.840007781982422</v>
      </c>
      <c r="O15" s="9" t="n">
        <v>0.0</v>
      </c>
      <c r="P15" s="9" t="n">
        <v>0.0</v>
      </c>
      <c r="Q15" s="9" t="n">
        <v>0.6028327941894531</v>
      </c>
      <c r="R15" s="9" t="n">
        <v>0.16175079345703125</v>
      </c>
      <c r="S15" s="9" t="n">
        <v>0.0</v>
      </c>
      <c r="T15" s="9" t="n">
        <v>0.0</v>
      </c>
      <c r="U15">
        <f si="1" t="shared"/>
        <v>595.75267791748047</v>
      </c>
    </row>
    <row r="16" spans="1:26" x14ac:dyDescent="0.25">
      <c r="A16" s="12">
        <v>0.27083333333333331</v>
      </c>
      <c r="B16" s="6" t="n">
        <v>213.29954549865272</v>
      </c>
      <c r="C16" s="6" t="n">
        <v>8.67535455648889</v>
      </c>
      <c r="D16" s="6" t="n">
        <v>0.0</v>
      </c>
      <c r="E16" s="6" t="n">
        <v>6.919170837802067E-5</v>
      </c>
      <c r="F16" s="6" t="n">
        <v>0.010777696604796449</v>
      </c>
      <c r="G16" s="6" t="n">
        <v>0.0</v>
      </c>
      <c r="H16" s="6" t="n">
        <v>0.0</v>
      </c>
      <c r="I16" s="6" t="n">
        <v>0.0</v>
      </c>
      <c r="J16" s="6">
        <f si="0" t="shared"/>
        <v>481.62059602706995</v>
      </c>
      <c r="L16" s="12">
        <v>0.27083333333333331</v>
      </c>
      <c r="M16" s="9" t="n">
        <v>74.61491870880127</v>
      </c>
      <c r="N16" s="9" t="n">
        <v>17.09915065765381</v>
      </c>
      <c r="O16" s="9" t="n">
        <v>0.0</v>
      </c>
      <c r="P16" s="9" t="n">
        <v>0.0</v>
      </c>
      <c r="Q16" s="9" t="n">
        <v>1.0897531509399414</v>
      </c>
      <c r="R16" s="9" t="n">
        <v>0.18423748016357422</v>
      </c>
      <c r="S16" s="9" t="n">
        <v>0.0</v>
      </c>
      <c r="T16" s="9" t="n">
        <v>0.0</v>
      </c>
      <c r="U16">
        <f si="1" t="shared"/>
        <v>908.73432159423828</v>
      </c>
    </row>
    <row r="17" spans="1:21" x14ac:dyDescent="0.25">
      <c r="A17" s="12">
        <v>0.29166666666666669</v>
      </c>
      <c r="B17" s="6" t="n">
        <v>345.16665320363563</v>
      </c>
      <c r="C17" s="6" t="n">
        <v>19.760244248639466</v>
      </c>
      <c r="D17" s="6" t="n">
        <v>0.0</v>
      </c>
      <c r="E17" s="6" t="n">
        <v>0.0013838341675604133</v>
      </c>
      <c r="F17" s="6" t="n">
        <v>0.06541224129757699</v>
      </c>
      <c r="G17" s="6" t="n">
        <v>0.0</v>
      </c>
      <c r="H17" s="6" t="n">
        <v>0.0</v>
      </c>
      <c r="I17" s="6" t="n">
        <v>0.0</v>
      </c>
      <c r="J17" s="6">
        <f si="0" t="shared"/>
        <v>726.842083146758</v>
      </c>
      <c r="L17" s="12">
        <v>0.29166666666666669</v>
      </c>
      <c r="M17" s="9" t="n">
        <v>133.0547342300415</v>
      </c>
      <c r="N17" s="9" t="n">
        <v>30.07599449157715</v>
      </c>
      <c r="O17" s="9" t="n">
        <v>0.0</v>
      </c>
      <c r="P17" s="9" t="n">
        <v>0.0</v>
      </c>
      <c r="Q17" s="9" t="n">
        <v>1.8517322540283203</v>
      </c>
      <c r="R17" s="9" t="n">
        <v>0.19229888916015625</v>
      </c>
      <c r="S17" s="9" t="n">
        <v>0.0</v>
      </c>
      <c r="T17" s="9" t="n">
        <v>0.0</v>
      </c>
      <c r="U17">
        <f si="1" t="shared"/>
        <v>1354.7938680648804</v>
      </c>
    </row>
    <row r="18" spans="1:21" x14ac:dyDescent="0.25">
      <c r="A18" s="12">
        <v>0.3125</v>
      </c>
      <c r="B18" s="6" t="n">
        <v>510.8285209821459</v>
      </c>
      <c r="C18" s="6" t="n">
        <v>37.259354162874644</v>
      </c>
      <c r="D18" s="6" t="n">
        <v>0.0</v>
      </c>
      <c r="E18" s="6" t="n">
        <v>0.013216291601646309</v>
      </c>
      <c r="F18" s="6" t="n">
        <v>0.28359748803068935</v>
      </c>
      <c r="G18" s="6" t="n">
        <v>0.0</v>
      </c>
      <c r="H18" s="6" t="n">
        <v>0.0</v>
      </c>
      <c r="I18" s="6" t="n">
        <v>0.0</v>
      </c>
      <c r="J18" s="6">
        <f si="0" t="shared"/>
        <v>1099.9675787100582</v>
      </c>
      <c r="L18" s="12">
        <v>0.3125</v>
      </c>
      <c r="M18" s="9" t="n">
        <v>254.47013473510742</v>
      </c>
      <c r="N18" s="9" t="n">
        <v>54.61514854431152</v>
      </c>
      <c r="O18" s="9" t="n">
        <v>0.0</v>
      </c>
      <c r="P18" s="9" t="n">
        <v>0.0</v>
      </c>
      <c r="Q18" s="9" t="n">
        <v>3.1966991424560547</v>
      </c>
      <c r="R18" s="9" t="n">
        <v>0.2243022918701172</v>
      </c>
      <c r="S18" s="9" t="n">
        <v>0.0</v>
      </c>
      <c r="T18" s="9" t="n">
        <v>0.0</v>
      </c>
      <c r="U18">
        <f si="1" t="shared"/>
        <v>1962.53746509552</v>
      </c>
    </row>
    <row r="19" spans="1:21" x14ac:dyDescent="0.25">
      <c r="A19" s="12">
        <v>0.33333333333333331</v>
      </c>
      <c r="B19" s="6" t="n">
        <v>716.4176159701814</v>
      </c>
      <c r="C19" s="6" t="n">
        <v>59.36729432170672</v>
      </c>
      <c r="D19" s="6" t="n">
        <v>0.0</v>
      </c>
      <c r="E19" s="6" t="n">
        <v>0.08030152740405164</v>
      </c>
      <c r="F19" s="6" t="n">
        <v>0.9358623051125408</v>
      </c>
      <c r="G19" s="6" t="n">
        <v>0.0</v>
      </c>
      <c r="H19" s="6" t="n">
        <v>0.0</v>
      </c>
      <c r="I19" s="6" t="n">
        <v>0.0</v>
      </c>
      <c r="J19" s="6">
        <f si="0" t="shared"/>
        <v>1639.9975947191283</v>
      </c>
      <c r="L19" s="12">
        <v>0.33333333333333331</v>
      </c>
      <c r="M19" s="9" t="n">
        <v>504.93311309814453</v>
      </c>
      <c r="N19" s="9" t="n">
        <v>101.96880149841309</v>
      </c>
      <c r="O19" s="9" t="n">
        <v>0.0</v>
      </c>
      <c r="P19" s="9" t="n">
        <v>0.0</v>
      </c>
      <c r="Q19" s="9" t="n">
        <v>5.806769371032715</v>
      </c>
      <c r="R19" s="9" t="n">
        <v>0.3552742004394531</v>
      </c>
      <c r="S19" s="9" t="n">
        <v>0.0</v>
      </c>
      <c r="T19" s="9" t="n">
        <v>0.0</v>
      </c>
      <c r="U19">
        <f si="1" t="shared"/>
        <v>2762.7722978591919</v>
      </c>
    </row>
    <row r="20" spans="1:21" x14ac:dyDescent="0.25">
      <c r="A20" s="12">
        <v>0.35416666666666669</v>
      </c>
      <c r="B20" s="6" t="n">
        <v>998.7095442282065</v>
      </c>
      <c r="C20" s="6" t="n">
        <v>82.37812074859126</v>
      </c>
      <c r="D20" s="6" t="n">
        <v>0.0</v>
      </c>
      <c r="E20" s="6" t="n">
        <v>0.3490213520909713</v>
      </c>
      <c r="F20" s="6" t="n">
        <v>2.4459695505851076</v>
      </c>
      <c r="G20" s="6" t="n">
        <v>0.0</v>
      </c>
      <c r="H20" s="6" t="n">
        <v>0.0</v>
      </c>
      <c r="I20" s="6" t="n">
        <v>0.0</v>
      </c>
      <c r="J20" s="6">
        <f si="0" t="shared"/>
        <v>2381.7581913022304</v>
      </c>
      <c r="L20" s="12">
        <v>0.35416666666666669</v>
      </c>
      <c r="M20" s="9" t="n">
        <v>980.2973098754883</v>
      </c>
      <c r="N20" s="9" t="n">
        <v>188.28060913085938</v>
      </c>
      <c r="O20" s="9" t="n">
        <v>0.0</v>
      </c>
      <c r="P20" s="9" t="n">
        <v>0.0</v>
      </c>
      <c r="Q20" s="9" t="n">
        <v>10.7113618850708</v>
      </c>
      <c r="R20" s="9" t="n">
        <v>0.6812515258789062</v>
      </c>
      <c r="S20" s="9" t="n">
        <v>0.0</v>
      </c>
      <c r="T20" s="9" t="n">
        <v>0.0</v>
      </c>
      <c r="U20">
        <f si="1" t="shared"/>
        <v>3791.8447732925415</v>
      </c>
    </row>
    <row r="21" spans="1:21" x14ac:dyDescent="0.25">
      <c r="A21" s="12">
        <v>0.375</v>
      </c>
      <c r="B21" s="6" t="n">
        <v>1453.4177356053592</v>
      </c>
      <c r="C21" s="6" t="n">
        <v>105.0734135569131</v>
      </c>
      <c r="D21" s="6" t="n">
        <v>0.0</v>
      </c>
      <c r="E21" s="6" t="n">
        <v>1.1572681726558296</v>
      </c>
      <c r="F21" s="6" t="n">
        <v>5.2017678541983035</v>
      </c>
      <c r="G21" s="6" t="n">
        <v>0.0</v>
      </c>
      <c r="H21" s="6" t="n">
        <v>0.0</v>
      </c>
      <c r="I21" s="6" t="n">
        <v>0.0</v>
      </c>
      <c r="J21" s="6">
        <f si="0" t="shared"/>
        <v>3371.4652245021384</v>
      </c>
      <c r="L21" s="12">
        <v>0.375</v>
      </c>
      <c r="M21" s="9" t="n">
        <v>1773.4764499664307</v>
      </c>
      <c r="N21" s="9" t="n">
        <v>328.57695865631104</v>
      </c>
      <c r="O21" s="9" t="n">
        <v>0.0</v>
      </c>
      <c r="P21" s="9" t="n">
        <v>0.0</v>
      </c>
      <c r="Q21" s="9" t="n">
        <v>18.909839630126953</v>
      </c>
      <c r="R21" s="9" t="n">
        <v>1.2835159301757812</v>
      </c>
      <c r="S21" s="9" t="n">
        <v>0.0</v>
      </c>
      <c r="T21" s="9" t="n">
        <v>0.0</v>
      </c>
      <c r="U21">
        <f si="1" t="shared"/>
        <v>5080.1623582839966</v>
      </c>
    </row>
    <row r="22" spans="1:21" x14ac:dyDescent="0.25">
      <c r="A22" s="12">
        <v>0.39583333333333331</v>
      </c>
      <c r="B22" s="6" t="n">
        <v>2251.6411035942947</v>
      </c>
      <c r="C22" s="6" t="n">
        <v>133.9345826668353</v>
      </c>
      <c r="D22" s="6" t="n">
        <v>0.0</v>
      </c>
      <c r="E22" s="6" t="n">
        <v>3.049605487914412</v>
      </c>
      <c r="F22" s="6" t="n">
        <v>9.175806520137785</v>
      </c>
      <c r="G22" s="6" t="n">
        <v>0.0</v>
      </c>
      <c r="H22" s="6" t="n">
        <v>0.0</v>
      </c>
      <c r="I22" s="6" t="n">
        <v>0.0</v>
      </c>
      <c r="J22" s="6">
        <f si="0" t="shared"/>
        <v>4678.6026181228763</v>
      </c>
      <c r="L22" s="12">
        <v>0.39583333333333331</v>
      </c>
      <c r="M22" s="9" t="n">
        <v>2918.1307888031006</v>
      </c>
      <c r="N22" s="9" t="n">
        <v>526.7813768386841</v>
      </c>
      <c r="O22" s="9" t="n">
        <v>0.0</v>
      </c>
      <c r="P22" s="9" t="n">
        <v>0.0</v>
      </c>
      <c r="Q22" s="9" t="n">
        <v>30.764598846435547</v>
      </c>
      <c r="R22" s="9" t="n">
        <v>2.1811180114746094</v>
      </c>
      <c r="S22" s="9" t="n">
        <v>0.0</v>
      </c>
      <c r="T22" s="9" t="n">
        <v>0.0</v>
      </c>
      <c r="U22">
        <f si="1" t="shared"/>
        <v>6623.172025680542</v>
      </c>
    </row>
    <row r="23" spans="1:21" x14ac:dyDescent="0.25">
      <c r="A23" s="12">
        <v>0.41666666666666669</v>
      </c>
      <c r="B23" s="6" t="n">
        <v>3607.3900373097977</v>
      </c>
      <c r="C23" s="6" t="n">
        <v>183.03386387107366</v>
      </c>
      <c r="D23" s="6" t="n">
        <v>0.0</v>
      </c>
      <c r="E23" s="6" t="n">
        <v>6.5711834902701565</v>
      </c>
      <c r="F23" s="6" t="n">
        <v>13.611425373641882</v>
      </c>
      <c r="G23" s="6" t="n">
        <v>0.0</v>
      </c>
      <c r="H23" s="6" t="n">
        <v>0.0</v>
      </c>
      <c r="I23" s="6" t="n">
        <v>0.0</v>
      </c>
      <c r="J23" s="6">
        <f si="0" t="shared"/>
        <v>6374.1486693864117</v>
      </c>
      <c r="L23" s="12">
        <v>0.41666666666666669</v>
      </c>
      <c r="M23" s="9" t="n">
        <v>4344.602876663208</v>
      </c>
      <c r="N23" s="9" t="n">
        <v>768.4633312225342</v>
      </c>
      <c r="O23" s="9" t="n">
        <v>0.0</v>
      </c>
      <c r="P23" s="9" t="n">
        <v>0.0</v>
      </c>
      <c r="Q23" s="9" t="n">
        <v>45.565425872802734</v>
      </c>
      <c r="R23" s="9" t="n">
        <v>3.3003835678100586</v>
      </c>
      <c r="S23" s="9" t="n">
        <v>0.0</v>
      </c>
      <c r="T23" s="9" t="n">
        <v>0.0</v>
      </c>
      <c r="U23">
        <f si="1" t="shared"/>
        <v>8351.785249710083</v>
      </c>
    </row>
    <row r="24" spans="1:21" x14ac:dyDescent="0.25">
      <c r="A24" s="12">
        <v>0.4375</v>
      </c>
      <c r="B24" s="6" t="n">
        <v>5660.031636532662</v>
      </c>
      <c r="C24" s="6" t="n">
        <v>264.8786825144656</v>
      </c>
      <c r="D24" s="6" t="n">
        <v>0.0</v>
      </c>
      <c r="E24" s="6" t="n">
        <v>11.821642041958098</v>
      </c>
      <c r="F24" s="6" t="n">
        <v>17.14136918220269</v>
      </c>
      <c r="G24" s="6" t="n">
        <v>0.0</v>
      </c>
      <c r="H24" s="6" t="n">
        <v>0.0</v>
      </c>
      <c r="I24" s="6" t="n">
        <v>0.0</v>
      </c>
      <c r="J24" s="6">
        <f si="0" t="shared"/>
        <v>8464.7582123538887</v>
      </c>
      <c r="L24" s="12">
        <v>0.4375</v>
      </c>
      <c r="M24" s="9" t="n">
        <v>5881.740215301514</v>
      </c>
      <c r="N24" s="9" t="n">
        <v>1022.2641735076904</v>
      </c>
      <c r="O24" s="9" t="n">
        <v>0.0</v>
      </c>
      <c r="P24" s="9" t="n">
        <v>0.0</v>
      </c>
      <c r="Q24" s="9" t="n">
        <v>61.592817306518555</v>
      </c>
      <c r="R24" s="9" t="n">
        <v>4.496147155761719</v>
      </c>
      <c r="S24" s="9" t="n">
        <v>0.0</v>
      </c>
      <c r="T24" s="9" t="n">
        <v>0.0</v>
      </c>
      <c r="U24">
        <f si="1" t="shared"/>
        <v>10122.955121994019</v>
      </c>
    </row>
    <row r="25" spans="1:21" x14ac:dyDescent="0.25">
      <c r="A25" s="12">
        <v>0.45833333333333331</v>
      </c>
      <c r="B25" s="6" t="n">
        <v>8294.508578697085</v>
      </c>
      <c r="C25" s="6" t="n">
        <v>377.1552721667937</v>
      </c>
      <c r="D25" s="6" t="n">
        <v>0.0</v>
      </c>
      <c r="E25" s="6" t="n">
        <v>18.03132303276167</v>
      </c>
      <c r="F25" s="6" t="n">
        <v>18.430983754078817</v>
      </c>
      <c r="G25" s="6" t="n">
        <v>0.0</v>
      </c>
      <c r="H25" s="6" t="n">
        <v>0.0</v>
      </c>
      <c r="I25" s="6" t="n">
        <v>0.0</v>
      </c>
      <c r="J25" s="6">
        <f si="0" t="shared"/>
        <v>10810.65928115602</v>
      </c>
      <c r="L25" s="12">
        <v>0.45833333333333331</v>
      </c>
      <c r="M25" s="9" t="n">
        <v>7301.441098213196</v>
      </c>
      <c r="N25" s="9" t="n">
        <v>1248.8702297210693</v>
      </c>
      <c r="O25" s="9" t="n">
        <v>0.0</v>
      </c>
      <c r="P25" s="9" t="n">
        <v>0.0</v>
      </c>
      <c r="Q25" s="9" t="n">
        <v>76.60530662536621</v>
      </c>
      <c r="R25" s="9" t="n">
        <v>5.623303413391113</v>
      </c>
      <c r="S25" s="9" t="n">
        <v>0.0</v>
      </c>
      <c r="T25" s="9" t="n">
        <v>0.0</v>
      </c>
      <c r="U25">
        <f si="1" t="shared"/>
        <v>11735.773992538452</v>
      </c>
    </row>
    <row r="26" spans="1:21" x14ac:dyDescent="0.25">
      <c r="A26" s="12">
        <v>0.47916666666666669</v>
      </c>
      <c r="B26" s="6" t="n">
        <v>11022.860291934856</v>
      </c>
      <c r="C26" s="6" t="n">
        <v>497.3696051102733</v>
      </c>
      <c r="D26" s="6" t="n">
        <v>0.0</v>
      </c>
      <c r="E26" s="6" t="n">
        <v>23.572316684731575</v>
      </c>
      <c r="F26" s="6" t="n">
        <v>16.955950762843116</v>
      </c>
      <c r="G26" s="6" t="n">
        <v>0.0</v>
      </c>
      <c r="H26" s="6" t="n">
        <v>0.0</v>
      </c>
      <c r="I26" s="6" t="n">
        <v>0.0</v>
      </c>
      <c r="J26" s="6">
        <f si="0" t="shared"/>
        <v>13082.93583802252</v>
      </c>
      <c r="L26" s="12">
        <v>0.47916666666666669</v>
      </c>
      <c r="M26" s="9" t="n">
        <v>8375.911548614502</v>
      </c>
      <c r="N26" s="9" t="n">
        <v>1411.6286535263062</v>
      </c>
      <c r="O26" s="9" t="n">
        <v>0.0</v>
      </c>
      <c r="P26" s="9" t="n">
        <v>0.0</v>
      </c>
      <c r="Q26" s="9" t="n">
        <v>88.41235637664795</v>
      </c>
      <c r="R26" s="9" t="n">
        <v>6.605049133300781</v>
      </c>
      <c r="S26" s="9" t="n">
        <v>0.0</v>
      </c>
      <c r="T26" s="9" t="n">
        <v>0.0</v>
      </c>
      <c r="U26">
        <f si="1" t="shared"/>
        <v>12968.26295375824</v>
      </c>
    </row>
    <row r="27" spans="1:21" x14ac:dyDescent="0.25">
      <c r="A27" s="12">
        <v>0.5</v>
      </c>
      <c r="B27" s="6" t="n">
        <v>13084.892662496806</v>
      </c>
      <c r="C27" s="6" t="n">
        <v>593.0746328537679</v>
      </c>
      <c r="D27" s="6" t="n">
        <v>0.0</v>
      </c>
      <c r="E27" s="6" t="n">
        <v>26.586129858453994</v>
      </c>
      <c r="F27" s="6" t="n">
        <v>13.326166266934848</v>
      </c>
      <c r="G27" s="6" t="n">
        <v>0.0</v>
      </c>
      <c r="H27" s="6" t="n">
        <v>0.0</v>
      </c>
      <c r="I27" s="6" t="n">
        <v>0.0</v>
      </c>
      <c r="J27" s="6">
        <f si="0" t="shared"/>
        <v>14815.127131602567</v>
      </c>
      <c r="L27" s="12">
        <v>0.5</v>
      </c>
      <c r="M27" s="9" t="n">
        <v>8929.748882293701</v>
      </c>
      <c r="N27" s="9" t="n">
        <v>1485.5405368804932</v>
      </c>
      <c r="O27" s="9" t="n">
        <v>0.0</v>
      </c>
      <c r="P27" s="9" t="n">
        <v>0.0</v>
      </c>
      <c r="Q27" s="9" t="n">
        <v>95.34095573425293</v>
      </c>
      <c r="R27" s="9" t="n">
        <v>7.442778587341309</v>
      </c>
      <c r="S27" s="9" t="n">
        <v>0.0</v>
      </c>
      <c r="T27" s="9" t="n">
        <v>0.0</v>
      </c>
      <c r="U27">
        <f si="1" t="shared"/>
        <v>13633.417644500732</v>
      </c>
    </row>
    <row r="28" spans="1:21" x14ac:dyDescent="0.25">
      <c r="A28" s="12">
        <v>0.52083333333333337</v>
      </c>
      <c r="B28" s="6" t="n">
        <v>13793.564815151232</v>
      </c>
      <c r="C28" s="6" t="n">
        <v>640.8368630443498</v>
      </c>
      <c r="D28" s="6" t="n">
        <v>0.0</v>
      </c>
      <c r="E28" s="6" t="n">
        <v>25.930865503809088</v>
      </c>
      <c r="F28" s="6" t="n">
        <v>8.900735238670286</v>
      </c>
      <c r="G28" s="6" t="n">
        <v>0.0</v>
      </c>
      <c r="H28" s="6" t="n">
        <v>0.0</v>
      </c>
      <c r="I28" s="6" t="n">
        <v>0.0</v>
      </c>
      <c r="J28" s="6">
        <f si="0" t="shared"/>
        <v>15566.384837098354</v>
      </c>
      <c r="L28" s="12">
        <v>0.52083333333333337</v>
      </c>
      <c r="M28" s="9" t="n">
        <v>8886.58289527893</v>
      </c>
      <c r="N28" s="9" t="n">
        <v>1464.5908946990967</v>
      </c>
      <c r="O28" s="9" t="n">
        <v>0.0</v>
      </c>
      <c r="P28" s="9" t="n">
        <v>0.0</v>
      </c>
      <c r="Q28" s="9" t="n">
        <v>96.61452293395996</v>
      </c>
      <c r="R28" s="9" t="n">
        <v>8.173038482666016</v>
      </c>
      <c r="S28" s="9" t="n">
        <v>0.0</v>
      </c>
      <c r="T28" s="9" t="n">
        <v>0.0</v>
      </c>
      <c r="U28">
        <f si="1" t="shared"/>
        <v>13644.722123146057</v>
      </c>
    </row>
    <row r="29" spans="1:21" x14ac:dyDescent="0.25">
      <c r="A29" s="12">
        <v>0.54166666666666663</v>
      </c>
      <c r="B29" s="6" t="n">
        <v>12922.682986257832</v>
      </c>
      <c r="C29" s="6" t="n">
        <v>637.4038028233009</v>
      </c>
      <c r="D29" s="6" t="n">
        <v>0.0</v>
      </c>
      <c r="E29" s="6" t="n">
        <v>21.835684609185837</v>
      </c>
      <c r="F29" s="6" t="n">
        <v>5.006161609599195</v>
      </c>
      <c r="G29" s="6" t="n">
        <v>0.0</v>
      </c>
      <c r="H29" s="6" t="n">
        <v>0.0</v>
      </c>
      <c r="I29" s="6" t="n">
        <v>0.0</v>
      </c>
      <c r="J29" s="6">
        <f si="0" t="shared"/>
        <v>15135.604872096927</v>
      </c>
      <c r="L29" s="12">
        <v>0.54166666666666663</v>
      </c>
      <c r="M29" s="9" t="n">
        <v>8296.200613975525</v>
      </c>
      <c r="N29" s="9" t="n">
        <v>1364.500075340271</v>
      </c>
      <c r="O29" s="9" t="n">
        <v>0.0</v>
      </c>
      <c r="P29" s="9" t="n">
        <v>0.0</v>
      </c>
      <c r="Q29" s="9" t="n">
        <v>92.56428623199463</v>
      </c>
      <c r="R29" s="9" t="n">
        <v>8.822583198547363</v>
      </c>
      <c r="S29" s="9" t="n">
        <v>0.0</v>
      </c>
      <c r="T29" s="9" t="n">
        <v>0.0</v>
      </c>
      <c r="U29">
        <f si="1" t="shared"/>
        <v>13054.002938270569</v>
      </c>
    </row>
    <row r="30" spans="1:21" x14ac:dyDescent="0.25">
      <c r="A30" s="12">
        <v>0.5625</v>
      </c>
      <c r="B30" s="6" t="n">
        <v>10841.569015263163</v>
      </c>
      <c r="C30" s="6" t="n">
        <v>594.3152970934203</v>
      </c>
      <c r="D30" s="6" t="n">
        <v>0.0</v>
      </c>
      <c r="E30" s="6" t="n">
        <v>15.789454576743351</v>
      </c>
      <c r="F30" s="6" t="n">
        <v>2.3389973855699697</v>
      </c>
      <c r="G30" s="6" t="n">
        <v>0.0</v>
      </c>
      <c r="H30" s="6" t="n">
        <v>0.0</v>
      </c>
      <c r="I30" s="6" t="n">
        <v>0.0</v>
      </c>
      <c r="J30" s="6">
        <f si="0" t="shared"/>
        <v>13689.22124957756</v>
      </c>
      <c r="L30" s="12">
        <v>0.5625</v>
      </c>
      <c r="M30" s="9" t="n">
        <v>7312.98143863678</v>
      </c>
      <c r="N30" s="9" t="n">
        <v>1215.6255512237549</v>
      </c>
      <c r="O30" s="9" t="n">
        <v>0.0</v>
      </c>
      <c r="P30" s="9" t="n">
        <v>0.0</v>
      </c>
      <c r="Q30" s="9" t="n">
        <v>84.44915866851807</v>
      </c>
      <c r="R30" s="9" t="n">
        <v>9.387741088867188</v>
      </c>
      <c r="S30" s="9" t="n">
        <v>0.0</v>
      </c>
      <c r="T30" s="9" t="n">
        <v>0.0</v>
      </c>
      <c r="U30">
        <f si="1" t="shared"/>
        <v>12022.242178916931</v>
      </c>
    </row>
    <row r="31" spans="1:21" x14ac:dyDescent="0.25">
      <c r="A31" s="12">
        <v>0.58333333333333337</v>
      </c>
      <c r="B31" s="6" t="n">
        <v>8282.230914053023</v>
      </c>
      <c r="C31" s="6" t="n">
        <v>524.5530261772576</v>
      </c>
      <c r="D31" s="6" t="n">
        <v>0.0</v>
      </c>
      <c r="E31" s="6" t="n">
        <v>9.718666397638241</v>
      </c>
      <c r="F31" s="6" t="n">
        <v>0.8905564469884824</v>
      </c>
      <c r="G31" s="6" t="n">
        <v>0.0</v>
      </c>
      <c r="H31" s="6" t="n">
        <v>0.0</v>
      </c>
      <c r="I31" s="6" t="n">
        <v>0.0</v>
      </c>
      <c r="J31" s="6">
        <f si="0" t="shared"/>
        <v>11684.586329106371</v>
      </c>
      <c r="L31" s="12">
        <v>0.58333333333333337</v>
      </c>
      <c r="M31" s="9" t="n">
        <v>6126.8037004470825</v>
      </c>
      <c r="N31" s="9" t="n">
        <v>1047.7828884124756</v>
      </c>
      <c r="O31" s="9" t="n">
        <v>0.0</v>
      </c>
      <c r="P31" s="9" t="n">
        <v>0.0</v>
      </c>
      <c r="Q31" s="9" t="n">
        <v>73.89258289337158</v>
      </c>
      <c r="R31" s="9" t="n">
        <v>9.821441650390625</v>
      </c>
      <c r="S31" s="9" t="n">
        <v>0.0</v>
      </c>
      <c r="T31" s="9" t="n">
        <v>0.0</v>
      </c>
      <c r="U31">
        <f si="1" t="shared"/>
        <v>10735.938396453857</v>
      </c>
    </row>
    <row r="32" spans="1:21" x14ac:dyDescent="0.25">
      <c r="A32" s="12">
        <v>0.60416666666666663</v>
      </c>
      <c r="B32" s="6" t="n">
        <v>5925.766029690773</v>
      </c>
      <c r="C32" s="6" t="n">
        <v>436.073840751039</v>
      </c>
      <c r="D32" s="6" t="n">
        <v>0.0</v>
      </c>
      <c r="E32" s="6" t="n">
        <v>5.030865312123562</v>
      </c>
      <c r="F32" s="6" t="n">
        <v>0.26891503400900374</v>
      </c>
      <c r="G32" s="6" t="n">
        <v>0.0</v>
      </c>
      <c r="H32" s="6" t="n">
        <v>0.0</v>
      </c>
      <c r="I32" s="6" t="n">
        <v>0.0</v>
      </c>
      <c r="J32" s="6">
        <f si="0" t="shared"/>
        <v>9620.4526402053179</v>
      </c>
      <c r="L32" s="12">
        <v>0.60416666666666663</v>
      </c>
      <c r="M32" s="9" t="n">
        <v>4895.282389640808</v>
      </c>
      <c r="N32" s="9" t="n">
        <v>878.3601274490356</v>
      </c>
      <c r="O32" s="9" t="n">
        <v>0.0</v>
      </c>
      <c r="P32" s="9" t="n">
        <v>0.0</v>
      </c>
      <c r="Q32" s="9" t="n">
        <v>62.32347297668457</v>
      </c>
      <c r="R32" s="9" t="n">
        <v>10.024164199829102</v>
      </c>
      <c r="S32" s="9" t="n">
        <v>0.0</v>
      </c>
      <c r="T32" s="9" t="n">
        <v>0.0</v>
      </c>
      <c r="U32">
        <f si="1" t="shared"/>
        <v>9335.1609945297241</v>
      </c>
    </row>
    <row r="33" spans="1:21" x14ac:dyDescent="0.25">
      <c r="A33" s="12">
        <v>0.625</v>
      </c>
      <c r="B33" s="6" t="n">
        <v>4117.584795556689</v>
      </c>
      <c r="C33" s="6" t="n">
        <v>335.8024445186594</v>
      </c>
      <c r="D33" s="6" t="n">
        <v>0.0</v>
      </c>
      <c r="E33" s="6" t="n">
        <v>2.1558897599954165</v>
      </c>
      <c r="F33" s="6" t="n">
        <v>0.061879620781081196</v>
      </c>
      <c r="G33" s="6" t="n">
        <v>0.0</v>
      </c>
      <c r="H33" s="6" t="n">
        <v>0.0</v>
      </c>
      <c r="I33" s="6" t="n">
        <v>0.0</v>
      </c>
      <c r="J33" s="6">
        <f si="0" t="shared"/>
        <v>7798.9343384831664</v>
      </c>
      <c r="L33" s="12">
        <v>0.625</v>
      </c>
      <c r="M33" s="9" t="n">
        <v>3722.92471408844</v>
      </c>
      <c r="N33" s="9" t="n">
        <v>712.9511337280273</v>
      </c>
      <c r="O33" s="9" t="n">
        <v>0.0</v>
      </c>
      <c r="P33" s="9" t="n">
        <v>0.0</v>
      </c>
      <c r="Q33" s="9" t="n">
        <v>50.78283214569092</v>
      </c>
      <c r="R33" s="9" t="n">
        <v>9.873897552490234</v>
      </c>
      <c r="S33" s="9" t="n">
        <v>0.0</v>
      </c>
      <c r="T33" s="9" t="n">
        <v>0.0</v>
      </c>
      <c r="U33">
        <f si="1" t="shared"/>
        <v>7903.43177318573</v>
      </c>
    </row>
    <row r="34" spans="1:21" x14ac:dyDescent="0.25">
      <c r="A34" s="12">
        <v>0.64583333333333337</v>
      </c>
      <c r="B34" s="6" t="n">
        <v>2862.2401875557925</v>
      </c>
      <c r="C34" s="6" t="n">
        <v>234.83458270984752</v>
      </c>
      <c r="D34" s="6" t="n">
        <v>0.0</v>
      </c>
      <c r="E34" s="6" t="n">
        <v>0.7491693240445696</v>
      </c>
      <c r="F34" s="6" t="n">
        <v>0.010181566892637784</v>
      </c>
      <c r="G34" s="6" t="n">
        <v>0.0</v>
      </c>
      <c r="H34" s="6" t="n">
        <v>0.0</v>
      </c>
      <c r="I34" s="6" t="n">
        <v>0.0</v>
      </c>
      <c r="J34" s="6">
        <f si="0" t="shared"/>
        <v>6269.0927977583278</v>
      </c>
      <c r="L34" s="12">
        <v>0.64583333333333337</v>
      </c>
      <c r="M34" s="9" t="n">
        <v>2679.657838821411</v>
      </c>
      <c r="N34" s="9" t="n">
        <v>554.8488235473633</v>
      </c>
      <c r="O34" s="9" t="n">
        <v>0.0</v>
      </c>
      <c r="P34" s="9" t="n">
        <v>0.0</v>
      </c>
      <c r="Q34" s="9" t="n">
        <v>40.053802490234375</v>
      </c>
      <c r="R34" s="9" t="n">
        <v>9.310378074645996</v>
      </c>
      <c r="S34" s="9" t="n">
        <v>0.0</v>
      </c>
      <c r="T34" s="9" t="n">
        <v>0.0</v>
      </c>
      <c r="U34">
        <f si="1" t="shared"/>
        <v>6502.2590684890747</v>
      </c>
    </row>
    <row r="35" spans="1:21" x14ac:dyDescent="0.25">
      <c r="A35" s="12">
        <v>0.66666666666666663</v>
      </c>
      <c r="B35" s="6" t="n">
        <v>2001.7468537652094</v>
      </c>
      <c r="C35" s="6" t="n">
        <v>146.70572153390205</v>
      </c>
      <c r="D35" s="6" t="n">
        <v>0.0</v>
      </c>
      <c r="E35" s="6" t="n">
        <v>0.20525636188485863</v>
      </c>
      <c r="F35" s="6" t="n">
        <v>0.0010658023839975525</v>
      </c>
      <c r="G35" s="6" t="n">
        <v>0.0</v>
      </c>
      <c r="H35" s="6" t="n">
        <v>0.0</v>
      </c>
      <c r="I35" s="6" t="n">
        <v>0.0</v>
      </c>
      <c r="J35" s="6">
        <f si="0" t="shared"/>
        <v>4948.3633434276417</v>
      </c>
      <c r="L35" s="12">
        <v>0.66666666666666663</v>
      </c>
      <c r="M35" s="9" t="n">
        <v>1818.0158958435059</v>
      </c>
      <c r="N35" s="9" t="n">
        <v>411.924485206604</v>
      </c>
      <c r="O35" s="9" t="n">
        <v>0.0</v>
      </c>
      <c r="P35" s="9" t="n">
        <v>0.0</v>
      </c>
      <c r="Q35" s="9" t="n">
        <v>30.80943775177002</v>
      </c>
      <c r="R35" s="9" t="n">
        <v>8.416434288024902</v>
      </c>
      <c r="S35" s="9" t="n">
        <v>0.0</v>
      </c>
      <c r="T35" s="9" t="n">
        <v>0.0</v>
      </c>
      <c r="U35">
        <f si="1" t="shared"/>
        <v>5198.1460475921631</v>
      </c>
    </row>
    <row r="36" spans="1:21" x14ac:dyDescent="0.25">
      <c r="A36" s="12">
        <v>0.6875</v>
      </c>
      <c r="B36" s="6" t="n">
        <v>1386.6812982914457</v>
      </c>
      <c r="C36" s="6" t="n">
        <v>80.93865588362665</v>
      </c>
      <c r="D36" s="6" t="n">
        <v>0.0</v>
      </c>
      <c r="E36" s="6" t="n">
        <v>0.04257313216752065</v>
      </c>
      <c r="F36" s="6" t="n">
        <v>5.329011919987764E-5</v>
      </c>
      <c r="G36" s="6" t="n">
        <v>0.0</v>
      </c>
      <c r="H36" s="6" t="n">
        <v>0.0</v>
      </c>
      <c r="I36" s="6" t="n">
        <v>0.0</v>
      </c>
      <c r="J36" s="6">
        <f si="0" t="shared"/>
        <v>3773.5619150818598</v>
      </c>
      <c r="L36" s="12">
        <v>0.6875</v>
      </c>
      <c r="M36" s="9" t="n">
        <v>1168.6443519592285</v>
      </c>
      <c r="N36" s="9" t="n">
        <v>294.7627840042114</v>
      </c>
      <c r="O36" s="9" t="n">
        <v>0.0</v>
      </c>
      <c r="P36" s="9" t="n">
        <v>0.0</v>
      </c>
      <c r="Q36" s="9" t="n">
        <v>23.576086044311523</v>
      </c>
      <c r="R36" s="9" t="n">
        <v>7.41212272644043</v>
      </c>
      <c r="S36" s="9" t="n">
        <v>0.0</v>
      </c>
      <c r="T36" s="9" t="n">
        <v>0.0</v>
      </c>
      <c r="U36">
        <f si="1" t="shared"/>
        <v>4057.7359485626221</v>
      </c>
    </row>
    <row r="37" spans="1:21" x14ac:dyDescent="0.25">
      <c r="A37" s="12">
        <v>0.70833333333333337</v>
      </c>
      <c r="B37" s="6" t="n">
        <v>938.1395866210371</v>
      </c>
      <c r="C37" s="6" t="n">
        <v>39.11442584994439</v>
      </c>
      <c r="D37" s="6" t="n">
        <v>0.0</v>
      </c>
      <c r="E37" s="6" t="n">
        <v>0.006268874961929314</v>
      </c>
      <c r="F37" s="6" t="n">
        <v>0.0</v>
      </c>
      <c r="G37" s="6" t="n">
        <v>0.0</v>
      </c>
      <c r="H37" s="6" t="n">
        <v>0.0</v>
      </c>
      <c r="I37" s="6" t="n">
        <v>0.0</v>
      </c>
      <c r="J37" s="6">
        <f si="0" t="shared"/>
        <v>2755.636208168401</v>
      </c>
      <c r="L37" s="12">
        <v>0.70833333333333337</v>
      </c>
      <c r="M37" s="9" t="n">
        <v>728.3306274414062</v>
      </c>
      <c r="N37" s="9" t="n">
        <v>209.88964748382568</v>
      </c>
      <c r="O37" s="9" t="n">
        <v>0.0</v>
      </c>
      <c r="P37" s="9" t="n">
        <v>0.0</v>
      </c>
      <c r="Q37" s="9" t="n">
        <v>18.551288604736328</v>
      </c>
      <c r="R37" s="9" t="n">
        <v>6.5436248779296875</v>
      </c>
      <c r="S37" s="9" t="n">
        <v>0.0</v>
      </c>
      <c r="T37" s="9" t="n">
        <v>0.0</v>
      </c>
      <c r="U37">
        <f si="1" t="shared"/>
        <v>3127.2422409057617</v>
      </c>
    </row>
    <row r="38" spans="1:21" x14ac:dyDescent="0.25">
      <c r="A38" s="12">
        <v>0.72916666666666663</v>
      </c>
      <c r="B38" s="6" t="n">
        <v>624.8759970983474</v>
      </c>
      <c r="C38" s="6" t="n">
        <v>16.4235955725732</v>
      </c>
      <c r="D38" s="6" t="n">
        <v>0.0</v>
      </c>
      <c r="E38" s="6" t="n">
        <v>5.826601430309791E-4</v>
      </c>
      <c r="F38" s="6" t="n">
        <v>0.0</v>
      </c>
      <c r="G38" s="6" t="n">
        <v>0.0</v>
      </c>
      <c r="H38" s="6" t="n">
        <v>0.0</v>
      </c>
      <c r="I38" s="6" t="n">
        <v>0.0</v>
      </c>
      <c r="J38" s="6">
        <f si="0" t="shared"/>
        <v>1938.3530022257764</v>
      </c>
      <c r="L38" s="12">
        <v>0.72916666666666663</v>
      </c>
      <c r="M38" s="9" t="n">
        <v>460.73744106292725</v>
      </c>
      <c r="N38" s="9" t="n">
        <v>155.43235969543457</v>
      </c>
      <c r="O38" s="9" t="n">
        <v>0.0</v>
      </c>
      <c r="P38" s="9" t="n">
        <v>0.0</v>
      </c>
      <c r="Q38" s="9" t="n">
        <v>15.455045700073242</v>
      </c>
      <c r="R38" s="9" t="n">
        <v>5.943099021911621</v>
      </c>
      <c r="S38" s="9" t="n">
        <v>0.0</v>
      </c>
      <c r="T38" s="9" t="n">
        <v>0.0</v>
      </c>
      <c r="U38">
        <f si="1" t="shared"/>
        <v>2419.1116571426392</v>
      </c>
    </row>
    <row r="39" spans="1:21" x14ac:dyDescent="0.25">
      <c r="A39" s="12">
        <v>0.75</v>
      </c>
      <c r="B39" s="6" t="n">
        <v>424.57444441040116</v>
      </c>
      <c r="C39" s="6" t="n">
        <v>5.921320656827349</v>
      </c>
      <c r="D39" s="6" t="n">
        <v>0.0</v>
      </c>
      <c r="E39" s="6" t="n">
        <v>2.563965666042986E-5</v>
      </c>
      <c r="F39" s="6" t="n">
        <v>0.0</v>
      </c>
      <c r="G39" s="6" t="n">
        <v>0.0</v>
      </c>
      <c r="H39" s="6" t="n">
        <v>0.0</v>
      </c>
      <c r="I39" s="6" t="n">
        <v>0.0</v>
      </c>
      <c r="J39" s="6">
        <f si="0" t="shared"/>
        <v>1340.2597556089086</v>
      </c>
      <c r="L39" s="12">
        <v>0.75</v>
      </c>
      <c r="M39" s="9" t="n">
        <v>312.39398860931396</v>
      </c>
      <c r="N39" s="9" t="n">
        <v>122.58408832550049</v>
      </c>
      <c r="O39" s="9" t="n">
        <v>0.0</v>
      </c>
      <c r="P39" s="9" t="n">
        <v>0.0</v>
      </c>
      <c r="Q39" s="9" t="n">
        <v>13.584441184997559</v>
      </c>
      <c r="R39" s="9" t="n">
        <v>5.5647783279418945</v>
      </c>
      <c r="S39" s="9" t="n">
        <v>0.0</v>
      </c>
      <c r="T39" s="9" t="n">
        <v>0.0</v>
      </c>
      <c r="U39">
        <f si="1" t="shared"/>
        <v>1912.0956373214722</v>
      </c>
    </row>
    <row r="40" spans="1:21" x14ac:dyDescent="0.25">
      <c r="A40" s="12">
        <v>0.77083333333333337</v>
      </c>
      <c r="B40" s="6" t="n">
        <v>307.4636069573679</v>
      </c>
      <c r="C40" s="6" t="n">
        <v>1.7981517256058568</v>
      </c>
      <c r="D40" s="6" t="n">
        <v>0.0</v>
      </c>
      <c r="E40" s="6" t="n">
        <v>0.0</v>
      </c>
      <c r="F40" s="6" t="n">
        <v>0.0</v>
      </c>
      <c r="G40" s="6" t="n">
        <v>0.0</v>
      </c>
      <c r="H40" s="6" t="n">
        <v>0.0</v>
      </c>
      <c r="I40" s="6" t="n">
        <v>0.0</v>
      </c>
      <c r="J40" s="6">
        <f si="0" t="shared"/>
        <v>937.59017648598035</v>
      </c>
      <c r="L40" s="12">
        <v>0.77083333333333337</v>
      </c>
      <c r="M40" s="9" t="n">
        <v>232.42686653137207</v>
      </c>
      <c r="N40" s="9" t="n">
        <v>100.86581802368164</v>
      </c>
      <c r="O40" s="9" t="n">
        <v>0.0</v>
      </c>
      <c r="P40" s="9" t="n">
        <v>0.0</v>
      </c>
      <c r="Q40" s="9" t="n">
        <v>12.107465744018555</v>
      </c>
      <c r="R40" s="9" t="n">
        <v>5.242026329040527</v>
      </c>
      <c r="S40" s="9" t="n">
        <v>0.0</v>
      </c>
      <c r="T40" s="9" t="n">
        <v>0.0</v>
      </c>
      <c r="U40">
        <f si="1" t="shared"/>
        <v>1560.3715181350708</v>
      </c>
    </row>
    <row r="41" spans="1:21" x14ac:dyDescent="0.25">
      <c r="A41" s="12">
        <v>0.79166666666666663</v>
      </c>
      <c r="B41" s="6" t="n">
        <v>240.24684085739807</v>
      </c>
      <c r="C41" s="6" t="n">
        <v>0.4462367505635437</v>
      </c>
      <c r="D41" s="6" t="n">
        <v>0.0</v>
      </c>
      <c r="E41" s="6" t="n">
        <v>0.0</v>
      </c>
      <c r="F41" s="6" t="n">
        <v>0.0</v>
      </c>
      <c r="G41" s="6" t="n">
        <v>0.0</v>
      </c>
      <c r="H41" s="6" t="n">
        <v>0.0</v>
      </c>
      <c r="I41" s="6" t="n">
        <v>0.0</v>
      </c>
      <c r="J41" s="6">
        <f si="0" t="shared"/>
        <v>685.48707121292307</v>
      </c>
      <c r="L41" s="12">
        <v>0.79166666666666663</v>
      </c>
      <c r="M41" s="9" t="n">
        <v>184.94133377075195</v>
      </c>
      <c r="N41" s="9" t="n">
        <v>82.9991340637207</v>
      </c>
      <c r="O41" s="9" t="n">
        <v>0.0</v>
      </c>
      <c r="P41" s="9" t="n">
        <v>0.0</v>
      </c>
      <c r="Q41" s="9" t="n">
        <v>10.441092491149902</v>
      </c>
      <c r="R41" s="9" t="n">
        <v>4.813963890075684</v>
      </c>
      <c r="S41" s="9" t="n">
        <v>0.0</v>
      </c>
      <c r="T41" s="9" t="n">
        <v>0.0</v>
      </c>
      <c r="U41">
        <f si="1" t="shared"/>
        <v>1308.2890796661377</v>
      </c>
    </row>
    <row r="42" spans="1:21" x14ac:dyDescent="0.25">
      <c r="A42" s="12">
        <v>0.8125</v>
      </c>
      <c r="B42" s="6" t="n">
        <v>195.1262613255239</v>
      </c>
      <c r="C42" s="6" t="n">
        <v>0.08645448153761981</v>
      </c>
      <c r="D42" s="6" t="n">
        <v>0.0</v>
      </c>
      <c r="E42" s="6" t="n">
        <v>0.0</v>
      </c>
      <c r="F42" s="6" t="n">
        <v>0.0</v>
      </c>
      <c r="G42" s="6" t="n">
        <v>0.0</v>
      </c>
      <c r="H42" s="6" t="n">
        <v>0.0</v>
      </c>
      <c r="I42" s="6" t="n">
        <v>0.0</v>
      </c>
      <c r="J42" s="6">
        <f si="0" t="shared"/>
        <v>544.77339354540334</v>
      </c>
      <c r="L42" s="12">
        <v>0.8125</v>
      </c>
      <c r="M42" s="9" t="n">
        <v>150.94018268585205</v>
      </c>
      <c r="N42" s="9" t="n">
        <v>66.53110790252686</v>
      </c>
      <c r="O42" s="9" t="n">
        <v>0.0</v>
      </c>
      <c r="P42" s="9" t="n">
        <v>0.0</v>
      </c>
      <c r="Q42" s="9" t="n">
        <v>8.463298797607422</v>
      </c>
      <c r="R42" s="9" t="n">
        <v>4.221866607666016</v>
      </c>
      <c r="S42" s="9" t="n">
        <v>0.0</v>
      </c>
      <c r="T42" s="9" t="n">
        <v>0.0</v>
      </c>
      <c r="U42">
        <f si="1" t="shared"/>
        <v>1107.4444770812988</v>
      </c>
    </row>
    <row r="43" spans="1:21" x14ac:dyDescent="0.25">
      <c r="A43" s="12">
        <v>0.83333333333333337</v>
      </c>
      <c r="B43" s="6" t="n">
        <v>155.1723564669108</v>
      </c>
      <c r="C43" s="6" t="n">
        <v>0.012182226993468995</v>
      </c>
      <c r="D43" s="6" t="n">
        <v>0.0</v>
      </c>
      <c r="E43" s="6" t="n">
        <v>0.0</v>
      </c>
      <c r="F43" s="6" t="n">
        <v>0.0</v>
      </c>
      <c r="G43" s="6" t="n">
        <v>0.0</v>
      </c>
      <c r="H43" s="6" t="n">
        <v>0.0</v>
      </c>
      <c r="I43" s="6" t="n">
        <v>0.0</v>
      </c>
      <c r="J43" s="6">
        <f si="0" t="shared"/>
        <v>490.69998060461069</v>
      </c>
      <c r="L43" s="12">
        <v>0.83333333333333337</v>
      </c>
      <c r="M43" s="9" t="n">
        <v>123.28925037384033</v>
      </c>
      <c r="N43" s="9" t="n">
        <v>52.18047332763672</v>
      </c>
      <c r="O43" s="9" t="n">
        <v>0.0</v>
      </c>
      <c r="P43" s="9" t="n">
        <v>0.0</v>
      </c>
      <c r="Q43" s="9" t="n">
        <v>6.424404144287109</v>
      </c>
      <c r="R43" s="9" t="n">
        <v>3.515829086303711</v>
      </c>
      <c r="S43" s="9" t="n">
        <v>0.0</v>
      </c>
      <c r="T43" s="9" t="n">
        <v>0.0</v>
      </c>
      <c r="U43">
        <f si="1" t="shared"/>
        <v>928.97104740142822</v>
      </c>
    </row>
    <row r="44" spans="1:21" x14ac:dyDescent="0.25">
      <c r="A44" s="12">
        <v>0.85416666666666663</v>
      </c>
      <c r="B44" s="6" t="n">
        <v>114.866831472734</v>
      </c>
      <c r="C44" s="6" t="n">
        <v>0.001102710030008951</v>
      </c>
      <c r="D44" s="6" t="n">
        <v>0.0</v>
      </c>
      <c r="E44" s="6" t="n">
        <v>0.0</v>
      </c>
      <c r="F44" s="6" t="n">
        <v>0.0</v>
      </c>
      <c r="G44" s="6" t="n">
        <v>0.0</v>
      </c>
      <c r="H44" s="6" t="n">
        <v>0.0</v>
      </c>
      <c r="I44" s="6" t="n">
        <v>0.0</v>
      </c>
      <c r="J44" s="6">
        <f si="0" t="shared"/>
        <v>502.83715398079926</v>
      </c>
      <c r="L44" s="12">
        <v>0.85416666666666663</v>
      </c>
      <c r="M44" s="9" t="n">
        <v>100.19568729400635</v>
      </c>
      <c r="N44" s="9" t="n">
        <v>41.030208587646484</v>
      </c>
      <c r="O44" s="9" t="n">
        <v>0.0</v>
      </c>
      <c r="P44" s="9" t="n">
        <v>0.0</v>
      </c>
      <c r="Q44" s="9" t="n">
        <v>4.662568092346191</v>
      </c>
      <c r="R44" s="9" t="n">
        <v>2.7955245971679688</v>
      </c>
      <c r="S44" s="9" t="n">
        <v>0.0</v>
      </c>
      <c r="T44" s="9" t="n">
        <v>0.0</v>
      </c>
      <c r="U44">
        <f si="1" t="shared"/>
        <v>764.52282428741455</v>
      </c>
    </row>
    <row r="45" spans="1:21" x14ac:dyDescent="0.25">
      <c r="A45" s="12">
        <v>0.875</v>
      </c>
      <c r="B45" s="6" t="n">
        <v>76.83623272053214</v>
      </c>
      <c r="C45" s="6" t="n">
        <v>4.781832755247888E-5</v>
      </c>
      <c r="D45" s="6" t="n">
        <v>0.0</v>
      </c>
      <c r="E45" s="6" t="n">
        <v>0.0</v>
      </c>
      <c r="F45" s="6" t="n">
        <v>0.0</v>
      </c>
      <c r="G45" s="6" t="n">
        <v>0.0</v>
      </c>
      <c r="H45" s="6" t="n">
        <v>0.0</v>
      </c>
      <c r="I45" s="6" t="n">
        <v>0.0</v>
      </c>
      <c r="J45" s="6">
        <f si="0" t="shared"/>
        <v>550.79334201802931</v>
      </c>
      <c r="L45" s="12">
        <v>0.875</v>
      </c>
      <c r="M45" s="9" t="n">
        <v>80.91967391967773</v>
      </c>
      <c r="N45" s="9" t="n">
        <v>32.876739501953125</v>
      </c>
      <c r="O45" s="9" t="n">
        <v>0.0</v>
      </c>
      <c r="P45" s="9" t="n">
        <v>0.0</v>
      </c>
      <c r="Q45" s="9" t="n">
        <v>3.3606576919555664</v>
      </c>
      <c r="R45" s="9" t="n">
        <v>2.1493139266967773</v>
      </c>
      <c r="S45" s="9" t="n">
        <v>0.0</v>
      </c>
      <c r="T45" s="9" t="n">
        <v>0.0</v>
      </c>
      <c r="U45">
        <f si="1" t="shared"/>
        <v>617.33029365539551</v>
      </c>
    </row>
    <row r="46" spans="1:21" x14ac:dyDescent="0.25">
      <c r="A46" s="12">
        <v>0.89583333333333337</v>
      </c>
      <c r="B46" s="6" t="n">
        <v>46.28318432452218</v>
      </c>
      <c r="C46" s="6" t="n">
        <v>0.0</v>
      </c>
      <c r="D46" s="6" t="n">
        <v>0.0</v>
      </c>
      <c r="E46" s="6" t="n">
        <v>0.0</v>
      </c>
      <c r="F46" s="6" t="n">
        <v>0.0</v>
      </c>
      <c r="G46" s="6" t="n">
        <v>0.0</v>
      </c>
      <c r="H46" s="6" t="n">
        <v>0.0</v>
      </c>
      <c r="I46" s="6" t="n">
        <v>0.0</v>
      </c>
      <c r="J46" s="6">
        <f si="0" t="shared"/>
        <v>591.84401529234265</v>
      </c>
      <c r="L46" s="12">
        <v>0.89583333333333337</v>
      </c>
      <c r="M46" s="9" t="n">
        <v>64.4632511138916</v>
      </c>
      <c r="N46" s="9" t="n">
        <v>26.474431037902832</v>
      </c>
      <c r="O46" s="9" t="n">
        <v>0.0</v>
      </c>
      <c r="P46" s="9" t="n">
        <v>0.0</v>
      </c>
      <c r="Q46" s="9" t="n">
        <v>2.4919166564941406</v>
      </c>
      <c r="R46" s="9" t="n">
        <v>1.6271343231201172</v>
      </c>
      <c r="S46" s="9" t="n">
        <v>0.0</v>
      </c>
      <c r="T46" s="9" t="n">
        <v>0.0</v>
      </c>
      <c r="U46">
        <f si="1" t="shared"/>
        <v>491.61054134368896</v>
      </c>
    </row>
    <row r="47" spans="1:21" x14ac:dyDescent="0.25">
      <c r="A47" s="12">
        <v>0.91666666666666663</v>
      </c>
      <c r="B47" s="6" t="n">
        <v>25.972607511778513</v>
      </c>
      <c r="C47" s="6" t="n">
        <v>0.0</v>
      </c>
      <c r="D47" s="6" t="n">
        <v>0.0</v>
      </c>
      <c r="E47" s="6" t="n">
        <v>0.0</v>
      </c>
      <c r="F47" s="6" t="n">
        <v>0.0</v>
      </c>
      <c r="G47" s="6" t="n">
        <v>0.0</v>
      </c>
      <c r="H47" s="6" t="n">
        <v>0.0</v>
      </c>
      <c r="I47" s="6" t="n">
        <v>0.0</v>
      </c>
      <c r="J47" s="6">
        <f si="0" t="shared"/>
        <v>585.38606025435126</v>
      </c>
      <c r="L47" s="12">
        <v>0.91666666666666663</v>
      </c>
      <c r="M47" s="9" t="n">
        <v>49.93654251098633</v>
      </c>
      <c r="N47" s="9" t="n">
        <v>20.688079833984375</v>
      </c>
      <c r="O47" s="9" t="n">
        <v>0.0</v>
      </c>
      <c r="P47" s="9" t="n">
        <v>0.0</v>
      </c>
      <c r="Q47" s="9" t="n">
        <v>1.915287971496582</v>
      </c>
      <c r="R47" s="9" t="n">
        <v>1.2386226654052734</v>
      </c>
      <c r="S47" s="9" t="n">
        <v>0.0</v>
      </c>
      <c r="T47" s="9" t="n">
        <v>0.0</v>
      </c>
      <c r="U47">
        <f si="1" t="shared"/>
        <v>387.24762439727783</v>
      </c>
    </row>
    <row r="48" spans="1:21" x14ac:dyDescent="0.25">
      <c r="A48" s="12">
        <v>0.9375</v>
      </c>
      <c r="B48" s="6" t="n">
        <v>14.623393456578784</v>
      </c>
      <c r="C48" s="6" t="n">
        <v>0.0</v>
      </c>
      <c r="D48" s="6" t="n">
        <v>0.0</v>
      </c>
      <c r="E48" s="6" t="n">
        <v>0.0</v>
      </c>
      <c r="F48" s="6" t="n">
        <v>0.0</v>
      </c>
      <c r="G48" s="6" t="n">
        <v>0.0</v>
      </c>
      <c r="H48" s="6" t="n">
        <v>0.0</v>
      </c>
      <c r="I48" s="6" t="n">
        <v>0.0</v>
      </c>
      <c r="J48" s="6">
        <f si="0" t="shared"/>
        <v>513.72065627561892</v>
      </c>
      <c r="L48" s="12">
        <v>0.9375</v>
      </c>
      <c r="M48" s="9" t="n">
        <v>37.0319938659668</v>
      </c>
      <c r="N48" s="9" t="n">
        <v>15.19635009765625</v>
      </c>
      <c r="O48" s="9" t="n">
        <v>0.0</v>
      </c>
      <c r="P48" s="9" t="n">
        <v>0.0</v>
      </c>
      <c r="Q48" s="9" t="n">
        <v>1.4908819198608398</v>
      </c>
      <c r="R48" s="9" t="n">
        <v>0.9598894119262695</v>
      </c>
      <c r="S48" s="9" t="n">
        <v>0.0</v>
      </c>
      <c r="T48" s="9" t="n">
        <v>0.0</v>
      </c>
      <c r="U48">
        <f si="1" t="shared"/>
        <v>300.29242992401123</v>
      </c>
    </row>
    <row r="49" spans="1:21" x14ac:dyDescent="0.25">
      <c r="A49" s="12">
        <v>0.95833333333333337</v>
      </c>
      <c r="B49" s="6" t="n">
        <v>8.763759440199124</v>
      </c>
      <c r="C49" s="6" t="n">
        <v>0.0</v>
      </c>
      <c r="D49" s="6" t="n">
        <v>0.0</v>
      </c>
      <c r="E49" s="6" t="n">
        <v>0.0</v>
      </c>
      <c r="F49" s="6" t="n">
        <v>0.0</v>
      </c>
      <c r="G49" s="6" t="n">
        <v>0.0</v>
      </c>
      <c r="H49" s="6" t="n">
        <v>0.0</v>
      </c>
      <c r="I49" s="6" t="n">
        <v>0.0</v>
      </c>
      <c r="J49" s="6">
        <f si="0" t="shared"/>
        <v>391.57794611324016</v>
      </c>
      <c r="L49" s="12">
        <v>0.95833333333333337</v>
      </c>
      <c r="M49" s="9" t="n">
        <v>25.94504451751709</v>
      </c>
      <c r="N49" s="9" t="n">
        <v>10.312053680419922</v>
      </c>
      <c r="O49" s="9" t="n">
        <v>0.0</v>
      </c>
      <c r="P49" s="9" t="n">
        <v>0.0</v>
      </c>
      <c r="Q49" s="9" t="n">
        <v>1.1345834732055664</v>
      </c>
      <c r="R49" s="9" t="n">
        <v>0.7479610443115234</v>
      </c>
      <c r="S49" s="9" t="n">
        <v>0.0</v>
      </c>
      <c r="T49" s="9" t="n">
        <v>0.0</v>
      </c>
      <c r="U49">
        <f si="1" t="shared"/>
        <v>225.967698097229</v>
      </c>
    </row>
    <row r="50" spans="1:21" x14ac:dyDescent="0.25">
      <c r="A50" s="12">
        <v>0.97916666666666663</v>
      </c>
      <c r="B50" s="6" t="n">
        <v>5.389043472120505</v>
      </c>
      <c r="C50" s="6" t="n">
        <v>0.0</v>
      </c>
      <c r="D50" s="6" t="n">
        <v>0.0</v>
      </c>
      <c r="E50" s="6" t="n">
        <v>0.0</v>
      </c>
      <c r="F50" s="6" t="n">
        <v>0.0</v>
      </c>
      <c r="G50" s="6" t="n">
        <v>0.0</v>
      </c>
      <c r="H50" s="6" t="n">
        <v>0.0</v>
      </c>
      <c r="I50" s="6" t="n">
        <v>0.0</v>
      </c>
      <c r="J50" s="6">
        <f si="0" t="shared"/>
        <v>255.38805518071962</v>
      </c>
      <c r="L50" s="12">
        <v>0.97916666666666663</v>
      </c>
      <c r="M50" s="9" t="n">
        <v>16.974536895751953</v>
      </c>
      <c r="N50" s="9" t="n">
        <v>6.424548149108887</v>
      </c>
      <c r="O50" s="9" t="n">
        <v>0.0</v>
      </c>
      <c r="P50" s="9" t="n">
        <v>0.0</v>
      </c>
      <c r="Q50" s="9" t="n">
        <v>0.8162956237792969</v>
      </c>
      <c r="R50" s="9" t="n">
        <v>0.5639562606811523</v>
      </c>
      <c r="S50" s="9" t="n">
        <v>0.0</v>
      </c>
      <c r="T50" s="9" t="n">
        <v>0.0</v>
      </c>
      <c r="U50">
        <f si="1" t="shared"/>
        <v>161.33677959442139</v>
      </c>
    </row>
    <row r="51" spans="1:21" x14ac:dyDescent="0.25">
      <c r="A51" s="12">
        <v>1</v>
      </c>
      <c r="B51" s="6" t="n">
        <v>3.0782879311989007</v>
      </c>
      <c r="C51" s="6" t="n">
        <v>0.0</v>
      </c>
      <c r="D51" s="6" t="n">
        <v>0.0</v>
      </c>
      <c r="E51" s="6" t="n">
        <v>0.0</v>
      </c>
      <c r="F51" s="6" t="n">
        <v>0.0</v>
      </c>
      <c r="G51" s="6" t="n">
        <v>0.0</v>
      </c>
      <c r="H51" s="6" t="n">
        <v>0.0</v>
      </c>
      <c r="I51" s="6" t="n">
        <v>0.0</v>
      </c>
      <c r="J51" s="6">
        <f si="0" t="shared"/>
        <v>140.56134861777127</v>
      </c>
      <c r="L51" s="12">
        <v>1</v>
      </c>
      <c r="M51" s="9" t="n">
        <v>10.231064796447754</v>
      </c>
      <c r="N51" s="9" t="n">
        <v>3.6604785919189453</v>
      </c>
      <c r="O51" s="9" t="n">
        <v>0.0</v>
      </c>
      <c r="P51" s="9" t="n">
        <v>0.0</v>
      </c>
      <c r="Q51" s="9" t="n">
        <v>0.5387020111083984</v>
      </c>
      <c r="R51" s="9" t="n">
        <v>0.39246654510498047</v>
      </c>
      <c r="S51" s="9" t="n">
        <v>0.0</v>
      </c>
      <c r="T51" s="9" t="n">
        <v>0.0</v>
      </c>
      <c r="U51">
        <f si="1" t="shared"/>
        <v>106.35629653930664</v>
      </c>
    </row>
    <row r="52" spans="1:21" x14ac:dyDescent="0.25">
      <c r="A52" s="12">
        <v>1.0208333333333333</v>
      </c>
      <c r="B52" s="6" t="n">
        <v>1.5046715052707793</v>
      </c>
      <c r="C52" s="6" t="n">
        <v>0.0</v>
      </c>
      <c r="D52" s="6" t="n">
        <v>0.0</v>
      </c>
      <c r="E52" s="6" t="n">
        <v>0.0</v>
      </c>
      <c r="F52" s="6" t="n">
        <v>0.0</v>
      </c>
      <c r="G52" s="6" t="n">
        <v>0.0</v>
      </c>
      <c r="H52" s="6" t="n">
        <v>0.0</v>
      </c>
      <c r="I52" s="6" t="n">
        <v>0.0</v>
      </c>
      <c r="J52" s="6">
        <f si="0" t="shared"/>
        <v>64.273221001388038</v>
      </c>
      <c r="L52" s="12">
        <v>1.0208333333333333</v>
      </c>
      <c r="M52" s="9" t="n">
        <v>5.57830810546875</v>
      </c>
      <c r="N52" s="9" t="n">
        <v>1.889094352722168</v>
      </c>
      <c r="O52" s="9" t="n">
        <v>0.0</v>
      </c>
      <c r="P52" s="9" t="n">
        <v>0.0</v>
      </c>
      <c r="Q52" s="9" t="n">
        <v>0.3168516159057617</v>
      </c>
      <c r="R52" s="9" t="n">
        <v>0.24197769165039062</v>
      </c>
      <c r="S52" s="9" t="n">
        <v>0.0</v>
      </c>
      <c r="T52" s="9" t="n">
        <v>0.0</v>
      </c>
      <c r="U52">
        <f si="1" t="shared"/>
        <v>62.906112670898438</v>
      </c>
    </row>
    <row r="53" spans="1:21" x14ac:dyDescent="0.25">
      <c r="A53" s="12">
        <v>4.1666666666666664E-2</v>
      </c>
      <c r="B53" s="6" t="n">
        <v>0.5986753489378269</v>
      </c>
      <c r="C53" s="6" t="n">
        <v>0.0</v>
      </c>
      <c r="D53" s="6" t="n">
        <v>0.0</v>
      </c>
      <c r="E53" s="6" t="n">
        <v>0.0</v>
      </c>
      <c r="F53" s="6" t="n">
        <v>0.0</v>
      </c>
      <c r="G53" s="6" t="n">
        <v>0.0</v>
      </c>
      <c r="H53" s="6" t="n">
        <v>0.0</v>
      </c>
      <c r="I53" s="6" t="n">
        <v>0.0</v>
      </c>
      <c r="J53" s="6">
        <f si="0" t="shared"/>
        <v>23.938116276134345</v>
      </c>
      <c r="L53" s="12">
        <v>4.1666666666666664E-2</v>
      </c>
      <c r="M53" s="9" t="n">
        <v>2.6879491806030273</v>
      </c>
      <c r="N53" s="9" t="n">
        <v>0.8664741516113281</v>
      </c>
      <c r="O53" s="9" t="n">
        <v>0.0</v>
      </c>
      <c r="P53" s="9" t="n">
        <v>0.0</v>
      </c>
      <c r="Q53" s="9" t="n">
        <v>0.1615276336669922</v>
      </c>
      <c r="R53" s="9" t="n">
        <v>0.1280956268310547</v>
      </c>
      <c r="S53" s="9" t="n">
        <v>0.0</v>
      </c>
      <c r="T53" s="9" t="n">
        <v>0.0</v>
      </c>
      <c r="U53">
        <f si="1" t="shared"/>
        <v>32.461380958557129</v>
      </c>
    </row>
    <row r="54" spans="1:21" x14ac:dyDescent="0.25">
      <c r="A54" s="12">
        <v>6.25E-2</v>
      </c>
      <c r="B54" s="6" t="n">
        <v>0.18694413865059123</v>
      </c>
      <c r="C54" s="6" t="n">
        <v>0.0</v>
      </c>
      <c r="D54" s="6" t="n">
        <v>0.0</v>
      </c>
      <c r="E54" s="6" t="n">
        <v>0.0</v>
      </c>
      <c r="F54" s="6" t="n">
        <v>0.0</v>
      </c>
      <c r="G54" s="6" t="n">
        <v>0.0</v>
      </c>
      <c r="H54" s="6" t="n">
        <v>0.0</v>
      </c>
      <c r="I54" s="6" t="n">
        <v>0.0</v>
      </c>
      <c r="J54" s="6">
        <f si="0" t="shared"/>
        <v>7.068037379240721</v>
      </c>
      <c r="L54" s="12">
        <v>6.25E-2</v>
      </c>
      <c r="M54" s="9" t="n">
        <v>1.1138677597045898</v>
      </c>
      <c r="N54" s="9" t="n">
        <v>0.34372520446777344</v>
      </c>
      <c r="O54" s="9" t="n">
        <v>0.0</v>
      </c>
      <c r="P54" s="9" t="n">
        <v>0.0</v>
      </c>
      <c r="Q54" s="9" t="n">
        <v>0.06943893432617188</v>
      </c>
      <c r="R54" s="9" t="n">
        <v>0.05675506591796875</v>
      </c>
      <c r="S54" s="9" t="n">
        <v>0.0</v>
      </c>
      <c r="T54" s="9" t="n">
        <v>0.0</v>
      </c>
      <c r="U54">
        <f si="1" t="shared"/>
        <v>14.221644401550293</v>
      </c>
    </row>
    <row r="55" spans="1:21" x14ac:dyDescent="0.25">
      <c r="A55" s="12">
        <v>8.3333333333333329E-2</v>
      </c>
      <c r="B55" s="6" t="n">
        <v>0.04398685615308029</v>
      </c>
      <c r="C55" s="6" t="n">
        <v>0.0</v>
      </c>
      <c r="D55" s="6" t="n">
        <v>0.0</v>
      </c>
      <c r="E55" s="6" t="n">
        <v>0.0</v>
      </c>
      <c r="F55" s="6" t="n">
        <v>0.0</v>
      </c>
      <c r="G55" s="6" t="n">
        <v>0.0</v>
      </c>
      <c r="H55" s="6" t="n">
        <v>0.0</v>
      </c>
      <c r="I55" s="6" t="n">
        <v>0.0</v>
      </c>
      <c r="J55" s="6">
        <f si="0" t="shared"/>
        <v>1.5902987951495589</v>
      </c>
      <c r="L55" s="12">
        <v>8.3333333333333329E-2</v>
      </c>
      <c r="M55" s="9" t="n">
        <v>0.3849601745605469</v>
      </c>
      <c r="N55" s="9" t="n">
        <v>0.11409950256347656</v>
      </c>
      <c r="O55" s="9" t="n">
        <v>0.0</v>
      </c>
      <c r="P55" s="9" t="n">
        <v>0.0</v>
      </c>
      <c r="Q55" s="9" t="n">
        <v>0.024465560913085938</v>
      </c>
      <c r="R55" s="9" t="n">
        <v>0.020532608032226562</v>
      </c>
      <c r="S55" s="9" t="n">
        <v>0.0</v>
      </c>
      <c r="T55" s="9" t="n">
        <v>0.0</v>
      </c>
      <c r="U55">
        <f si="1" t="shared"/>
        <v>5.1423740386962891</v>
      </c>
    </row>
    <row r="56" spans="1:21" x14ac:dyDescent="0.25">
      <c r="A56" s="12">
        <v>0.10416666666666667</v>
      </c>
      <c r="B56" s="6" t="n">
        <v>0.007331142692180048</v>
      </c>
      <c r="C56" s="6" t="n">
        <v>0.0</v>
      </c>
      <c r="D56" s="6" t="n">
        <v>0.0</v>
      </c>
      <c r="E56" s="6" t="n">
        <v>0.0</v>
      </c>
      <c r="F56" s="6" t="n">
        <v>0.0</v>
      </c>
      <c r="G56" s="6" t="n">
        <v>0.0</v>
      </c>
      <c r="H56" s="6" t="n">
        <v>0.0</v>
      </c>
      <c r="I56" s="6" t="n">
        <v>0.0</v>
      </c>
      <c r="J56" s="6">
        <f si="0" t="shared"/>
        <v>0.25596433536295771</v>
      </c>
      <c r="L56" s="12">
        <v>0.10416666666666667</v>
      </c>
      <c r="M56" s="9" t="n">
        <v>0.10705375671386719</v>
      </c>
      <c r="N56" s="9" t="n">
        <v>0.030493736267089844</v>
      </c>
      <c r="O56" s="9" t="n">
        <v>0.0</v>
      </c>
      <c r="P56" s="9" t="n">
        <v>0.0</v>
      </c>
      <c r="Q56" s="9" t="n">
        <v>0.0068359375</v>
      </c>
      <c r="R56" s="9" t="n">
        <v>0.005889892578125</v>
      </c>
      <c r="S56" s="9" t="n">
        <v>0.0</v>
      </c>
      <c r="T56" s="9" t="n">
        <v>0.0</v>
      </c>
      <c r="U56">
        <f si="1" t="shared"/>
        <v>1.4849615097045898</v>
      </c>
    </row>
    <row r="57" spans="1:21" x14ac:dyDescent="0.25">
      <c r="A57" s="12">
        <v>0.125</v>
      </c>
      <c r="B57" s="6" t="n">
        <v>7.716992307557946E-4</v>
      </c>
      <c r="C57" s="6" t="n">
        <v>0.0</v>
      </c>
      <c r="D57" s="6" t="n">
        <v>0.0</v>
      </c>
      <c r="E57" s="6" t="n">
        <v>0.0</v>
      </c>
      <c r="F57" s="6" t="n">
        <v>0.0</v>
      </c>
      <c r="G57" s="6" t="n">
        <v>0.0</v>
      </c>
      <c r="H57" s="6" t="n">
        <v>0.0</v>
      </c>
      <c r="I57" s="6" t="n">
        <v>0.0</v>
      </c>
      <c r="J57" s="6">
        <f si="0" t="shared"/>
        <v>2.6232265313656317E-2</v>
      </c>
      <c r="L57" s="12">
        <v>0.125</v>
      </c>
      <c r="M57" s="9" t="n">
        <v>0.02254962921142578</v>
      </c>
      <c r="N57" s="9" t="n">
        <v>0.0061702728271484375</v>
      </c>
      <c r="O57" s="9" t="n">
        <v>0.0</v>
      </c>
      <c r="P57" s="9" t="n">
        <v>0.0</v>
      </c>
      <c r="Q57" s="9" t="n">
        <v>0.001430511474609375</v>
      </c>
      <c r="R57" s="9" t="n">
        <v>0.0012674331665039062</v>
      </c>
      <c r="S57" s="9" t="n">
        <v>0.0</v>
      </c>
      <c r="T57" s="9" t="n">
        <v>0.0</v>
      </c>
      <c r="U57">
        <f si="1" t="shared"/>
        <v>0.32291412353515625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drawing r:id="rId1"/>
</worksheet>
</file>

<file path=xl/worksheets/sheet1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2:C22"/>
  <sheetViews>
    <sheetView workbookViewId="0"/>
  </sheetViews>
  <sheetFormatPr defaultRowHeight="15" x14ac:dyDescent="0.25"/>
  <sheetData>
    <row r="2" spans="1:2" x14ac:dyDescent="0.25">
      <c r="A2" s="8" t="s">
        <v>33</v>
      </c>
    </row>
    <row r="3" spans="1:2" x14ac:dyDescent="0.25">
      <c r="B3" t="s">
        <v>36</v>
      </c>
    </row>
    <row r="4" spans="1:2" x14ac:dyDescent="0.25">
      <c r="B4" t="s">
        <v>37</v>
      </c>
    </row>
    <row r="22" spans="1:1" x14ac:dyDescent="0.25">
      <c r="A22" s="8"/>
    </row>
  </sheetData>
  <pageMargins bottom="0.75" footer="0.3" header="0.3" left="0.7" right="0.7" top="0.75"/>
</worksheet>
</file>

<file path=xl/worksheets/sheet1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265"/>
  <sheetViews>
    <sheetView workbookViewId="0">
      <selection activeCell="A8" sqref="A8:K265"/>
    </sheetView>
  </sheetViews>
  <sheetFormatPr defaultRowHeight="15" x14ac:dyDescent="0.25"/>
  <sheetData>
    <row r="1" spans="1:11" x14ac:dyDescent="0.25">
      <c r="A1" s="47" t="s">
        <v>92</v>
      </c>
      <c r="B1" s="48"/>
      <c r="C1" s="48"/>
      <c r="D1" s="48"/>
      <c r="E1" s="48"/>
      <c r="F1" s="48"/>
      <c r="G1" s="48"/>
      <c r="H1" s="48" t="s">
        <v>93</v>
      </c>
      <c r="I1" s="48"/>
      <c r="J1" s="48"/>
      <c r="K1" s="49"/>
    </row>
    <row r="2" spans="1:11" x14ac:dyDescent="0.25">
      <c r="A2" s="50">
        <v>1</v>
      </c>
      <c r="B2" s="51" t="s">
        <v>197</v>
      </c>
      <c r="C2" s="51"/>
      <c r="D2" s="51"/>
      <c r="E2" s="51"/>
      <c r="F2" s="51"/>
      <c r="G2" s="51"/>
      <c r="H2" s="51"/>
      <c r="I2" s="51"/>
      <c r="J2" s="51"/>
      <c r="K2" s="52"/>
    </row>
    <row r="3" spans="1:11" x14ac:dyDescent="0.25">
      <c r="A3" s="50">
        <v>2</v>
      </c>
      <c r="B3" s="51" t="s">
        <v>94</v>
      </c>
      <c r="C3" s="51"/>
      <c r="D3" s="51"/>
      <c r="E3" s="51"/>
      <c r="F3" s="51"/>
      <c r="G3" s="51"/>
      <c r="H3" s="51"/>
      <c r="I3" s="51"/>
      <c r="J3" s="51"/>
      <c r="K3" s="52"/>
    </row>
    <row r="4" spans="1:11" x14ac:dyDescent="0.25">
      <c r="A4" s="50">
        <v>3</v>
      </c>
      <c r="B4" s="51" t="s">
        <v>95</v>
      </c>
      <c r="C4" s="51"/>
      <c r="D4" s="51"/>
      <c r="E4" s="51"/>
      <c r="F4" s="51"/>
      <c r="G4" s="51"/>
      <c r="H4" s="51"/>
      <c r="I4" s="51"/>
      <c r="J4" s="51"/>
      <c r="K4" s="52"/>
    </row>
    <row r="5" spans="1:11" x14ac:dyDescent="0.25">
      <c r="A5" s="50">
        <v>4</v>
      </c>
      <c r="B5" s="51" t="s">
        <v>96</v>
      </c>
      <c r="C5" s="51"/>
      <c r="D5" s="51"/>
      <c r="E5" s="51"/>
      <c r="F5" s="51"/>
      <c r="G5" s="51"/>
      <c r="H5" s="51"/>
      <c r="I5" s="51"/>
      <c r="J5" s="51"/>
      <c r="K5" s="52"/>
    </row>
    <row r="6" spans="1:11" x14ac:dyDescent="0.25">
      <c r="A6" s="53"/>
      <c r="B6" s="54"/>
      <c r="C6" s="54"/>
      <c r="D6" s="54"/>
      <c r="E6" s="54"/>
      <c r="F6" s="54"/>
      <c r="G6" s="54"/>
      <c r="H6" s="54"/>
      <c r="I6" s="54"/>
      <c r="J6" s="54"/>
      <c r="K6" s="55"/>
    </row>
    <row r="8" spans="1:11" x14ac:dyDescent="0.25">
      <c r="A8" t="s">
        <v>97</v>
      </c>
      <c r="B8" t="s">
        <v>98</v>
      </c>
      <c r="C8" t="s">
        <v>99</v>
      </c>
    </row>
    <row r="9" spans="1:11" x14ac:dyDescent="0.25">
      <c r="A9" t="s">
        <v>100</v>
      </c>
      <c r="B9" t="s">
        <v>101</v>
      </c>
      <c r="C9" t="s">
        <v>102</v>
      </c>
      <c r="D9" t="s">
        <v>103</v>
      </c>
      <c r="E9">
        <v>4</v>
      </c>
      <c r="F9" s="56">
        <v>0.64187499999999997</v>
      </c>
      <c r="G9" t="s">
        <v>104</v>
      </c>
      <c r="H9">
        <v>7</v>
      </c>
      <c r="I9" t="s">
        <v>199</v>
      </c>
      <c r="J9">
        <v>12</v>
      </c>
    </row>
    <row r="10" spans="1:11" x14ac:dyDescent="0.25">
      <c r="A10" t="s">
        <v>105</v>
      </c>
    </row>
    <row r="11" spans="1:11" x14ac:dyDescent="0.25">
      <c r="B11">
        <v>11</v>
      </c>
      <c r="C11" t="s">
        <v>106</v>
      </c>
      <c r="D11" t="s">
        <v>107</v>
      </c>
      <c r="E11">
        <v>-10</v>
      </c>
      <c r="F11">
        <v>0</v>
      </c>
    </row>
    <row r="12" spans="1:11" x14ac:dyDescent="0.25">
      <c r="B12">
        <v>12</v>
      </c>
      <c r="C12" t="s">
        <v>108</v>
      </c>
      <c r="D12" t="s">
        <v>109</v>
      </c>
      <c r="E12">
        <v>-3.25373144395</v>
      </c>
      <c r="F12">
        <v>0.212443725818</v>
      </c>
    </row>
    <row r="13" spans="1:11" x14ac:dyDescent="0.25">
      <c r="B13">
        <v>13</v>
      </c>
      <c r="C13" t="s">
        <v>110</v>
      </c>
      <c r="D13" t="s">
        <v>109</v>
      </c>
      <c r="E13">
        <v>-0.21597678247800001</v>
      </c>
      <c r="F13" s="57">
        <v>8.1395299864599993E-2</v>
      </c>
    </row>
    <row r="14" spans="1:11" x14ac:dyDescent="0.25">
      <c r="B14">
        <v>14</v>
      </c>
      <c r="C14" t="s">
        <v>111</v>
      </c>
      <c r="D14" t="s">
        <v>107</v>
      </c>
      <c r="E14">
        <v>0</v>
      </c>
      <c r="F14">
        <v>0</v>
      </c>
    </row>
    <row r="15" spans="1:11" x14ac:dyDescent="0.25">
      <c r="B15">
        <v>15</v>
      </c>
      <c r="C15" t="s">
        <v>112</v>
      </c>
      <c r="D15" t="s">
        <v>109</v>
      </c>
      <c r="E15">
        <v>-1.2614952667399999</v>
      </c>
      <c r="F15" s="57">
        <v>0.116570218502</v>
      </c>
    </row>
    <row r="16" spans="1:11" x14ac:dyDescent="0.25">
      <c r="B16">
        <v>16</v>
      </c>
      <c r="C16" t="s">
        <v>113</v>
      </c>
      <c r="D16" t="s">
        <v>109</v>
      </c>
      <c r="E16">
        <v>-2.25578381447</v>
      </c>
      <c r="F16" s="57">
        <v>0.18421384461000001</v>
      </c>
    </row>
    <row r="17" spans="2:6" x14ac:dyDescent="0.25">
      <c r="B17">
        <v>17</v>
      </c>
      <c r="C17" t="s">
        <v>114</v>
      </c>
      <c r="D17" t="s">
        <v>109</v>
      </c>
      <c r="E17">
        <v>-2.9429385107799999</v>
      </c>
      <c r="F17">
        <v>0.33156200417499998</v>
      </c>
    </row>
    <row r="18" spans="2:6" x14ac:dyDescent="0.25">
      <c r="B18">
        <v>18</v>
      </c>
      <c r="C18" t="s">
        <v>115</v>
      </c>
      <c r="D18" t="s">
        <v>109</v>
      </c>
      <c r="E18">
        <v>-2.0422750131099998</v>
      </c>
      <c r="F18">
        <v>0.45465025791199998</v>
      </c>
    </row>
    <row r="19" spans="2:6" x14ac:dyDescent="0.25">
      <c r="B19">
        <v>19</v>
      </c>
      <c r="C19" t="s">
        <v>116</v>
      </c>
      <c r="D19" t="s">
        <v>109</v>
      </c>
      <c r="E19">
        <v>-3.4674414305300001</v>
      </c>
      <c r="F19">
        <v>0.63844613126600003</v>
      </c>
    </row>
    <row r="20" spans="2:6" x14ac:dyDescent="0.25">
      <c r="B20">
        <v>20</v>
      </c>
      <c r="C20" t="s">
        <v>117</v>
      </c>
      <c r="D20" t="s">
        <v>107</v>
      </c>
      <c r="E20">
        <v>-10</v>
      </c>
      <c r="F20">
        <v>0</v>
      </c>
    </row>
    <row r="21" spans="2:6" x14ac:dyDescent="0.25">
      <c r="B21">
        <v>21</v>
      </c>
      <c r="C21" t="s">
        <v>118</v>
      </c>
      <c r="D21" t="s">
        <v>107</v>
      </c>
      <c r="E21">
        <v>-10</v>
      </c>
      <c r="F21">
        <v>0</v>
      </c>
    </row>
    <row r="22" spans="2:6" x14ac:dyDescent="0.25">
      <c r="B22">
        <v>22</v>
      </c>
      <c r="C22" t="s">
        <v>119</v>
      </c>
      <c r="D22" t="s">
        <v>109</v>
      </c>
      <c r="E22">
        <v>-1.220998</v>
      </c>
      <c r="F22">
        <v>0.39542909695400003</v>
      </c>
    </row>
    <row r="23" spans="2:6" x14ac:dyDescent="0.25">
      <c r="B23">
        <v>23</v>
      </c>
      <c r="C23" t="s">
        <v>120</v>
      </c>
      <c r="D23" t="s">
        <v>109</v>
      </c>
      <c r="E23">
        <v>0.64485899999999996</v>
      </c>
      <c r="F23">
        <v>0.240054726957</v>
      </c>
    </row>
    <row r="24" spans="2:6" x14ac:dyDescent="0.25">
      <c r="B24">
        <v>24</v>
      </c>
      <c r="C24" t="s">
        <v>121</v>
      </c>
      <c r="D24" t="s">
        <v>109</v>
      </c>
      <c r="E24">
        <v>1.592598</v>
      </c>
      <c r="F24">
        <v>0.156285482088</v>
      </c>
    </row>
    <row r="25" spans="2:6" x14ac:dyDescent="0.25">
      <c r="B25">
        <v>25</v>
      </c>
      <c r="C25" t="s">
        <v>122</v>
      </c>
      <c r="D25" t="s">
        <v>107</v>
      </c>
      <c r="E25">
        <v>0</v>
      </c>
      <c r="F25">
        <v>0</v>
      </c>
    </row>
    <row r="26" spans="2:6" x14ac:dyDescent="0.25">
      <c r="B26">
        <v>26</v>
      </c>
      <c r="C26" t="s">
        <v>123</v>
      </c>
      <c r="D26" t="s">
        <v>109</v>
      </c>
      <c r="E26" s="57">
        <v>1.7683000000000001E-2</v>
      </c>
      <c r="F26" s="57">
        <v>0.144719460918</v>
      </c>
    </row>
    <row r="27" spans="2:6" x14ac:dyDescent="0.25">
      <c r="B27">
        <v>27</v>
      </c>
      <c r="C27" t="s">
        <v>124</v>
      </c>
      <c r="D27" t="s">
        <v>109</v>
      </c>
      <c r="E27">
        <v>-0.88386299999999995</v>
      </c>
      <c r="F27">
        <v>0.20496778773499999</v>
      </c>
    </row>
    <row r="28" spans="2:6" x14ac:dyDescent="0.25">
      <c r="B28">
        <v>28</v>
      </c>
      <c r="C28" t="s">
        <v>125</v>
      </c>
      <c r="D28" t="s">
        <v>109</v>
      </c>
      <c r="E28">
        <v>-1.604725</v>
      </c>
      <c r="F28">
        <v>0.245169334865</v>
      </c>
    </row>
    <row r="29" spans="2:6" x14ac:dyDescent="0.25">
      <c r="B29">
        <v>29</v>
      </c>
      <c r="C29" t="s">
        <v>126</v>
      </c>
      <c r="D29" t="s">
        <v>109</v>
      </c>
      <c r="E29">
        <v>-2.4918230000000001</v>
      </c>
      <c r="F29">
        <v>0.33452869444799999</v>
      </c>
    </row>
    <row r="30" spans="2:6" x14ac:dyDescent="0.25">
      <c r="B30">
        <v>30</v>
      </c>
      <c r="C30" t="s">
        <v>127</v>
      </c>
      <c r="D30" t="s">
        <v>107</v>
      </c>
      <c r="E30">
        <v>-10</v>
      </c>
      <c r="F30">
        <v>0</v>
      </c>
    </row>
    <row r="31" spans="2:6" x14ac:dyDescent="0.25">
      <c r="B31">
        <v>31</v>
      </c>
      <c r="C31" t="s">
        <v>128</v>
      </c>
      <c r="D31" t="s">
        <v>109</v>
      </c>
      <c r="E31">
        <v>-1.672868</v>
      </c>
      <c r="F31">
        <v>0.36667143581200001</v>
      </c>
    </row>
    <row r="32" spans="2:6" x14ac:dyDescent="0.25">
      <c r="B32">
        <v>32</v>
      </c>
      <c r="C32" t="s">
        <v>129</v>
      </c>
      <c r="D32" t="s">
        <v>109</v>
      </c>
      <c r="E32">
        <v>-1.041045</v>
      </c>
      <c r="F32">
        <v>0.27972481901200003</v>
      </c>
    </row>
    <row r="33" spans="2:6" x14ac:dyDescent="0.25">
      <c r="B33">
        <v>33</v>
      </c>
      <c r="C33" t="s">
        <v>130</v>
      </c>
      <c r="D33" t="s">
        <v>109</v>
      </c>
      <c r="E33">
        <v>-0.617788</v>
      </c>
      <c r="F33">
        <v>0.20452030135499999</v>
      </c>
    </row>
    <row r="34" spans="2:6" x14ac:dyDescent="0.25">
      <c r="B34">
        <v>34</v>
      </c>
      <c r="C34" t="s">
        <v>131</v>
      </c>
      <c r="D34" t="s">
        <v>109</v>
      </c>
      <c r="E34">
        <v>-0.160163</v>
      </c>
      <c r="F34">
        <v>0.147904033164</v>
      </c>
    </row>
    <row r="35" spans="2:6" x14ac:dyDescent="0.25">
      <c r="B35">
        <v>35</v>
      </c>
      <c r="C35" t="s">
        <v>132</v>
      </c>
      <c r="D35" t="s">
        <v>107</v>
      </c>
      <c r="E35">
        <v>-7.2091000000000002E-2</v>
      </c>
      <c r="F35">
        <v>0</v>
      </c>
    </row>
    <row r="36" spans="2:6" x14ac:dyDescent="0.25">
      <c r="B36">
        <v>36</v>
      </c>
      <c r="C36" t="s">
        <v>133</v>
      </c>
      <c r="D36" t="s">
        <v>109</v>
      </c>
      <c r="E36">
        <v>-0.79294299999999995</v>
      </c>
      <c r="F36">
        <v>0.197936565531</v>
      </c>
    </row>
    <row r="37" spans="2:6" x14ac:dyDescent="0.25">
      <c r="B37">
        <v>37</v>
      </c>
      <c r="C37" t="s">
        <v>134</v>
      </c>
      <c r="D37" t="s">
        <v>109</v>
      </c>
      <c r="E37">
        <v>-1.8158650000000001</v>
      </c>
      <c r="F37">
        <v>0.36414176398499998</v>
      </c>
    </row>
    <row r="38" spans="2:6" x14ac:dyDescent="0.25">
      <c r="B38">
        <v>38</v>
      </c>
      <c r="C38" t="s">
        <v>135</v>
      </c>
      <c r="D38" t="s">
        <v>109</v>
      </c>
      <c r="E38">
        <v>-3.215354</v>
      </c>
      <c r="F38">
        <v>0.51836226592599999</v>
      </c>
    </row>
    <row r="39" spans="2:6" x14ac:dyDescent="0.25">
      <c r="B39">
        <v>39</v>
      </c>
      <c r="C39" t="s">
        <v>136</v>
      </c>
      <c r="D39" t="s">
        <v>109</v>
      </c>
      <c r="E39">
        <v>-5.0070750000000004</v>
      </c>
      <c r="F39">
        <v>0.820740270509</v>
      </c>
    </row>
    <row r="40" spans="2:6" x14ac:dyDescent="0.25">
      <c r="B40">
        <v>40</v>
      </c>
      <c r="C40" t="s">
        <v>137</v>
      </c>
      <c r="D40" t="s">
        <v>107</v>
      </c>
      <c r="E40">
        <v>-10</v>
      </c>
      <c r="F40">
        <v>0</v>
      </c>
    </row>
    <row r="41" spans="2:6" x14ac:dyDescent="0.25">
      <c r="B41">
        <v>41</v>
      </c>
      <c r="C41" t="s">
        <v>138</v>
      </c>
      <c r="D41" t="s">
        <v>109</v>
      </c>
      <c r="E41" s="57">
        <v>0.28932022582700001</v>
      </c>
      <c r="F41" s="57">
        <v>8.1790819621500005E-2</v>
      </c>
    </row>
    <row r="42" spans="2:6" x14ac:dyDescent="0.25">
      <c r="B42">
        <v>42</v>
      </c>
      <c r="C42" t="s">
        <v>139</v>
      </c>
      <c r="D42" t="s">
        <v>109</v>
      </c>
      <c r="E42" s="57">
        <v>-0.126020317947</v>
      </c>
      <c r="F42" s="57">
        <v>0.14444759103999999</v>
      </c>
    </row>
    <row r="43" spans="2:6" x14ac:dyDescent="0.25">
      <c r="B43">
        <v>43</v>
      </c>
      <c r="C43" t="s">
        <v>140</v>
      </c>
      <c r="D43" t="s">
        <v>109</v>
      </c>
      <c r="E43">
        <v>0.21889169970399999</v>
      </c>
      <c r="F43" s="57">
        <v>0.114107825336</v>
      </c>
    </row>
    <row r="44" spans="2:6" x14ac:dyDescent="0.25">
      <c r="B44">
        <v>44</v>
      </c>
      <c r="C44" t="s">
        <v>141</v>
      </c>
      <c r="D44" t="s">
        <v>109</v>
      </c>
      <c r="E44" s="57">
        <v>-0.130191110389</v>
      </c>
      <c r="F44" s="57">
        <v>0.18202934117799999</v>
      </c>
    </row>
    <row r="45" spans="2:6" x14ac:dyDescent="0.25">
      <c r="B45">
        <v>45</v>
      </c>
      <c r="C45" t="s">
        <v>142</v>
      </c>
      <c r="D45" t="s">
        <v>109</v>
      </c>
      <c r="E45">
        <v>0.16568715041199999</v>
      </c>
      <c r="F45" s="57">
        <v>2.0000137764899999E-2</v>
      </c>
    </row>
    <row r="46" spans="2:6" x14ac:dyDescent="0.25">
      <c r="B46">
        <v>46</v>
      </c>
      <c r="C46" t="s">
        <v>143</v>
      </c>
      <c r="D46" t="s">
        <v>109</v>
      </c>
      <c r="E46" s="57">
        <v>-7.5649381697400001E-2</v>
      </c>
      <c r="F46" s="57">
        <v>1.8610123099900001E-2</v>
      </c>
    </row>
    <row r="47" spans="2:6" x14ac:dyDescent="0.25">
      <c r="B47">
        <v>49</v>
      </c>
      <c r="C47" t="s">
        <v>144</v>
      </c>
      <c r="D47" t="s">
        <v>109</v>
      </c>
      <c r="E47" s="57">
        <v>-6.2615357102599994E-2</v>
      </c>
      <c r="F47" s="57">
        <v>3.4710304796399999E-2</v>
      </c>
    </row>
    <row r="48" spans="2:6" x14ac:dyDescent="0.25">
      <c r="B48">
        <v>50</v>
      </c>
      <c r="C48" t="s">
        <v>145</v>
      </c>
      <c r="D48" t="s">
        <v>109</v>
      </c>
      <c r="E48" s="57">
        <v>5.8936801301500003E-2</v>
      </c>
      <c r="F48" s="57">
        <v>2.0920637709499999E-2</v>
      </c>
    </row>
    <row r="49" spans="2:6" x14ac:dyDescent="0.25">
      <c r="B49">
        <v>61</v>
      </c>
      <c r="C49" t="s">
        <v>146</v>
      </c>
      <c r="D49" t="s">
        <v>109</v>
      </c>
      <c r="E49" s="57">
        <v>1.3894069452699999E-2</v>
      </c>
      <c r="F49" s="57">
        <v>8.3411937746000007E-3</v>
      </c>
    </row>
    <row r="50" spans="2:6" x14ac:dyDescent="0.25">
      <c r="B50">
        <v>62</v>
      </c>
      <c r="C50" t="s">
        <v>147</v>
      </c>
      <c r="D50" t="s">
        <v>109</v>
      </c>
      <c r="E50" s="57">
        <v>-3.35065604818E-2</v>
      </c>
      <c r="F50" s="57">
        <v>8.38002977703E-3</v>
      </c>
    </row>
    <row r="51" spans="2:6" x14ac:dyDescent="0.25">
      <c r="B51">
        <v>65</v>
      </c>
      <c r="C51" t="s">
        <v>148</v>
      </c>
      <c r="D51" t="s">
        <v>109</v>
      </c>
      <c r="E51" s="57">
        <v>-5.4867372478100002E-3</v>
      </c>
      <c r="F51" s="57">
        <v>7.3917522604599996E-3</v>
      </c>
    </row>
    <row r="52" spans="2:6" x14ac:dyDescent="0.25">
      <c r="B52">
        <v>66</v>
      </c>
      <c r="C52" t="s">
        <v>149</v>
      </c>
      <c r="D52" t="s">
        <v>109</v>
      </c>
      <c r="E52" s="57">
        <v>-3.6193574736200003E-2</v>
      </c>
      <c r="F52" s="57">
        <v>7.8544593236800006E-3</v>
      </c>
    </row>
    <row r="53" spans="2:6" x14ac:dyDescent="0.25">
      <c r="B53">
        <v>67</v>
      </c>
      <c r="C53" t="s">
        <v>150</v>
      </c>
      <c r="D53" t="s">
        <v>109</v>
      </c>
      <c r="E53" s="57">
        <v>-2.12729108975E-2</v>
      </c>
      <c r="F53" s="57">
        <v>1.7916013650899999E-2</v>
      </c>
    </row>
    <row r="54" spans="2:6" x14ac:dyDescent="0.25">
      <c r="B54">
        <v>68</v>
      </c>
      <c r="C54" t="s">
        <v>151</v>
      </c>
      <c r="D54" t="s">
        <v>109</v>
      </c>
      <c r="E54" s="57">
        <v>3.8531785887300003E-2</v>
      </c>
      <c r="F54" s="57">
        <v>1.5124703998900001E-2</v>
      </c>
    </row>
    <row r="55" spans="2:6" x14ac:dyDescent="0.25">
      <c r="B55">
        <v>85</v>
      </c>
      <c r="C55" t="s">
        <v>152</v>
      </c>
      <c r="D55" t="s">
        <v>107</v>
      </c>
      <c r="E55">
        <v>0.25</v>
      </c>
      <c r="F55">
        <v>0</v>
      </c>
    </row>
    <row r="56" spans="2:6" x14ac:dyDescent="0.25">
      <c r="B56">
        <v>86</v>
      </c>
      <c r="C56" t="s">
        <v>153</v>
      </c>
      <c r="D56" t="s">
        <v>107</v>
      </c>
      <c r="E56">
        <v>0.25</v>
      </c>
      <c r="F56">
        <v>0</v>
      </c>
    </row>
    <row r="57" spans="2:6" x14ac:dyDescent="0.25">
      <c r="B57">
        <v>87</v>
      </c>
      <c r="C57" t="s">
        <v>154</v>
      </c>
      <c r="D57" t="s">
        <v>107</v>
      </c>
      <c r="E57">
        <v>0.25</v>
      </c>
      <c r="F57">
        <v>0</v>
      </c>
    </row>
    <row r="58" spans="2:6" x14ac:dyDescent="0.25">
      <c r="B58">
        <v>88</v>
      </c>
      <c r="C58" t="s">
        <v>155</v>
      </c>
      <c r="D58" t="s">
        <v>107</v>
      </c>
      <c r="E58">
        <v>0.25</v>
      </c>
      <c r="F58">
        <v>0</v>
      </c>
    </row>
    <row r="59" spans="2:6" x14ac:dyDescent="0.25">
      <c r="B59">
        <v>91</v>
      </c>
      <c r="C59" t="s">
        <v>156</v>
      </c>
      <c r="D59" t="s">
        <v>109</v>
      </c>
      <c r="E59">
        <v>4.3984912551099997</v>
      </c>
      <c r="F59">
        <v>1.96603329105</v>
      </c>
    </row>
    <row r="60" spans="2:6" x14ac:dyDescent="0.25">
      <c r="B60">
        <v>92</v>
      </c>
      <c r="C60" t="s">
        <v>157</v>
      </c>
      <c r="D60" t="s">
        <v>109</v>
      </c>
      <c r="E60">
        <v>1.2976531666</v>
      </c>
      <c r="F60">
        <v>1.1720550539300001</v>
      </c>
    </row>
    <row r="61" spans="2:6" x14ac:dyDescent="0.25">
      <c r="B61">
        <v>93</v>
      </c>
      <c r="C61" t="s">
        <v>158</v>
      </c>
      <c r="D61" t="s">
        <v>109</v>
      </c>
      <c r="E61">
        <v>-0.13712603030000001</v>
      </c>
      <c r="F61" s="57">
        <v>3.2875457459200001E-2</v>
      </c>
    </row>
    <row r="62" spans="2:6" x14ac:dyDescent="0.25">
      <c r="B62">
        <v>94</v>
      </c>
      <c r="C62" t="s">
        <v>159</v>
      </c>
      <c r="D62" t="s">
        <v>109</v>
      </c>
      <c r="E62">
        <v>-0.117727254534</v>
      </c>
      <c r="F62" s="57">
        <v>2.82168740236E-2</v>
      </c>
    </row>
    <row r="63" spans="2:6" x14ac:dyDescent="0.25">
      <c r="B63">
        <v>95</v>
      </c>
      <c r="C63" t="s">
        <v>160</v>
      </c>
      <c r="D63" t="s">
        <v>109</v>
      </c>
      <c r="E63" s="57">
        <v>-8.0903295982399995E-2</v>
      </c>
      <c r="F63" s="57">
        <v>3.8563633848499999E-2</v>
      </c>
    </row>
    <row r="64" spans="2:6" x14ac:dyDescent="0.25">
      <c r="B64">
        <v>96</v>
      </c>
      <c r="C64" t="s">
        <v>161</v>
      </c>
      <c r="D64" t="s">
        <v>109</v>
      </c>
      <c r="E64" s="57">
        <v>-2.0259430948599999E-2</v>
      </c>
      <c r="F64" s="57">
        <v>3.01211486939E-2</v>
      </c>
    </row>
    <row r="65" spans="2:11" x14ac:dyDescent="0.25">
      <c r="B65">
        <v>97</v>
      </c>
      <c r="C65" t="s">
        <v>162</v>
      </c>
      <c r="D65" t="s">
        <v>109</v>
      </c>
      <c r="E65">
        <v>-88.147824057299999</v>
      </c>
      <c r="F65">
        <v>14.178858871899999</v>
      </c>
    </row>
    <row r="66" spans="2:11" x14ac:dyDescent="0.25">
      <c r="B66">
        <v>99</v>
      </c>
      <c r="C66" t="s">
        <v>163</v>
      </c>
      <c r="D66" t="s">
        <v>109</v>
      </c>
      <c r="E66">
        <v>-0.515327957738</v>
      </c>
      <c r="F66">
        <v>0.26278775001999999</v>
      </c>
    </row>
    <row r="67" spans="2:11" x14ac:dyDescent="0.25">
      <c r="B67">
        <v>100</v>
      </c>
      <c r="C67" t="s">
        <v>164</v>
      </c>
      <c r="D67" t="s">
        <v>109</v>
      </c>
      <c r="E67" s="57">
        <v>-1.48342258525</v>
      </c>
      <c r="F67">
        <v>0.62838814571900004</v>
      </c>
    </row>
    <row r="68" spans="2:11" x14ac:dyDescent="0.25">
      <c r="B68">
        <v>124</v>
      </c>
      <c r="C68" t="s">
        <v>165</v>
      </c>
      <c r="D68" t="s">
        <v>109</v>
      </c>
      <c r="E68">
        <v>1.6847908809200001</v>
      </c>
      <c r="F68" s="57">
        <v>0.124449884057</v>
      </c>
    </row>
    <row r="69" spans="2:11" x14ac:dyDescent="0.25">
      <c r="B69">
        <v>139</v>
      </c>
      <c r="C69" t="s">
        <v>166</v>
      </c>
      <c r="D69" t="s">
        <v>109</v>
      </c>
      <c r="E69">
        <v>0.28553018058200003</v>
      </c>
      <c r="F69" s="57">
        <v>3.96616510337E-2</v>
      </c>
    </row>
    <row r="70" spans="2:11" x14ac:dyDescent="0.25">
      <c r="B70">
        <v>140</v>
      </c>
      <c r="C70" t="s">
        <v>167</v>
      </c>
      <c r="D70" t="s">
        <v>109</v>
      </c>
      <c r="E70" s="57">
        <v>0.115396426521</v>
      </c>
      <c r="F70" s="57">
        <v>4.6268888288900002E-2</v>
      </c>
    </row>
    <row r="71" spans="2:11" x14ac:dyDescent="0.25">
      <c r="B71">
        <v>143</v>
      </c>
      <c r="C71" t="s">
        <v>168</v>
      </c>
      <c r="D71" t="s">
        <v>109</v>
      </c>
      <c r="E71" s="57">
        <v>0.10498530294699999</v>
      </c>
      <c r="F71" s="57">
        <v>3.9099946337000001E-2</v>
      </c>
    </row>
    <row r="72" spans="2:11" x14ac:dyDescent="0.25">
      <c r="B72">
        <v>144</v>
      </c>
      <c r="C72" t="s">
        <v>169</v>
      </c>
      <c r="D72" t="s">
        <v>109</v>
      </c>
      <c r="E72" s="57">
        <v>0.15534523906299999</v>
      </c>
      <c r="F72" s="57">
        <v>2.8784104356000002E-2</v>
      </c>
    </row>
    <row r="73" spans="2:11" x14ac:dyDescent="0.25">
      <c r="B73">
        <v>-1</v>
      </c>
    </row>
    <row r="74" spans="2:11" x14ac:dyDescent="0.25">
      <c r="B74">
        <v>1422</v>
      </c>
      <c r="C74" s="57">
        <v>-6449.0449196199997</v>
      </c>
      <c r="D74" s="57">
        <v>-9890.1744363100006</v>
      </c>
      <c r="E74" s="57">
        <v>-6708.2478466499997</v>
      </c>
    </row>
    <row r="75" spans="2:11" x14ac:dyDescent="0.25">
      <c r="B75">
        <v>7</v>
      </c>
      <c r="C75" t="s">
        <v>221</v>
      </c>
      <c r="D75" t="s">
        <v>104</v>
      </c>
      <c r="E75">
        <v>7</v>
      </c>
      <c r="F75" t="s">
        <v>199</v>
      </c>
      <c r="G75">
        <v>12</v>
      </c>
    </row>
    <row r="76" spans="2:11" x14ac:dyDescent="0.25">
      <c r="B76">
        <v>0</v>
      </c>
      <c r="C76">
        <v>0</v>
      </c>
      <c r="D76">
        <v>43065</v>
      </c>
      <c r="E76">
        <v>0</v>
      </c>
      <c r="F76">
        <v>0</v>
      </c>
      <c r="G76">
        <v>0</v>
      </c>
      <c r="H76">
        <v>0</v>
      </c>
      <c r="I76">
        <v>-13227</v>
      </c>
      <c r="J76">
        <v>-6069</v>
      </c>
      <c r="K76">
        <v>0</v>
      </c>
    </row>
    <row r="77" spans="2:11" x14ac:dyDescent="0.25">
      <c r="B77">
        <v>0</v>
      </c>
      <c r="C77">
        <v>-30183</v>
      </c>
      <c r="D77">
        <v>-32672</v>
      </c>
      <c r="E77">
        <v>0</v>
      </c>
      <c r="F77">
        <v>43352</v>
      </c>
      <c r="G77">
        <v>0</v>
      </c>
      <c r="H77">
        <v>-32876</v>
      </c>
      <c r="I77">
        <v>-39428</v>
      </c>
      <c r="J77">
        <v>0</v>
      </c>
      <c r="K77">
        <v>39740</v>
      </c>
    </row>
    <row r="78" spans="2:11" x14ac:dyDescent="0.25">
      <c r="B78">
        <v>73936</v>
      </c>
      <c r="C78">
        <v>0</v>
      </c>
      <c r="D78">
        <v>-35223</v>
      </c>
      <c r="E78">
        <v>-42359</v>
      </c>
      <c r="F78">
        <v>0</v>
      </c>
      <c r="G78">
        <v>39035</v>
      </c>
      <c r="H78">
        <v>72702</v>
      </c>
      <c r="I78">
        <v>84825</v>
      </c>
      <c r="J78">
        <v>0</v>
      </c>
      <c r="K78">
        <v>-28385</v>
      </c>
    </row>
    <row r="79" spans="2:11" x14ac:dyDescent="0.25">
      <c r="B79">
        <v>-34705</v>
      </c>
      <c r="C79">
        <v>0</v>
      </c>
      <c r="D79">
        <v>32029</v>
      </c>
      <c r="E79">
        <v>61936</v>
      </c>
      <c r="F79">
        <v>73707</v>
      </c>
      <c r="G79">
        <v>83491</v>
      </c>
      <c r="H79">
        <v>0</v>
      </c>
      <c r="I79">
        <v>0</v>
      </c>
      <c r="J79">
        <v>0</v>
      </c>
      <c r="K79">
        <v>0</v>
      </c>
    </row>
    <row r="80" spans="2:11" x14ac:dyDescent="0.25"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</row>
    <row r="81" spans="2:11" x14ac:dyDescent="0.25"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-23828</v>
      </c>
      <c r="I81">
        <v>-30176</v>
      </c>
      <c r="J81">
        <v>0</v>
      </c>
      <c r="K81">
        <v>22496</v>
      </c>
    </row>
    <row r="82" spans="2:11" x14ac:dyDescent="0.25">
      <c r="B82">
        <v>40406</v>
      </c>
      <c r="C82">
        <v>43130</v>
      </c>
      <c r="D82">
        <v>45841</v>
      </c>
      <c r="E82">
        <v>39776</v>
      </c>
      <c r="F82">
        <v>0</v>
      </c>
      <c r="G82">
        <v>0</v>
      </c>
      <c r="H82">
        <v>0</v>
      </c>
      <c r="I82">
        <v>-25249</v>
      </c>
      <c r="J82">
        <v>-30577</v>
      </c>
      <c r="K82">
        <v>0</v>
      </c>
    </row>
    <row r="83" spans="2:11" x14ac:dyDescent="0.25">
      <c r="B83">
        <v>22293</v>
      </c>
      <c r="C83">
        <v>37926</v>
      </c>
      <c r="D83">
        <v>39928</v>
      </c>
      <c r="E83">
        <v>44544</v>
      </c>
      <c r="F83">
        <v>38858</v>
      </c>
      <c r="G83">
        <v>0</v>
      </c>
      <c r="H83">
        <v>0</v>
      </c>
      <c r="I83">
        <v>68512</v>
      </c>
      <c r="J83">
        <v>0</v>
      </c>
      <c r="K83">
        <v>-24009</v>
      </c>
    </row>
    <row r="84" spans="2:11" x14ac:dyDescent="0.25">
      <c r="B84">
        <v>-26436</v>
      </c>
      <c r="C84">
        <v>0</v>
      </c>
      <c r="D84">
        <v>17489</v>
      </c>
      <c r="E84">
        <v>25846</v>
      </c>
      <c r="F84">
        <v>28999</v>
      </c>
      <c r="G84">
        <v>36369</v>
      </c>
      <c r="H84">
        <v>30497</v>
      </c>
      <c r="I84">
        <v>0</v>
      </c>
      <c r="J84">
        <v>0</v>
      </c>
      <c r="K84">
        <v>59021</v>
      </c>
    </row>
    <row r="85" spans="2:11" x14ac:dyDescent="0.25">
      <c r="B85">
        <v>82246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</row>
    <row r="86" spans="2:11" x14ac:dyDescent="0.25"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11608</v>
      </c>
      <c r="I86">
        <v>14010</v>
      </c>
      <c r="J86">
        <v>0</v>
      </c>
      <c r="K86">
        <v>-7174</v>
      </c>
    </row>
    <row r="87" spans="2:11" x14ac:dyDescent="0.25">
      <c r="B87">
        <v>-11586</v>
      </c>
      <c r="C87">
        <v>-12466</v>
      </c>
      <c r="D87">
        <v>-19341</v>
      </c>
      <c r="E87">
        <v>-15699</v>
      </c>
      <c r="F87">
        <v>0</v>
      </c>
      <c r="G87">
        <v>0</v>
      </c>
      <c r="H87">
        <v>-3221</v>
      </c>
      <c r="I87">
        <v>1661</v>
      </c>
      <c r="J87">
        <v>17699</v>
      </c>
      <c r="K87">
        <v>0</v>
      </c>
    </row>
    <row r="88" spans="2:11" x14ac:dyDescent="0.25">
      <c r="B88">
        <v>0</v>
      </c>
      <c r="C88">
        <v>11775</v>
      </c>
      <c r="D88">
        <v>15830</v>
      </c>
      <c r="E88">
        <v>0</v>
      </c>
      <c r="F88">
        <v>-10739</v>
      </c>
      <c r="G88">
        <v>-15589</v>
      </c>
      <c r="H88">
        <v>-16294</v>
      </c>
      <c r="I88">
        <v>-24958</v>
      </c>
      <c r="J88">
        <v>-19570</v>
      </c>
      <c r="K88">
        <v>0</v>
      </c>
    </row>
    <row r="89" spans="2:11" x14ac:dyDescent="0.25">
      <c r="B89">
        <v>0</v>
      </c>
      <c r="C89">
        <v>-12576</v>
      </c>
      <c r="D89">
        <v>-11653</v>
      </c>
      <c r="E89">
        <v>2349</v>
      </c>
      <c r="F89">
        <v>0</v>
      </c>
      <c r="G89">
        <v>52442</v>
      </c>
      <c r="H89">
        <v>0</v>
      </c>
      <c r="I89">
        <v>13188</v>
      </c>
      <c r="J89">
        <v>18045</v>
      </c>
      <c r="K89">
        <v>0</v>
      </c>
    </row>
    <row r="90" spans="2:11" x14ac:dyDescent="0.25">
      <c r="B90">
        <v>-13816</v>
      </c>
      <c r="C90">
        <v>-25571</v>
      </c>
      <c r="D90">
        <v>-27085</v>
      </c>
      <c r="E90">
        <v>-36721</v>
      </c>
      <c r="F90">
        <v>-35536</v>
      </c>
      <c r="G90">
        <v>0</v>
      </c>
      <c r="H90">
        <v>0</v>
      </c>
      <c r="I90">
        <v>-24088</v>
      </c>
      <c r="J90">
        <v>-25004</v>
      </c>
      <c r="K90">
        <v>-9241</v>
      </c>
    </row>
    <row r="91" spans="2:11" x14ac:dyDescent="0.25">
      <c r="B91">
        <v>0</v>
      </c>
      <c r="C91">
        <v>48784</v>
      </c>
      <c r="D91">
        <v>52429</v>
      </c>
      <c r="E91">
        <v>0</v>
      </c>
      <c r="F91">
        <v>14659</v>
      </c>
      <c r="G91">
        <v>19666</v>
      </c>
      <c r="H91">
        <v>0</v>
      </c>
      <c r="I91">
        <v>-15019</v>
      </c>
      <c r="J91">
        <v>-30211</v>
      </c>
      <c r="K91">
        <v>-34933</v>
      </c>
    </row>
    <row r="92" spans="2:11" x14ac:dyDescent="0.25">
      <c r="B92">
        <v>-43249</v>
      </c>
      <c r="C92">
        <v>-46880</v>
      </c>
      <c r="D92">
        <v>0</v>
      </c>
      <c r="E92">
        <v>0</v>
      </c>
      <c r="F92">
        <v>-33356</v>
      </c>
      <c r="G92">
        <v>-36850</v>
      </c>
      <c r="H92">
        <v>-20037</v>
      </c>
      <c r="I92">
        <v>0</v>
      </c>
      <c r="J92">
        <v>42492</v>
      </c>
      <c r="K92">
        <v>47451</v>
      </c>
    </row>
    <row r="93" spans="2:11" x14ac:dyDescent="0.25">
      <c r="B93">
        <v>65365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</row>
    <row r="94" spans="2:11" x14ac:dyDescent="0.25"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</row>
    <row r="95" spans="2:11" x14ac:dyDescent="0.25">
      <c r="B95">
        <v>0</v>
      </c>
      <c r="C95">
        <v>4714</v>
      </c>
      <c r="D95">
        <v>-924</v>
      </c>
      <c r="E95">
        <v>0</v>
      </c>
      <c r="F95">
        <v>-7845</v>
      </c>
      <c r="G95">
        <v>-7232</v>
      </c>
      <c r="H95">
        <v>-3884</v>
      </c>
      <c r="I95">
        <v>-5109</v>
      </c>
      <c r="J95">
        <v>-7709</v>
      </c>
      <c r="K95">
        <v>0</v>
      </c>
    </row>
    <row r="96" spans="2:11" x14ac:dyDescent="0.25">
      <c r="B96">
        <v>0</v>
      </c>
      <c r="C96">
        <v>-18669</v>
      </c>
      <c r="D96">
        <v>-16538</v>
      </c>
      <c r="E96">
        <v>-11595</v>
      </c>
      <c r="F96">
        <v>0</v>
      </c>
      <c r="G96">
        <v>9907</v>
      </c>
      <c r="H96">
        <v>8057</v>
      </c>
      <c r="I96">
        <v>9161</v>
      </c>
      <c r="J96">
        <v>15186</v>
      </c>
      <c r="K96">
        <v>0</v>
      </c>
    </row>
    <row r="97" spans="2:11" x14ac:dyDescent="0.25">
      <c r="B97">
        <v>0</v>
      </c>
      <c r="C97">
        <v>7849</v>
      </c>
      <c r="D97">
        <v>1253</v>
      </c>
      <c r="E97">
        <v>0</v>
      </c>
      <c r="F97">
        <v>-9929</v>
      </c>
      <c r="G97">
        <v>-8061</v>
      </c>
      <c r="H97">
        <v>-2014</v>
      </c>
      <c r="I97">
        <v>-5284</v>
      </c>
      <c r="J97">
        <v>-6211</v>
      </c>
      <c r="K97">
        <v>0</v>
      </c>
    </row>
    <row r="98" spans="2:11" x14ac:dyDescent="0.25">
      <c r="B98">
        <v>0</v>
      </c>
      <c r="C98">
        <v>-13745</v>
      </c>
      <c r="D98">
        <v>-20820</v>
      </c>
      <c r="E98">
        <v>-16390</v>
      </c>
      <c r="F98">
        <v>0</v>
      </c>
      <c r="G98">
        <v>12268</v>
      </c>
      <c r="H98">
        <v>9407</v>
      </c>
      <c r="I98">
        <v>7457</v>
      </c>
      <c r="J98">
        <v>11556</v>
      </c>
      <c r="K98">
        <v>0</v>
      </c>
    </row>
    <row r="99" spans="2:11" x14ac:dyDescent="0.25">
      <c r="B99">
        <v>91290</v>
      </c>
      <c r="C99">
        <v>0</v>
      </c>
      <c r="D99">
        <v>12321</v>
      </c>
      <c r="E99">
        <v>4549</v>
      </c>
      <c r="F99">
        <v>0</v>
      </c>
      <c r="G99">
        <v>-9089</v>
      </c>
      <c r="H99">
        <v>-3032</v>
      </c>
      <c r="I99">
        <v>-474</v>
      </c>
      <c r="J99">
        <v>-6274</v>
      </c>
      <c r="K99">
        <v>-5653</v>
      </c>
    </row>
    <row r="100" spans="2:11" x14ac:dyDescent="0.25">
      <c r="B100">
        <v>0</v>
      </c>
      <c r="C100">
        <v>0</v>
      </c>
      <c r="D100">
        <v>-12771</v>
      </c>
      <c r="E100">
        <v>-18044</v>
      </c>
      <c r="F100">
        <v>-26199</v>
      </c>
      <c r="G100">
        <v>0</v>
      </c>
      <c r="H100">
        <v>15694</v>
      </c>
      <c r="I100">
        <v>11282</v>
      </c>
      <c r="J100">
        <v>8592</v>
      </c>
      <c r="K100">
        <v>10448</v>
      </c>
    </row>
    <row r="101" spans="2:11" x14ac:dyDescent="0.25">
      <c r="B101">
        <v>0</v>
      </c>
      <c r="C101">
        <v>83201</v>
      </c>
      <c r="D101">
        <v>88695</v>
      </c>
      <c r="E101">
        <v>0</v>
      </c>
      <c r="F101">
        <v>13354</v>
      </c>
      <c r="G101">
        <v>1008</v>
      </c>
      <c r="H101">
        <v>0</v>
      </c>
      <c r="I101">
        <v>-6332</v>
      </c>
      <c r="J101">
        <v>-3899</v>
      </c>
      <c r="K101">
        <v>-2667</v>
      </c>
    </row>
    <row r="102" spans="2:11" x14ac:dyDescent="0.25">
      <c r="B102">
        <v>-9840</v>
      </c>
      <c r="C102">
        <v>-8048</v>
      </c>
      <c r="D102">
        <v>0</v>
      </c>
      <c r="E102">
        <v>0</v>
      </c>
      <c r="F102">
        <v>-12127</v>
      </c>
      <c r="G102">
        <v>-16748</v>
      </c>
      <c r="H102">
        <v>-24033</v>
      </c>
      <c r="I102">
        <v>0</v>
      </c>
      <c r="J102">
        <v>21280</v>
      </c>
      <c r="K102">
        <v>14796</v>
      </c>
    </row>
    <row r="103" spans="2:11" x14ac:dyDescent="0.25">
      <c r="B103">
        <v>10865</v>
      </c>
      <c r="C103">
        <v>12141</v>
      </c>
      <c r="D103">
        <v>0</v>
      </c>
      <c r="E103">
        <v>66904</v>
      </c>
      <c r="F103">
        <v>74684</v>
      </c>
      <c r="G103">
        <v>84888</v>
      </c>
      <c r="H103">
        <v>0</v>
      </c>
      <c r="I103">
        <v>0</v>
      </c>
      <c r="J103">
        <v>0</v>
      </c>
      <c r="K103">
        <v>0</v>
      </c>
    </row>
    <row r="104" spans="2:11" x14ac:dyDescent="0.25"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</row>
    <row r="105" spans="2:11" x14ac:dyDescent="0.25"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</row>
    <row r="106" spans="2:11" x14ac:dyDescent="0.25">
      <c r="B106">
        <v>0</v>
      </c>
      <c r="C106">
        <v>2639</v>
      </c>
      <c r="D106">
        <v>-3433</v>
      </c>
      <c r="E106">
        <v>0</v>
      </c>
      <c r="F106">
        <v>693</v>
      </c>
      <c r="G106">
        <v>76</v>
      </c>
      <c r="H106">
        <v>-245</v>
      </c>
      <c r="I106">
        <v>2430</v>
      </c>
      <c r="J106">
        <v>2564</v>
      </c>
      <c r="K106">
        <v>0</v>
      </c>
    </row>
    <row r="107" spans="2:11" x14ac:dyDescent="0.25">
      <c r="B107">
        <v>0</v>
      </c>
      <c r="C107">
        <v>-1732</v>
      </c>
      <c r="D107">
        <v>-4172</v>
      </c>
      <c r="E107">
        <v>-7141</v>
      </c>
      <c r="F107">
        <v>0</v>
      </c>
      <c r="G107">
        <v>-14962</v>
      </c>
      <c r="H107">
        <v>-24943</v>
      </c>
      <c r="I107">
        <v>-17743</v>
      </c>
      <c r="J107">
        <v>-13071</v>
      </c>
      <c r="K107">
        <v>0</v>
      </c>
    </row>
    <row r="108" spans="2:11" x14ac:dyDescent="0.25">
      <c r="B108">
        <v>-8557</v>
      </c>
      <c r="C108">
        <v>-4547</v>
      </c>
      <c r="D108">
        <v>2562</v>
      </c>
      <c r="E108">
        <v>14866</v>
      </c>
      <c r="F108">
        <v>0</v>
      </c>
      <c r="G108">
        <v>0</v>
      </c>
      <c r="H108">
        <v>1732</v>
      </c>
      <c r="I108">
        <v>443</v>
      </c>
      <c r="J108">
        <v>0</v>
      </c>
      <c r="K108">
        <v>985</v>
      </c>
    </row>
    <row r="109" spans="2:11" x14ac:dyDescent="0.25">
      <c r="B109">
        <v>1564</v>
      </c>
      <c r="C109">
        <v>1135</v>
      </c>
      <c r="D109">
        <v>3451</v>
      </c>
      <c r="E109">
        <v>4756</v>
      </c>
      <c r="F109">
        <v>0</v>
      </c>
      <c r="G109">
        <v>0</v>
      </c>
      <c r="H109">
        <v>-720</v>
      </c>
      <c r="I109">
        <v>-3035</v>
      </c>
      <c r="J109">
        <v>-5466</v>
      </c>
      <c r="K109">
        <v>0</v>
      </c>
    </row>
    <row r="110" spans="2:11" x14ac:dyDescent="0.25">
      <c r="B110">
        <v>-2676</v>
      </c>
      <c r="C110">
        <v>-18359</v>
      </c>
      <c r="D110">
        <v>-25066</v>
      </c>
      <c r="E110">
        <v>-15048</v>
      </c>
      <c r="F110">
        <v>0</v>
      </c>
      <c r="G110">
        <v>-15316</v>
      </c>
      <c r="H110">
        <v>-11936</v>
      </c>
      <c r="I110">
        <v>-6571</v>
      </c>
      <c r="J110">
        <v>3134</v>
      </c>
      <c r="K110">
        <v>0</v>
      </c>
    </row>
    <row r="111" spans="2:11" x14ac:dyDescent="0.25">
      <c r="B111">
        <v>25640</v>
      </c>
      <c r="C111">
        <v>0</v>
      </c>
      <c r="D111">
        <v>3130</v>
      </c>
      <c r="E111">
        <v>2426</v>
      </c>
      <c r="F111">
        <v>0</v>
      </c>
      <c r="G111">
        <v>930</v>
      </c>
      <c r="H111">
        <v>1922</v>
      </c>
      <c r="I111">
        <v>1365</v>
      </c>
      <c r="J111">
        <v>2956</v>
      </c>
      <c r="K111">
        <v>6240</v>
      </c>
    </row>
    <row r="112" spans="2:11" x14ac:dyDescent="0.25">
      <c r="B112">
        <v>0</v>
      </c>
      <c r="C112">
        <v>0</v>
      </c>
      <c r="D112">
        <v>-802</v>
      </c>
      <c r="E112">
        <v>-3497</v>
      </c>
      <c r="F112">
        <v>-5951</v>
      </c>
      <c r="G112">
        <v>0</v>
      </c>
      <c r="H112">
        <v>-1133</v>
      </c>
      <c r="I112">
        <v>-6268</v>
      </c>
      <c r="J112">
        <v>-22303</v>
      </c>
      <c r="K112">
        <v>-20349</v>
      </c>
    </row>
    <row r="113" spans="2:11" x14ac:dyDescent="0.25">
      <c r="B113">
        <v>0</v>
      </c>
      <c r="C113">
        <v>-22710</v>
      </c>
      <c r="D113">
        <v>-19180</v>
      </c>
      <c r="E113">
        <v>-13714</v>
      </c>
      <c r="F113">
        <v>-3754</v>
      </c>
      <c r="G113">
        <v>0</v>
      </c>
      <c r="H113">
        <v>20988</v>
      </c>
      <c r="I113">
        <v>22745</v>
      </c>
      <c r="J113">
        <v>0</v>
      </c>
      <c r="K113">
        <v>2721</v>
      </c>
    </row>
    <row r="114" spans="2:11" x14ac:dyDescent="0.25">
      <c r="B114">
        <v>3144</v>
      </c>
      <c r="C114">
        <v>0</v>
      </c>
      <c r="D114">
        <v>788</v>
      </c>
      <c r="E114">
        <v>905</v>
      </c>
      <c r="F114">
        <v>349</v>
      </c>
      <c r="G114">
        <v>976</v>
      </c>
      <c r="H114">
        <v>4998</v>
      </c>
      <c r="I114">
        <v>0</v>
      </c>
      <c r="J114">
        <v>0</v>
      </c>
      <c r="K114">
        <v>-1652</v>
      </c>
    </row>
    <row r="115" spans="2:11" x14ac:dyDescent="0.25">
      <c r="B115">
        <v>-4415</v>
      </c>
      <c r="C115">
        <v>-6406</v>
      </c>
      <c r="D115">
        <v>0</v>
      </c>
      <c r="E115">
        <v>-213</v>
      </c>
      <c r="F115">
        <v>-3175</v>
      </c>
      <c r="G115">
        <v>-8087</v>
      </c>
      <c r="H115">
        <v>-21318</v>
      </c>
      <c r="I115">
        <v>0</v>
      </c>
      <c r="J115">
        <v>-26604</v>
      </c>
      <c r="K115">
        <v>-23738</v>
      </c>
    </row>
    <row r="116" spans="2:11" x14ac:dyDescent="0.25">
      <c r="B116">
        <v>-18709</v>
      </c>
      <c r="C116">
        <v>-9379</v>
      </c>
      <c r="D116">
        <v>0</v>
      </c>
      <c r="E116">
        <v>16807</v>
      </c>
      <c r="F116">
        <v>17836</v>
      </c>
      <c r="G116">
        <v>23144</v>
      </c>
      <c r="H116">
        <v>0</v>
      </c>
      <c r="I116">
        <v>0</v>
      </c>
      <c r="J116">
        <v>0</v>
      </c>
      <c r="K116">
        <v>0</v>
      </c>
    </row>
    <row r="117" spans="2:11" x14ac:dyDescent="0.25"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2:11" x14ac:dyDescent="0.25"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</row>
    <row r="119" spans="2:11" x14ac:dyDescent="0.25"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-3372</v>
      </c>
      <c r="I119">
        <v>-4241</v>
      </c>
      <c r="J119">
        <v>0</v>
      </c>
      <c r="K119">
        <v>2864</v>
      </c>
    </row>
    <row r="120" spans="2:11" x14ac:dyDescent="0.25">
      <c r="B120">
        <v>3401</v>
      </c>
      <c r="C120">
        <v>-459</v>
      </c>
      <c r="D120">
        <v>-4773</v>
      </c>
      <c r="E120">
        <v>-8610</v>
      </c>
      <c r="F120">
        <v>0</v>
      </c>
      <c r="G120">
        <v>0</v>
      </c>
      <c r="H120">
        <v>338</v>
      </c>
      <c r="I120">
        <v>1064</v>
      </c>
      <c r="J120">
        <v>893</v>
      </c>
      <c r="K120">
        <v>0</v>
      </c>
    </row>
    <row r="121" spans="2:11" x14ac:dyDescent="0.25">
      <c r="B121">
        <v>-1006</v>
      </c>
      <c r="C121">
        <v>-2323</v>
      </c>
      <c r="D121">
        <v>-3525</v>
      </c>
      <c r="E121">
        <v>-4763</v>
      </c>
      <c r="F121">
        <v>0</v>
      </c>
      <c r="G121">
        <v>-1727</v>
      </c>
      <c r="H121">
        <v>-2376</v>
      </c>
      <c r="I121">
        <v>-2430</v>
      </c>
      <c r="J121">
        <v>-1916</v>
      </c>
      <c r="K121">
        <v>0</v>
      </c>
    </row>
    <row r="122" spans="2:11" x14ac:dyDescent="0.25">
      <c r="B122">
        <v>1357</v>
      </c>
      <c r="C122">
        <v>1773</v>
      </c>
      <c r="D122">
        <v>2099</v>
      </c>
      <c r="E122">
        <v>2040</v>
      </c>
      <c r="F122">
        <v>0</v>
      </c>
      <c r="G122">
        <v>0</v>
      </c>
      <c r="H122">
        <v>-308</v>
      </c>
      <c r="I122">
        <v>-147</v>
      </c>
      <c r="J122">
        <v>0</v>
      </c>
      <c r="K122">
        <v>489</v>
      </c>
    </row>
    <row r="123" spans="2:11" x14ac:dyDescent="0.25">
      <c r="B123">
        <v>1021</v>
      </c>
      <c r="C123">
        <v>1499</v>
      </c>
      <c r="D123">
        <v>495</v>
      </c>
      <c r="E123">
        <v>-222</v>
      </c>
      <c r="F123">
        <v>0</v>
      </c>
      <c r="G123">
        <v>0</v>
      </c>
      <c r="H123">
        <v>-1451</v>
      </c>
      <c r="I123">
        <v>-625</v>
      </c>
      <c r="J123">
        <v>-19</v>
      </c>
      <c r="K123">
        <v>0</v>
      </c>
    </row>
    <row r="124" spans="2:11" x14ac:dyDescent="0.25">
      <c r="B124">
        <v>-654</v>
      </c>
      <c r="C124">
        <v>-1338</v>
      </c>
      <c r="D124">
        <v>-3054</v>
      </c>
      <c r="E124">
        <v>-4749</v>
      </c>
      <c r="F124">
        <v>0</v>
      </c>
      <c r="G124">
        <v>-1447</v>
      </c>
      <c r="H124">
        <v>-3249</v>
      </c>
      <c r="I124">
        <v>-3324</v>
      </c>
      <c r="J124">
        <v>-2504</v>
      </c>
      <c r="K124">
        <v>0</v>
      </c>
    </row>
    <row r="125" spans="2:11" x14ac:dyDescent="0.25">
      <c r="B125">
        <v>1562</v>
      </c>
      <c r="C125">
        <v>2120</v>
      </c>
      <c r="D125">
        <v>2744</v>
      </c>
      <c r="E125">
        <v>2730</v>
      </c>
      <c r="F125">
        <v>0</v>
      </c>
      <c r="G125">
        <v>53351</v>
      </c>
      <c r="H125">
        <v>0</v>
      </c>
      <c r="I125">
        <v>-2282</v>
      </c>
      <c r="J125">
        <v>-2791</v>
      </c>
      <c r="K125">
        <v>0</v>
      </c>
    </row>
    <row r="126" spans="2:11" x14ac:dyDescent="0.25">
      <c r="B126">
        <v>1700</v>
      </c>
      <c r="C126">
        <v>1267</v>
      </c>
      <c r="D126">
        <v>-1904</v>
      </c>
      <c r="E126">
        <v>-4570</v>
      </c>
      <c r="F126">
        <v>-6119</v>
      </c>
      <c r="G126">
        <v>0</v>
      </c>
      <c r="H126">
        <v>0</v>
      </c>
      <c r="I126">
        <v>1405</v>
      </c>
      <c r="J126">
        <v>1127</v>
      </c>
      <c r="K126">
        <v>528</v>
      </c>
    </row>
    <row r="127" spans="2:11" x14ac:dyDescent="0.25">
      <c r="B127">
        <v>0</v>
      </c>
      <c r="C127">
        <v>-447</v>
      </c>
      <c r="D127">
        <v>-1066</v>
      </c>
      <c r="E127">
        <v>-1275</v>
      </c>
      <c r="F127">
        <v>-1952</v>
      </c>
      <c r="G127">
        <v>0</v>
      </c>
      <c r="H127">
        <v>-951</v>
      </c>
      <c r="I127">
        <v>-1286</v>
      </c>
      <c r="J127">
        <v>-1332</v>
      </c>
      <c r="K127">
        <v>-1035</v>
      </c>
    </row>
    <row r="128" spans="2:11" x14ac:dyDescent="0.25">
      <c r="B128">
        <v>0</v>
      </c>
      <c r="C128">
        <v>679</v>
      </c>
      <c r="D128">
        <v>820</v>
      </c>
      <c r="E128">
        <v>967</v>
      </c>
      <c r="F128">
        <v>986</v>
      </c>
      <c r="G128">
        <v>0</v>
      </c>
      <c r="H128">
        <v>4274</v>
      </c>
      <c r="I128">
        <v>748</v>
      </c>
      <c r="J128">
        <v>0</v>
      </c>
      <c r="K128">
        <v>-316</v>
      </c>
    </row>
    <row r="129" spans="2:11" x14ac:dyDescent="0.25">
      <c r="B129">
        <v>-198</v>
      </c>
      <c r="C129">
        <v>0</v>
      </c>
      <c r="D129">
        <v>379</v>
      </c>
      <c r="E129">
        <v>636</v>
      </c>
      <c r="F129">
        <v>584</v>
      </c>
      <c r="G129">
        <v>-202</v>
      </c>
      <c r="H129">
        <v>-562</v>
      </c>
      <c r="I129">
        <v>0</v>
      </c>
      <c r="J129">
        <v>0</v>
      </c>
      <c r="K129">
        <v>-270</v>
      </c>
    </row>
    <row r="130" spans="2:11" x14ac:dyDescent="0.25">
      <c r="B130">
        <v>-237</v>
      </c>
      <c r="C130">
        <v>-36</v>
      </c>
      <c r="D130">
        <v>0</v>
      </c>
      <c r="E130">
        <v>-366</v>
      </c>
      <c r="F130">
        <v>-739</v>
      </c>
      <c r="G130">
        <v>-1442</v>
      </c>
      <c r="H130">
        <v>-2376</v>
      </c>
      <c r="I130">
        <v>0</v>
      </c>
      <c r="J130">
        <v>-610</v>
      </c>
      <c r="K130">
        <v>-2007</v>
      </c>
    </row>
    <row r="131" spans="2:11" x14ac:dyDescent="0.25">
      <c r="B131">
        <v>-2254</v>
      </c>
      <c r="C131">
        <v>-1700</v>
      </c>
      <c r="D131">
        <v>0</v>
      </c>
      <c r="E131">
        <v>978</v>
      </c>
      <c r="F131">
        <v>1245</v>
      </c>
      <c r="G131">
        <v>1566</v>
      </c>
      <c r="H131">
        <v>1537</v>
      </c>
      <c r="I131">
        <v>0</v>
      </c>
      <c r="J131">
        <v>1044</v>
      </c>
      <c r="K131">
        <v>909</v>
      </c>
    </row>
    <row r="132" spans="2:11" x14ac:dyDescent="0.25">
      <c r="B132">
        <v>58638</v>
      </c>
      <c r="C132">
        <v>0</v>
      </c>
      <c r="D132">
        <v>-3335</v>
      </c>
      <c r="E132">
        <v>-3518</v>
      </c>
      <c r="F132">
        <v>0</v>
      </c>
      <c r="G132">
        <v>586</v>
      </c>
      <c r="H132">
        <v>-8968</v>
      </c>
      <c r="I132">
        <v>-23770</v>
      </c>
      <c r="J132">
        <v>-32153</v>
      </c>
      <c r="K132">
        <v>-35406</v>
      </c>
    </row>
    <row r="133" spans="2:11" x14ac:dyDescent="0.25">
      <c r="B133">
        <v>0</v>
      </c>
      <c r="C133">
        <v>0</v>
      </c>
      <c r="D133">
        <v>9679</v>
      </c>
      <c r="E133">
        <v>10857</v>
      </c>
      <c r="F133">
        <v>7055</v>
      </c>
      <c r="G133">
        <v>0</v>
      </c>
      <c r="H133">
        <v>-4170</v>
      </c>
      <c r="I133">
        <v>-7726</v>
      </c>
      <c r="J133">
        <v>-10423</v>
      </c>
      <c r="K133">
        <v>-13720</v>
      </c>
    </row>
    <row r="134" spans="2:11" x14ac:dyDescent="0.25">
      <c r="B134">
        <v>0</v>
      </c>
      <c r="C134">
        <v>-6097</v>
      </c>
      <c r="D134">
        <v>-6368</v>
      </c>
      <c r="E134">
        <v>-6327</v>
      </c>
      <c r="F134">
        <v>-5071</v>
      </c>
      <c r="G134">
        <v>0</v>
      </c>
      <c r="H134">
        <v>3273</v>
      </c>
      <c r="I134">
        <v>3886</v>
      </c>
      <c r="J134">
        <v>4451</v>
      </c>
      <c r="K134">
        <v>4153</v>
      </c>
    </row>
    <row r="135" spans="2:11" x14ac:dyDescent="0.25">
      <c r="B135">
        <v>0</v>
      </c>
      <c r="C135">
        <v>21195</v>
      </c>
      <c r="D135">
        <v>3634</v>
      </c>
      <c r="E135">
        <v>13189</v>
      </c>
      <c r="F135">
        <v>2341</v>
      </c>
      <c r="G135">
        <v>0</v>
      </c>
      <c r="H135">
        <v>1189</v>
      </c>
      <c r="I135">
        <v>2360</v>
      </c>
      <c r="J135">
        <v>0</v>
      </c>
      <c r="K135">
        <v>-574</v>
      </c>
    </row>
    <row r="136" spans="2:11" x14ac:dyDescent="0.25">
      <c r="B136">
        <v>-1474</v>
      </c>
      <c r="C136">
        <v>-3460</v>
      </c>
      <c r="D136">
        <v>-6193</v>
      </c>
      <c r="E136">
        <v>-6925</v>
      </c>
      <c r="F136">
        <v>0</v>
      </c>
      <c r="G136">
        <v>0</v>
      </c>
      <c r="H136">
        <v>7223</v>
      </c>
      <c r="I136">
        <v>7289</v>
      </c>
      <c r="J136">
        <v>7077</v>
      </c>
      <c r="K136">
        <v>0</v>
      </c>
    </row>
    <row r="137" spans="2:11" x14ac:dyDescent="0.25">
      <c r="B137">
        <v>-5272</v>
      </c>
      <c r="C137">
        <v>-8372</v>
      </c>
      <c r="D137">
        <v>-12851</v>
      </c>
      <c r="E137">
        <v>-16143</v>
      </c>
      <c r="F137">
        <v>0</v>
      </c>
      <c r="G137">
        <v>1958</v>
      </c>
      <c r="H137">
        <v>-5581</v>
      </c>
      <c r="I137">
        <v>-8922</v>
      </c>
      <c r="J137">
        <v>-7963</v>
      </c>
      <c r="K137">
        <v>0</v>
      </c>
    </row>
    <row r="138" spans="2:11" x14ac:dyDescent="0.25">
      <c r="B138">
        <v>4681</v>
      </c>
      <c r="C138">
        <v>5611</v>
      </c>
      <c r="D138">
        <v>6496</v>
      </c>
      <c r="E138">
        <v>5619</v>
      </c>
      <c r="F138">
        <v>0</v>
      </c>
      <c r="G138">
        <v>6304</v>
      </c>
      <c r="H138">
        <v>6503</v>
      </c>
      <c r="I138">
        <v>3238</v>
      </c>
      <c r="J138">
        <v>4514</v>
      </c>
      <c r="K138">
        <v>42196</v>
      </c>
    </row>
    <row r="139" spans="2:11" x14ac:dyDescent="0.25">
      <c r="B139">
        <v>0</v>
      </c>
      <c r="C139">
        <v>11372</v>
      </c>
      <c r="D139">
        <v>11895</v>
      </c>
      <c r="E139">
        <v>0</v>
      </c>
      <c r="F139">
        <v>-5588</v>
      </c>
      <c r="G139">
        <v>-7501</v>
      </c>
      <c r="H139">
        <v>-6209</v>
      </c>
      <c r="I139">
        <v>-6812</v>
      </c>
      <c r="J139">
        <v>-6875</v>
      </c>
      <c r="K139">
        <v>0</v>
      </c>
    </row>
    <row r="140" spans="2:11" x14ac:dyDescent="0.25">
      <c r="B140">
        <v>0</v>
      </c>
      <c r="C140">
        <v>8103</v>
      </c>
      <c r="D140">
        <v>8194</v>
      </c>
      <c r="E140">
        <v>6941</v>
      </c>
      <c r="F140">
        <v>0</v>
      </c>
      <c r="G140">
        <v>-3703</v>
      </c>
      <c r="H140">
        <v>-5725</v>
      </c>
      <c r="I140">
        <v>-8354</v>
      </c>
      <c r="J140">
        <v>-10772</v>
      </c>
      <c r="K140">
        <v>0</v>
      </c>
    </row>
    <row r="141" spans="2:11" x14ac:dyDescent="0.25">
      <c r="B141">
        <v>2318</v>
      </c>
      <c r="C141">
        <v>1780</v>
      </c>
      <c r="D141">
        <v>1178</v>
      </c>
      <c r="E141">
        <v>434</v>
      </c>
      <c r="F141">
        <v>0</v>
      </c>
      <c r="G141">
        <v>15</v>
      </c>
      <c r="H141">
        <v>-3</v>
      </c>
      <c r="I141">
        <v>-223</v>
      </c>
      <c r="J141">
        <v>-726</v>
      </c>
      <c r="K141">
        <v>0</v>
      </c>
    </row>
    <row r="142" spans="2:11" x14ac:dyDescent="0.25">
      <c r="B142">
        <v>6776</v>
      </c>
      <c r="C142">
        <v>1488</v>
      </c>
      <c r="D142">
        <v>3536</v>
      </c>
      <c r="E142">
        <v>636</v>
      </c>
      <c r="F142">
        <v>23338</v>
      </c>
      <c r="G142">
        <v>6624</v>
      </c>
      <c r="H142">
        <v>0</v>
      </c>
      <c r="I142">
        <v>1122</v>
      </c>
      <c r="J142">
        <v>1219</v>
      </c>
      <c r="K142">
        <v>0</v>
      </c>
    </row>
    <row r="143" spans="2:11" x14ac:dyDescent="0.25">
      <c r="B143">
        <v>-1786</v>
      </c>
      <c r="C143">
        <v>-3136</v>
      </c>
      <c r="D143">
        <v>-3158</v>
      </c>
      <c r="E143">
        <v>-2955</v>
      </c>
      <c r="F143">
        <v>-2296</v>
      </c>
      <c r="G143">
        <v>0</v>
      </c>
      <c r="H143">
        <v>0</v>
      </c>
      <c r="I143">
        <v>7808</v>
      </c>
      <c r="J143">
        <v>7309</v>
      </c>
      <c r="K143">
        <v>6123</v>
      </c>
    </row>
    <row r="144" spans="2:11" x14ac:dyDescent="0.25">
      <c r="B144">
        <v>0</v>
      </c>
      <c r="C144">
        <v>-2033</v>
      </c>
      <c r="D144">
        <v>-2815</v>
      </c>
      <c r="E144">
        <v>-4394</v>
      </c>
      <c r="F144">
        <v>-6278</v>
      </c>
      <c r="G144">
        <v>0</v>
      </c>
      <c r="H144">
        <v>5063</v>
      </c>
      <c r="I144">
        <v>6068</v>
      </c>
      <c r="J144">
        <v>6609</v>
      </c>
      <c r="K144">
        <v>5123</v>
      </c>
    </row>
    <row r="145" spans="2:11" x14ac:dyDescent="0.25">
      <c r="B145">
        <v>0</v>
      </c>
      <c r="C145">
        <v>-3519</v>
      </c>
      <c r="D145">
        <v>-4069</v>
      </c>
      <c r="E145">
        <v>-5417</v>
      </c>
      <c r="F145">
        <v>-6617</v>
      </c>
      <c r="G145">
        <v>0</v>
      </c>
      <c r="H145">
        <v>3061</v>
      </c>
      <c r="I145">
        <v>3186</v>
      </c>
      <c r="J145">
        <v>1482</v>
      </c>
      <c r="K145">
        <v>2042</v>
      </c>
    </row>
    <row r="146" spans="2:11" x14ac:dyDescent="0.25">
      <c r="B146">
        <v>11235</v>
      </c>
      <c r="C146">
        <v>23146</v>
      </c>
      <c r="D146">
        <v>25699</v>
      </c>
      <c r="E146">
        <v>0</v>
      </c>
      <c r="F146">
        <v>-5096</v>
      </c>
      <c r="G146">
        <v>-5958</v>
      </c>
      <c r="H146">
        <v>0</v>
      </c>
      <c r="I146">
        <v>3275</v>
      </c>
      <c r="J146">
        <v>3552</v>
      </c>
      <c r="K146">
        <v>733</v>
      </c>
    </row>
    <row r="147" spans="2:11" x14ac:dyDescent="0.25">
      <c r="B147">
        <v>-2105</v>
      </c>
      <c r="C147">
        <v>-3609</v>
      </c>
      <c r="D147">
        <v>0</v>
      </c>
      <c r="E147">
        <v>0</v>
      </c>
      <c r="F147">
        <v>3259</v>
      </c>
      <c r="G147">
        <v>1864</v>
      </c>
      <c r="H147">
        <v>644</v>
      </c>
      <c r="I147">
        <v>0</v>
      </c>
      <c r="J147">
        <v>-17</v>
      </c>
      <c r="K147">
        <v>-123</v>
      </c>
    </row>
    <row r="148" spans="2:11" x14ac:dyDescent="0.25">
      <c r="B148">
        <v>475</v>
      </c>
      <c r="C148">
        <v>1721</v>
      </c>
      <c r="D148">
        <v>0</v>
      </c>
      <c r="E148">
        <v>759</v>
      </c>
      <c r="F148">
        <v>504</v>
      </c>
      <c r="G148">
        <v>299</v>
      </c>
      <c r="H148">
        <v>-15</v>
      </c>
      <c r="I148">
        <v>0</v>
      </c>
      <c r="J148">
        <v>99</v>
      </c>
      <c r="K148">
        <v>214</v>
      </c>
    </row>
    <row r="149" spans="2:11" x14ac:dyDescent="0.25">
      <c r="B149">
        <v>149</v>
      </c>
      <c r="C149">
        <v>262</v>
      </c>
      <c r="D149">
        <v>0</v>
      </c>
      <c r="E149">
        <v>2033</v>
      </c>
      <c r="F149">
        <v>-384</v>
      </c>
      <c r="G149">
        <v>1469</v>
      </c>
      <c r="H149">
        <v>105</v>
      </c>
      <c r="I149">
        <v>1324</v>
      </c>
      <c r="J149">
        <v>-1916</v>
      </c>
      <c r="K149">
        <v>-3028</v>
      </c>
    </row>
    <row r="150" spans="2:11" x14ac:dyDescent="0.25">
      <c r="B150">
        <v>-2004</v>
      </c>
      <c r="C150">
        <v>0</v>
      </c>
      <c r="D150">
        <v>-803</v>
      </c>
      <c r="E150">
        <v>-637</v>
      </c>
      <c r="F150">
        <v>0</v>
      </c>
      <c r="G150">
        <v>1098</v>
      </c>
      <c r="H150">
        <v>1775</v>
      </c>
      <c r="I150">
        <v>1321</v>
      </c>
      <c r="J150">
        <v>-156</v>
      </c>
      <c r="K150">
        <v>-956</v>
      </c>
    </row>
    <row r="151" spans="2:11" x14ac:dyDescent="0.25">
      <c r="B151">
        <v>0</v>
      </c>
      <c r="C151">
        <v>0</v>
      </c>
      <c r="D151">
        <v>1711</v>
      </c>
      <c r="E151">
        <v>849</v>
      </c>
      <c r="F151">
        <v>348</v>
      </c>
      <c r="G151">
        <v>0</v>
      </c>
      <c r="H151">
        <v>-832</v>
      </c>
      <c r="I151">
        <v>-1405</v>
      </c>
      <c r="J151">
        <v>-2182</v>
      </c>
      <c r="K151">
        <v>-1661</v>
      </c>
    </row>
    <row r="152" spans="2:11" x14ac:dyDescent="0.25">
      <c r="B152">
        <v>0</v>
      </c>
      <c r="C152">
        <v>38</v>
      </c>
      <c r="D152">
        <v>-3069</v>
      </c>
      <c r="E152">
        <v>-4684</v>
      </c>
      <c r="F152">
        <v>-4420</v>
      </c>
      <c r="G152">
        <v>0</v>
      </c>
      <c r="H152">
        <v>3193</v>
      </c>
      <c r="I152">
        <v>4073</v>
      </c>
      <c r="J152">
        <v>5438</v>
      </c>
      <c r="K152">
        <v>6448</v>
      </c>
    </row>
    <row r="153" spans="2:11" x14ac:dyDescent="0.25">
      <c r="B153">
        <v>0</v>
      </c>
      <c r="C153">
        <v>1025</v>
      </c>
      <c r="D153">
        <v>663</v>
      </c>
      <c r="E153">
        <v>188</v>
      </c>
      <c r="F153">
        <v>-756</v>
      </c>
      <c r="G153">
        <v>-1</v>
      </c>
      <c r="H153">
        <v>-963</v>
      </c>
      <c r="I153">
        <v>-1360</v>
      </c>
      <c r="J153">
        <v>-6718</v>
      </c>
      <c r="K153">
        <v>48640</v>
      </c>
    </row>
    <row r="154" spans="2:11" x14ac:dyDescent="0.25">
      <c r="B154">
        <v>0</v>
      </c>
      <c r="C154">
        <v>-3309</v>
      </c>
      <c r="D154">
        <v>-3466</v>
      </c>
      <c r="E154">
        <v>0</v>
      </c>
      <c r="F154">
        <v>1347</v>
      </c>
      <c r="G154">
        <v>-123</v>
      </c>
      <c r="H154">
        <v>-2575</v>
      </c>
      <c r="I154">
        <v>-5206</v>
      </c>
      <c r="J154">
        <v>-5651</v>
      </c>
      <c r="K154">
        <v>0</v>
      </c>
    </row>
    <row r="155" spans="2:11" x14ac:dyDescent="0.25">
      <c r="B155">
        <v>0</v>
      </c>
      <c r="C155">
        <v>10496</v>
      </c>
      <c r="D155">
        <v>4632</v>
      </c>
      <c r="E155">
        <v>1114</v>
      </c>
      <c r="F155">
        <v>0</v>
      </c>
      <c r="G155">
        <v>323</v>
      </c>
      <c r="H155">
        <v>621</v>
      </c>
      <c r="I155">
        <v>2411</v>
      </c>
      <c r="J155">
        <v>4547</v>
      </c>
      <c r="K155">
        <v>0</v>
      </c>
    </row>
    <row r="156" spans="2:11" x14ac:dyDescent="0.25">
      <c r="B156">
        <v>2030</v>
      </c>
      <c r="C156">
        <v>2051</v>
      </c>
      <c r="D156">
        <v>1875</v>
      </c>
      <c r="E156">
        <v>1182</v>
      </c>
      <c r="F156">
        <v>0</v>
      </c>
      <c r="G156">
        <v>-707</v>
      </c>
      <c r="H156">
        <v>-944</v>
      </c>
      <c r="I156">
        <v>-1435</v>
      </c>
      <c r="J156">
        <v>-1532</v>
      </c>
      <c r="K156">
        <v>0</v>
      </c>
    </row>
    <row r="157" spans="2:11" x14ac:dyDescent="0.25">
      <c r="B157">
        <v>-14798</v>
      </c>
      <c r="C157">
        <v>-5661</v>
      </c>
      <c r="D157">
        <v>1936</v>
      </c>
      <c r="E157">
        <v>32</v>
      </c>
      <c r="F157">
        <v>-8714</v>
      </c>
      <c r="G157">
        <v>-6266</v>
      </c>
      <c r="H157">
        <v>-10757</v>
      </c>
      <c r="I157">
        <v>-6253</v>
      </c>
      <c r="J157">
        <v>30199</v>
      </c>
      <c r="K157">
        <v>12879</v>
      </c>
    </row>
    <row r="158" spans="2:11" x14ac:dyDescent="0.25">
      <c r="B158">
        <v>0</v>
      </c>
      <c r="C158">
        <v>-275</v>
      </c>
      <c r="D158">
        <v>351</v>
      </c>
      <c r="E158">
        <v>0</v>
      </c>
      <c r="F158">
        <v>425</v>
      </c>
      <c r="G158">
        <v>-521</v>
      </c>
      <c r="H158">
        <v>-1331</v>
      </c>
      <c r="I158">
        <v>-3027</v>
      </c>
      <c r="J158">
        <v>-3233</v>
      </c>
      <c r="K158">
        <v>0</v>
      </c>
    </row>
    <row r="159" spans="2:11" x14ac:dyDescent="0.25">
      <c r="B159">
        <v>0</v>
      </c>
      <c r="C159">
        <v>7473</v>
      </c>
      <c r="D159">
        <v>2486</v>
      </c>
      <c r="E159">
        <v>109</v>
      </c>
      <c r="F159">
        <v>0</v>
      </c>
      <c r="G159">
        <v>-560</v>
      </c>
      <c r="H159">
        <v>-880</v>
      </c>
      <c r="I159">
        <v>-1153</v>
      </c>
      <c r="J159">
        <v>-668</v>
      </c>
      <c r="K159">
        <v>0</v>
      </c>
    </row>
    <row r="160" spans="2:11" x14ac:dyDescent="0.25">
      <c r="B160">
        <v>-155</v>
      </c>
      <c r="C160">
        <v>-4403</v>
      </c>
      <c r="D160">
        <v>-5731</v>
      </c>
      <c r="E160">
        <v>-4804</v>
      </c>
      <c r="F160">
        <v>0</v>
      </c>
      <c r="G160">
        <v>2969</v>
      </c>
      <c r="H160">
        <v>3562</v>
      </c>
      <c r="I160">
        <v>4416</v>
      </c>
      <c r="J160">
        <v>4677</v>
      </c>
      <c r="K160">
        <v>0</v>
      </c>
    </row>
    <row r="161" spans="2:11" x14ac:dyDescent="0.25">
      <c r="B161">
        <v>-5058</v>
      </c>
      <c r="C161">
        <v>-6330</v>
      </c>
      <c r="D161">
        <v>740</v>
      </c>
      <c r="E161">
        <v>2205</v>
      </c>
      <c r="F161">
        <v>-1858</v>
      </c>
      <c r="G161">
        <v>-2559</v>
      </c>
      <c r="H161">
        <v>-5075</v>
      </c>
      <c r="I161">
        <v>-11137</v>
      </c>
      <c r="J161">
        <v>14700</v>
      </c>
      <c r="K161">
        <v>26964</v>
      </c>
    </row>
    <row r="162" spans="2:11" x14ac:dyDescent="0.25">
      <c r="B162">
        <v>39566</v>
      </c>
      <c r="C162">
        <v>0</v>
      </c>
      <c r="D162">
        <v>5756</v>
      </c>
      <c r="E162">
        <v>7269</v>
      </c>
      <c r="F162">
        <v>0</v>
      </c>
      <c r="G162">
        <v>-4604</v>
      </c>
      <c r="H162">
        <v>-6731</v>
      </c>
      <c r="I162">
        <v>-5171</v>
      </c>
      <c r="J162">
        <v>-3222</v>
      </c>
      <c r="K162">
        <v>-1077</v>
      </c>
    </row>
    <row r="163" spans="2:11" x14ac:dyDescent="0.25">
      <c r="B163">
        <v>0</v>
      </c>
      <c r="C163">
        <v>0</v>
      </c>
      <c r="D163">
        <v>919</v>
      </c>
      <c r="E163">
        <v>1940</v>
      </c>
      <c r="F163">
        <v>2074</v>
      </c>
      <c r="G163">
        <v>0</v>
      </c>
      <c r="H163">
        <v>-1050</v>
      </c>
      <c r="I163">
        <v>-1586</v>
      </c>
      <c r="J163">
        <v>-2587</v>
      </c>
      <c r="K163">
        <v>-3095</v>
      </c>
    </row>
    <row r="164" spans="2:11" x14ac:dyDescent="0.25">
      <c r="B164">
        <v>0</v>
      </c>
      <c r="C164">
        <v>-1097</v>
      </c>
      <c r="D164">
        <v>-818</v>
      </c>
      <c r="E164">
        <v>-575</v>
      </c>
      <c r="F164">
        <v>-354</v>
      </c>
      <c r="G164">
        <v>0</v>
      </c>
      <c r="H164">
        <v>174</v>
      </c>
      <c r="I164">
        <v>201</v>
      </c>
      <c r="J164">
        <v>202</v>
      </c>
      <c r="K164">
        <v>48</v>
      </c>
    </row>
    <row r="165" spans="2:11" x14ac:dyDescent="0.25">
      <c r="B165">
        <v>0</v>
      </c>
      <c r="C165">
        <v>4956</v>
      </c>
      <c r="D165">
        <v>1759</v>
      </c>
      <c r="E165">
        <v>538</v>
      </c>
      <c r="F165">
        <v>180</v>
      </c>
      <c r="G165">
        <v>1814</v>
      </c>
      <c r="H165">
        <v>2092</v>
      </c>
      <c r="I165">
        <v>-282</v>
      </c>
      <c r="J165">
        <v>822</v>
      </c>
      <c r="K165">
        <v>-33996</v>
      </c>
    </row>
    <row r="166" spans="2:11" x14ac:dyDescent="0.25">
      <c r="B166">
        <v>-17601</v>
      </c>
      <c r="C166">
        <v>-33113</v>
      </c>
      <c r="D166">
        <v>-15455</v>
      </c>
      <c r="E166">
        <v>0</v>
      </c>
      <c r="F166">
        <v>1018</v>
      </c>
      <c r="G166">
        <v>1040</v>
      </c>
      <c r="H166">
        <v>0</v>
      </c>
      <c r="I166">
        <v>-1286</v>
      </c>
      <c r="J166">
        <v>-2024</v>
      </c>
      <c r="K166">
        <v>-1877</v>
      </c>
    </row>
    <row r="167" spans="2:11" x14ac:dyDescent="0.25">
      <c r="B167">
        <v>-1051</v>
      </c>
      <c r="C167">
        <v>-464</v>
      </c>
      <c r="D167">
        <v>0</v>
      </c>
      <c r="E167">
        <v>0</v>
      </c>
      <c r="F167">
        <v>950</v>
      </c>
      <c r="G167">
        <v>1983</v>
      </c>
      <c r="H167">
        <v>1941</v>
      </c>
      <c r="I167">
        <v>0</v>
      </c>
      <c r="J167">
        <v>-250</v>
      </c>
      <c r="K167">
        <v>-261</v>
      </c>
    </row>
    <row r="168" spans="2:11" x14ac:dyDescent="0.25">
      <c r="B168">
        <v>-283</v>
      </c>
      <c r="C168">
        <v>-301</v>
      </c>
      <c r="D168">
        <v>0</v>
      </c>
      <c r="E168">
        <v>1170</v>
      </c>
      <c r="F168">
        <v>3218</v>
      </c>
      <c r="G168">
        <v>3965</v>
      </c>
      <c r="H168">
        <v>3210</v>
      </c>
      <c r="I168">
        <v>0</v>
      </c>
      <c r="J168">
        <v>-2083</v>
      </c>
      <c r="K168">
        <v>-2505</v>
      </c>
    </row>
    <row r="169" spans="2:11" x14ac:dyDescent="0.25">
      <c r="B169">
        <v>-3249</v>
      </c>
      <c r="C169">
        <v>-3511</v>
      </c>
      <c r="D169">
        <v>0</v>
      </c>
      <c r="E169">
        <v>2739</v>
      </c>
      <c r="F169">
        <v>3149</v>
      </c>
      <c r="G169">
        <v>521</v>
      </c>
      <c r="H169">
        <v>996</v>
      </c>
      <c r="I169">
        <v>1885</v>
      </c>
      <c r="J169">
        <v>3873</v>
      </c>
      <c r="K169">
        <v>8</v>
      </c>
    </row>
    <row r="170" spans="2:11" x14ac:dyDescent="0.25">
      <c r="B170">
        <v>4261</v>
      </c>
      <c r="C170">
        <v>-21256</v>
      </c>
      <c r="D170">
        <v>-46185</v>
      </c>
      <c r="E170">
        <v>-17961</v>
      </c>
      <c r="F170">
        <v>-37835</v>
      </c>
      <c r="G170">
        <v>40481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</row>
    <row r="176" spans="2:11" x14ac:dyDescent="0.25"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</row>
    <row r="177" spans="2:11" x14ac:dyDescent="0.25"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</row>
    <row r="178" spans="2:11" x14ac:dyDescent="0.25"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</row>
    <row r="180" spans="2:11" x14ac:dyDescent="0.25"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</row>
    <row r="181" spans="2:11" x14ac:dyDescent="0.25"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</row>
    <row r="182" spans="2:11" x14ac:dyDescent="0.25"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</row>
    <row r="183" spans="2:11" x14ac:dyDescent="0.25"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</row>
    <row r="184" spans="2:11" x14ac:dyDescent="0.25"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</row>
    <row r="185" spans="2:11" x14ac:dyDescent="0.25"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</row>
    <row r="186" spans="2:11" x14ac:dyDescent="0.25"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</row>
    <row r="187" spans="2:11" x14ac:dyDescent="0.25"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</row>
    <row r="188" spans="2:11" x14ac:dyDescent="0.25"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-703</v>
      </c>
    </row>
    <row r="189" spans="2:11" x14ac:dyDescent="0.25">
      <c r="B189">
        <v>-646</v>
      </c>
      <c r="C189">
        <v>0</v>
      </c>
      <c r="D189">
        <v>-50</v>
      </c>
      <c r="E189">
        <v>148</v>
      </c>
      <c r="F189">
        <v>-1176</v>
      </c>
      <c r="G189">
        <v>-1689</v>
      </c>
      <c r="H189">
        <v>-1786</v>
      </c>
      <c r="I189">
        <v>0</v>
      </c>
      <c r="J189">
        <v>0</v>
      </c>
      <c r="K189">
        <v>438</v>
      </c>
    </row>
    <row r="190" spans="2:11" x14ac:dyDescent="0.25">
      <c r="B190">
        <v>375</v>
      </c>
      <c r="C190">
        <v>152</v>
      </c>
      <c r="D190">
        <v>0</v>
      </c>
      <c r="E190">
        <v>28</v>
      </c>
      <c r="F190">
        <v>-61</v>
      </c>
      <c r="G190">
        <v>-284</v>
      </c>
      <c r="H190">
        <v>-209</v>
      </c>
      <c r="I190">
        <v>0</v>
      </c>
      <c r="J190">
        <v>-177</v>
      </c>
      <c r="K190">
        <v>-121</v>
      </c>
    </row>
    <row r="191" spans="2:11" x14ac:dyDescent="0.25">
      <c r="B191">
        <v>-64</v>
      </c>
      <c r="C191">
        <v>-3</v>
      </c>
      <c r="D191">
        <v>0</v>
      </c>
      <c r="E191">
        <v>22</v>
      </c>
      <c r="F191">
        <v>85</v>
      </c>
      <c r="G191">
        <v>99</v>
      </c>
      <c r="H191">
        <v>64</v>
      </c>
      <c r="I191">
        <v>0</v>
      </c>
      <c r="J191">
        <v>166</v>
      </c>
      <c r="K191">
        <v>-73</v>
      </c>
    </row>
    <row r="192" spans="2:11" x14ac:dyDescent="0.25">
      <c r="B192">
        <v>321</v>
      </c>
      <c r="C192">
        <v>56</v>
      </c>
      <c r="D192">
        <v>1314</v>
      </c>
      <c r="E192">
        <v>198</v>
      </c>
      <c r="F192">
        <v>-3821</v>
      </c>
      <c r="G192">
        <v>-969</v>
      </c>
      <c r="H192">
        <v>1361</v>
      </c>
      <c r="I192">
        <v>-39</v>
      </c>
      <c r="J192">
        <v>2492</v>
      </c>
      <c r="K192">
        <v>725</v>
      </c>
    </row>
    <row r="193" spans="2:11" x14ac:dyDescent="0.25">
      <c r="B193">
        <v>155</v>
      </c>
      <c r="C193">
        <v>-101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1316</v>
      </c>
      <c r="J193">
        <v>1538</v>
      </c>
      <c r="K193">
        <v>0</v>
      </c>
    </row>
    <row r="194" spans="2:11" x14ac:dyDescent="0.25">
      <c r="B194">
        <v>-1100</v>
      </c>
      <c r="C194">
        <v>-2426</v>
      </c>
      <c r="D194">
        <v>-3230</v>
      </c>
      <c r="E194">
        <v>-3551</v>
      </c>
      <c r="F194">
        <v>-2812</v>
      </c>
      <c r="G194">
        <v>0</v>
      </c>
      <c r="H194">
        <v>0</v>
      </c>
      <c r="I194">
        <v>1982</v>
      </c>
      <c r="J194">
        <v>1175</v>
      </c>
      <c r="K194">
        <v>789</v>
      </c>
    </row>
    <row r="195" spans="2:11" x14ac:dyDescent="0.25">
      <c r="B195">
        <v>0</v>
      </c>
      <c r="C195">
        <v>-1172</v>
      </c>
      <c r="D195">
        <v>-1399</v>
      </c>
      <c r="E195">
        <v>-2717</v>
      </c>
      <c r="F195">
        <v>-3928</v>
      </c>
      <c r="G195">
        <v>0</v>
      </c>
      <c r="H195">
        <v>-690</v>
      </c>
      <c r="I195">
        <v>-845</v>
      </c>
      <c r="J195">
        <v>-775</v>
      </c>
      <c r="K195">
        <v>-575</v>
      </c>
    </row>
    <row r="196" spans="2:11" x14ac:dyDescent="0.25">
      <c r="B196">
        <v>0</v>
      </c>
      <c r="C196">
        <v>484</v>
      </c>
      <c r="D196">
        <v>688</v>
      </c>
      <c r="E196">
        <v>994</v>
      </c>
      <c r="F196">
        <v>925</v>
      </c>
      <c r="G196">
        <v>0</v>
      </c>
      <c r="H196">
        <v>161</v>
      </c>
      <c r="I196">
        <v>132</v>
      </c>
      <c r="J196">
        <v>395</v>
      </c>
      <c r="K196">
        <v>183</v>
      </c>
    </row>
    <row r="197" spans="2:11" x14ac:dyDescent="0.25">
      <c r="B197">
        <v>2310</v>
      </c>
      <c r="C197">
        <v>1634</v>
      </c>
      <c r="D197">
        <v>-589</v>
      </c>
      <c r="E197">
        <v>1011</v>
      </c>
      <c r="F197">
        <v>-1368</v>
      </c>
      <c r="G197">
        <v>-1483</v>
      </c>
      <c r="H197">
        <v>249</v>
      </c>
      <c r="I197">
        <v>-1086</v>
      </c>
      <c r="J197">
        <v>852</v>
      </c>
      <c r="K197">
        <v>204</v>
      </c>
    </row>
    <row r="198" spans="2:11" x14ac:dyDescent="0.25">
      <c r="B198">
        <v>0</v>
      </c>
      <c r="C198">
        <v>0</v>
      </c>
      <c r="D198">
        <v>0</v>
      </c>
      <c r="E198">
        <v>0</v>
      </c>
      <c r="F198">
        <v>-8118</v>
      </c>
      <c r="G198">
        <v>0</v>
      </c>
      <c r="H198">
        <v>34048</v>
      </c>
      <c r="I198">
        <v>45955</v>
      </c>
      <c r="J198">
        <v>0</v>
      </c>
      <c r="K198">
        <v>-26392</v>
      </c>
    </row>
    <row r="199" spans="2:11" x14ac:dyDescent="0.25">
      <c r="B199">
        <v>-51065</v>
      </c>
      <c r="C199">
        <v>-54125</v>
      </c>
      <c r="D199">
        <v>-52883</v>
      </c>
      <c r="E199">
        <v>-40135</v>
      </c>
      <c r="F199">
        <v>0</v>
      </c>
      <c r="G199">
        <v>0</v>
      </c>
      <c r="H199">
        <v>-28935</v>
      </c>
      <c r="I199">
        <v>-29305</v>
      </c>
      <c r="J199">
        <v>-24598</v>
      </c>
      <c r="K199">
        <v>0</v>
      </c>
    </row>
    <row r="200" spans="2:11" x14ac:dyDescent="0.25">
      <c r="B200">
        <v>7630</v>
      </c>
      <c r="C200">
        <v>9492</v>
      </c>
      <c r="D200">
        <v>13897</v>
      </c>
      <c r="E200">
        <v>15167</v>
      </c>
      <c r="F200">
        <v>0</v>
      </c>
      <c r="G200">
        <v>-54624</v>
      </c>
      <c r="H200">
        <v>-51880</v>
      </c>
      <c r="I200">
        <v>-44565</v>
      </c>
      <c r="J200">
        <v>-28119</v>
      </c>
      <c r="K200">
        <v>0</v>
      </c>
    </row>
    <row r="201" spans="2:11" x14ac:dyDescent="0.25">
      <c r="B201">
        <v>15233</v>
      </c>
      <c r="C201">
        <v>16994</v>
      </c>
      <c r="D201">
        <v>21620</v>
      </c>
      <c r="E201">
        <v>23611</v>
      </c>
      <c r="F201">
        <v>0</v>
      </c>
      <c r="G201">
        <v>-5781</v>
      </c>
      <c r="H201">
        <v>2444</v>
      </c>
      <c r="I201">
        <v>-4128</v>
      </c>
      <c r="J201">
        <v>1105</v>
      </c>
      <c r="K201">
        <v>-7593</v>
      </c>
    </row>
    <row r="202" spans="2:11" x14ac:dyDescent="0.25">
      <c r="B202">
        <v>12102</v>
      </c>
      <c r="C202">
        <v>-4292</v>
      </c>
      <c r="D202">
        <v>3043</v>
      </c>
      <c r="E202">
        <v>-11221</v>
      </c>
      <c r="F202">
        <v>7893</v>
      </c>
      <c r="G202">
        <v>-6962</v>
      </c>
      <c r="H202">
        <v>3272</v>
      </c>
      <c r="I202">
        <v>5267</v>
      </c>
      <c r="J202">
        <v>-459</v>
      </c>
      <c r="K202">
        <v>0</v>
      </c>
    </row>
    <row r="203" spans="2:11" x14ac:dyDescent="0.25">
      <c r="B203">
        <v>0</v>
      </c>
      <c r="C203">
        <v>0</v>
      </c>
      <c r="D203">
        <v>0</v>
      </c>
      <c r="E203">
        <v>162</v>
      </c>
      <c r="F203">
        <v>2614</v>
      </c>
      <c r="G203">
        <v>0</v>
      </c>
      <c r="H203">
        <v>18340</v>
      </c>
      <c r="I203">
        <v>26325</v>
      </c>
      <c r="J203">
        <v>0</v>
      </c>
      <c r="K203">
        <v>-12175</v>
      </c>
    </row>
    <row r="204" spans="2:11" x14ac:dyDescent="0.25">
      <c r="B204">
        <v>-26757</v>
      </c>
      <c r="C204">
        <v>-32331</v>
      </c>
      <c r="D204">
        <v>-36483</v>
      </c>
      <c r="E204">
        <v>-30412</v>
      </c>
      <c r="F204">
        <v>0</v>
      </c>
      <c r="G204">
        <v>0</v>
      </c>
      <c r="H204">
        <v>-36591</v>
      </c>
      <c r="I204">
        <v>-48817</v>
      </c>
      <c r="J204">
        <v>-41090</v>
      </c>
      <c r="K204">
        <v>0</v>
      </c>
    </row>
    <row r="205" spans="2:11" x14ac:dyDescent="0.25">
      <c r="B205">
        <v>15107</v>
      </c>
      <c r="C205">
        <v>19482</v>
      </c>
      <c r="D205">
        <v>27068</v>
      </c>
      <c r="E205">
        <v>29241</v>
      </c>
      <c r="F205">
        <v>0</v>
      </c>
      <c r="G205">
        <v>-58542</v>
      </c>
      <c r="H205">
        <v>-56694</v>
      </c>
      <c r="I205">
        <v>-48598</v>
      </c>
      <c r="J205">
        <v>-30161</v>
      </c>
      <c r="K205">
        <v>0</v>
      </c>
    </row>
    <row r="206" spans="2:11" x14ac:dyDescent="0.25">
      <c r="B206">
        <v>16633</v>
      </c>
      <c r="C206">
        <v>19070</v>
      </c>
      <c r="D206">
        <v>24833</v>
      </c>
      <c r="E206">
        <v>27901</v>
      </c>
      <c r="F206">
        <v>0</v>
      </c>
      <c r="G206">
        <v>2318</v>
      </c>
      <c r="H206">
        <v>4302</v>
      </c>
      <c r="I206">
        <v>1563</v>
      </c>
      <c r="J206">
        <v>2645</v>
      </c>
      <c r="K206">
        <v>3217</v>
      </c>
    </row>
    <row r="207" spans="2:11" x14ac:dyDescent="0.25">
      <c r="B207">
        <v>10430</v>
      </c>
      <c r="C207">
        <v>-5726</v>
      </c>
      <c r="D207">
        <v>845</v>
      </c>
      <c r="E207">
        <v>3416</v>
      </c>
      <c r="F207">
        <v>14683</v>
      </c>
      <c r="G207">
        <v>-1622</v>
      </c>
      <c r="H207">
        <v>4615</v>
      </c>
      <c r="I207">
        <v>-542</v>
      </c>
      <c r="J207">
        <v>-3178</v>
      </c>
      <c r="K207">
        <v>0</v>
      </c>
    </row>
    <row r="208" spans="2:11" x14ac:dyDescent="0.25">
      <c r="B208">
        <v>0</v>
      </c>
      <c r="C208">
        <v>0</v>
      </c>
      <c r="D208">
        <v>0</v>
      </c>
      <c r="E208">
        <v>-277</v>
      </c>
      <c r="F208">
        <v>-469</v>
      </c>
      <c r="G208">
        <v>75879</v>
      </c>
      <c r="H208">
        <v>0</v>
      </c>
      <c r="I208">
        <v>18737</v>
      </c>
      <c r="J208">
        <v>24950</v>
      </c>
      <c r="K208">
        <v>0</v>
      </c>
    </row>
    <row r="209" spans="2:11" x14ac:dyDescent="0.25">
      <c r="B209">
        <v>-14729</v>
      </c>
      <c r="C209">
        <v>-26789</v>
      </c>
      <c r="D209">
        <v>-30586</v>
      </c>
      <c r="E209">
        <v>-34693</v>
      </c>
      <c r="F209">
        <v>-31270</v>
      </c>
      <c r="G209">
        <v>0</v>
      </c>
      <c r="H209">
        <v>0</v>
      </c>
      <c r="I209">
        <v>-15703</v>
      </c>
      <c r="J209">
        <v>-19644</v>
      </c>
      <c r="K209">
        <v>-17696</v>
      </c>
    </row>
    <row r="210" spans="2:11" x14ac:dyDescent="0.25">
      <c r="B210">
        <v>0</v>
      </c>
      <c r="C210">
        <v>7030</v>
      </c>
      <c r="D210">
        <v>8991</v>
      </c>
      <c r="E210">
        <v>16173</v>
      </c>
      <c r="F210">
        <v>22063</v>
      </c>
      <c r="G210">
        <v>0</v>
      </c>
      <c r="H210">
        <v>-33474</v>
      </c>
      <c r="I210">
        <v>-27292</v>
      </c>
      <c r="J210">
        <v>-21988</v>
      </c>
      <c r="K210">
        <v>-12669</v>
      </c>
    </row>
    <row r="211" spans="2:11" x14ac:dyDescent="0.25">
      <c r="B211">
        <v>0</v>
      </c>
      <c r="C211">
        <v>6673</v>
      </c>
      <c r="D211">
        <v>6668</v>
      </c>
      <c r="E211">
        <v>7921</v>
      </c>
      <c r="F211">
        <v>8867</v>
      </c>
      <c r="G211">
        <v>0</v>
      </c>
      <c r="H211">
        <v>-2429</v>
      </c>
      <c r="I211">
        <v>-146</v>
      </c>
      <c r="J211">
        <v>-1332</v>
      </c>
      <c r="K211">
        <v>-37</v>
      </c>
    </row>
    <row r="212" spans="2:11" x14ac:dyDescent="0.25">
      <c r="B212">
        <v>-3384</v>
      </c>
      <c r="C212">
        <v>10800</v>
      </c>
      <c r="D212">
        <v>-7238</v>
      </c>
      <c r="E212">
        <v>7339</v>
      </c>
      <c r="F212">
        <v>895</v>
      </c>
      <c r="G212">
        <v>-553</v>
      </c>
      <c r="H212">
        <v>1561</v>
      </c>
      <c r="I212">
        <v>351</v>
      </c>
      <c r="J212">
        <v>-250</v>
      </c>
      <c r="K212">
        <v>1494</v>
      </c>
    </row>
    <row r="213" spans="2:11" x14ac:dyDescent="0.25">
      <c r="B213">
        <v>0</v>
      </c>
      <c r="C213">
        <v>0</v>
      </c>
      <c r="D213">
        <v>0</v>
      </c>
      <c r="E213">
        <v>0</v>
      </c>
      <c r="F213">
        <v>-3806</v>
      </c>
      <c r="G213">
        <v>2954</v>
      </c>
      <c r="H213">
        <v>53879</v>
      </c>
      <c r="I213">
        <v>45653</v>
      </c>
      <c r="J213">
        <v>0</v>
      </c>
      <c r="K213">
        <v>17738</v>
      </c>
    </row>
    <row r="214" spans="2:11" x14ac:dyDescent="0.25">
      <c r="B214">
        <v>23803</v>
      </c>
      <c r="C214">
        <v>0</v>
      </c>
      <c r="D214">
        <v>-13431</v>
      </c>
      <c r="E214">
        <v>-27386</v>
      </c>
      <c r="F214">
        <v>-34180</v>
      </c>
      <c r="G214">
        <v>-36094</v>
      </c>
      <c r="H214">
        <v>-31755</v>
      </c>
      <c r="I214">
        <v>0</v>
      </c>
      <c r="J214">
        <v>0</v>
      </c>
      <c r="K214">
        <v>-11125</v>
      </c>
    </row>
    <row r="215" spans="2:11" x14ac:dyDescent="0.25">
      <c r="B215">
        <v>-23962</v>
      </c>
      <c r="C215">
        <v>-21968</v>
      </c>
      <c r="D215">
        <v>0</v>
      </c>
      <c r="E215">
        <v>9805</v>
      </c>
      <c r="F215">
        <v>13657</v>
      </c>
      <c r="G215">
        <v>24138</v>
      </c>
      <c r="H215">
        <v>33310</v>
      </c>
      <c r="I215">
        <v>0</v>
      </c>
      <c r="J215">
        <v>-37110</v>
      </c>
      <c r="K215">
        <v>-29688</v>
      </c>
    </row>
    <row r="216" spans="2:11" x14ac:dyDescent="0.25">
      <c r="B216">
        <v>-23398</v>
      </c>
      <c r="C216">
        <v>-12954</v>
      </c>
      <c r="D216">
        <v>0</v>
      </c>
      <c r="E216">
        <v>6115</v>
      </c>
      <c r="F216">
        <v>5445</v>
      </c>
      <c r="G216">
        <v>6241</v>
      </c>
      <c r="H216">
        <v>7343</v>
      </c>
      <c r="I216">
        <v>0</v>
      </c>
      <c r="J216">
        <v>-2562</v>
      </c>
      <c r="K216">
        <v>-1466</v>
      </c>
    </row>
    <row r="217" spans="2:11" x14ac:dyDescent="0.25">
      <c r="B217">
        <v>-437</v>
      </c>
      <c r="C217">
        <v>-329</v>
      </c>
      <c r="D217">
        <v>4281</v>
      </c>
      <c r="E217">
        <v>12331</v>
      </c>
      <c r="F217">
        <v>-6453</v>
      </c>
      <c r="G217">
        <v>9254</v>
      </c>
      <c r="H217">
        <v>-4224</v>
      </c>
      <c r="I217">
        <v>-3762</v>
      </c>
      <c r="J217">
        <v>763</v>
      </c>
      <c r="K217">
        <v>1440</v>
      </c>
    </row>
    <row r="218" spans="2:11" x14ac:dyDescent="0.25">
      <c r="B218">
        <v>1468</v>
      </c>
      <c r="C218">
        <v>2484</v>
      </c>
      <c r="D218">
        <v>0</v>
      </c>
      <c r="E218">
        <v>0</v>
      </c>
      <c r="F218">
        <v>0</v>
      </c>
      <c r="G218">
        <v>0</v>
      </c>
      <c r="H218">
        <v>74</v>
      </c>
      <c r="I218">
        <v>-2906</v>
      </c>
      <c r="J218">
        <v>52484</v>
      </c>
      <c r="K218">
        <v>53060</v>
      </c>
    </row>
    <row r="219" spans="2:11" x14ac:dyDescent="0.25">
      <c r="B219">
        <v>70419</v>
      </c>
      <c r="C219">
        <v>0</v>
      </c>
      <c r="D219">
        <v>-923</v>
      </c>
      <c r="E219">
        <v>-1176</v>
      </c>
      <c r="F219">
        <v>0</v>
      </c>
      <c r="G219">
        <v>1147</v>
      </c>
      <c r="H219">
        <v>2461</v>
      </c>
      <c r="I219">
        <v>2360</v>
      </c>
      <c r="J219">
        <v>1387</v>
      </c>
      <c r="K219">
        <v>249</v>
      </c>
    </row>
    <row r="220" spans="2:11" x14ac:dyDescent="0.25">
      <c r="B220">
        <v>0</v>
      </c>
      <c r="C220">
        <v>0</v>
      </c>
      <c r="D220">
        <v>1984</v>
      </c>
      <c r="E220">
        <v>1592</v>
      </c>
      <c r="F220">
        <v>632</v>
      </c>
      <c r="G220">
        <v>0</v>
      </c>
      <c r="H220">
        <v>-312</v>
      </c>
      <c r="I220">
        <v>-726</v>
      </c>
      <c r="J220">
        <v>-1077</v>
      </c>
      <c r="K220">
        <v>520</v>
      </c>
    </row>
    <row r="221" spans="2:11" x14ac:dyDescent="0.25">
      <c r="B221">
        <v>0</v>
      </c>
      <c r="C221">
        <v>1721</v>
      </c>
      <c r="D221">
        <v>73</v>
      </c>
      <c r="E221">
        <v>-1429</v>
      </c>
      <c r="F221">
        <v>-2221</v>
      </c>
      <c r="G221">
        <v>0</v>
      </c>
      <c r="H221">
        <v>2261</v>
      </c>
      <c r="I221">
        <v>2998</v>
      </c>
      <c r="J221">
        <v>4027</v>
      </c>
      <c r="K221">
        <v>4739</v>
      </c>
    </row>
    <row r="222" spans="2:11" x14ac:dyDescent="0.25">
      <c r="B222">
        <v>0</v>
      </c>
      <c r="C222">
        <v>403</v>
      </c>
      <c r="D222">
        <v>1156</v>
      </c>
      <c r="E222">
        <v>515</v>
      </c>
      <c r="F222">
        <v>-3208</v>
      </c>
      <c r="G222">
        <v>837</v>
      </c>
      <c r="H222">
        <v>-3196</v>
      </c>
      <c r="I222">
        <v>236</v>
      </c>
      <c r="J222">
        <v>-8543</v>
      </c>
      <c r="K222">
        <v>599</v>
      </c>
    </row>
    <row r="223" spans="2:11" x14ac:dyDescent="0.25">
      <c r="B223">
        <v>21367</v>
      </c>
      <c r="C223">
        <v>177</v>
      </c>
      <c r="D223">
        <v>-26272</v>
      </c>
      <c r="E223">
        <v>-287</v>
      </c>
      <c r="F223">
        <v>-5298</v>
      </c>
      <c r="G223">
        <v>0</v>
      </c>
      <c r="H223">
        <v>0</v>
      </c>
      <c r="I223">
        <v>0</v>
      </c>
      <c r="J223">
        <v>0</v>
      </c>
      <c r="K223">
        <v>-567</v>
      </c>
    </row>
    <row r="224" spans="2:11" x14ac:dyDescent="0.25">
      <c r="B224">
        <v>166</v>
      </c>
      <c r="C224">
        <v>10307</v>
      </c>
      <c r="D224">
        <v>13201</v>
      </c>
      <c r="E224">
        <v>5041</v>
      </c>
      <c r="F224">
        <v>3345</v>
      </c>
      <c r="G224">
        <v>0</v>
      </c>
      <c r="H224">
        <v>-1694</v>
      </c>
      <c r="I224">
        <v>-1693</v>
      </c>
      <c r="J224">
        <v>0</v>
      </c>
      <c r="K224">
        <v>864</v>
      </c>
    </row>
    <row r="225" spans="2:11" x14ac:dyDescent="0.25">
      <c r="B225">
        <v>-191</v>
      </c>
      <c r="C225">
        <v>804</v>
      </c>
      <c r="D225">
        <v>2568</v>
      </c>
      <c r="E225">
        <v>6906</v>
      </c>
      <c r="F225">
        <v>0</v>
      </c>
      <c r="G225">
        <v>0</v>
      </c>
      <c r="H225">
        <v>235</v>
      </c>
      <c r="I225">
        <v>-1805</v>
      </c>
      <c r="J225">
        <v>-1954</v>
      </c>
      <c r="K225">
        <v>0</v>
      </c>
    </row>
    <row r="226" spans="2:11" x14ac:dyDescent="0.25">
      <c r="B226">
        <v>1073</v>
      </c>
      <c r="C226">
        <v>1464</v>
      </c>
      <c r="D226">
        <v>1651</v>
      </c>
      <c r="E226">
        <v>978</v>
      </c>
      <c r="F226">
        <v>0</v>
      </c>
      <c r="G226">
        <v>188</v>
      </c>
      <c r="H226">
        <v>679</v>
      </c>
      <c r="I226">
        <v>896</v>
      </c>
      <c r="J226">
        <v>878</v>
      </c>
      <c r="K226">
        <v>0</v>
      </c>
    </row>
    <row r="227" spans="2:11" x14ac:dyDescent="0.25">
      <c r="B227">
        <v>-323</v>
      </c>
      <c r="C227">
        <v>-263</v>
      </c>
      <c r="D227">
        <v>-78</v>
      </c>
      <c r="E227">
        <v>86</v>
      </c>
      <c r="F227">
        <v>0</v>
      </c>
      <c r="G227">
        <v>-5344</v>
      </c>
      <c r="H227">
        <v>-1412</v>
      </c>
      <c r="I227">
        <v>-1091</v>
      </c>
      <c r="J227">
        <v>-429</v>
      </c>
      <c r="K227">
        <v>-9150</v>
      </c>
    </row>
    <row r="228" spans="2:11" x14ac:dyDescent="0.25">
      <c r="B228">
        <v>-3228</v>
      </c>
      <c r="C228">
        <v>1176</v>
      </c>
      <c r="D228">
        <v>-500</v>
      </c>
      <c r="E228">
        <v>10629</v>
      </c>
      <c r="F228">
        <v>-2490</v>
      </c>
      <c r="G228">
        <v>23128</v>
      </c>
      <c r="H228">
        <v>-1673</v>
      </c>
      <c r="I228">
        <v>935</v>
      </c>
      <c r="J228">
        <v>-1161</v>
      </c>
      <c r="K228">
        <v>0</v>
      </c>
    </row>
    <row r="229" spans="2:11" x14ac:dyDescent="0.25">
      <c r="B229">
        <v>0</v>
      </c>
      <c r="C229">
        <v>0</v>
      </c>
      <c r="D229">
        <v>0</v>
      </c>
      <c r="E229">
        <v>7502</v>
      </c>
      <c r="F229">
        <v>2768</v>
      </c>
      <c r="G229">
        <v>-311</v>
      </c>
      <c r="H229">
        <v>1204</v>
      </c>
      <c r="I229">
        <v>19607</v>
      </c>
      <c r="J229">
        <v>-352</v>
      </c>
      <c r="K229">
        <v>2141</v>
      </c>
    </row>
    <row r="230" spans="2:11" x14ac:dyDescent="0.25">
      <c r="B230">
        <v>0</v>
      </c>
      <c r="C230">
        <v>-1402</v>
      </c>
      <c r="D230">
        <v>-2096</v>
      </c>
      <c r="E230">
        <v>0</v>
      </c>
      <c r="F230">
        <v>1654</v>
      </c>
      <c r="G230">
        <v>2702</v>
      </c>
      <c r="H230">
        <v>3587</v>
      </c>
      <c r="I230">
        <v>4979</v>
      </c>
      <c r="J230">
        <v>4165</v>
      </c>
      <c r="K230">
        <v>0</v>
      </c>
    </row>
    <row r="231" spans="2:11" x14ac:dyDescent="0.25">
      <c r="B231">
        <v>0</v>
      </c>
      <c r="C231">
        <v>-5601</v>
      </c>
      <c r="D231">
        <v>-7715</v>
      </c>
      <c r="E231">
        <v>-7134</v>
      </c>
      <c r="F231">
        <v>0</v>
      </c>
      <c r="G231">
        <v>3585</v>
      </c>
      <c r="H231">
        <v>5276</v>
      </c>
      <c r="I231">
        <v>7880</v>
      </c>
      <c r="J231">
        <v>8059</v>
      </c>
      <c r="K231">
        <v>0</v>
      </c>
    </row>
    <row r="232" spans="2:11" x14ac:dyDescent="0.25">
      <c r="B232">
        <v>-2546</v>
      </c>
      <c r="C232">
        <v>-1534</v>
      </c>
      <c r="D232">
        <v>-570</v>
      </c>
      <c r="E232">
        <v>573</v>
      </c>
      <c r="F232">
        <v>0</v>
      </c>
      <c r="G232">
        <v>-508</v>
      </c>
      <c r="H232">
        <v>-856</v>
      </c>
      <c r="I232">
        <v>-786</v>
      </c>
      <c r="J232">
        <v>-541</v>
      </c>
      <c r="K232">
        <v>0</v>
      </c>
    </row>
    <row r="233" spans="2:11" x14ac:dyDescent="0.25">
      <c r="B233">
        <v>-4661</v>
      </c>
      <c r="C233">
        <v>-2263</v>
      </c>
      <c r="D233">
        <v>-244</v>
      </c>
      <c r="E233">
        <v>-396</v>
      </c>
      <c r="F233">
        <v>-5366</v>
      </c>
      <c r="G233">
        <v>-2839</v>
      </c>
      <c r="H233">
        <v>4362</v>
      </c>
      <c r="I233">
        <v>576</v>
      </c>
      <c r="J233">
        <v>-15954</v>
      </c>
      <c r="K233">
        <v>-16717</v>
      </c>
    </row>
    <row r="234" spans="2:11" x14ac:dyDescent="0.25">
      <c r="B234">
        <v>339</v>
      </c>
      <c r="C234">
        <v>-11460</v>
      </c>
      <c r="D234">
        <v>6493</v>
      </c>
      <c r="E234">
        <v>3676</v>
      </c>
      <c r="F234">
        <v>0</v>
      </c>
      <c r="G234">
        <v>0</v>
      </c>
      <c r="H234">
        <v>0</v>
      </c>
      <c r="I234">
        <v>0</v>
      </c>
      <c r="J234">
        <v>186</v>
      </c>
      <c r="K234">
        <v>9656</v>
      </c>
    </row>
    <row r="235" spans="2:11" x14ac:dyDescent="0.25">
      <c r="B235">
        <v>-2327</v>
      </c>
      <c r="C235">
        <v>8954</v>
      </c>
      <c r="D235">
        <v>5113</v>
      </c>
      <c r="E235">
        <v>23242</v>
      </c>
      <c r="F235">
        <v>1114</v>
      </c>
      <c r="G235">
        <v>16583</v>
      </c>
      <c r="H235">
        <v>0</v>
      </c>
      <c r="I235">
        <v>-15960</v>
      </c>
      <c r="J235">
        <v>-13400</v>
      </c>
      <c r="K235">
        <v>0</v>
      </c>
    </row>
    <row r="236" spans="2:11" x14ac:dyDescent="0.25">
      <c r="B236">
        <v>11131</v>
      </c>
      <c r="C236">
        <v>15157</v>
      </c>
      <c r="D236">
        <v>16586</v>
      </c>
      <c r="E236">
        <v>24336</v>
      </c>
      <c r="F236">
        <v>19779</v>
      </c>
      <c r="G236">
        <v>0</v>
      </c>
      <c r="H236">
        <v>0</v>
      </c>
      <c r="I236">
        <v>43810</v>
      </c>
      <c r="J236">
        <v>63759</v>
      </c>
      <c r="K236">
        <v>79653</v>
      </c>
    </row>
    <row r="237" spans="2:11" x14ac:dyDescent="0.25">
      <c r="B237">
        <v>0</v>
      </c>
      <c r="C237">
        <v>33612</v>
      </c>
      <c r="D237">
        <v>17686</v>
      </c>
      <c r="E237">
        <v>8781</v>
      </c>
      <c r="F237">
        <v>-1309</v>
      </c>
      <c r="G237">
        <v>0</v>
      </c>
      <c r="H237">
        <v>-11124</v>
      </c>
      <c r="I237">
        <v>-15270</v>
      </c>
      <c r="J237">
        <v>-22705</v>
      </c>
      <c r="K237">
        <v>-31034</v>
      </c>
    </row>
    <row r="238" spans="2:11" x14ac:dyDescent="0.25">
      <c r="B238">
        <v>0</v>
      </c>
      <c r="C238">
        <v>-7613</v>
      </c>
      <c r="D238">
        <v>-5192</v>
      </c>
      <c r="E238">
        <v>-4864</v>
      </c>
      <c r="F238">
        <v>-4509</v>
      </c>
      <c r="G238">
        <v>0</v>
      </c>
      <c r="H238">
        <v>288</v>
      </c>
      <c r="I238">
        <v>73</v>
      </c>
      <c r="J238">
        <v>65</v>
      </c>
      <c r="K238">
        <v>4</v>
      </c>
    </row>
    <row r="239" spans="2:11" x14ac:dyDescent="0.25">
      <c r="B239">
        <v>2921</v>
      </c>
      <c r="C239">
        <v>4280</v>
      </c>
      <c r="D239">
        <v>3822</v>
      </c>
      <c r="E239">
        <v>3232</v>
      </c>
      <c r="F239">
        <v>-107</v>
      </c>
      <c r="G239">
        <v>76</v>
      </c>
      <c r="H239">
        <v>-189</v>
      </c>
      <c r="I239">
        <v>-342</v>
      </c>
      <c r="J239">
        <v>1284</v>
      </c>
      <c r="K239">
        <v>1083</v>
      </c>
    </row>
    <row r="240" spans="2:11" x14ac:dyDescent="0.25">
      <c r="B240">
        <v>0</v>
      </c>
      <c r="C240">
        <v>0</v>
      </c>
      <c r="D240">
        <v>0</v>
      </c>
      <c r="E240">
        <v>0</v>
      </c>
      <c r="F240">
        <v>47</v>
      </c>
      <c r="G240">
        <v>155</v>
      </c>
      <c r="H240">
        <v>-13852</v>
      </c>
      <c r="I240">
        <v>-22861</v>
      </c>
      <c r="J240">
        <v>-10423</v>
      </c>
      <c r="K240">
        <v>-12598</v>
      </c>
    </row>
    <row r="241" spans="2:11" x14ac:dyDescent="0.25">
      <c r="B241">
        <v>166</v>
      </c>
      <c r="C241">
        <v>-1250</v>
      </c>
      <c r="D241">
        <v>-3608</v>
      </c>
      <c r="E241">
        <v>0</v>
      </c>
      <c r="F241">
        <v>-2161</v>
      </c>
      <c r="G241">
        <v>-2469</v>
      </c>
      <c r="H241">
        <v>0</v>
      </c>
      <c r="I241">
        <v>877</v>
      </c>
      <c r="J241">
        <v>-2929</v>
      </c>
      <c r="K241">
        <v>-9698</v>
      </c>
    </row>
    <row r="242" spans="2:11" x14ac:dyDescent="0.25">
      <c r="B242">
        <v>-13054</v>
      </c>
      <c r="C242">
        <v>-17338</v>
      </c>
      <c r="D242">
        <v>0</v>
      </c>
      <c r="E242">
        <v>0</v>
      </c>
      <c r="F242">
        <v>2219</v>
      </c>
      <c r="G242">
        <v>3093</v>
      </c>
      <c r="H242">
        <v>2685</v>
      </c>
      <c r="I242">
        <v>0</v>
      </c>
      <c r="J242">
        <v>-1657</v>
      </c>
      <c r="K242">
        <v>-3282</v>
      </c>
    </row>
    <row r="243" spans="2:11" x14ac:dyDescent="0.25">
      <c r="B243">
        <v>-6485</v>
      </c>
      <c r="C243">
        <v>-17672</v>
      </c>
      <c r="D243">
        <v>0</v>
      </c>
      <c r="E243">
        <v>-1834</v>
      </c>
      <c r="F243">
        <v>-2278</v>
      </c>
      <c r="G243">
        <v>-2603</v>
      </c>
      <c r="H243">
        <v>-2127</v>
      </c>
      <c r="I243">
        <v>0</v>
      </c>
      <c r="J243">
        <v>1607</v>
      </c>
      <c r="K243">
        <v>2399</v>
      </c>
    </row>
    <row r="244" spans="2:11" x14ac:dyDescent="0.25">
      <c r="B244">
        <v>4518</v>
      </c>
      <c r="C244">
        <v>5759</v>
      </c>
      <c r="D244">
        <v>0</v>
      </c>
      <c r="E244">
        <v>12663</v>
      </c>
      <c r="F244">
        <v>3203</v>
      </c>
      <c r="G244">
        <v>7084</v>
      </c>
      <c r="H244">
        <v>1755</v>
      </c>
      <c r="I244">
        <v>37328</v>
      </c>
      <c r="J244">
        <v>12284</v>
      </c>
      <c r="K244">
        <v>13024</v>
      </c>
    </row>
    <row r="245" spans="2:11" x14ac:dyDescent="0.25">
      <c r="B245">
        <v>5867</v>
      </c>
      <c r="C245">
        <v>1432</v>
      </c>
      <c r="D245">
        <v>790</v>
      </c>
      <c r="E245">
        <v>-8896</v>
      </c>
      <c r="F245">
        <v>-2187</v>
      </c>
      <c r="G245">
        <v>-1603</v>
      </c>
      <c r="H245">
        <v>-11</v>
      </c>
      <c r="I245">
        <v>0</v>
      </c>
      <c r="J245">
        <v>0</v>
      </c>
      <c r="K245">
        <v>0</v>
      </c>
    </row>
    <row r="246" spans="2:11" x14ac:dyDescent="0.25">
      <c r="B246">
        <v>0</v>
      </c>
      <c r="C246">
        <v>1212</v>
      </c>
      <c r="D246">
        <v>1265</v>
      </c>
      <c r="E246">
        <v>-5157</v>
      </c>
      <c r="F246">
        <v>1448</v>
      </c>
      <c r="G246">
        <v>-7836</v>
      </c>
      <c r="H246">
        <v>913</v>
      </c>
      <c r="I246">
        <v>508</v>
      </c>
      <c r="J246">
        <v>-4464</v>
      </c>
      <c r="K246">
        <v>-4054</v>
      </c>
    </row>
    <row r="247" spans="2:11" x14ac:dyDescent="0.25">
      <c r="B247">
        <v>1276</v>
      </c>
      <c r="C247">
        <v>0</v>
      </c>
      <c r="D247">
        <v>2029</v>
      </c>
      <c r="E247">
        <v>2541</v>
      </c>
      <c r="F247">
        <v>0</v>
      </c>
      <c r="G247">
        <v>-1907</v>
      </c>
      <c r="H247">
        <v>-2707</v>
      </c>
      <c r="I247">
        <v>-2774</v>
      </c>
      <c r="J247">
        <v>-1893</v>
      </c>
      <c r="K247">
        <v>602</v>
      </c>
    </row>
    <row r="248" spans="2:11" x14ac:dyDescent="0.25">
      <c r="B248">
        <v>0</v>
      </c>
      <c r="C248">
        <v>0</v>
      </c>
      <c r="D248">
        <v>1192</v>
      </c>
      <c r="E248">
        <v>1595</v>
      </c>
      <c r="F248">
        <v>2809</v>
      </c>
      <c r="G248">
        <v>0</v>
      </c>
      <c r="H248">
        <v>-1187</v>
      </c>
      <c r="I248">
        <v>-1564</v>
      </c>
      <c r="J248">
        <v>-4802</v>
      </c>
      <c r="K248">
        <v>-16856</v>
      </c>
    </row>
    <row r="249" spans="2:11" x14ac:dyDescent="0.25">
      <c r="B249">
        <v>0</v>
      </c>
      <c r="C249">
        <v>4916</v>
      </c>
      <c r="D249">
        <v>3404</v>
      </c>
      <c r="E249">
        <v>1888</v>
      </c>
      <c r="F249">
        <v>1086</v>
      </c>
      <c r="G249">
        <v>0</v>
      </c>
      <c r="H249">
        <v>-604</v>
      </c>
      <c r="I249">
        <v>-339</v>
      </c>
      <c r="J249">
        <v>1383</v>
      </c>
      <c r="K249">
        <v>2519</v>
      </c>
    </row>
    <row r="250" spans="2:11" x14ac:dyDescent="0.25">
      <c r="B250">
        <v>0</v>
      </c>
      <c r="C250">
        <v>2380</v>
      </c>
      <c r="D250">
        <v>2912</v>
      </c>
      <c r="E250">
        <v>931</v>
      </c>
      <c r="F250">
        <v>1744</v>
      </c>
      <c r="G250">
        <v>7829</v>
      </c>
      <c r="H250">
        <v>18094</v>
      </c>
      <c r="I250">
        <v>2952</v>
      </c>
      <c r="J250">
        <v>11751</v>
      </c>
      <c r="K250">
        <v>-1570</v>
      </c>
    </row>
    <row r="251" spans="2:11" x14ac:dyDescent="0.25">
      <c r="B251">
        <v>-2136</v>
      </c>
      <c r="C251">
        <v>-5170</v>
      </c>
      <c r="D251">
        <v>-4583</v>
      </c>
      <c r="E251">
        <v>852</v>
      </c>
      <c r="F251">
        <v>2070</v>
      </c>
      <c r="G251">
        <v>0</v>
      </c>
      <c r="H251">
        <v>0</v>
      </c>
      <c r="I251">
        <v>0</v>
      </c>
      <c r="J251">
        <v>0</v>
      </c>
      <c r="K251">
        <v>-64</v>
      </c>
    </row>
    <row r="252" spans="2:11" x14ac:dyDescent="0.25">
      <c r="B252">
        <v>785</v>
      </c>
      <c r="C252">
        <v>2350</v>
      </c>
      <c r="D252">
        <v>-1330</v>
      </c>
      <c r="E252">
        <v>10626</v>
      </c>
      <c r="F252">
        <v>13175</v>
      </c>
      <c r="G252">
        <v>-4889</v>
      </c>
      <c r="H252">
        <v>-594</v>
      </c>
      <c r="I252">
        <v>-495</v>
      </c>
      <c r="J252">
        <v>1918</v>
      </c>
      <c r="K252">
        <v>46663</v>
      </c>
    </row>
    <row r="253" spans="2:11" x14ac:dyDescent="0.25">
      <c r="B253">
        <v>0</v>
      </c>
      <c r="C253">
        <v>3065</v>
      </c>
      <c r="D253">
        <v>4202</v>
      </c>
      <c r="E253">
        <v>0</v>
      </c>
      <c r="F253">
        <v>-2999</v>
      </c>
      <c r="G253">
        <v>-6767</v>
      </c>
      <c r="H253">
        <v>-8022</v>
      </c>
      <c r="I253">
        <v>-6839</v>
      </c>
      <c r="J253">
        <v>-5931</v>
      </c>
      <c r="K253">
        <v>0</v>
      </c>
    </row>
    <row r="254" spans="2:11" x14ac:dyDescent="0.25">
      <c r="B254">
        <v>0</v>
      </c>
      <c r="C254">
        <v>-872</v>
      </c>
      <c r="D254">
        <v>-29</v>
      </c>
      <c r="E254">
        <v>1219</v>
      </c>
      <c r="F254">
        <v>0</v>
      </c>
      <c r="G254">
        <v>-3160</v>
      </c>
      <c r="H254">
        <v>-5850</v>
      </c>
      <c r="I254">
        <v>-9933</v>
      </c>
      <c r="J254">
        <v>-13957</v>
      </c>
      <c r="K254">
        <v>0</v>
      </c>
    </row>
    <row r="255" spans="2:11" x14ac:dyDescent="0.25">
      <c r="B255">
        <v>-1750</v>
      </c>
      <c r="C255">
        <v>-1758</v>
      </c>
      <c r="D255">
        <v>-2642</v>
      </c>
      <c r="E255">
        <v>-2573</v>
      </c>
      <c r="F255">
        <v>0</v>
      </c>
      <c r="G255">
        <v>2008</v>
      </c>
      <c r="H255">
        <v>1885</v>
      </c>
      <c r="I255">
        <v>1887</v>
      </c>
      <c r="J255">
        <v>1201</v>
      </c>
      <c r="K255">
        <v>0</v>
      </c>
    </row>
    <row r="256" spans="2:11" x14ac:dyDescent="0.25">
      <c r="B256">
        <v>7418</v>
      </c>
      <c r="C256">
        <v>1994</v>
      </c>
      <c r="D256">
        <v>5053</v>
      </c>
      <c r="E256">
        <v>1242</v>
      </c>
      <c r="F256">
        <v>26224</v>
      </c>
      <c r="G256">
        <v>7351</v>
      </c>
      <c r="H256">
        <v>13864</v>
      </c>
      <c r="I256">
        <v>5534</v>
      </c>
      <c r="J256">
        <v>-5951</v>
      </c>
      <c r="K256">
        <v>-301</v>
      </c>
    </row>
    <row r="257" spans="2:11" x14ac:dyDescent="0.25">
      <c r="B257">
        <v>-1689</v>
      </c>
      <c r="C257">
        <v>663</v>
      </c>
      <c r="D257">
        <v>-4216</v>
      </c>
      <c r="E257">
        <v>-2299</v>
      </c>
      <c r="F257">
        <v>0</v>
      </c>
      <c r="G257">
        <v>0</v>
      </c>
      <c r="H257">
        <v>0</v>
      </c>
      <c r="I257">
        <v>0</v>
      </c>
      <c r="J257">
        <v>-21</v>
      </c>
      <c r="K257">
        <v>855</v>
      </c>
    </row>
    <row r="258" spans="2:11" x14ac:dyDescent="0.25">
      <c r="B258">
        <v>-3488</v>
      </c>
      <c r="C258">
        <v>3507</v>
      </c>
      <c r="D258">
        <v>-3850</v>
      </c>
      <c r="E258">
        <v>-3212</v>
      </c>
      <c r="F258">
        <v>-146</v>
      </c>
      <c r="G258">
        <v>-1575</v>
      </c>
      <c r="H258">
        <v>-2646</v>
      </c>
      <c r="I258">
        <v>1515</v>
      </c>
      <c r="J258">
        <v>15884</v>
      </c>
      <c r="K258">
        <v>5123</v>
      </c>
    </row>
    <row r="259" spans="2:11" x14ac:dyDescent="0.25">
      <c r="B259">
        <v>0</v>
      </c>
      <c r="C259">
        <v>1377</v>
      </c>
      <c r="D259">
        <v>1175</v>
      </c>
      <c r="E259">
        <v>0</v>
      </c>
      <c r="F259">
        <v>-972</v>
      </c>
      <c r="G259">
        <v>-1460</v>
      </c>
      <c r="H259">
        <v>-1278</v>
      </c>
      <c r="I259">
        <v>-260</v>
      </c>
      <c r="J259">
        <v>500</v>
      </c>
      <c r="K259">
        <v>0</v>
      </c>
    </row>
    <row r="260" spans="2:11" x14ac:dyDescent="0.25">
      <c r="B260">
        <v>0</v>
      </c>
      <c r="C260">
        <v>719</v>
      </c>
      <c r="D260">
        <v>917</v>
      </c>
      <c r="E260">
        <v>1994</v>
      </c>
      <c r="F260">
        <v>0</v>
      </c>
      <c r="G260">
        <v>-2078</v>
      </c>
      <c r="H260">
        <v>-3502</v>
      </c>
      <c r="I260">
        <v>-5618</v>
      </c>
      <c r="J260">
        <v>-7848</v>
      </c>
      <c r="K260">
        <v>0</v>
      </c>
    </row>
    <row r="261" spans="2:11" x14ac:dyDescent="0.25">
      <c r="B261">
        <v>1158</v>
      </c>
      <c r="C261">
        <v>2407</v>
      </c>
      <c r="D261">
        <v>3815</v>
      </c>
      <c r="E261">
        <v>4285</v>
      </c>
      <c r="F261">
        <v>0</v>
      </c>
      <c r="G261">
        <v>-4537</v>
      </c>
      <c r="H261">
        <v>-6999</v>
      </c>
      <c r="I261">
        <v>-12247</v>
      </c>
      <c r="J261">
        <v>-18684</v>
      </c>
      <c r="K261">
        <v>0</v>
      </c>
    </row>
    <row r="262" spans="2:11" x14ac:dyDescent="0.25">
      <c r="B262">
        <v>1825</v>
      </c>
      <c r="C262">
        <v>2015</v>
      </c>
      <c r="D262">
        <v>1153</v>
      </c>
      <c r="E262">
        <v>1276</v>
      </c>
      <c r="F262">
        <v>6831</v>
      </c>
      <c r="G262">
        <v>13219</v>
      </c>
      <c r="H262">
        <v>4554</v>
      </c>
      <c r="I262">
        <v>16692</v>
      </c>
      <c r="J262">
        <v>-1806</v>
      </c>
      <c r="K262">
        <v>-5055</v>
      </c>
    </row>
    <row r="263" spans="2:11" x14ac:dyDescent="0.25">
      <c r="B263">
        <v>-1155</v>
      </c>
      <c r="C263">
        <v>-3675</v>
      </c>
      <c r="D263">
        <v>-1845</v>
      </c>
      <c r="E263">
        <v>-3312</v>
      </c>
      <c r="F263">
        <v>0</v>
      </c>
      <c r="G263">
        <v>0</v>
      </c>
      <c r="H263">
        <v>0</v>
      </c>
      <c r="I263">
        <v>0</v>
      </c>
      <c r="J263">
        <v>-147</v>
      </c>
      <c r="K263">
        <v>429</v>
      </c>
    </row>
    <row r="264" spans="2:11" x14ac:dyDescent="0.25">
      <c r="B264">
        <v>4356</v>
      </c>
      <c r="C264">
        <v>5324</v>
      </c>
      <c r="D264">
        <v>2584</v>
      </c>
      <c r="E264">
        <v>2232</v>
      </c>
      <c r="F264">
        <v>2345</v>
      </c>
      <c r="G264">
        <v>-194</v>
      </c>
      <c r="H264">
        <v>-1085</v>
      </c>
      <c r="I264">
        <v>1719</v>
      </c>
      <c r="J264">
        <v>4529</v>
      </c>
      <c r="K264">
        <v>6928</v>
      </c>
    </row>
    <row r="265" spans="2:11" x14ac:dyDescent="0.25">
      <c r="B265">
        <v>29242</v>
      </c>
    </row>
  </sheetData>
  <pageMargins bottom="0.75" footer="0.3" header="0.3" left="0.7" right="0.7" top="0.75"/>
</worksheet>
</file>

<file path=xl/worksheets/sheet1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358"/>
  <sheetViews>
    <sheetView workbookViewId="0">
      <selection activeCell="A8" sqref="A8:K358"/>
    </sheetView>
  </sheetViews>
  <sheetFormatPr defaultRowHeight="15" x14ac:dyDescent="0.25"/>
  <sheetData>
    <row r="1" spans="1:11" x14ac:dyDescent="0.25">
      <c r="A1" s="47" t="s">
        <v>92</v>
      </c>
      <c r="B1" s="48"/>
      <c r="C1" s="48"/>
      <c r="D1" s="48"/>
      <c r="E1" s="48"/>
      <c r="F1" s="48"/>
      <c r="G1" s="48"/>
      <c r="H1" s="48" t="s">
        <v>93</v>
      </c>
      <c r="I1" s="48"/>
      <c r="J1" s="48"/>
      <c r="K1" s="49"/>
    </row>
    <row r="2" spans="1:11" x14ac:dyDescent="0.25">
      <c r="A2" s="50">
        <v>1</v>
      </c>
      <c r="B2" s="51" t="s">
        <v>196</v>
      </c>
      <c r="C2" s="51"/>
      <c r="D2" s="51"/>
      <c r="E2" s="51"/>
      <c r="F2" s="51"/>
      <c r="G2" s="51"/>
      <c r="H2" s="51"/>
      <c r="I2" s="51"/>
      <c r="J2" s="51"/>
      <c r="K2" s="52"/>
    </row>
    <row r="3" spans="1:11" x14ac:dyDescent="0.25">
      <c r="A3" s="50">
        <v>2</v>
      </c>
      <c r="B3" s="51" t="s">
        <v>94</v>
      </c>
      <c r="C3" s="51"/>
      <c r="D3" s="51"/>
      <c r="E3" s="51"/>
      <c r="F3" s="51"/>
      <c r="G3" s="51"/>
      <c r="H3" s="51"/>
      <c r="I3" s="51"/>
      <c r="J3" s="51"/>
      <c r="K3" s="52"/>
    </row>
    <row r="4" spans="1:11" x14ac:dyDescent="0.25">
      <c r="A4" s="50">
        <v>3</v>
      </c>
      <c r="B4" s="51" t="s">
        <v>95</v>
      </c>
      <c r="C4" s="51"/>
      <c r="D4" s="51"/>
      <c r="E4" s="51"/>
      <c r="F4" s="51"/>
      <c r="G4" s="51"/>
      <c r="H4" s="51"/>
      <c r="I4" s="51"/>
      <c r="J4" s="51"/>
      <c r="K4" s="52"/>
    </row>
    <row r="5" spans="1:11" x14ac:dyDescent="0.25">
      <c r="A5" s="50">
        <v>4</v>
      </c>
      <c r="B5" s="51" t="s">
        <v>96</v>
      </c>
      <c r="C5" s="51"/>
      <c r="D5" s="51"/>
      <c r="E5" s="51"/>
      <c r="F5" s="51"/>
      <c r="G5" s="51"/>
      <c r="H5" s="51"/>
      <c r="I5" s="51"/>
      <c r="J5" s="51"/>
      <c r="K5" s="52"/>
    </row>
    <row r="6" spans="1:11" x14ac:dyDescent="0.25">
      <c r="A6" s="53"/>
      <c r="B6" s="54"/>
      <c r="C6" s="54"/>
      <c r="D6" s="54"/>
      <c r="E6" s="54"/>
      <c r="F6" s="54"/>
      <c r="G6" s="54"/>
      <c r="H6" s="54"/>
      <c r="I6" s="54"/>
      <c r="J6" s="54"/>
      <c r="K6" s="55"/>
    </row>
    <row r="8" spans="1:11" x14ac:dyDescent="0.25">
      <c r="A8" t="s">
        <v>97</v>
      </c>
      <c r="B8" t="s">
        <v>198</v>
      </c>
      <c r="C8" t="s">
        <v>99</v>
      </c>
    </row>
    <row r="9" spans="1:11" x14ac:dyDescent="0.25">
      <c r="A9" t="s">
        <v>100</v>
      </c>
      <c r="B9" t="s">
        <v>101</v>
      </c>
      <c r="C9" t="s">
        <v>102</v>
      </c>
      <c r="D9" t="s">
        <v>103</v>
      </c>
      <c r="E9">
        <v>4</v>
      </c>
      <c r="F9" s="56">
        <v>0.68153935185185188</v>
      </c>
      <c r="G9" t="s">
        <v>104</v>
      </c>
      <c r="H9">
        <v>7</v>
      </c>
      <c r="I9" t="s">
        <v>199</v>
      </c>
      <c r="J9">
        <v>12</v>
      </c>
    </row>
    <row r="10" spans="1:11" x14ac:dyDescent="0.25">
      <c r="A10" t="s">
        <v>105</v>
      </c>
    </row>
    <row r="11" spans="1:11" x14ac:dyDescent="0.25">
      <c r="B11">
        <v>11</v>
      </c>
      <c r="C11" t="s">
        <v>106</v>
      </c>
      <c r="D11" t="s">
        <v>109</v>
      </c>
      <c r="E11">
        <v>-2.3394698170399999</v>
      </c>
      <c r="F11">
        <v>0.166554058826</v>
      </c>
    </row>
    <row r="12" spans="1:11" x14ac:dyDescent="0.25">
      <c r="B12">
        <v>12</v>
      </c>
      <c r="C12" t="s">
        <v>108</v>
      </c>
      <c r="D12" t="s">
        <v>109</v>
      </c>
      <c r="E12">
        <v>-0.67106220384299997</v>
      </c>
      <c r="F12" s="57">
        <v>9.8135717565100006E-2</v>
      </c>
    </row>
    <row r="13" spans="1:11" x14ac:dyDescent="0.25">
      <c r="B13">
        <v>13</v>
      </c>
      <c r="C13" t="s">
        <v>110</v>
      </c>
      <c r="D13" t="s">
        <v>109</v>
      </c>
      <c r="E13" s="57">
        <v>-1.81869725389E-2</v>
      </c>
      <c r="F13" s="57">
        <v>6.16066120838E-2</v>
      </c>
    </row>
    <row r="14" spans="1:11" x14ac:dyDescent="0.25">
      <c r="B14">
        <v>14</v>
      </c>
      <c r="C14" t="s">
        <v>111</v>
      </c>
      <c r="D14" t="s">
        <v>107</v>
      </c>
      <c r="E14">
        <v>0</v>
      </c>
      <c r="F14">
        <v>0</v>
      </c>
    </row>
    <row r="15" spans="1:11" x14ac:dyDescent="0.25">
      <c r="B15">
        <v>15</v>
      </c>
      <c r="C15" t="s">
        <v>112</v>
      </c>
      <c r="D15" t="s">
        <v>109</v>
      </c>
      <c r="E15">
        <v>-0.93649924875500001</v>
      </c>
      <c r="F15" s="57">
        <v>7.9616844312599994E-2</v>
      </c>
    </row>
    <row r="16" spans="1:11" x14ac:dyDescent="0.25">
      <c r="B16">
        <v>16</v>
      </c>
      <c r="C16" t="s">
        <v>113</v>
      </c>
      <c r="D16" t="s">
        <v>109</v>
      </c>
      <c r="E16">
        <v>-1.77743849575</v>
      </c>
      <c r="F16">
        <v>0.131835941939</v>
      </c>
    </row>
    <row r="17" spans="2:6" x14ac:dyDescent="0.25">
      <c r="B17">
        <v>17</v>
      </c>
      <c r="C17" t="s">
        <v>114</v>
      </c>
      <c r="D17" t="s">
        <v>109</v>
      </c>
      <c r="E17">
        <v>-1.86737256636</v>
      </c>
      <c r="F17">
        <v>0.22171354243499999</v>
      </c>
    </row>
    <row r="18" spans="2:6" x14ac:dyDescent="0.25">
      <c r="B18">
        <v>18</v>
      </c>
      <c r="C18" t="s">
        <v>115</v>
      </c>
      <c r="D18" t="s">
        <v>109</v>
      </c>
      <c r="E18">
        <v>-2.26568763106</v>
      </c>
      <c r="F18">
        <v>0.33096359431599998</v>
      </c>
    </row>
    <row r="19" spans="2:6" x14ac:dyDescent="0.25">
      <c r="B19">
        <v>19</v>
      </c>
      <c r="C19" t="s">
        <v>116</v>
      </c>
      <c r="D19" t="s">
        <v>109</v>
      </c>
      <c r="E19">
        <v>-3.1613092691400002</v>
      </c>
      <c r="F19">
        <v>0.49077839607000001</v>
      </c>
    </row>
    <row r="20" spans="2:6" x14ac:dyDescent="0.25">
      <c r="B20">
        <v>20</v>
      </c>
      <c r="C20" t="s">
        <v>117</v>
      </c>
      <c r="D20" t="s">
        <v>109</v>
      </c>
      <c r="E20">
        <v>-4.1209548115799999</v>
      </c>
      <c r="F20">
        <v>0.81739969350599995</v>
      </c>
    </row>
    <row r="21" spans="2:6" x14ac:dyDescent="0.25">
      <c r="B21">
        <v>21</v>
      </c>
      <c r="C21" t="s">
        <v>118</v>
      </c>
      <c r="D21" t="s">
        <v>109</v>
      </c>
      <c r="E21">
        <v>-2.7576260000000001</v>
      </c>
      <c r="F21">
        <v>0.50610763844399997</v>
      </c>
    </row>
    <row r="22" spans="2:6" x14ac:dyDescent="0.25">
      <c r="B22">
        <v>22</v>
      </c>
      <c r="C22" t="s">
        <v>119</v>
      </c>
      <c r="D22" t="s">
        <v>109</v>
      </c>
      <c r="E22">
        <v>-1.6259760000000001</v>
      </c>
      <c r="F22">
        <v>0.326935585779</v>
      </c>
    </row>
    <row r="23" spans="2:6" x14ac:dyDescent="0.25">
      <c r="B23">
        <v>23</v>
      </c>
      <c r="C23" t="s">
        <v>120</v>
      </c>
      <c r="D23" t="s">
        <v>109</v>
      </c>
      <c r="E23">
        <v>-0.57779599999999998</v>
      </c>
      <c r="F23">
        <v>0.19811168781399999</v>
      </c>
    </row>
    <row r="24" spans="2:6" x14ac:dyDescent="0.25">
      <c r="B24">
        <v>24</v>
      </c>
      <c r="C24" t="s">
        <v>121</v>
      </c>
      <c r="D24" t="s">
        <v>109</v>
      </c>
      <c r="E24">
        <v>-0.45795000000000002</v>
      </c>
      <c r="F24">
        <v>0.115798211597</v>
      </c>
    </row>
    <row r="25" spans="2:6" x14ac:dyDescent="0.25">
      <c r="B25">
        <v>25</v>
      </c>
      <c r="C25" t="s">
        <v>122</v>
      </c>
      <c r="D25" t="s">
        <v>107</v>
      </c>
      <c r="E25">
        <v>0</v>
      </c>
      <c r="F25">
        <v>0</v>
      </c>
    </row>
    <row r="26" spans="2:6" x14ac:dyDescent="0.25">
      <c r="B26">
        <v>26</v>
      </c>
      <c r="C26" t="s">
        <v>123</v>
      </c>
      <c r="D26" t="s">
        <v>109</v>
      </c>
      <c r="E26" s="57">
        <v>-5.4146E-2</v>
      </c>
      <c r="F26" s="57">
        <v>6.6387251918099993E-2</v>
      </c>
    </row>
    <row r="27" spans="2:6" x14ac:dyDescent="0.25">
      <c r="B27">
        <v>27</v>
      </c>
      <c r="C27" t="s">
        <v>124</v>
      </c>
      <c r="D27" t="s">
        <v>109</v>
      </c>
      <c r="E27">
        <v>-0.85907800000000001</v>
      </c>
      <c r="F27">
        <v>0.103880499463</v>
      </c>
    </row>
    <row r="28" spans="2:6" x14ac:dyDescent="0.25">
      <c r="B28">
        <v>28</v>
      </c>
      <c r="C28" t="s">
        <v>125</v>
      </c>
      <c r="D28" t="s">
        <v>109</v>
      </c>
      <c r="E28">
        <v>-1.93876</v>
      </c>
      <c r="F28">
        <v>0.16080869896200001</v>
      </c>
    </row>
    <row r="29" spans="2:6" x14ac:dyDescent="0.25">
      <c r="B29">
        <v>29</v>
      </c>
      <c r="C29" t="s">
        <v>126</v>
      </c>
      <c r="D29" t="s">
        <v>109</v>
      </c>
      <c r="E29">
        <v>-1.9554069999999999</v>
      </c>
      <c r="F29">
        <v>0.247496421287</v>
      </c>
    </row>
    <row r="30" spans="2:6" x14ac:dyDescent="0.25">
      <c r="B30">
        <v>30</v>
      </c>
      <c r="C30" t="s">
        <v>127</v>
      </c>
      <c r="D30" t="s">
        <v>109</v>
      </c>
      <c r="E30">
        <v>-3.4381330000000001</v>
      </c>
      <c r="F30">
        <v>0.394526618537</v>
      </c>
    </row>
    <row r="31" spans="2:6" x14ac:dyDescent="0.25">
      <c r="B31">
        <v>31</v>
      </c>
      <c r="C31" t="s">
        <v>128</v>
      </c>
      <c r="D31" t="s">
        <v>109</v>
      </c>
      <c r="E31">
        <v>0.94328400000000001</v>
      </c>
      <c r="F31">
        <v>0.29987452563</v>
      </c>
    </row>
    <row r="32" spans="2:6" x14ac:dyDescent="0.25">
      <c r="B32">
        <v>32</v>
      </c>
      <c r="C32" t="s">
        <v>129</v>
      </c>
      <c r="D32" t="s">
        <v>109</v>
      </c>
      <c r="E32">
        <v>1.0836619999999999</v>
      </c>
      <c r="F32">
        <v>0.226897888656</v>
      </c>
    </row>
    <row r="33" spans="2:6" x14ac:dyDescent="0.25">
      <c r="B33">
        <v>33</v>
      </c>
      <c r="C33" t="s">
        <v>130</v>
      </c>
      <c r="D33" t="s">
        <v>109</v>
      </c>
      <c r="E33">
        <v>0.42832700000000001</v>
      </c>
      <c r="F33">
        <v>0.174895181077</v>
      </c>
    </row>
    <row r="34" spans="2:6" x14ac:dyDescent="0.25">
      <c r="B34">
        <v>34</v>
      </c>
      <c r="C34" t="s">
        <v>131</v>
      </c>
      <c r="D34" t="s">
        <v>109</v>
      </c>
      <c r="E34">
        <v>0.61578100000000002</v>
      </c>
      <c r="F34">
        <v>0.12857557629899999</v>
      </c>
    </row>
    <row r="35" spans="2:6" x14ac:dyDescent="0.25">
      <c r="B35">
        <v>35</v>
      </c>
      <c r="C35" t="s">
        <v>132</v>
      </c>
      <c r="D35" t="s">
        <v>107</v>
      </c>
      <c r="E35">
        <v>-0.111499</v>
      </c>
      <c r="F35">
        <v>0</v>
      </c>
    </row>
    <row r="36" spans="2:6" x14ac:dyDescent="0.25">
      <c r="B36">
        <v>36</v>
      </c>
      <c r="C36" t="s">
        <v>133</v>
      </c>
      <c r="D36" t="s">
        <v>109</v>
      </c>
      <c r="E36">
        <v>-1.2529269999999999</v>
      </c>
      <c r="F36" s="57">
        <v>7.3847024576899997E-2</v>
      </c>
    </row>
    <row r="37" spans="2:6" x14ac:dyDescent="0.25">
      <c r="B37">
        <v>37</v>
      </c>
      <c r="C37" t="s">
        <v>134</v>
      </c>
      <c r="D37" t="s">
        <v>109</v>
      </c>
      <c r="E37">
        <v>-2.4258410000000001</v>
      </c>
      <c r="F37">
        <v>0.12614259511799999</v>
      </c>
    </row>
    <row r="38" spans="2:6" x14ac:dyDescent="0.25">
      <c r="B38">
        <v>38</v>
      </c>
      <c r="C38" t="s">
        <v>135</v>
      </c>
      <c r="D38" t="s">
        <v>109</v>
      </c>
      <c r="E38">
        <v>-3.6496620000000002</v>
      </c>
      <c r="F38">
        <v>0.18517755081600001</v>
      </c>
    </row>
    <row r="39" spans="2:6" x14ac:dyDescent="0.25">
      <c r="B39">
        <v>39</v>
      </c>
      <c r="C39" t="s">
        <v>136</v>
      </c>
      <c r="D39" t="s">
        <v>109</v>
      </c>
      <c r="E39">
        <v>-6.2620810000000002</v>
      </c>
      <c r="F39">
        <v>0.35203937082499998</v>
      </c>
    </row>
    <row r="40" spans="2:6" x14ac:dyDescent="0.25">
      <c r="B40">
        <v>40</v>
      </c>
      <c r="C40" t="s">
        <v>137</v>
      </c>
      <c r="D40" t="s">
        <v>109</v>
      </c>
      <c r="E40">
        <v>-9.2484599999999997</v>
      </c>
      <c r="F40">
        <v>1.11916797919</v>
      </c>
    </row>
    <row r="41" spans="2:6" x14ac:dyDescent="0.25">
      <c r="B41">
        <v>41</v>
      </c>
      <c r="C41" t="s">
        <v>138</v>
      </c>
      <c r="D41" t="s">
        <v>109</v>
      </c>
      <c r="E41" s="57">
        <v>4.0037136956699998E-2</v>
      </c>
      <c r="F41" s="57">
        <v>9.9685746281100007E-3</v>
      </c>
    </row>
    <row r="42" spans="2:6" x14ac:dyDescent="0.25">
      <c r="B42">
        <v>42</v>
      </c>
      <c r="C42" t="s">
        <v>139</v>
      </c>
      <c r="D42" t="s">
        <v>109</v>
      </c>
      <c r="E42" s="57">
        <v>-2.9029788634599998E-2</v>
      </c>
      <c r="F42" s="57">
        <v>1.2678570722499999E-2</v>
      </c>
    </row>
    <row r="43" spans="2:6" x14ac:dyDescent="0.25">
      <c r="B43">
        <v>43</v>
      </c>
      <c r="C43" t="s">
        <v>140</v>
      </c>
      <c r="D43" t="s">
        <v>109</v>
      </c>
      <c r="E43" s="57">
        <v>6.0083727421699998E-2</v>
      </c>
      <c r="F43" s="57">
        <v>2.5372281094700001E-2</v>
      </c>
    </row>
    <row r="44" spans="2:6" x14ac:dyDescent="0.25">
      <c r="B44">
        <v>44</v>
      </c>
      <c r="C44" t="s">
        <v>141</v>
      </c>
      <c r="D44" t="s">
        <v>109</v>
      </c>
      <c r="E44">
        <v>-0.13634249725200001</v>
      </c>
      <c r="F44" s="57">
        <v>3.6390381655799997E-2</v>
      </c>
    </row>
    <row r="45" spans="2:6" x14ac:dyDescent="0.25">
      <c r="B45">
        <v>45</v>
      </c>
      <c r="C45" t="s">
        <v>142</v>
      </c>
      <c r="D45" t="s">
        <v>109</v>
      </c>
      <c r="E45">
        <v>0.103738819739</v>
      </c>
      <c r="F45" s="57">
        <v>1.6616031351299999E-2</v>
      </c>
    </row>
    <row r="46" spans="2:6" x14ac:dyDescent="0.25">
      <c r="B46">
        <v>46</v>
      </c>
      <c r="C46" t="s">
        <v>143</v>
      </c>
      <c r="D46" t="s">
        <v>109</v>
      </c>
      <c r="E46" s="57">
        <v>1.35703205954E-2</v>
      </c>
      <c r="F46" s="57">
        <v>2.28690317452E-2</v>
      </c>
    </row>
    <row r="47" spans="2:6" x14ac:dyDescent="0.25">
      <c r="B47">
        <v>49</v>
      </c>
      <c r="C47" t="s">
        <v>144</v>
      </c>
      <c r="D47" t="s">
        <v>109</v>
      </c>
      <c r="E47">
        <v>0.19068824550399999</v>
      </c>
      <c r="F47" s="57">
        <v>2.65279140342E-2</v>
      </c>
    </row>
    <row r="48" spans="2:6" x14ac:dyDescent="0.25">
      <c r="B48">
        <v>50</v>
      </c>
      <c r="C48" t="s">
        <v>145</v>
      </c>
      <c r="D48" t="s">
        <v>109</v>
      </c>
      <c r="E48" s="57">
        <v>-4.7658902528499997E-2</v>
      </c>
      <c r="F48" s="57">
        <v>4.1478476952599999E-2</v>
      </c>
    </row>
    <row r="49" spans="2:6" x14ac:dyDescent="0.25">
      <c r="B49">
        <v>51</v>
      </c>
      <c r="C49" t="s">
        <v>200</v>
      </c>
      <c r="D49" t="s">
        <v>109</v>
      </c>
      <c r="E49" s="57">
        <v>1.74365636267E-2</v>
      </c>
      <c r="F49" s="57">
        <v>1.140252435E-2</v>
      </c>
    </row>
    <row r="50" spans="2:6" x14ac:dyDescent="0.25">
      <c r="B50">
        <v>52</v>
      </c>
      <c r="C50" t="s">
        <v>201</v>
      </c>
      <c r="D50" t="s">
        <v>109</v>
      </c>
      <c r="E50" s="57">
        <v>-1.1076555783700001E-2</v>
      </c>
      <c r="F50" s="57">
        <v>1.2858732606199999E-2</v>
      </c>
    </row>
    <row r="51" spans="2:6" x14ac:dyDescent="0.25">
      <c r="B51">
        <v>53</v>
      </c>
      <c r="C51" t="s">
        <v>202</v>
      </c>
      <c r="D51" t="s">
        <v>109</v>
      </c>
      <c r="E51" s="57">
        <v>-4.5799393531799999E-3</v>
      </c>
      <c r="F51" s="57">
        <v>1.7862377697600001E-2</v>
      </c>
    </row>
    <row r="52" spans="2:6" x14ac:dyDescent="0.25">
      <c r="B52">
        <v>54</v>
      </c>
      <c r="C52" t="s">
        <v>203</v>
      </c>
      <c r="D52" t="s">
        <v>109</v>
      </c>
      <c r="E52" s="57">
        <v>1.7562242850300001E-3</v>
      </c>
      <c r="F52" s="57">
        <v>1.4630867548599999E-2</v>
      </c>
    </row>
    <row r="53" spans="2:6" x14ac:dyDescent="0.25">
      <c r="B53">
        <v>57</v>
      </c>
      <c r="C53" t="s">
        <v>204</v>
      </c>
      <c r="D53" t="s">
        <v>109</v>
      </c>
      <c r="E53">
        <v>1.4622136722300001</v>
      </c>
      <c r="F53">
        <v>8.5992649050699992</v>
      </c>
    </row>
    <row r="54" spans="2:6" x14ac:dyDescent="0.25">
      <c r="B54">
        <v>58</v>
      </c>
      <c r="C54" t="s">
        <v>205</v>
      </c>
      <c r="D54" t="s">
        <v>109</v>
      </c>
      <c r="E54">
        <v>0.24430192177099999</v>
      </c>
      <c r="F54">
        <v>8.5689380652500002</v>
      </c>
    </row>
    <row r="55" spans="2:6" x14ac:dyDescent="0.25">
      <c r="B55">
        <v>61</v>
      </c>
      <c r="C55" t="s">
        <v>146</v>
      </c>
      <c r="D55" t="s">
        <v>109</v>
      </c>
      <c r="E55" s="57">
        <v>3.9458577753300004E-3</v>
      </c>
      <c r="F55" s="57">
        <v>3.6600568992000001E-3</v>
      </c>
    </row>
    <row r="56" spans="2:6" x14ac:dyDescent="0.25">
      <c r="B56">
        <v>62</v>
      </c>
      <c r="C56" t="s">
        <v>147</v>
      </c>
      <c r="D56" t="s">
        <v>109</v>
      </c>
      <c r="E56" s="57">
        <v>-4.5842264627900003E-2</v>
      </c>
      <c r="F56" s="57">
        <v>3.86497643E-3</v>
      </c>
    </row>
    <row r="57" spans="2:6" x14ac:dyDescent="0.25">
      <c r="B57">
        <v>63</v>
      </c>
      <c r="C57" t="s">
        <v>206</v>
      </c>
      <c r="D57" t="s">
        <v>109</v>
      </c>
      <c r="E57" s="57">
        <v>-6.5425870724599995E-4</v>
      </c>
      <c r="F57" s="57">
        <v>3.4123010024899999E-3</v>
      </c>
    </row>
    <row r="58" spans="2:6" x14ac:dyDescent="0.25">
      <c r="B58">
        <v>64</v>
      </c>
      <c r="C58" t="s">
        <v>207</v>
      </c>
      <c r="D58" t="s">
        <v>109</v>
      </c>
      <c r="E58" s="57">
        <v>-4.2823263761100003E-2</v>
      </c>
      <c r="F58" s="57">
        <v>3.7704440667799999E-3</v>
      </c>
    </row>
    <row r="59" spans="2:6" x14ac:dyDescent="0.25">
      <c r="B59">
        <v>67</v>
      </c>
      <c r="C59" t="s">
        <v>150</v>
      </c>
      <c r="D59" t="s">
        <v>109</v>
      </c>
      <c r="E59" s="57">
        <v>-1.43005534112E-2</v>
      </c>
      <c r="F59" s="57">
        <v>6.4460601462800002E-3</v>
      </c>
    </row>
    <row r="60" spans="2:6" x14ac:dyDescent="0.25">
      <c r="B60">
        <v>68</v>
      </c>
      <c r="C60" t="s">
        <v>151</v>
      </c>
      <c r="D60" t="s">
        <v>109</v>
      </c>
      <c r="E60" s="57">
        <v>4.5097327600000001E-2</v>
      </c>
      <c r="F60" s="57">
        <v>6.3326225988899996E-3</v>
      </c>
    </row>
    <row r="61" spans="2:6" x14ac:dyDescent="0.25">
      <c r="B61">
        <v>69</v>
      </c>
      <c r="C61" t="s">
        <v>208</v>
      </c>
      <c r="D61" t="s">
        <v>109</v>
      </c>
      <c r="E61" s="57">
        <v>1.3563955105100001E-2</v>
      </c>
      <c r="F61" s="57">
        <v>1.1330529709800001E-2</v>
      </c>
    </row>
    <row r="62" spans="2:6" x14ac:dyDescent="0.25">
      <c r="B62">
        <v>70</v>
      </c>
      <c r="C62" t="s">
        <v>209</v>
      </c>
      <c r="D62" t="s">
        <v>109</v>
      </c>
      <c r="E62">
        <v>0.16495387210699999</v>
      </c>
      <c r="F62" s="57">
        <v>1.12206895961E-2</v>
      </c>
    </row>
    <row r="63" spans="2:6" x14ac:dyDescent="0.25">
      <c r="B63">
        <v>71</v>
      </c>
      <c r="C63" t="s">
        <v>210</v>
      </c>
      <c r="D63" t="s">
        <v>109</v>
      </c>
      <c r="E63">
        <v>-1.2851468616399999</v>
      </c>
      <c r="F63">
        <v>0.133851118874</v>
      </c>
    </row>
    <row r="64" spans="2:6" x14ac:dyDescent="0.25">
      <c r="B64">
        <v>72</v>
      </c>
      <c r="C64" t="s">
        <v>211</v>
      </c>
      <c r="D64" t="s">
        <v>109</v>
      </c>
      <c r="E64">
        <v>-0.473472396189</v>
      </c>
      <c r="F64">
        <v>0.18373979583</v>
      </c>
    </row>
    <row r="65" spans="2:6" x14ac:dyDescent="0.25">
      <c r="B65">
        <v>73</v>
      </c>
      <c r="C65" t="s">
        <v>212</v>
      </c>
      <c r="D65" t="s">
        <v>109</v>
      </c>
      <c r="E65">
        <v>-0.81108460731200005</v>
      </c>
      <c r="F65">
        <v>0.35691249158299998</v>
      </c>
    </row>
    <row r="66" spans="2:6" x14ac:dyDescent="0.25">
      <c r="B66">
        <v>81</v>
      </c>
      <c r="C66" t="s">
        <v>213</v>
      </c>
      <c r="D66" t="s">
        <v>109</v>
      </c>
      <c r="E66">
        <v>2.0980899153400001</v>
      </c>
      <c r="F66">
        <v>0.242856799451</v>
      </c>
    </row>
    <row r="67" spans="2:6" x14ac:dyDescent="0.25">
      <c r="B67">
        <v>82</v>
      </c>
      <c r="C67" t="s">
        <v>214</v>
      </c>
      <c r="D67" t="s">
        <v>107</v>
      </c>
      <c r="E67">
        <v>5</v>
      </c>
      <c r="F67">
        <v>0</v>
      </c>
    </row>
    <row r="68" spans="2:6" x14ac:dyDescent="0.25">
      <c r="B68">
        <v>83</v>
      </c>
      <c r="C68" t="s">
        <v>215</v>
      </c>
      <c r="D68" t="s">
        <v>109</v>
      </c>
      <c r="E68">
        <v>-0.64054936577699995</v>
      </c>
      <c r="F68">
        <v>0.110855147249</v>
      </c>
    </row>
    <row r="69" spans="2:6" x14ac:dyDescent="0.25">
      <c r="B69">
        <v>85</v>
      </c>
      <c r="C69" t="s">
        <v>152</v>
      </c>
      <c r="D69" t="s">
        <v>107</v>
      </c>
      <c r="E69">
        <v>0.5</v>
      </c>
      <c r="F69">
        <v>0</v>
      </c>
    </row>
    <row r="70" spans="2:6" x14ac:dyDescent="0.25">
      <c r="B70">
        <v>86</v>
      </c>
      <c r="C70" t="s">
        <v>153</v>
      </c>
      <c r="D70" t="s">
        <v>107</v>
      </c>
      <c r="E70">
        <v>0.5</v>
      </c>
      <c r="F70">
        <v>0</v>
      </c>
    </row>
    <row r="71" spans="2:6" x14ac:dyDescent="0.25">
      <c r="B71">
        <v>87</v>
      </c>
      <c r="C71" t="s">
        <v>154</v>
      </c>
      <c r="D71" t="s">
        <v>107</v>
      </c>
      <c r="E71">
        <v>0.5</v>
      </c>
      <c r="F71">
        <v>0</v>
      </c>
    </row>
    <row r="72" spans="2:6" x14ac:dyDescent="0.25">
      <c r="B72">
        <v>88</v>
      </c>
      <c r="C72" t="s">
        <v>155</v>
      </c>
      <c r="D72" t="s">
        <v>107</v>
      </c>
      <c r="E72">
        <v>0.5</v>
      </c>
      <c r="F72">
        <v>0</v>
      </c>
    </row>
    <row r="73" spans="2:6" x14ac:dyDescent="0.25">
      <c r="B73">
        <v>89</v>
      </c>
      <c r="C73" t="s">
        <v>216</v>
      </c>
      <c r="D73" t="s">
        <v>109</v>
      </c>
      <c r="E73">
        <v>-2.9770165213499999</v>
      </c>
      <c r="F73">
        <v>0.93438368094400004</v>
      </c>
    </row>
    <row r="74" spans="2:6" x14ac:dyDescent="0.25">
      <c r="B74">
        <v>91</v>
      </c>
      <c r="C74" t="s">
        <v>182</v>
      </c>
      <c r="D74" t="s">
        <v>109</v>
      </c>
      <c r="E74">
        <v>3.1461924511900001</v>
      </c>
      <c r="F74">
        <v>2.30486769522</v>
      </c>
    </row>
    <row r="75" spans="2:6" x14ac:dyDescent="0.25">
      <c r="B75">
        <v>92</v>
      </c>
      <c r="C75" t="s">
        <v>183</v>
      </c>
      <c r="D75" t="s">
        <v>107</v>
      </c>
      <c r="E75">
        <v>5</v>
      </c>
      <c r="F75">
        <v>0</v>
      </c>
    </row>
    <row r="76" spans="2:6" x14ac:dyDescent="0.25">
      <c r="B76">
        <v>93</v>
      </c>
      <c r="C76" t="s">
        <v>158</v>
      </c>
      <c r="D76" t="s">
        <v>109</v>
      </c>
      <c r="E76">
        <v>-0.240163130498</v>
      </c>
      <c r="F76" s="57">
        <v>2.6404795602699999E-2</v>
      </c>
    </row>
    <row r="77" spans="2:6" x14ac:dyDescent="0.25">
      <c r="B77">
        <v>94</v>
      </c>
      <c r="C77" t="s">
        <v>159</v>
      </c>
      <c r="D77" t="s">
        <v>109</v>
      </c>
      <c r="E77">
        <v>-0.24977007544900001</v>
      </c>
      <c r="F77" s="57">
        <v>2.6664374720300001E-2</v>
      </c>
    </row>
    <row r="78" spans="2:6" x14ac:dyDescent="0.25">
      <c r="B78">
        <v>95</v>
      </c>
      <c r="C78" t="s">
        <v>160</v>
      </c>
      <c r="D78" t="s">
        <v>109</v>
      </c>
      <c r="E78">
        <v>-1.72821922101</v>
      </c>
      <c r="F78">
        <v>0.85871705533499998</v>
      </c>
    </row>
    <row r="79" spans="2:6" x14ac:dyDescent="0.25">
      <c r="B79">
        <v>96</v>
      </c>
      <c r="C79" t="s">
        <v>161</v>
      </c>
      <c r="D79" t="s">
        <v>109</v>
      </c>
      <c r="E79" s="57">
        <v>1.9500749384399999E-2</v>
      </c>
      <c r="F79">
        <v>8.5688875581000001</v>
      </c>
    </row>
    <row r="80" spans="2:6" x14ac:dyDescent="0.25">
      <c r="B80">
        <v>97</v>
      </c>
      <c r="C80" t="s">
        <v>162</v>
      </c>
      <c r="D80" t="s">
        <v>109</v>
      </c>
      <c r="E80">
        <v>-100.45727126200001</v>
      </c>
      <c r="F80">
        <v>11.389718690700001</v>
      </c>
    </row>
    <row r="81" spans="2:11" x14ac:dyDescent="0.25">
      <c r="B81">
        <v>98</v>
      </c>
      <c r="C81" t="s">
        <v>217</v>
      </c>
      <c r="D81" t="s">
        <v>109</v>
      </c>
      <c r="E81">
        <v>-23.747958025900001</v>
      </c>
      <c r="F81">
        <v>4.7914242846299997</v>
      </c>
    </row>
    <row r="82" spans="2:11" x14ac:dyDescent="0.25">
      <c r="B82">
        <v>99</v>
      </c>
      <c r="C82" t="s">
        <v>163</v>
      </c>
      <c r="D82" t="s">
        <v>109</v>
      </c>
      <c r="E82">
        <v>-0.58740415466499996</v>
      </c>
      <c r="F82">
        <v>0.111881203638</v>
      </c>
    </row>
    <row r="83" spans="2:11" x14ac:dyDescent="0.25">
      <c r="B83">
        <v>100</v>
      </c>
      <c r="C83" t="s">
        <v>164</v>
      </c>
      <c r="D83" t="s">
        <v>109</v>
      </c>
      <c r="E83">
        <v>-0.99452973540199996</v>
      </c>
      <c r="F83">
        <v>0.53861771576299999</v>
      </c>
    </row>
    <row r="84" spans="2:11" x14ac:dyDescent="0.25">
      <c r="B84">
        <v>124</v>
      </c>
      <c r="C84" t="s">
        <v>165</v>
      </c>
      <c r="D84" t="s">
        <v>109</v>
      </c>
      <c r="E84">
        <v>-0.12591233227500001</v>
      </c>
      <c r="F84" s="57">
        <v>7.3422333463599998E-2</v>
      </c>
    </row>
    <row r="85" spans="2:11" x14ac:dyDescent="0.25">
      <c r="B85">
        <v>-1</v>
      </c>
    </row>
    <row r="86" spans="2:11" x14ac:dyDescent="0.25">
      <c r="B86">
        <v>3328</v>
      </c>
      <c r="C86" s="57">
        <v>-17879.5405025</v>
      </c>
      <c r="D86" s="57">
        <v>-23288.8047677</v>
      </c>
      <c r="E86" s="57">
        <v>-17489.511809200001</v>
      </c>
    </row>
    <row r="87" spans="2:11" x14ac:dyDescent="0.25">
      <c r="B87">
        <v>17</v>
      </c>
      <c r="C87" t="s">
        <v>218</v>
      </c>
      <c r="D87" t="s">
        <v>104</v>
      </c>
      <c r="E87">
        <v>7</v>
      </c>
      <c r="F87" t="s">
        <v>199</v>
      </c>
      <c r="G87">
        <v>12</v>
      </c>
    </row>
    <row r="88" spans="2:11" x14ac:dyDescent="0.25">
      <c r="B88">
        <v>74147</v>
      </c>
      <c r="C88">
        <v>62576</v>
      </c>
      <c r="D88">
        <v>67025</v>
      </c>
      <c r="E88">
        <v>0</v>
      </c>
      <c r="F88">
        <v>0</v>
      </c>
      <c r="G88">
        <v>0</v>
      </c>
      <c r="H88">
        <v>-29058</v>
      </c>
      <c r="I88">
        <v>-19081</v>
      </c>
      <c r="J88">
        <v>-3284</v>
      </c>
      <c r="K88">
        <v>0</v>
      </c>
    </row>
    <row r="89" spans="2:11" x14ac:dyDescent="0.25">
      <c r="B89">
        <v>-62208</v>
      </c>
      <c r="C89">
        <v>-50819</v>
      </c>
      <c r="D89">
        <v>-33363</v>
      </c>
      <c r="E89">
        <v>0</v>
      </c>
      <c r="F89">
        <v>50969</v>
      </c>
      <c r="G89">
        <v>-71422</v>
      </c>
      <c r="H89">
        <v>-60926</v>
      </c>
      <c r="I89">
        <v>-44281</v>
      </c>
      <c r="J89">
        <v>0</v>
      </c>
      <c r="K89">
        <v>49232</v>
      </c>
    </row>
    <row r="90" spans="2:11" x14ac:dyDescent="0.25">
      <c r="B90">
        <v>83950</v>
      </c>
      <c r="C90">
        <v>-70033</v>
      </c>
      <c r="D90">
        <v>-61112</v>
      </c>
      <c r="E90">
        <v>-45839</v>
      </c>
      <c r="F90">
        <v>0</v>
      </c>
      <c r="G90">
        <v>45638</v>
      </c>
      <c r="H90">
        <v>78980</v>
      </c>
      <c r="I90">
        <v>89234</v>
      </c>
      <c r="J90">
        <v>-61561</v>
      </c>
      <c r="K90">
        <v>-53824</v>
      </c>
    </row>
    <row r="91" spans="2:11" x14ac:dyDescent="0.25">
      <c r="B91">
        <v>-40913</v>
      </c>
      <c r="C91">
        <v>0</v>
      </c>
      <c r="D91">
        <v>38880</v>
      </c>
      <c r="E91">
        <v>69011</v>
      </c>
      <c r="F91">
        <v>78703</v>
      </c>
      <c r="G91">
        <v>81579</v>
      </c>
      <c r="H91">
        <v>-46303</v>
      </c>
      <c r="I91">
        <v>-40773</v>
      </c>
      <c r="J91">
        <v>-31264</v>
      </c>
      <c r="K91">
        <v>0</v>
      </c>
    </row>
    <row r="92" spans="2:11" x14ac:dyDescent="0.25">
      <c r="B92">
        <v>28592</v>
      </c>
      <c r="C92">
        <v>51554</v>
      </c>
      <c r="D92">
        <v>59601</v>
      </c>
      <c r="E92">
        <v>62173</v>
      </c>
      <c r="F92">
        <v>59779</v>
      </c>
      <c r="G92">
        <v>-3756</v>
      </c>
      <c r="H92">
        <v>-295</v>
      </c>
      <c r="I92">
        <v>2297</v>
      </c>
      <c r="J92">
        <v>0</v>
      </c>
      <c r="K92">
        <v>-373</v>
      </c>
    </row>
    <row r="93" spans="2:11" x14ac:dyDescent="0.25">
      <c r="B93">
        <v>-2113</v>
      </c>
      <c r="C93">
        <v>-3059</v>
      </c>
      <c r="D93">
        <v>-2838</v>
      </c>
      <c r="E93">
        <v>-3155</v>
      </c>
      <c r="F93">
        <v>-2919</v>
      </c>
      <c r="G93">
        <v>-1052</v>
      </c>
      <c r="H93">
        <v>838</v>
      </c>
      <c r="I93">
        <v>1944</v>
      </c>
      <c r="J93">
        <v>0</v>
      </c>
      <c r="K93">
        <v>608</v>
      </c>
    </row>
    <row r="94" spans="2:11" x14ac:dyDescent="0.25">
      <c r="B94">
        <v>-589</v>
      </c>
      <c r="C94">
        <v>-1749</v>
      </c>
      <c r="D94">
        <v>-1837</v>
      </c>
      <c r="E94">
        <v>-2253</v>
      </c>
      <c r="F94">
        <v>-2432</v>
      </c>
      <c r="G94">
        <v>72253</v>
      </c>
      <c r="H94">
        <v>-544</v>
      </c>
      <c r="I94">
        <v>2535</v>
      </c>
      <c r="J94">
        <v>4021</v>
      </c>
      <c r="K94">
        <v>0</v>
      </c>
    </row>
    <row r="95" spans="2:11" x14ac:dyDescent="0.25">
      <c r="B95">
        <v>-298</v>
      </c>
      <c r="C95">
        <v>-1009</v>
      </c>
      <c r="D95">
        <v>-1937</v>
      </c>
      <c r="E95">
        <v>-2449</v>
      </c>
      <c r="F95">
        <v>-2673</v>
      </c>
      <c r="G95">
        <v>-3240</v>
      </c>
      <c r="H95">
        <v>74661</v>
      </c>
      <c r="I95">
        <v>85522</v>
      </c>
      <c r="J95">
        <v>-3994</v>
      </c>
      <c r="K95">
        <v>127</v>
      </c>
    </row>
    <row r="96" spans="2:11" x14ac:dyDescent="0.25">
      <c r="B96">
        <v>3487</v>
      </c>
      <c r="C96">
        <v>0</v>
      </c>
      <c r="D96">
        <v>-667</v>
      </c>
      <c r="E96">
        <v>-2141</v>
      </c>
      <c r="F96">
        <v>-2664</v>
      </c>
      <c r="G96">
        <v>-2449</v>
      </c>
      <c r="H96">
        <v>-2971</v>
      </c>
      <c r="I96">
        <v>-3364</v>
      </c>
      <c r="J96">
        <v>65642</v>
      </c>
      <c r="K96">
        <v>74970</v>
      </c>
    </row>
    <row r="97" spans="2:11" x14ac:dyDescent="0.25">
      <c r="B97">
        <v>82773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</row>
    <row r="98" spans="2:11" x14ac:dyDescent="0.25">
      <c r="B98">
        <v>0</v>
      </c>
      <c r="C98">
        <v>0</v>
      </c>
      <c r="D98">
        <v>0</v>
      </c>
      <c r="E98">
        <v>0</v>
      </c>
      <c r="F98">
        <v>0</v>
      </c>
      <c r="G98">
        <v>4035</v>
      </c>
      <c r="H98">
        <v>8749</v>
      </c>
      <c r="I98">
        <v>10382</v>
      </c>
      <c r="J98">
        <v>0</v>
      </c>
      <c r="K98">
        <v>1265</v>
      </c>
    </row>
    <row r="99" spans="2:11" x14ac:dyDescent="0.25">
      <c r="B99">
        <v>3232</v>
      </c>
      <c r="C99">
        <v>2401</v>
      </c>
      <c r="D99">
        <v>1148</v>
      </c>
      <c r="E99">
        <v>1870</v>
      </c>
      <c r="F99">
        <v>2088</v>
      </c>
      <c r="G99">
        <v>-38170</v>
      </c>
      <c r="H99">
        <v>-41141</v>
      </c>
      <c r="I99">
        <v>-39199</v>
      </c>
      <c r="J99">
        <v>-25910</v>
      </c>
      <c r="K99">
        <v>0</v>
      </c>
    </row>
    <row r="100" spans="2:11" x14ac:dyDescent="0.25">
      <c r="B100">
        <v>1730</v>
      </c>
      <c r="C100">
        <v>5818</v>
      </c>
      <c r="D100">
        <v>7775</v>
      </c>
      <c r="E100">
        <v>0</v>
      </c>
      <c r="F100">
        <v>-3829</v>
      </c>
      <c r="G100">
        <v>2649</v>
      </c>
      <c r="H100">
        <v>3180</v>
      </c>
      <c r="I100">
        <v>1976</v>
      </c>
      <c r="J100">
        <v>3304</v>
      </c>
      <c r="K100">
        <v>3460</v>
      </c>
    </row>
    <row r="101" spans="2:11" x14ac:dyDescent="0.25">
      <c r="B101">
        <v>-50959</v>
      </c>
      <c r="C101">
        <v>-56445</v>
      </c>
      <c r="D101">
        <v>-56792</v>
      </c>
      <c r="E101">
        <v>-44370</v>
      </c>
      <c r="F101">
        <v>0</v>
      </c>
      <c r="G101">
        <v>66775</v>
      </c>
      <c r="H101">
        <v>812</v>
      </c>
      <c r="I101">
        <v>2255</v>
      </c>
      <c r="J101">
        <v>3202</v>
      </c>
      <c r="K101">
        <v>0</v>
      </c>
    </row>
    <row r="102" spans="2:11" x14ac:dyDescent="0.25">
      <c r="B102">
        <v>-3284</v>
      </c>
      <c r="C102">
        <v>-2425</v>
      </c>
      <c r="D102">
        <v>388</v>
      </c>
      <c r="E102">
        <v>-309</v>
      </c>
      <c r="F102">
        <v>432</v>
      </c>
      <c r="G102">
        <v>2512</v>
      </c>
      <c r="H102">
        <v>-57978</v>
      </c>
      <c r="I102">
        <v>-65132</v>
      </c>
      <c r="J102">
        <v>-67271</v>
      </c>
      <c r="K102">
        <v>-55320</v>
      </c>
    </row>
    <row r="103" spans="2:11" x14ac:dyDescent="0.25">
      <c r="B103">
        <v>0</v>
      </c>
      <c r="C103">
        <v>61851</v>
      </c>
      <c r="D103">
        <v>71121</v>
      </c>
      <c r="E103">
        <v>-2975</v>
      </c>
      <c r="F103">
        <v>-1950</v>
      </c>
      <c r="G103">
        <v>-253</v>
      </c>
      <c r="H103">
        <v>0</v>
      </c>
      <c r="I103">
        <v>-398</v>
      </c>
      <c r="J103">
        <v>-802</v>
      </c>
      <c r="K103">
        <v>410</v>
      </c>
    </row>
    <row r="104" spans="2:11" x14ac:dyDescent="0.25">
      <c r="B104">
        <v>890</v>
      </c>
      <c r="C104">
        <v>133</v>
      </c>
      <c r="D104">
        <v>2752</v>
      </c>
      <c r="E104">
        <v>-63984</v>
      </c>
      <c r="F104">
        <v>-72568</v>
      </c>
      <c r="G104">
        <v>-76107</v>
      </c>
      <c r="H104">
        <v>-64366</v>
      </c>
      <c r="I104">
        <v>0</v>
      </c>
      <c r="J104">
        <v>60099</v>
      </c>
      <c r="K104">
        <v>71966</v>
      </c>
    </row>
    <row r="105" spans="2:11" x14ac:dyDescent="0.25">
      <c r="B105">
        <v>80289</v>
      </c>
      <c r="C105">
        <v>-4055</v>
      </c>
      <c r="D105">
        <v>-2776</v>
      </c>
      <c r="E105">
        <v>-1520</v>
      </c>
      <c r="F105">
        <v>0</v>
      </c>
      <c r="G105">
        <v>575</v>
      </c>
      <c r="H105">
        <v>1332</v>
      </c>
      <c r="I105">
        <v>1470</v>
      </c>
      <c r="J105">
        <v>305</v>
      </c>
      <c r="K105">
        <v>237</v>
      </c>
    </row>
    <row r="106" spans="2:11" x14ac:dyDescent="0.25">
      <c r="B106">
        <v>-1051</v>
      </c>
      <c r="C106">
        <v>-57342</v>
      </c>
      <c r="D106">
        <v>-65355</v>
      </c>
      <c r="E106">
        <v>-69488</v>
      </c>
      <c r="F106">
        <v>-59838</v>
      </c>
      <c r="G106">
        <v>0</v>
      </c>
      <c r="H106">
        <v>51877</v>
      </c>
      <c r="I106">
        <v>63462</v>
      </c>
      <c r="J106">
        <v>71658</v>
      </c>
      <c r="K106">
        <v>82544</v>
      </c>
    </row>
    <row r="107" spans="2:11" x14ac:dyDescent="0.25">
      <c r="B107">
        <v>-239</v>
      </c>
      <c r="C107">
        <v>-52</v>
      </c>
      <c r="D107">
        <v>212</v>
      </c>
      <c r="E107">
        <v>0</v>
      </c>
      <c r="F107">
        <v>-970</v>
      </c>
      <c r="G107">
        <v>-715</v>
      </c>
      <c r="H107">
        <v>-1430</v>
      </c>
      <c r="I107">
        <v>659</v>
      </c>
      <c r="J107">
        <v>-348</v>
      </c>
      <c r="K107">
        <v>1319</v>
      </c>
    </row>
    <row r="108" spans="2:11" x14ac:dyDescent="0.25">
      <c r="B108">
        <v>2659</v>
      </c>
      <c r="C108">
        <v>529</v>
      </c>
      <c r="D108">
        <v>-1065</v>
      </c>
      <c r="E108">
        <v>1428</v>
      </c>
      <c r="F108">
        <v>0</v>
      </c>
      <c r="G108">
        <v>-541</v>
      </c>
      <c r="H108">
        <v>-500</v>
      </c>
      <c r="I108">
        <v>-1164</v>
      </c>
      <c r="J108">
        <v>-1144</v>
      </c>
      <c r="K108">
        <v>-1999</v>
      </c>
    </row>
    <row r="109" spans="2:11" x14ac:dyDescent="0.25">
      <c r="B109">
        <v>831</v>
      </c>
      <c r="C109">
        <v>601</v>
      </c>
      <c r="D109">
        <v>476</v>
      </c>
      <c r="E109">
        <v>0</v>
      </c>
      <c r="F109">
        <v>-1535</v>
      </c>
      <c r="G109">
        <v>-2103</v>
      </c>
      <c r="H109">
        <v>-1947</v>
      </c>
      <c r="I109">
        <v>716</v>
      </c>
      <c r="J109">
        <v>-377</v>
      </c>
      <c r="K109">
        <v>1879</v>
      </c>
    </row>
    <row r="110" spans="2:11" x14ac:dyDescent="0.25">
      <c r="B110">
        <v>3217</v>
      </c>
      <c r="C110">
        <v>1420</v>
      </c>
      <c r="D110">
        <v>-3844</v>
      </c>
      <c r="E110">
        <v>-492</v>
      </c>
      <c r="F110">
        <v>0</v>
      </c>
      <c r="G110">
        <v>240</v>
      </c>
      <c r="H110">
        <v>237</v>
      </c>
      <c r="I110">
        <v>-115</v>
      </c>
      <c r="J110">
        <v>-195</v>
      </c>
      <c r="K110">
        <v>-1027</v>
      </c>
    </row>
    <row r="111" spans="2:11" x14ac:dyDescent="0.25">
      <c r="B111">
        <v>93965</v>
      </c>
      <c r="C111">
        <v>1785</v>
      </c>
      <c r="D111">
        <v>1820</v>
      </c>
      <c r="E111">
        <v>1464</v>
      </c>
      <c r="F111">
        <v>0</v>
      </c>
      <c r="G111">
        <v>-2692</v>
      </c>
      <c r="H111">
        <v>-2527</v>
      </c>
      <c r="I111">
        <v>-775</v>
      </c>
      <c r="J111">
        <v>690</v>
      </c>
      <c r="K111">
        <v>525</v>
      </c>
    </row>
    <row r="112" spans="2:11" x14ac:dyDescent="0.25">
      <c r="B112">
        <v>2272</v>
      </c>
      <c r="C112">
        <v>1260</v>
      </c>
      <c r="D112">
        <v>-11</v>
      </c>
      <c r="E112">
        <v>-3855</v>
      </c>
      <c r="F112">
        <v>-6069</v>
      </c>
      <c r="G112">
        <v>0</v>
      </c>
      <c r="H112">
        <v>2271</v>
      </c>
      <c r="I112">
        <v>1946</v>
      </c>
      <c r="J112">
        <v>1119</v>
      </c>
      <c r="K112">
        <v>957</v>
      </c>
    </row>
    <row r="113" spans="2:11" x14ac:dyDescent="0.25">
      <c r="B113">
        <v>225</v>
      </c>
      <c r="C113">
        <v>84353</v>
      </c>
      <c r="D113">
        <v>89478</v>
      </c>
      <c r="E113">
        <v>2338</v>
      </c>
      <c r="F113">
        <v>3997</v>
      </c>
      <c r="G113">
        <v>3508</v>
      </c>
      <c r="H113">
        <v>0</v>
      </c>
      <c r="I113">
        <v>-3328</v>
      </c>
      <c r="J113">
        <v>-718</v>
      </c>
      <c r="K113">
        <v>-420</v>
      </c>
    </row>
    <row r="114" spans="2:11" x14ac:dyDescent="0.25">
      <c r="B114">
        <v>414</v>
      </c>
      <c r="C114">
        <v>641</v>
      </c>
      <c r="D114">
        <v>1794</v>
      </c>
      <c r="E114">
        <v>761</v>
      </c>
      <c r="F114">
        <v>439</v>
      </c>
      <c r="G114">
        <v>-752</v>
      </c>
      <c r="H114">
        <v>-2218</v>
      </c>
      <c r="I114">
        <v>0</v>
      </c>
      <c r="J114">
        <v>5191</v>
      </c>
      <c r="K114">
        <v>4314</v>
      </c>
    </row>
    <row r="115" spans="2:11" x14ac:dyDescent="0.25">
      <c r="B115">
        <v>1989</v>
      </c>
      <c r="C115">
        <v>978</v>
      </c>
      <c r="D115">
        <v>379</v>
      </c>
      <c r="E115">
        <v>66142</v>
      </c>
      <c r="F115">
        <v>74534</v>
      </c>
      <c r="G115">
        <v>82731</v>
      </c>
      <c r="H115">
        <v>0</v>
      </c>
      <c r="I115">
        <v>0</v>
      </c>
      <c r="J115">
        <v>0</v>
      </c>
      <c r="K115">
        <v>0</v>
      </c>
    </row>
    <row r="116" spans="2:11" x14ac:dyDescent="0.25"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</row>
    <row r="117" spans="2:11" x14ac:dyDescent="0.25"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2:11" x14ac:dyDescent="0.25">
      <c r="B118">
        <v>-4243</v>
      </c>
      <c r="C118">
        <v>-7512</v>
      </c>
      <c r="D118">
        <v>-7680</v>
      </c>
      <c r="E118">
        <v>0</v>
      </c>
      <c r="F118">
        <v>336</v>
      </c>
      <c r="G118">
        <v>-2412</v>
      </c>
      <c r="H118">
        <v>-1222</v>
      </c>
      <c r="I118">
        <v>-1469</v>
      </c>
      <c r="J118">
        <v>-1021</v>
      </c>
      <c r="K118">
        <v>-1713</v>
      </c>
    </row>
    <row r="119" spans="2:11" x14ac:dyDescent="0.25">
      <c r="B119">
        <v>-2716</v>
      </c>
      <c r="C119">
        <v>-2755</v>
      </c>
      <c r="D119">
        <v>-1439</v>
      </c>
      <c r="E119">
        <v>-2111</v>
      </c>
      <c r="F119">
        <v>0</v>
      </c>
      <c r="G119">
        <v>-8079</v>
      </c>
      <c r="H119">
        <v>-11831</v>
      </c>
      <c r="I119">
        <v>-6507</v>
      </c>
      <c r="J119">
        <v>-3491</v>
      </c>
      <c r="K119">
        <v>-2217</v>
      </c>
    </row>
    <row r="120" spans="2:11" x14ac:dyDescent="0.25">
      <c r="B120">
        <v>-35736</v>
      </c>
      <c r="C120">
        <v>-31350</v>
      </c>
      <c r="D120">
        <v>-22095</v>
      </c>
      <c r="E120">
        <v>-5769</v>
      </c>
      <c r="F120">
        <v>0</v>
      </c>
      <c r="G120">
        <v>-5439</v>
      </c>
      <c r="H120">
        <v>-7482</v>
      </c>
      <c r="I120">
        <v>-4854</v>
      </c>
      <c r="J120">
        <v>0</v>
      </c>
      <c r="K120">
        <v>-367</v>
      </c>
    </row>
    <row r="121" spans="2:11" x14ac:dyDescent="0.25">
      <c r="B121">
        <v>-1749</v>
      </c>
      <c r="C121">
        <v>-688</v>
      </c>
      <c r="D121">
        <v>-1185</v>
      </c>
      <c r="E121">
        <v>-584</v>
      </c>
      <c r="F121">
        <v>-1694</v>
      </c>
      <c r="G121">
        <v>-2922</v>
      </c>
      <c r="H121">
        <v>-3136</v>
      </c>
      <c r="I121">
        <v>-1536</v>
      </c>
      <c r="J121">
        <v>-1842</v>
      </c>
      <c r="K121">
        <v>0</v>
      </c>
    </row>
    <row r="122" spans="2:11" x14ac:dyDescent="0.25">
      <c r="B122">
        <v>-5614</v>
      </c>
      <c r="C122">
        <v>-11460</v>
      </c>
      <c r="D122">
        <v>-10282</v>
      </c>
      <c r="E122">
        <v>-4754</v>
      </c>
      <c r="F122">
        <v>-3147</v>
      </c>
      <c r="G122">
        <v>-44666</v>
      </c>
      <c r="H122">
        <v>-40611</v>
      </c>
      <c r="I122">
        <v>-30743</v>
      </c>
      <c r="J122">
        <v>-12793</v>
      </c>
      <c r="K122">
        <v>0</v>
      </c>
    </row>
    <row r="123" spans="2:11" x14ac:dyDescent="0.25">
      <c r="B123">
        <v>45710</v>
      </c>
      <c r="C123">
        <v>-3604</v>
      </c>
      <c r="D123">
        <v>-723</v>
      </c>
      <c r="E123">
        <v>-79</v>
      </c>
      <c r="F123">
        <v>0</v>
      </c>
      <c r="G123">
        <v>-946</v>
      </c>
      <c r="H123">
        <v>-937</v>
      </c>
      <c r="I123">
        <v>-676</v>
      </c>
      <c r="J123">
        <v>-1918</v>
      </c>
      <c r="K123">
        <v>-589</v>
      </c>
    </row>
    <row r="124" spans="2:11" x14ac:dyDescent="0.25">
      <c r="B124">
        <v>-2312</v>
      </c>
      <c r="C124">
        <v>-2975</v>
      </c>
      <c r="D124">
        <v>-2832</v>
      </c>
      <c r="E124">
        <v>-405</v>
      </c>
      <c r="F124">
        <v>-540</v>
      </c>
      <c r="G124">
        <v>0</v>
      </c>
      <c r="H124">
        <v>-1789</v>
      </c>
      <c r="I124">
        <v>-5620</v>
      </c>
      <c r="J124">
        <v>-12050</v>
      </c>
      <c r="K124">
        <v>-9411</v>
      </c>
    </row>
    <row r="125" spans="2:11" x14ac:dyDescent="0.25">
      <c r="B125">
        <v>-5561</v>
      </c>
      <c r="C125">
        <v>-55284</v>
      </c>
      <c r="D125">
        <v>-51109</v>
      </c>
      <c r="E125">
        <v>-39594</v>
      </c>
      <c r="F125">
        <v>-17731</v>
      </c>
      <c r="G125">
        <v>0</v>
      </c>
      <c r="H125">
        <v>46625</v>
      </c>
      <c r="I125">
        <v>51818</v>
      </c>
      <c r="J125">
        <v>-31</v>
      </c>
      <c r="K125">
        <v>-24</v>
      </c>
    </row>
    <row r="126" spans="2:11" x14ac:dyDescent="0.25">
      <c r="B126">
        <v>62</v>
      </c>
      <c r="C126">
        <v>0</v>
      </c>
      <c r="D126">
        <v>-456</v>
      </c>
      <c r="E126">
        <v>7</v>
      </c>
      <c r="F126">
        <v>350</v>
      </c>
      <c r="G126">
        <v>-910</v>
      </c>
      <c r="H126">
        <v>792</v>
      </c>
      <c r="I126">
        <v>-246</v>
      </c>
      <c r="J126">
        <v>-6534</v>
      </c>
      <c r="K126">
        <v>-6230</v>
      </c>
    </row>
    <row r="127" spans="2:11" x14ac:dyDescent="0.25">
      <c r="B127">
        <v>-4248</v>
      </c>
      <c r="C127">
        <v>-4579</v>
      </c>
      <c r="D127">
        <v>0</v>
      </c>
      <c r="E127">
        <v>1233</v>
      </c>
      <c r="F127">
        <v>-275</v>
      </c>
      <c r="G127">
        <v>-2156</v>
      </c>
      <c r="H127">
        <v>-6714</v>
      </c>
      <c r="I127">
        <v>-7098</v>
      </c>
      <c r="J127">
        <v>-55097</v>
      </c>
      <c r="K127">
        <v>-51538</v>
      </c>
    </row>
    <row r="128" spans="2:11" x14ac:dyDescent="0.25">
      <c r="B128">
        <v>-40602</v>
      </c>
      <c r="C128">
        <v>-19088</v>
      </c>
      <c r="D128">
        <v>0</v>
      </c>
      <c r="E128">
        <v>41569</v>
      </c>
      <c r="F128">
        <v>47712</v>
      </c>
      <c r="G128">
        <v>59662</v>
      </c>
      <c r="H128">
        <v>-386</v>
      </c>
      <c r="I128">
        <v>893</v>
      </c>
      <c r="J128">
        <v>810</v>
      </c>
      <c r="K128">
        <v>0</v>
      </c>
    </row>
    <row r="129" spans="2:11" x14ac:dyDescent="0.25">
      <c r="B129">
        <v>-855</v>
      </c>
      <c r="C129">
        <v>-1400</v>
      </c>
      <c r="D129">
        <v>-1080</v>
      </c>
      <c r="E129">
        <v>-1234</v>
      </c>
      <c r="F129">
        <v>-114</v>
      </c>
      <c r="G129">
        <v>534</v>
      </c>
      <c r="H129">
        <v>-2329</v>
      </c>
      <c r="I129">
        <v>-2397</v>
      </c>
      <c r="J129">
        <v>-1526</v>
      </c>
      <c r="K129">
        <v>-1637</v>
      </c>
    </row>
    <row r="130" spans="2:11" x14ac:dyDescent="0.25">
      <c r="B130">
        <v>0</v>
      </c>
      <c r="C130">
        <v>616</v>
      </c>
      <c r="D130">
        <v>143</v>
      </c>
      <c r="E130">
        <v>-149</v>
      </c>
      <c r="F130">
        <v>-757</v>
      </c>
      <c r="G130">
        <v>-4014</v>
      </c>
      <c r="H130">
        <v>-27450</v>
      </c>
      <c r="I130">
        <v>-25936</v>
      </c>
      <c r="J130">
        <v>-20688</v>
      </c>
      <c r="K130">
        <v>-9898</v>
      </c>
    </row>
    <row r="131" spans="2:11" x14ac:dyDescent="0.25">
      <c r="B131">
        <v>0</v>
      </c>
      <c r="C131">
        <v>20312</v>
      </c>
      <c r="D131">
        <v>23812</v>
      </c>
      <c r="E131">
        <v>29823</v>
      </c>
      <c r="F131">
        <v>33385</v>
      </c>
      <c r="G131">
        <v>-10250</v>
      </c>
      <c r="H131">
        <v>-7824</v>
      </c>
      <c r="I131">
        <v>-5172</v>
      </c>
      <c r="J131">
        <v>0</v>
      </c>
      <c r="K131">
        <v>2569</v>
      </c>
    </row>
    <row r="132" spans="2:11" x14ac:dyDescent="0.25">
      <c r="B132">
        <v>2211</v>
      </c>
      <c r="C132">
        <v>-225</v>
      </c>
      <c r="D132">
        <v>-3615</v>
      </c>
      <c r="E132">
        <v>-5267</v>
      </c>
      <c r="F132">
        <v>-4571</v>
      </c>
      <c r="G132">
        <v>2809</v>
      </c>
      <c r="H132">
        <v>2516</v>
      </c>
      <c r="I132">
        <v>2198</v>
      </c>
      <c r="J132">
        <v>1580</v>
      </c>
      <c r="K132">
        <v>0</v>
      </c>
    </row>
    <row r="133" spans="2:11" x14ac:dyDescent="0.25">
      <c r="B133">
        <v>1028</v>
      </c>
      <c r="C133">
        <v>1831</v>
      </c>
      <c r="D133">
        <v>2368</v>
      </c>
      <c r="E133">
        <v>3409</v>
      </c>
      <c r="F133">
        <v>4143</v>
      </c>
      <c r="G133">
        <v>340</v>
      </c>
      <c r="H133">
        <v>300</v>
      </c>
      <c r="I133">
        <v>389</v>
      </c>
      <c r="J133">
        <v>923</v>
      </c>
      <c r="K133">
        <v>0</v>
      </c>
    </row>
    <row r="134" spans="2:11" x14ac:dyDescent="0.25">
      <c r="B134">
        <v>261</v>
      </c>
      <c r="C134">
        <v>335</v>
      </c>
      <c r="D134">
        <v>137</v>
      </c>
      <c r="E134">
        <v>-240</v>
      </c>
      <c r="F134">
        <v>-6</v>
      </c>
      <c r="G134">
        <v>-1410</v>
      </c>
      <c r="H134">
        <v>-909</v>
      </c>
      <c r="I134">
        <v>-418</v>
      </c>
      <c r="J134">
        <v>0</v>
      </c>
      <c r="K134">
        <v>-13</v>
      </c>
    </row>
    <row r="135" spans="2:11" x14ac:dyDescent="0.25">
      <c r="B135">
        <v>213</v>
      </c>
      <c r="C135">
        <v>-128</v>
      </c>
      <c r="D135">
        <v>-490</v>
      </c>
      <c r="E135">
        <v>-649</v>
      </c>
      <c r="F135">
        <v>-162</v>
      </c>
      <c r="G135">
        <v>-147</v>
      </c>
      <c r="H135">
        <v>78</v>
      </c>
      <c r="I135">
        <v>497</v>
      </c>
      <c r="J135">
        <v>881</v>
      </c>
      <c r="K135">
        <v>0</v>
      </c>
    </row>
    <row r="136" spans="2:11" x14ac:dyDescent="0.25">
      <c r="B136">
        <v>235</v>
      </c>
      <c r="C136">
        <v>402</v>
      </c>
      <c r="D136">
        <v>33</v>
      </c>
      <c r="E136">
        <v>-602</v>
      </c>
      <c r="F136">
        <v>-328</v>
      </c>
      <c r="G136">
        <v>17853</v>
      </c>
      <c r="H136">
        <v>21170</v>
      </c>
      <c r="I136">
        <v>26784</v>
      </c>
      <c r="J136">
        <v>37435</v>
      </c>
      <c r="K136">
        <v>0</v>
      </c>
    </row>
    <row r="137" spans="2:11" x14ac:dyDescent="0.25">
      <c r="B137">
        <v>6811</v>
      </c>
      <c r="C137">
        <v>8464</v>
      </c>
      <c r="D137">
        <v>11096</v>
      </c>
      <c r="E137">
        <v>11812</v>
      </c>
      <c r="F137">
        <v>6487</v>
      </c>
      <c r="G137">
        <v>32985</v>
      </c>
      <c r="H137">
        <v>-6154</v>
      </c>
      <c r="I137">
        <v>-4920</v>
      </c>
      <c r="J137">
        <v>-3776</v>
      </c>
      <c r="K137">
        <v>0</v>
      </c>
    </row>
    <row r="138" spans="2:11" x14ac:dyDescent="0.25">
      <c r="B138">
        <v>2540</v>
      </c>
      <c r="C138">
        <v>3121</v>
      </c>
      <c r="D138">
        <v>1048</v>
      </c>
      <c r="E138">
        <v>-1939</v>
      </c>
      <c r="F138">
        <v>-4104</v>
      </c>
      <c r="G138">
        <v>-4747</v>
      </c>
      <c r="H138">
        <v>2328</v>
      </c>
      <c r="I138">
        <v>2127</v>
      </c>
      <c r="J138">
        <v>842</v>
      </c>
      <c r="K138">
        <v>136</v>
      </c>
    </row>
    <row r="139" spans="2:11" x14ac:dyDescent="0.25">
      <c r="B139">
        <v>0</v>
      </c>
      <c r="C139">
        <v>661</v>
      </c>
      <c r="D139">
        <v>973</v>
      </c>
      <c r="E139">
        <v>1444</v>
      </c>
      <c r="F139">
        <v>2328</v>
      </c>
      <c r="G139">
        <v>3066</v>
      </c>
      <c r="H139">
        <v>40</v>
      </c>
      <c r="I139">
        <v>-28</v>
      </c>
      <c r="J139">
        <v>-184</v>
      </c>
      <c r="K139">
        <v>-73</v>
      </c>
    </row>
    <row r="140" spans="2:11" x14ac:dyDescent="0.25">
      <c r="B140">
        <v>0</v>
      </c>
      <c r="C140">
        <v>210</v>
      </c>
      <c r="D140">
        <v>205</v>
      </c>
      <c r="E140">
        <v>-133</v>
      </c>
      <c r="F140">
        <v>-601</v>
      </c>
      <c r="G140">
        <v>-310</v>
      </c>
      <c r="H140">
        <v>15231</v>
      </c>
      <c r="I140">
        <v>3651</v>
      </c>
      <c r="J140">
        <v>-983</v>
      </c>
      <c r="K140">
        <v>-752</v>
      </c>
    </row>
    <row r="141" spans="2:11" x14ac:dyDescent="0.25">
      <c r="B141">
        <v>-500</v>
      </c>
      <c r="C141">
        <v>0</v>
      </c>
      <c r="D141">
        <v>351</v>
      </c>
      <c r="E141">
        <v>561</v>
      </c>
      <c r="F141">
        <v>238</v>
      </c>
      <c r="G141">
        <v>-102</v>
      </c>
      <c r="H141">
        <v>-761</v>
      </c>
      <c r="I141">
        <v>-841</v>
      </c>
      <c r="J141">
        <v>457</v>
      </c>
      <c r="K141">
        <v>456</v>
      </c>
    </row>
    <row r="142" spans="2:11" x14ac:dyDescent="0.25">
      <c r="B142">
        <v>40</v>
      </c>
      <c r="C142">
        <v>155</v>
      </c>
      <c r="D142">
        <v>0</v>
      </c>
      <c r="E142">
        <v>50</v>
      </c>
      <c r="F142">
        <v>37</v>
      </c>
      <c r="G142">
        <v>-186</v>
      </c>
      <c r="H142">
        <v>-250</v>
      </c>
      <c r="I142">
        <v>50</v>
      </c>
      <c r="J142">
        <v>3330</v>
      </c>
      <c r="K142">
        <v>2420</v>
      </c>
    </row>
    <row r="143" spans="2:11" x14ac:dyDescent="0.25">
      <c r="B143">
        <v>3381</v>
      </c>
      <c r="C143">
        <v>6932</v>
      </c>
      <c r="D143">
        <v>0</v>
      </c>
      <c r="E143">
        <v>3802</v>
      </c>
      <c r="F143">
        <v>4614</v>
      </c>
      <c r="G143">
        <v>5793</v>
      </c>
      <c r="H143">
        <v>5731</v>
      </c>
      <c r="I143">
        <v>2903</v>
      </c>
      <c r="J143">
        <v>3394</v>
      </c>
      <c r="K143">
        <v>14019</v>
      </c>
    </row>
    <row r="144" spans="2:11" x14ac:dyDescent="0.25">
      <c r="B144">
        <v>42360</v>
      </c>
      <c r="C144">
        <v>-8437</v>
      </c>
      <c r="D144">
        <v>-6690</v>
      </c>
      <c r="E144">
        <v>-4797</v>
      </c>
      <c r="F144">
        <v>0</v>
      </c>
      <c r="G144">
        <v>2822</v>
      </c>
      <c r="H144">
        <v>3550</v>
      </c>
      <c r="I144">
        <v>1044</v>
      </c>
      <c r="J144">
        <v>-2653</v>
      </c>
      <c r="K144">
        <v>-5975</v>
      </c>
    </row>
    <row r="145" spans="2:11" x14ac:dyDescent="0.25">
      <c r="B145">
        <v>-6133</v>
      </c>
      <c r="C145">
        <v>-90</v>
      </c>
      <c r="D145">
        <v>-160</v>
      </c>
      <c r="E145">
        <v>110</v>
      </c>
      <c r="F145">
        <v>439</v>
      </c>
      <c r="G145">
        <v>0</v>
      </c>
      <c r="H145">
        <v>444</v>
      </c>
      <c r="I145">
        <v>798</v>
      </c>
      <c r="J145">
        <v>890</v>
      </c>
      <c r="K145">
        <v>555</v>
      </c>
    </row>
    <row r="146" spans="2:11" x14ac:dyDescent="0.25">
      <c r="B146">
        <v>-321</v>
      </c>
      <c r="C146">
        <v>230</v>
      </c>
      <c r="D146">
        <v>-80</v>
      </c>
      <c r="E146">
        <v>-184</v>
      </c>
      <c r="F146">
        <v>214</v>
      </c>
      <c r="G146">
        <v>0</v>
      </c>
      <c r="H146">
        <v>789</v>
      </c>
      <c r="I146">
        <v>1038</v>
      </c>
      <c r="J146">
        <v>1367</v>
      </c>
      <c r="K146">
        <v>1684</v>
      </c>
    </row>
    <row r="147" spans="2:11" x14ac:dyDescent="0.25">
      <c r="B147">
        <v>841</v>
      </c>
      <c r="C147">
        <v>21777</v>
      </c>
      <c r="D147">
        <v>5652</v>
      </c>
      <c r="E147">
        <v>10746</v>
      </c>
      <c r="F147">
        <v>2449</v>
      </c>
      <c r="G147">
        <v>27</v>
      </c>
      <c r="H147">
        <v>81</v>
      </c>
      <c r="I147">
        <v>190</v>
      </c>
      <c r="J147">
        <v>0</v>
      </c>
      <c r="K147">
        <v>-310</v>
      </c>
    </row>
    <row r="148" spans="2:11" x14ac:dyDescent="0.25">
      <c r="B148">
        <v>-25</v>
      </c>
      <c r="C148">
        <v>-56</v>
      </c>
      <c r="D148">
        <v>-7</v>
      </c>
      <c r="E148">
        <v>157</v>
      </c>
      <c r="F148">
        <v>752</v>
      </c>
      <c r="G148">
        <v>-2089</v>
      </c>
      <c r="H148">
        <v>-1933</v>
      </c>
      <c r="I148">
        <v>-1094</v>
      </c>
      <c r="J148">
        <v>-93</v>
      </c>
      <c r="K148">
        <v>0</v>
      </c>
    </row>
    <row r="149" spans="2:11" x14ac:dyDescent="0.25">
      <c r="B149">
        <v>27</v>
      </c>
      <c r="C149">
        <v>50</v>
      </c>
      <c r="D149">
        <v>-584</v>
      </c>
      <c r="E149">
        <v>-2213</v>
      </c>
      <c r="F149">
        <v>-3455</v>
      </c>
      <c r="G149">
        <v>10081</v>
      </c>
      <c r="H149">
        <v>11650</v>
      </c>
      <c r="I149">
        <v>14348</v>
      </c>
      <c r="J149">
        <v>20178</v>
      </c>
      <c r="K149">
        <v>0</v>
      </c>
    </row>
    <row r="150" spans="2:11" x14ac:dyDescent="0.25">
      <c r="B150">
        <v>3844</v>
      </c>
      <c r="C150">
        <v>4863</v>
      </c>
      <c r="D150">
        <v>6737</v>
      </c>
      <c r="E150">
        <v>7797</v>
      </c>
      <c r="F150">
        <v>4364</v>
      </c>
      <c r="G150">
        <v>4199</v>
      </c>
      <c r="H150">
        <v>25571</v>
      </c>
      <c r="I150">
        <v>1586</v>
      </c>
      <c r="J150">
        <v>8236</v>
      </c>
      <c r="K150">
        <v>42145</v>
      </c>
    </row>
    <row r="151" spans="2:11" x14ac:dyDescent="0.25">
      <c r="B151">
        <v>-7397</v>
      </c>
      <c r="C151">
        <v>-6216</v>
      </c>
      <c r="D151">
        <v>-4564</v>
      </c>
      <c r="E151">
        <v>0</v>
      </c>
      <c r="F151">
        <v>3176</v>
      </c>
      <c r="G151">
        <v>5088</v>
      </c>
      <c r="H151">
        <v>3453</v>
      </c>
      <c r="I151">
        <v>-666</v>
      </c>
      <c r="J151">
        <v>-7755</v>
      </c>
      <c r="K151">
        <v>-16603</v>
      </c>
    </row>
    <row r="152" spans="2:11" x14ac:dyDescent="0.25">
      <c r="B152">
        <v>-662</v>
      </c>
      <c r="C152">
        <v>-749</v>
      </c>
      <c r="D152">
        <v>-515</v>
      </c>
      <c r="E152">
        <v>-142</v>
      </c>
      <c r="F152">
        <v>0</v>
      </c>
      <c r="G152">
        <v>341</v>
      </c>
      <c r="H152">
        <v>448</v>
      </c>
      <c r="I152">
        <v>516</v>
      </c>
      <c r="J152">
        <v>152</v>
      </c>
      <c r="K152">
        <v>-1534</v>
      </c>
    </row>
    <row r="153" spans="2:11" x14ac:dyDescent="0.25">
      <c r="B153">
        <v>-364</v>
      </c>
      <c r="C153">
        <v>-1007</v>
      </c>
      <c r="D153">
        <v>-1193</v>
      </c>
      <c r="E153">
        <v>-903</v>
      </c>
      <c r="F153">
        <v>0</v>
      </c>
      <c r="G153">
        <v>1044</v>
      </c>
      <c r="H153">
        <v>1304</v>
      </c>
      <c r="I153">
        <v>1627</v>
      </c>
      <c r="J153">
        <v>2074</v>
      </c>
      <c r="K153">
        <v>1027</v>
      </c>
    </row>
    <row r="154" spans="2:11" x14ac:dyDescent="0.25">
      <c r="B154">
        <v>14599</v>
      </c>
      <c r="C154">
        <v>3442</v>
      </c>
      <c r="D154">
        <v>7671</v>
      </c>
      <c r="E154">
        <v>1749</v>
      </c>
      <c r="F154">
        <v>13155</v>
      </c>
      <c r="G154">
        <v>2573</v>
      </c>
      <c r="H154">
        <v>449</v>
      </c>
      <c r="I154">
        <v>328</v>
      </c>
      <c r="J154">
        <v>296</v>
      </c>
      <c r="K154">
        <v>0</v>
      </c>
    </row>
    <row r="155" spans="2:11" x14ac:dyDescent="0.25">
      <c r="B155">
        <v>-322</v>
      </c>
      <c r="C155">
        <v>-19</v>
      </c>
      <c r="D155">
        <v>212</v>
      </c>
      <c r="E155">
        <v>378</v>
      </c>
      <c r="F155">
        <v>-209</v>
      </c>
      <c r="G155">
        <v>7</v>
      </c>
      <c r="H155">
        <v>-2451</v>
      </c>
      <c r="I155">
        <v>-2562</v>
      </c>
      <c r="J155">
        <v>-1516</v>
      </c>
      <c r="K155">
        <v>-442</v>
      </c>
    </row>
    <row r="156" spans="2:11" x14ac:dyDescent="0.25">
      <c r="B156">
        <v>0</v>
      </c>
      <c r="C156">
        <v>-44</v>
      </c>
      <c r="D156">
        <v>-123</v>
      </c>
      <c r="E156">
        <v>-736</v>
      </c>
      <c r="F156">
        <v>-2326</v>
      </c>
      <c r="G156">
        <v>-4460</v>
      </c>
      <c r="H156">
        <v>3585</v>
      </c>
      <c r="I156">
        <v>2655</v>
      </c>
      <c r="J156">
        <v>3564</v>
      </c>
      <c r="K156">
        <v>6899</v>
      </c>
    </row>
    <row r="157" spans="2:11" x14ac:dyDescent="0.25">
      <c r="B157">
        <v>0</v>
      </c>
      <c r="C157">
        <v>3692</v>
      </c>
      <c r="D157">
        <v>4647</v>
      </c>
      <c r="E157">
        <v>6430</v>
      </c>
      <c r="F157">
        <v>7631</v>
      </c>
      <c r="G157">
        <v>4284</v>
      </c>
      <c r="H157">
        <v>1691</v>
      </c>
      <c r="I157">
        <v>12800</v>
      </c>
      <c r="J157">
        <v>430</v>
      </c>
      <c r="K157">
        <v>4538</v>
      </c>
    </row>
    <row r="158" spans="2:11" x14ac:dyDescent="0.25">
      <c r="B158">
        <v>2350</v>
      </c>
      <c r="C158">
        <v>8497</v>
      </c>
      <c r="D158">
        <v>48984</v>
      </c>
      <c r="E158">
        <v>-1978</v>
      </c>
      <c r="F158">
        <v>-1610</v>
      </c>
      <c r="G158">
        <v>-937</v>
      </c>
      <c r="H158">
        <v>0</v>
      </c>
      <c r="I158">
        <v>709</v>
      </c>
      <c r="J158">
        <v>674</v>
      </c>
      <c r="K158">
        <v>289</v>
      </c>
    </row>
    <row r="159" spans="2:11" x14ac:dyDescent="0.25">
      <c r="B159">
        <v>-324</v>
      </c>
      <c r="C159">
        <v>-1561</v>
      </c>
      <c r="D159">
        <v>-2452</v>
      </c>
      <c r="E159">
        <v>36</v>
      </c>
      <c r="F159">
        <v>165</v>
      </c>
      <c r="G159">
        <v>20</v>
      </c>
      <c r="H159">
        <v>-136</v>
      </c>
      <c r="I159">
        <v>0</v>
      </c>
      <c r="J159">
        <v>62</v>
      </c>
      <c r="K159">
        <v>71</v>
      </c>
    </row>
    <row r="160" spans="2:11" x14ac:dyDescent="0.25">
      <c r="B160">
        <v>172</v>
      </c>
      <c r="C160">
        <v>328</v>
      </c>
      <c r="D160">
        <v>192</v>
      </c>
      <c r="E160">
        <v>11</v>
      </c>
      <c r="F160">
        <v>-11</v>
      </c>
      <c r="G160">
        <v>8</v>
      </c>
      <c r="H160">
        <v>47</v>
      </c>
      <c r="I160">
        <v>0</v>
      </c>
      <c r="J160">
        <v>106</v>
      </c>
      <c r="K160">
        <v>117</v>
      </c>
    </row>
    <row r="161" spans="2:11" x14ac:dyDescent="0.25">
      <c r="B161">
        <v>85</v>
      </c>
      <c r="C161">
        <v>149</v>
      </c>
      <c r="D161">
        <v>65</v>
      </c>
      <c r="E161">
        <v>-7707</v>
      </c>
      <c r="F161">
        <v>-2446</v>
      </c>
      <c r="G161">
        <v>-8084</v>
      </c>
      <c r="H161">
        <v>-2599</v>
      </c>
      <c r="I161">
        <v>-15922</v>
      </c>
      <c r="J161">
        <v>-5333</v>
      </c>
      <c r="K161">
        <v>1076</v>
      </c>
    </row>
    <row r="162" spans="2:11" x14ac:dyDescent="0.25">
      <c r="B162">
        <v>-485</v>
      </c>
      <c r="C162">
        <v>2</v>
      </c>
      <c r="D162">
        <v>42</v>
      </c>
      <c r="E162">
        <v>6</v>
      </c>
      <c r="F162">
        <v>0</v>
      </c>
      <c r="G162">
        <v>38</v>
      </c>
      <c r="H162">
        <v>116</v>
      </c>
      <c r="I162">
        <v>108</v>
      </c>
      <c r="J162">
        <v>143</v>
      </c>
      <c r="K162">
        <v>-92</v>
      </c>
    </row>
    <row r="163" spans="2:11" x14ac:dyDescent="0.25">
      <c r="B163">
        <v>-174</v>
      </c>
      <c r="C163">
        <v>-524</v>
      </c>
      <c r="D163">
        <v>-296</v>
      </c>
      <c r="E163">
        <v>-160</v>
      </c>
      <c r="F163">
        <v>-108</v>
      </c>
      <c r="G163">
        <v>0</v>
      </c>
      <c r="H163">
        <v>58</v>
      </c>
      <c r="I163">
        <v>43</v>
      </c>
      <c r="J163">
        <v>-87</v>
      </c>
      <c r="K163">
        <v>-345</v>
      </c>
    </row>
    <row r="164" spans="2:11" x14ac:dyDescent="0.25">
      <c r="B164">
        <v>-585</v>
      </c>
      <c r="C164">
        <v>-705</v>
      </c>
      <c r="D164">
        <v>-1128</v>
      </c>
      <c r="E164">
        <v>-964</v>
      </c>
      <c r="F164">
        <v>-750</v>
      </c>
      <c r="G164">
        <v>0</v>
      </c>
      <c r="H164">
        <v>938</v>
      </c>
      <c r="I164">
        <v>1159</v>
      </c>
      <c r="J164">
        <v>1575</v>
      </c>
      <c r="K164">
        <v>1975</v>
      </c>
    </row>
    <row r="165" spans="2:11" x14ac:dyDescent="0.25">
      <c r="B165">
        <v>1284</v>
      </c>
      <c r="C165">
        <v>-3037</v>
      </c>
      <c r="D165">
        <v>-6403</v>
      </c>
      <c r="E165">
        <v>-3219</v>
      </c>
      <c r="F165">
        <v>-4736</v>
      </c>
      <c r="G165">
        <v>-6222</v>
      </c>
      <c r="H165">
        <v>-12350</v>
      </c>
      <c r="I165">
        <v>-62</v>
      </c>
      <c r="J165">
        <v>347</v>
      </c>
      <c r="K165">
        <v>38378</v>
      </c>
    </row>
    <row r="166" spans="2:11" x14ac:dyDescent="0.25">
      <c r="B166">
        <v>-5564</v>
      </c>
      <c r="C166">
        <v>-8350</v>
      </c>
      <c r="D166">
        <v>1174</v>
      </c>
      <c r="E166">
        <v>0</v>
      </c>
      <c r="F166">
        <v>-779</v>
      </c>
      <c r="G166">
        <v>-1225</v>
      </c>
      <c r="H166">
        <v>-767</v>
      </c>
      <c r="I166">
        <v>-217</v>
      </c>
      <c r="J166">
        <v>249</v>
      </c>
      <c r="K166">
        <v>278</v>
      </c>
    </row>
    <row r="167" spans="2:11" x14ac:dyDescent="0.25">
      <c r="B167">
        <v>-345</v>
      </c>
      <c r="C167">
        <v>358</v>
      </c>
      <c r="D167">
        <v>510</v>
      </c>
      <c r="E167">
        <v>435</v>
      </c>
      <c r="F167">
        <v>0</v>
      </c>
      <c r="G167">
        <v>-610</v>
      </c>
      <c r="H167">
        <v>-856</v>
      </c>
      <c r="I167">
        <v>-1017</v>
      </c>
      <c r="J167">
        <v>6493</v>
      </c>
      <c r="K167">
        <v>4602</v>
      </c>
    </row>
    <row r="168" spans="2:11" x14ac:dyDescent="0.25">
      <c r="B168">
        <v>-63</v>
      </c>
      <c r="C168">
        <v>25</v>
      </c>
      <c r="D168">
        <v>-48</v>
      </c>
      <c r="E168">
        <v>-160</v>
      </c>
      <c r="F168">
        <v>0</v>
      </c>
      <c r="G168">
        <v>112</v>
      </c>
      <c r="H168">
        <v>147</v>
      </c>
      <c r="I168">
        <v>-342</v>
      </c>
      <c r="J168">
        <v>-868</v>
      </c>
      <c r="K168">
        <v>-524</v>
      </c>
    </row>
    <row r="169" spans="2:11" x14ac:dyDescent="0.25">
      <c r="B169">
        <v>2810</v>
      </c>
      <c r="C169">
        <v>611</v>
      </c>
      <c r="D169">
        <v>-2674</v>
      </c>
      <c r="E169">
        <v>-816</v>
      </c>
      <c r="F169">
        <v>-388</v>
      </c>
      <c r="G169">
        <v>-167</v>
      </c>
      <c r="H169">
        <v>1833</v>
      </c>
      <c r="I169">
        <v>-230</v>
      </c>
      <c r="J169">
        <v>10685</v>
      </c>
      <c r="K169">
        <v>3005</v>
      </c>
    </row>
    <row r="170" spans="2:11" x14ac:dyDescent="0.25">
      <c r="B170">
        <v>-1332</v>
      </c>
      <c r="C170">
        <v>-1643</v>
      </c>
      <c r="D170">
        <v>-169</v>
      </c>
      <c r="E170">
        <v>0</v>
      </c>
      <c r="F170">
        <v>133</v>
      </c>
      <c r="G170">
        <v>28</v>
      </c>
      <c r="H170">
        <v>-100</v>
      </c>
      <c r="I170">
        <v>-170</v>
      </c>
      <c r="J170">
        <v>-430</v>
      </c>
      <c r="K170">
        <v>-494</v>
      </c>
    </row>
    <row r="171" spans="2:11" x14ac:dyDescent="0.25">
      <c r="B171">
        <v>-1073</v>
      </c>
      <c r="C171">
        <v>-188</v>
      </c>
      <c r="D171">
        <v>83</v>
      </c>
      <c r="E171">
        <v>193</v>
      </c>
      <c r="F171">
        <v>0</v>
      </c>
      <c r="G171">
        <v>-659</v>
      </c>
      <c r="H171">
        <v>-986</v>
      </c>
      <c r="I171">
        <v>-1299</v>
      </c>
      <c r="J171">
        <v>4740</v>
      </c>
      <c r="K171">
        <v>3174</v>
      </c>
    </row>
    <row r="172" spans="2:11" x14ac:dyDescent="0.25">
      <c r="B172">
        <v>117</v>
      </c>
      <c r="C172">
        <v>-46</v>
      </c>
      <c r="D172">
        <v>-337</v>
      </c>
      <c r="E172">
        <v>-505</v>
      </c>
      <c r="F172">
        <v>0</v>
      </c>
      <c r="G172">
        <v>337</v>
      </c>
      <c r="H172">
        <v>629</v>
      </c>
      <c r="I172">
        <v>933</v>
      </c>
      <c r="J172">
        <v>1752</v>
      </c>
      <c r="K172">
        <v>1232</v>
      </c>
    </row>
    <row r="173" spans="2:11" x14ac:dyDescent="0.25">
      <c r="B173">
        <v>1335</v>
      </c>
      <c r="C173">
        <v>1464</v>
      </c>
      <c r="D173">
        <v>-1026</v>
      </c>
      <c r="E173">
        <v>-1493</v>
      </c>
      <c r="F173">
        <v>-148</v>
      </c>
      <c r="G173">
        <v>-339</v>
      </c>
      <c r="H173">
        <v>846</v>
      </c>
      <c r="I173">
        <v>1466</v>
      </c>
      <c r="J173">
        <v>4579</v>
      </c>
      <c r="K173">
        <v>11207</v>
      </c>
    </row>
    <row r="174" spans="2:11" x14ac:dyDescent="0.25">
      <c r="B174">
        <v>46318</v>
      </c>
      <c r="C174">
        <v>153</v>
      </c>
      <c r="D174">
        <v>160</v>
      </c>
      <c r="E174">
        <v>121</v>
      </c>
      <c r="F174">
        <v>0</v>
      </c>
      <c r="G174">
        <v>-91</v>
      </c>
      <c r="H174">
        <v>-184</v>
      </c>
      <c r="I174">
        <v>-248</v>
      </c>
      <c r="J174">
        <v>-248</v>
      </c>
      <c r="K174">
        <v>-191</v>
      </c>
    </row>
    <row r="175" spans="2:11" x14ac:dyDescent="0.25">
      <c r="B175">
        <v>-156</v>
      </c>
      <c r="C175">
        <v>167</v>
      </c>
      <c r="D175">
        <v>197</v>
      </c>
      <c r="E175">
        <v>216</v>
      </c>
      <c r="F175">
        <v>184</v>
      </c>
      <c r="G175">
        <v>0</v>
      </c>
      <c r="H175">
        <v>-134</v>
      </c>
      <c r="I175">
        <v>-171</v>
      </c>
      <c r="J175">
        <v>-193</v>
      </c>
      <c r="K175">
        <v>-220</v>
      </c>
    </row>
    <row r="176" spans="2:11" x14ac:dyDescent="0.25">
      <c r="B176">
        <v>-202</v>
      </c>
      <c r="C176">
        <v>-9</v>
      </c>
      <c r="D176">
        <v>-11</v>
      </c>
      <c r="E176">
        <v>-12</v>
      </c>
      <c r="F176">
        <v>-5</v>
      </c>
      <c r="G176">
        <v>0</v>
      </c>
      <c r="H176">
        <v>13</v>
      </c>
      <c r="I176">
        <v>15</v>
      </c>
      <c r="J176">
        <v>22</v>
      </c>
      <c r="K176">
        <v>10</v>
      </c>
    </row>
    <row r="177" spans="2:11" x14ac:dyDescent="0.25">
      <c r="B177">
        <v>1</v>
      </c>
      <c r="C177">
        <v>-41</v>
      </c>
      <c r="D177">
        <v>-7</v>
      </c>
      <c r="E177">
        <v>-4</v>
      </c>
      <c r="F177">
        <v>-2</v>
      </c>
      <c r="G177">
        <v>-3</v>
      </c>
      <c r="H177">
        <v>0</v>
      </c>
      <c r="I177">
        <v>-16</v>
      </c>
      <c r="J177">
        <v>-4</v>
      </c>
      <c r="K177">
        <v>-17</v>
      </c>
    </row>
    <row r="178" spans="2:11" x14ac:dyDescent="0.25">
      <c r="B178">
        <v>-3</v>
      </c>
      <c r="C178">
        <v>-61</v>
      </c>
      <c r="D178">
        <v>-13</v>
      </c>
      <c r="E178">
        <v>6</v>
      </c>
      <c r="F178">
        <v>-1</v>
      </c>
      <c r="G178">
        <v>2</v>
      </c>
      <c r="H178">
        <v>0</v>
      </c>
      <c r="I178">
        <v>3</v>
      </c>
      <c r="J178">
        <v>11</v>
      </c>
      <c r="K178">
        <v>-7</v>
      </c>
    </row>
    <row r="179" spans="2:11" x14ac:dyDescent="0.25">
      <c r="B179">
        <v>-1</v>
      </c>
      <c r="C179">
        <v>-10</v>
      </c>
      <c r="D179">
        <v>-9</v>
      </c>
      <c r="E179">
        <v>177</v>
      </c>
      <c r="F179">
        <v>193</v>
      </c>
      <c r="G179">
        <v>217</v>
      </c>
      <c r="H179">
        <v>199</v>
      </c>
      <c r="I179">
        <v>0</v>
      </c>
      <c r="J179">
        <v>-138</v>
      </c>
      <c r="K179">
        <v>-177</v>
      </c>
    </row>
    <row r="180" spans="2:11" x14ac:dyDescent="0.25">
      <c r="B180">
        <v>-205</v>
      </c>
      <c r="C180">
        <v>-226</v>
      </c>
      <c r="D180">
        <v>-210</v>
      </c>
      <c r="E180">
        <v>163</v>
      </c>
      <c r="F180">
        <v>131</v>
      </c>
      <c r="G180">
        <v>92</v>
      </c>
      <c r="H180">
        <v>43</v>
      </c>
      <c r="I180">
        <v>0</v>
      </c>
      <c r="J180">
        <v>-77</v>
      </c>
      <c r="K180">
        <v>-90</v>
      </c>
    </row>
    <row r="181" spans="2:11" x14ac:dyDescent="0.25">
      <c r="B181">
        <v>-107</v>
      </c>
      <c r="C181">
        <v>-117</v>
      </c>
      <c r="D181">
        <v>-60</v>
      </c>
      <c r="E181">
        <v>-8</v>
      </c>
      <c r="F181">
        <v>-27</v>
      </c>
      <c r="G181">
        <v>-2</v>
      </c>
      <c r="H181">
        <v>-4</v>
      </c>
      <c r="I181">
        <v>-6</v>
      </c>
      <c r="J181">
        <v>-12</v>
      </c>
      <c r="K181">
        <v>-2</v>
      </c>
    </row>
    <row r="182" spans="2:11" x14ac:dyDescent="0.25">
      <c r="B182">
        <v>-4</v>
      </c>
      <c r="C182">
        <v>-5</v>
      </c>
      <c r="D182">
        <v>-17</v>
      </c>
      <c r="E182">
        <v>5</v>
      </c>
      <c r="F182">
        <v>-12</v>
      </c>
      <c r="G182">
        <v>99502</v>
      </c>
      <c r="H182">
        <v>-6675</v>
      </c>
      <c r="I182">
        <v>-2008</v>
      </c>
      <c r="J182">
        <v>-651</v>
      </c>
      <c r="K182">
        <v>0</v>
      </c>
    </row>
    <row r="183" spans="2:11" x14ac:dyDescent="0.25">
      <c r="B183">
        <v>-246</v>
      </c>
      <c r="C183">
        <v>-3221</v>
      </c>
      <c r="D183">
        <v>-4215</v>
      </c>
      <c r="E183">
        <v>-4455</v>
      </c>
      <c r="F183">
        <v>-2775</v>
      </c>
      <c r="G183">
        <v>-563</v>
      </c>
      <c r="H183">
        <v>7624</v>
      </c>
      <c r="I183">
        <v>9187</v>
      </c>
      <c r="J183">
        <v>6717</v>
      </c>
      <c r="K183">
        <v>4139</v>
      </c>
    </row>
    <row r="184" spans="2:11" x14ac:dyDescent="0.25">
      <c r="B184">
        <v>0</v>
      </c>
      <c r="C184">
        <v>-940</v>
      </c>
      <c r="D184">
        <v>-558</v>
      </c>
      <c r="E184">
        <v>1506</v>
      </c>
      <c r="F184">
        <v>6246</v>
      </c>
      <c r="G184">
        <v>14972</v>
      </c>
      <c r="H184">
        <v>57</v>
      </c>
      <c r="I184">
        <v>590</v>
      </c>
      <c r="J184">
        <v>766</v>
      </c>
      <c r="K184">
        <v>635</v>
      </c>
    </row>
    <row r="185" spans="2:11" x14ac:dyDescent="0.25">
      <c r="B185">
        <v>0</v>
      </c>
      <c r="C185">
        <v>-717</v>
      </c>
      <c r="D185">
        <v>-1144</v>
      </c>
      <c r="E185">
        <v>-2919</v>
      </c>
      <c r="F185">
        <v>-3320</v>
      </c>
      <c r="G185">
        <v>2152</v>
      </c>
      <c r="H185">
        <v>5455</v>
      </c>
      <c r="I185">
        <v>1434</v>
      </c>
      <c r="J185">
        <v>-248</v>
      </c>
      <c r="K185">
        <v>-590</v>
      </c>
    </row>
    <row r="186" spans="2:11" x14ac:dyDescent="0.25">
      <c r="B186">
        <v>8806</v>
      </c>
      <c r="C186">
        <v>1156</v>
      </c>
      <c r="D186">
        <v>5839</v>
      </c>
      <c r="E186">
        <v>-140</v>
      </c>
      <c r="F186">
        <v>2375</v>
      </c>
      <c r="G186">
        <v>729</v>
      </c>
      <c r="H186">
        <v>-305</v>
      </c>
      <c r="I186">
        <v>-768</v>
      </c>
      <c r="J186">
        <v>46</v>
      </c>
      <c r="K186">
        <v>-28</v>
      </c>
    </row>
    <row r="187" spans="2:11" x14ac:dyDescent="0.25">
      <c r="B187">
        <v>-1339</v>
      </c>
      <c r="C187">
        <v>-156</v>
      </c>
      <c r="D187">
        <v>198</v>
      </c>
      <c r="E187">
        <v>0</v>
      </c>
      <c r="F187">
        <v>-165</v>
      </c>
      <c r="G187">
        <v>-1079</v>
      </c>
      <c r="H187">
        <v>-1137</v>
      </c>
      <c r="I187">
        <v>-643</v>
      </c>
      <c r="J187">
        <v>-73</v>
      </c>
      <c r="K187">
        <v>1042</v>
      </c>
    </row>
    <row r="188" spans="2:11" x14ac:dyDescent="0.25">
      <c r="B188">
        <v>4769</v>
      </c>
      <c r="C188">
        <v>5853</v>
      </c>
      <c r="D188">
        <v>4570</v>
      </c>
      <c r="E188">
        <v>3387</v>
      </c>
      <c r="F188">
        <v>0</v>
      </c>
      <c r="G188">
        <v>-1241</v>
      </c>
      <c r="H188">
        <v>-1308</v>
      </c>
      <c r="I188">
        <v>-486</v>
      </c>
      <c r="J188">
        <v>2182</v>
      </c>
      <c r="K188">
        <v>9046</v>
      </c>
    </row>
    <row r="189" spans="2:11" x14ac:dyDescent="0.25">
      <c r="B189">
        <v>303</v>
      </c>
      <c r="C189">
        <v>-2497</v>
      </c>
      <c r="D189">
        <v>-3375</v>
      </c>
      <c r="E189">
        <v>-2334</v>
      </c>
      <c r="F189">
        <v>0</v>
      </c>
      <c r="G189">
        <v>6562</v>
      </c>
      <c r="H189">
        <v>8152</v>
      </c>
      <c r="I189">
        <v>10243</v>
      </c>
      <c r="J189">
        <v>11859</v>
      </c>
      <c r="K189">
        <v>10918</v>
      </c>
    </row>
    <row r="190" spans="2:11" x14ac:dyDescent="0.25">
      <c r="B190">
        <v>1818</v>
      </c>
      <c r="C190">
        <v>7767</v>
      </c>
      <c r="D190">
        <v>-502</v>
      </c>
      <c r="E190">
        <v>1598</v>
      </c>
      <c r="F190">
        <v>2514</v>
      </c>
      <c r="G190">
        <v>4873</v>
      </c>
      <c r="H190">
        <v>1510</v>
      </c>
      <c r="I190">
        <v>4653</v>
      </c>
      <c r="J190">
        <v>876</v>
      </c>
      <c r="K190">
        <v>2928</v>
      </c>
    </row>
    <row r="191" spans="2:11" x14ac:dyDescent="0.25">
      <c r="B191">
        <v>-336</v>
      </c>
      <c r="C191">
        <v>-1800</v>
      </c>
      <c r="D191">
        <v>-7</v>
      </c>
      <c r="E191">
        <v>-23</v>
      </c>
      <c r="F191">
        <v>47793</v>
      </c>
      <c r="G191">
        <v>-12179</v>
      </c>
      <c r="H191">
        <v>-6749</v>
      </c>
      <c r="I191">
        <v>-4710</v>
      </c>
      <c r="J191">
        <v>0</v>
      </c>
      <c r="K191">
        <v>3036</v>
      </c>
    </row>
    <row r="192" spans="2:11" x14ac:dyDescent="0.25">
      <c r="B192">
        <v>1528</v>
      </c>
      <c r="C192">
        <v>-2128</v>
      </c>
      <c r="D192">
        <v>-6346</v>
      </c>
      <c r="E192">
        <v>-6907</v>
      </c>
      <c r="F192">
        <v>-4705</v>
      </c>
      <c r="G192">
        <v>9886</v>
      </c>
      <c r="H192">
        <v>9904</v>
      </c>
      <c r="I192">
        <v>4616</v>
      </c>
      <c r="J192">
        <v>1110</v>
      </c>
      <c r="K192">
        <v>0</v>
      </c>
    </row>
    <row r="193" spans="2:11" x14ac:dyDescent="0.25">
      <c r="B193">
        <v>1415</v>
      </c>
      <c r="C193">
        <v>2429</v>
      </c>
      <c r="D193">
        <v>4257</v>
      </c>
      <c r="E193">
        <v>7690</v>
      </c>
      <c r="F193">
        <v>16042</v>
      </c>
      <c r="G193">
        <v>276</v>
      </c>
      <c r="H193">
        <v>887</v>
      </c>
      <c r="I193">
        <v>833</v>
      </c>
      <c r="J193">
        <v>628</v>
      </c>
      <c r="K193">
        <v>0</v>
      </c>
    </row>
    <row r="194" spans="2:11" x14ac:dyDescent="0.25">
      <c r="B194">
        <v>-1040</v>
      </c>
      <c r="C194">
        <v>-1360</v>
      </c>
      <c r="D194">
        <v>-2564</v>
      </c>
      <c r="E194">
        <v>-2265</v>
      </c>
      <c r="F194">
        <v>2103</v>
      </c>
      <c r="G194">
        <v>3859</v>
      </c>
      <c r="H194">
        <v>225</v>
      </c>
      <c r="I194">
        <v>2414</v>
      </c>
      <c r="J194">
        <v>-371</v>
      </c>
      <c r="K194">
        <v>5494</v>
      </c>
    </row>
    <row r="195" spans="2:11" x14ac:dyDescent="0.25">
      <c r="B195">
        <v>-1050</v>
      </c>
      <c r="C195">
        <v>3213</v>
      </c>
      <c r="D195">
        <v>-2599</v>
      </c>
      <c r="E195">
        <v>381</v>
      </c>
      <c r="F195">
        <v>-300</v>
      </c>
      <c r="G195">
        <v>-2896</v>
      </c>
      <c r="H195">
        <v>-1808</v>
      </c>
      <c r="I195">
        <v>72</v>
      </c>
      <c r="J195">
        <v>-41</v>
      </c>
      <c r="K195">
        <v>52144</v>
      </c>
    </row>
    <row r="196" spans="2:11" x14ac:dyDescent="0.25">
      <c r="B196">
        <v>26121</v>
      </c>
      <c r="C196">
        <v>-2989</v>
      </c>
      <c r="D196">
        <v>-1621</v>
      </c>
      <c r="E196">
        <v>-1033</v>
      </c>
      <c r="F196">
        <v>0</v>
      </c>
      <c r="G196">
        <v>1067</v>
      </c>
      <c r="H196">
        <v>879</v>
      </c>
      <c r="I196">
        <v>-442</v>
      </c>
      <c r="J196">
        <v>-1105</v>
      </c>
      <c r="K196">
        <v>-1526</v>
      </c>
    </row>
    <row r="197" spans="2:11" x14ac:dyDescent="0.25">
      <c r="B197">
        <v>-647</v>
      </c>
      <c r="C197">
        <v>6072</v>
      </c>
      <c r="D197">
        <v>6398</v>
      </c>
      <c r="E197">
        <v>2647</v>
      </c>
      <c r="F197">
        <v>533</v>
      </c>
      <c r="G197">
        <v>0</v>
      </c>
      <c r="H197">
        <v>341</v>
      </c>
      <c r="I197">
        <v>637</v>
      </c>
      <c r="J197">
        <v>1165</v>
      </c>
      <c r="K197">
        <v>2944</v>
      </c>
    </row>
    <row r="198" spans="2:11" x14ac:dyDescent="0.25">
      <c r="B198">
        <v>8917</v>
      </c>
      <c r="C198">
        <v>87</v>
      </c>
      <c r="D198">
        <v>-4618</v>
      </c>
      <c r="E198">
        <v>-6105</v>
      </c>
      <c r="F198">
        <v>-3035</v>
      </c>
      <c r="G198">
        <v>0</v>
      </c>
      <c r="H198">
        <v>6072</v>
      </c>
      <c r="I198">
        <v>7535</v>
      </c>
      <c r="J198">
        <v>9561</v>
      </c>
      <c r="K198">
        <v>11518</v>
      </c>
    </row>
    <row r="199" spans="2:11" x14ac:dyDescent="0.25">
      <c r="B199">
        <v>9910</v>
      </c>
      <c r="C199">
        <v>1505</v>
      </c>
      <c r="D199">
        <v>5907</v>
      </c>
      <c r="E199">
        <v>760</v>
      </c>
      <c r="F199">
        <v>3726</v>
      </c>
      <c r="G199">
        <v>1350</v>
      </c>
      <c r="H199">
        <v>6189</v>
      </c>
      <c r="I199">
        <v>877</v>
      </c>
      <c r="J199">
        <v>4276</v>
      </c>
      <c r="K199">
        <v>193</v>
      </c>
    </row>
    <row r="200" spans="2:11" x14ac:dyDescent="0.25">
      <c r="B200">
        <v>2042</v>
      </c>
      <c r="C200">
        <v>-1503</v>
      </c>
      <c r="D200">
        <v>-3850</v>
      </c>
      <c r="E200">
        <v>-6</v>
      </c>
      <c r="F200">
        <v>-40</v>
      </c>
      <c r="G200">
        <v>24904</v>
      </c>
      <c r="H200">
        <v>40854</v>
      </c>
      <c r="I200">
        <v>40876</v>
      </c>
      <c r="J200">
        <v>4906</v>
      </c>
      <c r="K200">
        <v>4081</v>
      </c>
    </row>
    <row r="201" spans="2:11" x14ac:dyDescent="0.25">
      <c r="B201">
        <v>2888</v>
      </c>
      <c r="C201">
        <v>0</v>
      </c>
      <c r="D201">
        <v>-1615</v>
      </c>
      <c r="E201">
        <v>-1412</v>
      </c>
      <c r="F201">
        <v>223</v>
      </c>
      <c r="G201">
        <v>1333</v>
      </c>
      <c r="H201">
        <v>2092</v>
      </c>
      <c r="I201">
        <v>1820</v>
      </c>
      <c r="J201">
        <v>-2299</v>
      </c>
      <c r="K201">
        <v>-2350</v>
      </c>
    </row>
    <row r="202" spans="2:11" x14ac:dyDescent="0.25">
      <c r="B202">
        <v>-1524</v>
      </c>
      <c r="C202">
        <v>-509</v>
      </c>
      <c r="D202">
        <v>0</v>
      </c>
      <c r="E202">
        <v>-651</v>
      </c>
      <c r="F202">
        <v>-1119</v>
      </c>
      <c r="G202">
        <v>-1921</v>
      </c>
      <c r="H202">
        <v>-3252</v>
      </c>
      <c r="I202">
        <v>-3719</v>
      </c>
      <c r="J202">
        <v>110</v>
      </c>
      <c r="K202">
        <v>12</v>
      </c>
    </row>
    <row r="203" spans="2:11" x14ac:dyDescent="0.25">
      <c r="B203">
        <v>-43</v>
      </c>
      <c r="C203">
        <v>-115</v>
      </c>
      <c r="D203">
        <v>0</v>
      </c>
      <c r="E203">
        <v>144</v>
      </c>
      <c r="F203">
        <v>268</v>
      </c>
      <c r="G203">
        <v>712</v>
      </c>
      <c r="H203">
        <v>948</v>
      </c>
      <c r="I203">
        <v>406</v>
      </c>
      <c r="J203">
        <v>-9611</v>
      </c>
      <c r="K203">
        <v>-2473</v>
      </c>
    </row>
    <row r="204" spans="2:11" x14ac:dyDescent="0.25">
      <c r="B204">
        <v>-1230</v>
      </c>
      <c r="C204">
        <v>-186</v>
      </c>
      <c r="D204">
        <v>-4501</v>
      </c>
      <c r="E204">
        <v>-182</v>
      </c>
      <c r="F204">
        <v>-2940</v>
      </c>
      <c r="G204">
        <v>615</v>
      </c>
      <c r="H204">
        <v>1517</v>
      </c>
      <c r="I204">
        <v>754</v>
      </c>
      <c r="J204">
        <v>1535</v>
      </c>
      <c r="K204">
        <v>785</v>
      </c>
    </row>
    <row r="205" spans="2:11" x14ac:dyDescent="0.25">
      <c r="B205">
        <v>14</v>
      </c>
      <c r="C205">
        <v>8</v>
      </c>
      <c r="D205">
        <v>-36274</v>
      </c>
      <c r="E205">
        <v>-14746</v>
      </c>
      <c r="F205">
        <v>-39322</v>
      </c>
      <c r="G205">
        <v>-14945</v>
      </c>
      <c r="H205">
        <v>1000</v>
      </c>
      <c r="I205">
        <v>565</v>
      </c>
      <c r="J205">
        <v>247</v>
      </c>
      <c r="K205">
        <v>0</v>
      </c>
    </row>
    <row r="206" spans="2:11" x14ac:dyDescent="0.25">
      <c r="B206">
        <v>-148</v>
      </c>
      <c r="C206">
        <v>-62</v>
      </c>
      <c r="D206">
        <v>181</v>
      </c>
      <c r="E206">
        <v>215</v>
      </c>
      <c r="F206">
        <v>650</v>
      </c>
      <c r="G206">
        <v>499</v>
      </c>
      <c r="H206">
        <v>-647</v>
      </c>
      <c r="I206">
        <v>-937</v>
      </c>
      <c r="J206">
        <v>-512</v>
      </c>
      <c r="K206">
        <v>-166</v>
      </c>
    </row>
    <row r="207" spans="2:11" x14ac:dyDescent="0.25">
      <c r="B207">
        <v>0</v>
      </c>
      <c r="C207">
        <v>-126</v>
      </c>
      <c r="D207">
        <v>-198</v>
      </c>
      <c r="E207">
        <v>-327</v>
      </c>
      <c r="F207">
        <v>-715</v>
      </c>
      <c r="G207">
        <v>-914</v>
      </c>
      <c r="H207">
        <v>-907</v>
      </c>
      <c r="I207">
        <v>1423</v>
      </c>
      <c r="J207">
        <v>2399</v>
      </c>
      <c r="K207">
        <v>989</v>
      </c>
    </row>
    <row r="208" spans="2:11" x14ac:dyDescent="0.25">
      <c r="B208">
        <v>0</v>
      </c>
      <c r="C208">
        <v>-3808</v>
      </c>
      <c r="D208">
        <v>-4846</v>
      </c>
      <c r="E208">
        <v>-6365</v>
      </c>
      <c r="F208">
        <v>-7292</v>
      </c>
      <c r="G208">
        <v>-4843</v>
      </c>
      <c r="H208">
        <v>-3124</v>
      </c>
      <c r="I208">
        <v>-9658</v>
      </c>
      <c r="J208">
        <v>238</v>
      </c>
      <c r="K208">
        <v>-269</v>
      </c>
    </row>
    <row r="209" spans="2:11" x14ac:dyDescent="0.25">
      <c r="B209">
        <v>-1108</v>
      </c>
      <c r="C209">
        <v>-2659</v>
      </c>
      <c r="D209">
        <v>-617</v>
      </c>
      <c r="E209">
        <v>-1943</v>
      </c>
      <c r="F209">
        <v>697</v>
      </c>
      <c r="G209">
        <v>1253</v>
      </c>
      <c r="H209">
        <v>310</v>
      </c>
      <c r="I209">
        <v>1103</v>
      </c>
      <c r="J209">
        <v>5</v>
      </c>
      <c r="K209">
        <v>11</v>
      </c>
    </row>
    <row r="210" spans="2:11" x14ac:dyDescent="0.25">
      <c r="B210">
        <v>-15801</v>
      </c>
      <c r="C210">
        <v>-42723</v>
      </c>
      <c r="D210">
        <v>-15560</v>
      </c>
      <c r="E210">
        <v>-41986</v>
      </c>
      <c r="F210">
        <v>34483</v>
      </c>
      <c r="G210">
        <v>6682</v>
      </c>
      <c r="H210">
        <v>5588</v>
      </c>
      <c r="I210">
        <v>4107</v>
      </c>
      <c r="J210">
        <v>0</v>
      </c>
      <c r="K210">
        <v>-2293</v>
      </c>
    </row>
    <row r="211" spans="2:11" x14ac:dyDescent="0.25">
      <c r="B211">
        <v>-2461</v>
      </c>
      <c r="C211">
        <v>-683</v>
      </c>
      <c r="D211">
        <v>1450</v>
      </c>
      <c r="E211">
        <v>3662</v>
      </c>
      <c r="F211">
        <v>4000</v>
      </c>
      <c r="G211">
        <v>-4075</v>
      </c>
      <c r="H211">
        <v>-3207</v>
      </c>
      <c r="I211">
        <v>-1767</v>
      </c>
      <c r="J211">
        <v>-33</v>
      </c>
      <c r="K211">
        <v>0</v>
      </c>
    </row>
    <row r="212" spans="2:11" x14ac:dyDescent="0.25">
      <c r="B212">
        <v>-2244</v>
      </c>
      <c r="C212">
        <v>-3706</v>
      </c>
      <c r="D212">
        <v>-5457</v>
      </c>
      <c r="E212">
        <v>-7419</v>
      </c>
      <c r="F212">
        <v>-5223</v>
      </c>
      <c r="G212">
        <v>456</v>
      </c>
      <c r="H212">
        <v>143</v>
      </c>
      <c r="I212">
        <v>-59</v>
      </c>
      <c r="J212">
        <v>-235</v>
      </c>
      <c r="K212">
        <v>0</v>
      </c>
    </row>
    <row r="213" spans="2:11" x14ac:dyDescent="0.25">
      <c r="B213">
        <v>1111</v>
      </c>
      <c r="C213">
        <v>1532</v>
      </c>
      <c r="D213">
        <v>1968</v>
      </c>
      <c r="E213">
        <v>1219</v>
      </c>
      <c r="F213">
        <v>3487</v>
      </c>
      <c r="G213">
        <v>3806</v>
      </c>
      <c r="H213">
        <v>1996</v>
      </c>
      <c r="I213">
        <v>3570</v>
      </c>
      <c r="J213">
        <v>1647</v>
      </c>
      <c r="K213">
        <v>-1513</v>
      </c>
    </row>
    <row r="214" spans="2:11" x14ac:dyDescent="0.25">
      <c r="B214">
        <v>1968</v>
      </c>
      <c r="C214">
        <v>-91</v>
      </c>
      <c r="D214">
        <v>2797</v>
      </c>
      <c r="E214">
        <v>-927</v>
      </c>
      <c r="F214">
        <v>142</v>
      </c>
      <c r="G214">
        <v>-2133</v>
      </c>
      <c r="H214">
        <v>-1027</v>
      </c>
      <c r="I214">
        <v>17</v>
      </c>
      <c r="J214">
        <v>7</v>
      </c>
      <c r="K214">
        <v>-16690</v>
      </c>
    </row>
    <row r="215" spans="2:11" x14ac:dyDescent="0.25">
      <c r="B215">
        <v>-4389</v>
      </c>
      <c r="C215">
        <v>-10898</v>
      </c>
      <c r="D215">
        <v>-1434</v>
      </c>
      <c r="E215">
        <v>10637</v>
      </c>
      <c r="F215">
        <v>4551</v>
      </c>
      <c r="G215">
        <v>2810</v>
      </c>
      <c r="H215">
        <v>1673</v>
      </c>
      <c r="I215">
        <v>972</v>
      </c>
      <c r="J215">
        <v>0</v>
      </c>
      <c r="K215">
        <v>-546</v>
      </c>
    </row>
    <row r="216" spans="2:11" x14ac:dyDescent="0.25">
      <c r="B216">
        <v>-537</v>
      </c>
      <c r="C216">
        <v>55</v>
      </c>
      <c r="D216">
        <v>689</v>
      </c>
      <c r="E216">
        <v>2006</v>
      </c>
      <c r="F216">
        <v>2373</v>
      </c>
      <c r="G216">
        <v>-1221</v>
      </c>
      <c r="H216">
        <v>-1130</v>
      </c>
      <c r="I216">
        <v>-333</v>
      </c>
      <c r="J216">
        <v>177</v>
      </c>
      <c r="K216">
        <v>0</v>
      </c>
    </row>
    <row r="217" spans="2:11" x14ac:dyDescent="0.25">
      <c r="B217">
        <v>-1353</v>
      </c>
      <c r="C217">
        <v>-2008</v>
      </c>
      <c r="D217">
        <v>-2724</v>
      </c>
      <c r="E217">
        <v>-3023</v>
      </c>
      <c r="F217">
        <v>-1027</v>
      </c>
      <c r="G217">
        <v>-2445</v>
      </c>
      <c r="H217">
        <v>264</v>
      </c>
      <c r="I217">
        <v>1755</v>
      </c>
      <c r="J217">
        <v>1502</v>
      </c>
      <c r="K217">
        <v>0</v>
      </c>
    </row>
    <row r="218" spans="2:11" x14ac:dyDescent="0.25">
      <c r="B218">
        <v>-5872</v>
      </c>
      <c r="C218">
        <v>-8094</v>
      </c>
      <c r="D218">
        <v>-12739</v>
      </c>
      <c r="E218">
        <v>-21980</v>
      </c>
      <c r="F218">
        <v>-14902</v>
      </c>
      <c r="G218">
        <v>869</v>
      </c>
      <c r="H218">
        <v>-1199</v>
      </c>
      <c r="I218">
        <v>1011</v>
      </c>
      <c r="J218">
        <v>1066</v>
      </c>
      <c r="K218">
        <v>-553</v>
      </c>
    </row>
    <row r="219" spans="2:11" x14ac:dyDescent="0.25">
      <c r="B219">
        <v>-1951</v>
      </c>
      <c r="C219">
        <v>-308</v>
      </c>
      <c r="D219">
        <v>-956</v>
      </c>
      <c r="E219">
        <v>-391</v>
      </c>
      <c r="F219">
        <v>-712</v>
      </c>
      <c r="G219">
        <v>-809</v>
      </c>
      <c r="H219">
        <v>-4095</v>
      </c>
      <c r="I219">
        <v>3</v>
      </c>
      <c r="J219">
        <v>5</v>
      </c>
      <c r="K219">
        <v>-5403</v>
      </c>
    </row>
    <row r="220" spans="2:11" x14ac:dyDescent="0.25">
      <c r="B220">
        <v>-28936</v>
      </c>
      <c r="C220">
        <v>-1568</v>
      </c>
      <c r="D220">
        <v>-17399</v>
      </c>
      <c r="E220">
        <v>5372</v>
      </c>
      <c r="F220">
        <v>15121</v>
      </c>
      <c r="G220">
        <v>35775</v>
      </c>
      <c r="H220">
        <v>-265</v>
      </c>
      <c r="I220">
        <v>-386</v>
      </c>
      <c r="J220">
        <v>-451</v>
      </c>
      <c r="K220">
        <v>0</v>
      </c>
    </row>
    <row r="221" spans="2:11" x14ac:dyDescent="0.25">
      <c r="B221">
        <v>623</v>
      </c>
      <c r="C221">
        <v>514</v>
      </c>
      <c r="D221">
        <v>308</v>
      </c>
      <c r="E221">
        <v>-35</v>
      </c>
      <c r="F221">
        <v>-408</v>
      </c>
      <c r="G221">
        <v>-1078</v>
      </c>
      <c r="H221">
        <v>280</v>
      </c>
      <c r="I221">
        <v>131</v>
      </c>
      <c r="J221">
        <v>-435</v>
      </c>
      <c r="K221">
        <v>-881</v>
      </c>
    </row>
    <row r="222" spans="2:11" x14ac:dyDescent="0.25">
      <c r="B222">
        <v>0</v>
      </c>
      <c r="C222">
        <v>-87</v>
      </c>
      <c r="D222">
        <v>-193</v>
      </c>
      <c r="E222">
        <v>85</v>
      </c>
      <c r="F222">
        <v>639</v>
      </c>
      <c r="G222">
        <v>587</v>
      </c>
      <c r="H222">
        <v>-36027</v>
      </c>
      <c r="I222">
        <v>-46145</v>
      </c>
      <c r="J222">
        <v>-59660</v>
      </c>
      <c r="K222">
        <v>-82197</v>
      </c>
    </row>
    <row r="223" spans="2:11" x14ac:dyDescent="0.25">
      <c r="B223">
        <v>0</v>
      </c>
      <c r="C223">
        <v>-3346</v>
      </c>
      <c r="D223">
        <v>-4274</v>
      </c>
      <c r="E223">
        <v>-5839</v>
      </c>
      <c r="F223">
        <v>-6510</v>
      </c>
      <c r="G223">
        <v>-3641</v>
      </c>
      <c r="H223">
        <v>-1331</v>
      </c>
      <c r="I223">
        <v>-51144</v>
      </c>
      <c r="J223">
        <v>-196</v>
      </c>
      <c r="K223">
        <v>-12353</v>
      </c>
    </row>
    <row r="224" spans="2:11" x14ac:dyDescent="0.25">
      <c r="B224">
        <v>-753</v>
      </c>
      <c r="C224">
        <v>-27848</v>
      </c>
      <c r="D224">
        <v>285</v>
      </c>
      <c r="E224">
        <v>-11881</v>
      </c>
      <c r="F224">
        <v>-109</v>
      </c>
      <c r="G224">
        <v>360</v>
      </c>
      <c r="H224">
        <v>185</v>
      </c>
      <c r="I224">
        <v>494</v>
      </c>
      <c r="J224">
        <v>-4</v>
      </c>
      <c r="K224">
        <v>15</v>
      </c>
    </row>
    <row r="225" spans="2:11" x14ac:dyDescent="0.25">
      <c r="B225">
        <v>-181</v>
      </c>
      <c r="C225">
        <v>-1202</v>
      </c>
      <c r="D225">
        <v>-63</v>
      </c>
      <c r="E225">
        <v>-1985</v>
      </c>
      <c r="F225">
        <v>63</v>
      </c>
      <c r="G225">
        <v>1827</v>
      </c>
      <c r="H225">
        <v>-194</v>
      </c>
      <c r="I225">
        <v>1116</v>
      </c>
      <c r="J225">
        <v>-10281</v>
      </c>
      <c r="K225">
        <v>-17084</v>
      </c>
    </row>
    <row r="226" spans="2:11" x14ac:dyDescent="0.25">
      <c r="B226">
        <v>885</v>
      </c>
      <c r="C226">
        <v>0</v>
      </c>
      <c r="D226">
        <v>-571</v>
      </c>
      <c r="E226">
        <v>-775</v>
      </c>
      <c r="F226">
        <v>-423</v>
      </c>
      <c r="G226">
        <v>49</v>
      </c>
      <c r="H226">
        <v>477</v>
      </c>
      <c r="I226">
        <v>604</v>
      </c>
      <c r="J226">
        <v>165</v>
      </c>
      <c r="K226">
        <v>309</v>
      </c>
    </row>
    <row r="227" spans="2:11" x14ac:dyDescent="0.25">
      <c r="B227">
        <v>366</v>
      </c>
      <c r="C227">
        <v>325</v>
      </c>
      <c r="D227">
        <v>0</v>
      </c>
      <c r="E227">
        <v>-87</v>
      </c>
      <c r="F227">
        <v>-113</v>
      </c>
      <c r="G227">
        <v>-182</v>
      </c>
      <c r="H227">
        <v>1913</v>
      </c>
      <c r="I227">
        <v>1450</v>
      </c>
      <c r="J227">
        <v>-86</v>
      </c>
      <c r="K227">
        <v>-74</v>
      </c>
    </row>
    <row r="228" spans="2:11" x14ac:dyDescent="0.25">
      <c r="B228">
        <v>-113</v>
      </c>
      <c r="C228">
        <v>-196</v>
      </c>
      <c r="D228">
        <v>0</v>
      </c>
      <c r="E228">
        <v>-132</v>
      </c>
      <c r="F228">
        <v>-284</v>
      </c>
      <c r="G228">
        <v>-673</v>
      </c>
      <c r="H228">
        <v>-458</v>
      </c>
      <c r="I228">
        <v>61</v>
      </c>
      <c r="J228">
        <v>994</v>
      </c>
      <c r="K228">
        <v>-24</v>
      </c>
    </row>
    <row r="229" spans="2:11" x14ac:dyDescent="0.25">
      <c r="B229">
        <v>-689</v>
      </c>
      <c r="C229">
        <v>-131</v>
      </c>
      <c r="D229">
        <v>258</v>
      </c>
      <c r="E229">
        <v>26</v>
      </c>
      <c r="F229">
        <v>924</v>
      </c>
      <c r="G229">
        <v>-202</v>
      </c>
      <c r="H229">
        <v>1632</v>
      </c>
      <c r="I229">
        <v>-62</v>
      </c>
      <c r="J229">
        <v>44763</v>
      </c>
      <c r="K229">
        <v>7550</v>
      </c>
    </row>
    <row r="230" spans="2:11" x14ac:dyDescent="0.25">
      <c r="B230">
        <v>-33</v>
      </c>
      <c r="C230">
        <v>5</v>
      </c>
      <c r="D230">
        <v>770</v>
      </c>
      <c r="E230">
        <v>318</v>
      </c>
      <c r="F230">
        <v>-458</v>
      </c>
      <c r="G230">
        <v>119</v>
      </c>
      <c r="H230">
        <v>181</v>
      </c>
      <c r="I230">
        <v>-29</v>
      </c>
      <c r="J230">
        <v>1705</v>
      </c>
      <c r="K230">
        <v>61</v>
      </c>
    </row>
    <row r="231" spans="2:11" x14ac:dyDescent="0.25">
      <c r="B231">
        <v>257</v>
      </c>
      <c r="C231">
        <v>1851</v>
      </c>
      <c r="D231">
        <v>2570</v>
      </c>
      <c r="E231">
        <v>-68</v>
      </c>
      <c r="F231">
        <v>0</v>
      </c>
      <c r="G231">
        <v>15</v>
      </c>
      <c r="H231">
        <v>177</v>
      </c>
      <c r="I231">
        <v>294</v>
      </c>
      <c r="J231">
        <v>320</v>
      </c>
      <c r="K231">
        <v>-29</v>
      </c>
    </row>
    <row r="232" spans="2:11" x14ac:dyDescent="0.25">
      <c r="B232">
        <v>221</v>
      </c>
      <c r="C232">
        <v>798</v>
      </c>
      <c r="D232">
        <v>430</v>
      </c>
      <c r="E232">
        <v>294</v>
      </c>
      <c r="F232">
        <v>10</v>
      </c>
      <c r="G232">
        <v>0</v>
      </c>
      <c r="H232">
        <v>493</v>
      </c>
      <c r="I232">
        <v>860</v>
      </c>
      <c r="J232">
        <v>1211</v>
      </c>
      <c r="K232">
        <v>-10286</v>
      </c>
    </row>
    <row r="233" spans="2:11" x14ac:dyDescent="0.25">
      <c r="B233">
        <v>-6370</v>
      </c>
      <c r="C233">
        <v>36</v>
      </c>
      <c r="D233">
        <v>6</v>
      </c>
      <c r="E233">
        <v>229</v>
      </c>
      <c r="F233">
        <v>469</v>
      </c>
      <c r="G233">
        <v>0</v>
      </c>
      <c r="H233">
        <v>-202</v>
      </c>
      <c r="I233">
        <v>-317</v>
      </c>
      <c r="J233">
        <v>-416</v>
      </c>
      <c r="K233">
        <v>-225</v>
      </c>
    </row>
    <row r="234" spans="2:11" x14ac:dyDescent="0.25">
      <c r="B234">
        <v>476</v>
      </c>
      <c r="C234">
        <v>-570</v>
      </c>
      <c r="D234">
        <v>374</v>
      </c>
      <c r="E234">
        <v>386</v>
      </c>
      <c r="F234">
        <v>354</v>
      </c>
      <c r="G234">
        <v>359</v>
      </c>
      <c r="H234">
        <v>206</v>
      </c>
      <c r="I234">
        <v>717</v>
      </c>
      <c r="J234">
        <v>941</v>
      </c>
      <c r="K234">
        <v>35</v>
      </c>
    </row>
    <row r="235" spans="2:11" x14ac:dyDescent="0.25">
      <c r="B235">
        <v>339</v>
      </c>
      <c r="C235">
        <v>-43069</v>
      </c>
      <c r="D235">
        <v>-35248</v>
      </c>
      <c r="E235">
        <v>20</v>
      </c>
      <c r="F235">
        <v>-3</v>
      </c>
      <c r="G235">
        <v>11</v>
      </c>
      <c r="H235">
        <v>278</v>
      </c>
      <c r="I235">
        <v>1320</v>
      </c>
      <c r="J235">
        <v>1295</v>
      </c>
      <c r="K235">
        <v>120</v>
      </c>
    </row>
    <row r="236" spans="2:11" x14ac:dyDescent="0.25">
      <c r="B236">
        <v>633</v>
      </c>
      <c r="C236">
        <v>-1518</v>
      </c>
      <c r="D236">
        <v>-1566</v>
      </c>
      <c r="E236">
        <v>-510</v>
      </c>
      <c r="F236">
        <v>-12961</v>
      </c>
      <c r="G236">
        <v>498</v>
      </c>
      <c r="H236">
        <v>468</v>
      </c>
      <c r="I236">
        <v>528</v>
      </c>
      <c r="J236">
        <v>0</v>
      </c>
      <c r="K236">
        <v>-294</v>
      </c>
    </row>
    <row r="237" spans="2:11" x14ac:dyDescent="0.25">
      <c r="B237">
        <v>-147</v>
      </c>
      <c r="C237">
        <v>-233</v>
      </c>
      <c r="D237">
        <v>-76</v>
      </c>
      <c r="E237">
        <v>-113</v>
      </c>
      <c r="F237">
        <v>230</v>
      </c>
      <c r="G237">
        <v>857</v>
      </c>
      <c r="H237">
        <v>439</v>
      </c>
      <c r="I237">
        <v>-895</v>
      </c>
      <c r="J237">
        <v>-2251</v>
      </c>
      <c r="K237">
        <v>0</v>
      </c>
    </row>
    <row r="238" spans="2:11" x14ac:dyDescent="0.25">
      <c r="B238">
        <v>-33</v>
      </c>
      <c r="C238">
        <v>-126</v>
      </c>
      <c r="D238">
        <v>31</v>
      </c>
      <c r="E238">
        <v>328</v>
      </c>
      <c r="F238">
        <v>275</v>
      </c>
      <c r="G238">
        <v>3410</v>
      </c>
      <c r="H238">
        <v>749</v>
      </c>
      <c r="I238">
        <v>-2482</v>
      </c>
      <c r="J238">
        <v>-338</v>
      </c>
      <c r="K238">
        <v>0</v>
      </c>
    </row>
    <row r="239" spans="2:11" x14ac:dyDescent="0.25">
      <c r="B239">
        <v>-5204</v>
      </c>
      <c r="C239">
        <v>-5656</v>
      </c>
      <c r="D239">
        <v>-6123</v>
      </c>
      <c r="E239">
        <v>-5282</v>
      </c>
      <c r="F239">
        <v>-2725</v>
      </c>
      <c r="G239">
        <v>-168</v>
      </c>
      <c r="H239">
        <v>-3840</v>
      </c>
      <c r="I239">
        <v>1</v>
      </c>
      <c r="J239">
        <v>-1395</v>
      </c>
      <c r="K239">
        <v>-79</v>
      </c>
    </row>
    <row r="240" spans="2:11" x14ac:dyDescent="0.25">
      <c r="B240">
        <v>-2354</v>
      </c>
      <c r="C240">
        <v>-319</v>
      </c>
      <c r="D240">
        <v>-1651</v>
      </c>
      <c r="E240">
        <v>1</v>
      </c>
      <c r="F240">
        <v>-1201</v>
      </c>
      <c r="G240">
        <v>106</v>
      </c>
      <c r="H240">
        <v>-54</v>
      </c>
      <c r="I240">
        <v>-5</v>
      </c>
      <c r="J240">
        <v>0</v>
      </c>
      <c r="K240">
        <v>-524</v>
      </c>
    </row>
    <row r="241" spans="2:11" x14ac:dyDescent="0.25">
      <c r="B241">
        <v>-4213</v>
      </c>
      <c r="C241">
        <v>497</v>
      </c>
      <c r="D241">
        <v>253</v>
      </c>
      <c r="E241">
        <v>151</v>
      </c>
      <c r="F241">
        <v>-316</v>
      </c>
      <c r="G241">
        <v>-166</v>
      </c>
      <c r="H241">
        <v>4142</v>
      </c>
      <c r="I241">
        <v>-653</v>
      </c>
      <c r="J241">
        <v>23</v>
      </c>
      <c r="K241">
        <v>-2</v>
      </c>
    </row>
    <row r="242" spans="2:11" x14ac:dyDescent="0.25"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</row>
    <row r="243" spans="2:11" x14ac:dyDescent="0.25"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</row>
    <row r="244" spans="2:11" x14ac:dyDescent="0.25"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</row>
    <row r="245" spans="2:11" x14ac:dyDescent="0.25"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</row>
    <row r="246" spans="2:11" x14ac:dyDescent="0.25"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</row>
    <row r="247" spans="2:11" x14ac:dyDescent="0.25"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1227</v>
      </c>
      <c r="I247">
        <v>1208</v>
      </c>
      <c r="J247">
        <v>1319</v>
      </c>
      <c r="K247">
        <v>0</v>
      </c>
    </row>
    <row r="248" spans="2:11" x14ac:dyDescent="0.25">
      <c r="B248">
        <v>-810</v>
      </c>
      <c r="C248">
        <v>-566</v>
      </c>
      <c r="D248">
        <v>-656</v>
      </c>
      <c r="E248">
        <v>-244</v>
      </c>
      <c r="F248">
        <v>-389</v>
      </c>
      <c r="G248">
        <v>620</v>
      </c>
      <c r="H248">
        <v>1875</v>
      </c>
      <c r="I248">
        <v>999</v>
      </c>
      <c r="J248">
        <v>-1985</v>
      </c>
      <c r="K248">
        <v>-4904</v>
      </c>
    </row>
    <row r="249" spans="2:11" x14ac:dyDescent="0.25">
      <c r="B249">
        <v>0</v>
      </c>
      <c r="C249">
        <v>37</v>
      </c>
      <c r="D249">
        <v>-107</v>
      </c>
      <c r="E249">
        <v>150</v>
      </c>
      <c r="F249">
        <v>633</v>
      </c>
      <c r="G249">
        <v>480</v>
      </c>
      <c r="H249">
        <v>6848</v>
      </c>
      <c r="I249">
        <v>145</v>
      </c>
      <c r="J249">
        <v>-7190</v>
      </c>
      <c r="K249">
        <v>-2253</v>
      </c>
    </row>
    <row r="250" spans="2:11" x14ac:dyDescent="0.25">
      <c r="B250">
        <v>0</v>
      </c>
      <c r="C250">
        <v>-10219</v>
      </c>
      <c r="D250">
        <v>-10803</v>
      </c>
      <c r="E250">
        <v>-11107</v>
      </c>
      <c r="F250">
        <v>-8428</v>
      </c>
      <c r="G250">
        <v>-3880</v>
      </c>
      <c r="H250">
        <v>-145</v>
      </c>
      <c r="I250">
        <v>-323</v>
      </c>
      <c r="J250">
        <v>111</v>
      </c>
      <c r="K250">
        <v>138</v>
      </c>
    </row>
    <row r="251" spans="2:11" x14ac:dyDescent="0.25">
      <c r="B251">
        <v>-300</v>
      </c>
      <c r="C251">
        <v>2399</v>
      </c>
      <c r="D251">
        <v>-802</v>
      </c>
      <c r="E251">
        <v>1518</v>
      </c>
      <c r="F251">
        <v>-14</v>
      </c>
      <c r="G251">
        <v>-2296</v>
      </c>
      <c r="H251">
        <v>22</v>
      </c>
      <c r="I251">
        <v>-292</v>
      </c>
      <c r="J251">
        <v>-11</v>
      </c>
      <c r="K251">
        <v>-5</v>
      </c>
    </row>
    <row r="252" spans="2:11" x14ac:dyDescent="0.25">
      <c r="B252">
        <v>-638</v>
      </c>
      <c r="C252">
        <v>-5432</v>
      </c>
      <c r="D252">
        <v>1055</v>
      </c>
      <c r="E252">
        <v>8813</v>
      </c>
      <c r="F252">
        <v>65</v>
      </c>
      <c r="G252">
        <v>-3613</v>
      </c>
      <c r="H252">
        <v>-246</v>
      </c>
      <c r="I252">
        <v>1068</v>
      </c>
      <c r="J252">
        <v>1245</v>
      </c>
      <c r="K252">
        <v>64</v>
      </c>
    </row>
    <row r="253" spans="2:11" x14ac:dyDescent="0.25">
      <c r="B253">
        <v>296</v>
      </c>
      <c r="C253">
        <v>23472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</row>
    <row r="254" spans="2:11" x14ac:dyDescent="0.25"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</row>
    <row r="255" spans="2:11" x14ac:dyDescent="0.25"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</row>
    <row r="256" spans="2:11" x14ac:dyDescent="0.25"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</row>
    <row r="257" spans="2:11" x14ac:dyDescent="0.25"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</row>
    <row r="258" spans="2:11" x14ac:dyDescent="0.25"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</row>
    <row r="259" spans="2:11" x14ac:dyDescent="0.25"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</row>
    <row r="260" spans="2:11" x14ac:dyDescent="0.25"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</row>
    <row r="261" spans="2:11" x14ac:dyDescent="0.25"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</row>
    <row r="262" spans="2:11" x14ac:dyDescent="0.25"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</row>
    <row r="263" spans="2:11" x14ac:dyDescent="0.25"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</row>
    <row r="264" spans="2:11" x14ac:dyDescent="0.25"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</row>
    <row r="265" spans="2:11" x14ac:dyDescent="0.25"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</row>
    <row r="266" spans="2:11" x14ac:dyDescent="0.25"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</row>
    <row r="267" spans="2:11" x14ac:dyDescent="0.25"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</row>
    <row r="268" spans="2:11" x14ac:dyDescent="0.25"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</row>
    <row r="269" spans="2:11" x14ac:dyDescent="0.25"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</row>
    <row r="270" spans="2:11" x14ac:dyDescent="0.2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2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2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2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2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2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</row>
    <row r="276" spans="2:11" x14ac:dyDescent="0.25"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</row>
    <row r="277" spans="2:11" x14ac:dyDescent="0.25">
      <c r="B277">
        <v>0</v>
      </c>
      <c r="C277">
        <v>-847</v>
      </c>
      <c r="D277">
        <v>648</v>
      </c>
      <c r="E277">
        <v>530</v>
      </c>
      <c r="F277">
        <v>0</v>
      </c>
      <c r="G277">
        <v>-434</v>
      </c>
      <c r="H277">
        <v>-780</v>
      </c>
      <c r="I277">
        <v>-960</v>
      </c>
      <c r="J277">
        <v>-942</v>
      </c>
      <c r="K277">
        <v>-872</v>
      </c>
    </row>
    <row r="278" spans="2:11" x14ac:dyDescent="0.25">
      <c r="B278">
        <v>-628</v>
      </c>
      <c r="C278">
        <v>-439</v>
      </c>
      <c r="D278">
        <v>-505</v>
      </c>
      <c r="E278">
        <v>-507</v>
      </c>
      <c r="F278">
        <v>-342</v>
      </c>
      <c r="G278">
        <v>0</v>
      </c>
      <c r="H278">
        <v>284</v>
      </c>
      <c r="I278">
        <v>145</v>
      </c>
      <c r="J278">
        <v>178</v>
      </c>
      <c r="K278">
        <v>-459</v>
      </c>
    </row>
    <row r="279" spans="2:11" x14ac:dyDescent="0.25">
      <c r="B279">
        <v>-517</v>
      </c>
      <c r="C279">
        <v>-94</v>
      </c>
      <c r="D279">
        <v>-106</v>
      </c>
      <c r="E279">
        <v>-100</v>
      </c>
      <c r="F279">
        <v>-96</v>
      </c>
      <c r="G279">
        <v>0</v>
      </c>
      <c r="H279">
        <v>16</v>
      </c>
      <c r="I279">
        <v>-89</v>
      </c>
      <c r="J279">
        <v>-246</v>
      </c>
      <c r="K279">
        <v>-259</v>
      </c>
    </row>
    <row r="280" spans="2:11" x14ac:dyDescent="0.25">
      <c r="B280">
        <v>51</v>
      </c>
      <c r="C280">
        <v>-473</v>
      </c>
      <c r="D280">
        <v>-128</v>
      </c>
      <c r="E280">
        <v>97</v>
      </c>
      <c r="F280">
        <v>43</v>
      </c>
      <c r="G280">
        <v>654</v>
      </c>
      <c r="H280">
        <v>370</v>
      </c>
      <c r="I280">
        <v>570</v>
      </c>
      <c r="J280">
        <v>364</v>
      </c>
      <c r="K280">
        <v>-977</v>
      </c>
    </row>
    <row r="281" spans="2:11" x14ac:dyDescent="0.25">
      <c r="B281">
        <v>-345</v>
      </c>
      <c r="C281">
        <v>-75</v>
      </c>
      <c r="D281">
        <v>68</v>
      </c>
      <c r="E281">
        <v>3</v>
      </c>
      <c r="F281">
        <v>-1</v>
      </c>
      <c r="G281">
        <v>-154</v>
      </c>
      <c r="H281">
        <v>-122</v>
      </c>
      <c r="I281">
        <v>12</v>
      </c>
      <c r="J281">
        <v>-88</v>
      </c>
      <c r="K281">
        <v>166</v>
      </c>
    </row>
    <row r="282" spans="2:11" x14ac:dyDescent="0.25">
      <c r="B282">
        <v>286</v>
      </c>
      <c r="C282">
        <v>10</v>
      </c>
      <c r="D282">
        <v>303</v>
      </c>
      <c r="E282">
        <v>65</v>
      </c>
      <c r="F282">
        <v>162</v>
      </c>
      <c r="G282">
        <v>133</v>
      </c>
      <c r="H282">
        <v>-76</v>
      </c>
      <c r="I282">
        <v>0</v>
      </c>
      <c r="J282">
        <v>-40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111</v>
      </c>
      <c r="F283">
        <v>44</v>
      </c>
      <c r="G283">
        <v>79</v>
      </c>
      <c r="H283">
        <v>0</v>
      </c>
      <c r="I283">
        <v>-38</v>
      </c>
      <c r="J283">
        <v>323</v>
      </c>
      <c r="K283">
        <v>-297</v>
      </c>
    </row>
    <row r="284" spans="2:11" x14ac:dyDescent="0.25">
      <c r="B284">
        <v>83</v>
      </c>
      <c r="C284">
        <v>-192</v>
      </c>
      <c r="D284">
        <v>-80</v>
      </c>
      <c r="E284">
        <v>30</v>
      </c>
      <c r="F284">
        <v>14</v>
      </c>
      <c r="G284">
        <v>32</v>
      </c>
      <c r="H284">
        <v>39</v>
      </c>
      <c r="I284">
        <v>0</v>
      </c>
      <c r="J284">
        <v>-62</v>
      </c>
      <c r="K284">
        <v>-90</v>
      </c>
    </row>
    <row r="285" spans="2:11" x14ac:dyDescent="0.25">
      <c r="B285">
        <v>-161</v>
      </c>
      <c r="C285">
        <v>-53</v>
      </c>
      <c r="D285">
        <v>-47</v>
      </c>
      <c r="E285">
        <v>83</v>
      </c>
      <c r="F285">
        <v>38</v>
      </c>
      <c r="G285">
        <v>63</v>
      </c>
      <c r="H285">
        <v>-7</v>
      </c>
      <c r="I285">
        <v>0</v>
      </c>
      <c r="J285">
        <v>-34</v>
      </c>
      <c r="K285">
        <v>-37</v>
      </c>
    </row>
    <row r="286" spans="2:11" x14ac:dyDescent="0.25">
      <c r="B286">
        <v>-45</v>
      </c>
      <c r="C286">
        <v>-64</v>
      </c>
      <c r="D286">
        <v>-26</v>
      </c>
      <c r="E286">
        <v>150</v>
      </c>
      <c r="F286">
        <v>-8</v>
      </c>
      <c r="G286">
        <v>10</v>
      </c>
      <c r="H286">
        <v>-2</v>
      </c>
      <c r="I286">
        <v>-64</v>
      </c>
      <c r="J286">
        <v>-13</v>
      </c>
      <c r="K286">
        <v>75</v>
      </c>
    </row>
    <row r="287" spans="2:11" x14ac:dyDescent="0.25">
      <c r="B287">
        <v>11</v>
      </c>
      <c r="C287">
        <v>4</v>
      </c>
      <c r="D287">
        <v>-13</v>
      </c>
      <c r="E287">
        <v>488</v>
      </c>
      <c r="F287">
        <v>87</v>
      </c>
      <c r="G287">
        <v>-6861</v>
      </c>
      <c r="H287">
        <v>1117</v>
      </c>
      <c r="I287">
        <v>-54</v>
      </c>
      <c r="J287">
        <v>-19</v>
      </c>
      <c r="K287">
        <v>-154</v>
      </c>
    </row>
    <row r="288" spans="2:11" x14ac:dyDescent="0.25">
      <c r="B288">
        <v>-39</v>
      </c>
      <c r="C288">
        <v>-4</v>
      </c>
      <c r="D288">
        <v>16</v>
      </c>
      <c r="E288">
        <v>-3</v>
      </c>
      <c r="F288">
        <v>29</v>
      </c>
      <c r="G288">
        <v>25</v>
      </c>
      <c r="H288">
        <v>253</v>
      </c>
      <c r="I288">
        <v>-163</v>
      </c>
      <c r="J288">
        <v>-28</v>
      </c>
      <c r="K288">
        <v>0</v>
      </c>
    </row>
    <row r="289" spans="2:11" x14ac:dyDescent="0.25">
      <c r="B289">
        <v>-66</v>
      </c>
      <c r="C289">
        <v>0</v>
      </c>
      <c r="D289">
        <v>0</v>
      </c>
      <c r="E289">
        <v>0</v>
      </c>
      <c r="F289">
        <v>0</v>
      </c>
      <c r="G289">
        <v>3</v>
      </c>
      <c r="H289">
        <v>0</v>
      </c>
      <c r="I289">
        <v>0</v>
      </c>
      <c r="J289">
        <v>0</v>
      </c>
      <c r="K289">
        <v>0</v>
      </c>
    </row>
    <row r="290" spans="2:11" x14ac:dyDescent="0.25"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</row>
    <row r="291" spans="2:11" x14ac:dyDescent="0.25"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</row>
    <row r="292" spans="2:11" x14ac:dyDescent="0.25"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</row>
    <row r="293" spans="2:11" x14ac:dyDescent="0.25"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</row>
    <row r="294" spans="2:11" x14ac:dyDescent="0.25"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</row>
    <row r="295" spans="2:11" x14ac:dyDescent="0.25"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</row>
    <row r="296" spans="2:11" x14ac:dyDescent="0.25">
      <c r="B296">
        <v>57317</v>
      </c>
      <c r="C296">
        <v>50653</v>
      </c>
      <c r="D296">
        <v>39592</v>
      </c>
      <c r="E296">
        <v>0</v>
      </c>
      <c r="F296">
        <v>-30755</v>
      </c>
      <c r="G296">
        <v>-56077</v>
      </c>
      <c r="H296">
        <v>-61801</v>
      </c>
      <c r="I296">
        <v>-61742</v>
      </c>
      <c r="J296">
        <v>-53636</v>
      </c>
      <c r="K296">
        <v>-41708</v>
      </c>
    </row>
    <row r="297" spans="2:11" x14ac:dyDescent="0.25">
      <c r="B297">
        <v>-3005</v>
      </c>
      <c r="C297">
        <v>-2350</v>
      </c>
      <c r="D297">
        <v>865</v>
      </c>
      <c r="E297">
        <v>122</v>
      </c>
      <c r="F297">
        <v>0</v>
      </c>
      <c r="G297">
        <v>-527</v>
      </c>
      <c r="H297">
        <v>-2676</v>
      </c>
      <c r="I297">
        <v>-2494</v>
      </c>
      <c r="J297">
        <v>-4998</v>
      </c>
      <c r="K297">
        <v>-4898</v>
      </c>
    </row>
    <row r="298" spans="2:11" x14ac:dyDescent="0.25">
      <c r="B298">
        <v>-55990</v>
      </c>
      <c r="C298">
        <v>-51954</v>
      </c>
      <c r="D298">
        <v>-41177</v>
      </c>
      <c r="E298">
        <v>-19467</v>
      </c>
      <c r="F298">
        <v>0</v>
      </c>
      <c r="G298">
        <v>35013</v>
      </c>
      <c r="H298">
        <v>41527</v>
      </c>
      <c r="I298">
        <v>52359</v>
      </c>
      <c r="J298">
        <v>52218</v>
      </c>
      <c r="K298">
        <v>26888</v>
      </c>
    </row>
    <row r="299" spans="2:11" x14ac:dyDescent="0.25">
      <c r="B299">
        <v>-9188</v>
      </c>
      <c r="C299">
        <v>11876</v>
      </c>
      <c r="D299">
        <v>-4518</v>
      </c>
      <c r="E299">
        <v>5285</v>
      </c>
      <c r="F299">
        <v>-6140</v>
      </c>
      <c r="G299">
        <v>6186</v>
      </c>
      <c r="H299">
        <v>-5403</v>
      </c>
      <c r="I299">
        <v>5953</v>
      </c>
      <c r="J299">
        <v>-3982</v>
      </c>
      <c r="K299">
        <v>4937</v>
      </c>
    </row>
    <row r="300" spans="2:11" x14ac:dyDescent="0.25">
      <c r="B300">
        <v>-4294</v>
      </c>
      <c r="C300">
        <v>2674</v>
      </c>
      <c r="D300">
        <v>173</v>
      </c>
      <c r="E300">
        <v>-115</v>
      </c>
      <c r="F300">
        <v>-6721</v>
      </c>
      <c r="G300">
        <v>12960</v>
      </c>
      <c r="H300">
        <v>-7790</v>
      </c>
      <c r="I300">
        <v>6394</v>
      </c>
      <c r="J300">
        <v>3171</v>
      </c>
      <c r="K300">
        <v>-4471</v>
      </c>
    </row>
    <row r="301" spans="2:11" x14ac:dyDescent="0.25">
      <c r="B301">
        <v>1646</v>
      </c>
      <c r="C301">
        <v>-2569</v>
      </c>
      <c r="D301">
        <v>-8177</v>
      </c>
      <c r="E301">
        <v>-2893</v>
      </c>
      <c r="F301">
        <v>1151</v>
      </c>
      <c r="G301">
        <v>-3935</v>
      </c>
      <c r="H301">
        <v>0</v>
      </c>
      <c r="I301">
        <v>-7033</v>
      </c>
      <c r="J301">
        <v>0</v>
      </c>
      <c r="K301">
        <v>0</v>
      </c>
    </row>
    <row r="302" spans="2:11" x14ac:dyDescent="0.25">
      <c r="B302">
        <v>0</v>
      </c>
      <c r="C302">
        <v>0</v>
      </c>
      <c r="D302">
        <v>743</v>
      </c>
      <c r="E302">
        <v>-51</v>
      </c>
      <c r="F302">
        <v>0</v>
      </c>
      <c r="G302">
        <v>-1055</v>
      </c>
      <c r="H302">
        <v>-1206</v>
      </c>
      <c r="I302">
        <v>-1182</v>
      </c>
      <c r="J302">
        <v>0</v>
      </c>
      <c r="K302">
        <v>-159</v>
      </c>
    </row>
    <row r="303" spans="2:11" x14ac:dyDescent="0.25">
      <c r="B303">
        <v>396</v>
      </c>
      <c r="C303">
        <v>1589</v>
      </c>
      <c r="D303">
        <v>383</v>
      </c>
      <c r="E303">
        <v>1548</v>
      </c>
      <c r="F303">
        <v>1032</v>
      </c>
      <c r="G303">
        <v>-56244</v>
      </c>
      <c r="H303">
        <v>-62398</v>
      </c>
      <c r="I303">
        <v>-63656</v>
      </c>
      <c r="J303">
        <v>-56563</v>
      </c>
      <c r="K303">
        <v>0</v>
      </c>
    </row>
    <row r="304" spans="2:11" x14ac:dyDescent="0.25">
      <c r="B304">
        <v>39081</v>
      </c>
      <c r="C304">
        <v>49277</v>
      </c>
      <c r="D304">
        <v>55670</v>
      </c>
      <c r="E304">
        <v>62050</v>
      </c>
      <c r="F304">
        <v>57486</v>
      </c>
      <c r="G304">
        <v>-56309</v>
      </c>
      <c r="H304">
        <v>-51888</v>
      </c>
      <c r="I304">
        <v>-40027</v>
      </c>
      <c r="J304">
        <v>-19095</v>
      </c>
      <c r="K304">
        <v>0</v>
      </c>
    </row>
    <row r="305" spans="2:11" x14ac:dyDescent="0.25">
      <c r="B305">
        <v>34050</v>
      </c>
      <c r="C305">
        <v>40332</v>
      </c>
      <c r="D305">
        <v>48803</v>
      </c>
      <c r="E305">
        <v>51421</v>
      </c>
      <c r="F305">
        <v>26009</v>
      </c>
      <c r="G305">
        <v>3577</v>
      </c>
      <c r="H305">
        <v>14379</v>
      </c>
      <c r="I305">
        <v>1474</v>
      </c>
      <c r="J305">
        <v>6257</v>
      </c>
      <c r="K305">
        <v>2708</v>
      </c>
    </row>
    <row r="306" spans="2:11" x14ac:dyDescent="0.25">
      <c r="B306">
        <v>7151</v>
      </c>
      <c r="C306">
        <v>2575</v>
      </c>
      <c r="D306">
        <v>6433</v>
      </c>
      <c r="E306">
        <v>2418</v>
      </c>
      <c r="F306">
        <v>6861</v>
      </c>
      <c r="G306">
        <v>2448</v>
      </c>
      <c r="H306">
        <v>5913</v>
      </c>
      <c r="I306">
        <v>-154</v>
      </c>
      <c r="J306">
        <v>-288</v>
      </c>
      <c r="K306">
        <v>1679</v>
      </c>
    </row>
    <row r="307" spans="2:11" x14ac:dyDescent="0.25">
      <c r="B307">
        <v>15267</v>
      </c>
      <c r="C307">
        <v>1861</v>
      </c>
      <c r="D307">
        <v>9587</v>
      </c>
      <c r="E307">
        <v>-859</v>
      </c>
      <c r="F307">
        <v>-5476</v>
      </c>
      <c r="G307">
        <v>-101</v>
      </c>
      <c r="H307">
        <v>-3939</v>
      </c>
      <c r="I307">
        <v>-7733</v>
      </c>
      <c r="J307">
        <v>204</v>
      </c>
      <c r="K307">
        <v>-2084</v>
      </c>
    </row>
    <row r="308" spans="2:11" x14ac:dyDescent="0.25">
      <c r="B308">
        <v>-3776</v>
      </c>
      <c r="C308">
        <v>0</v>
      </c>
      <c r="D308">
        <v>-6726</v>
      </c>
      <c r="E308">
        <v>0</v>
      </c>
      <c r="F308">
        <v>0</v>
      </c>
      <c r="G308">
        <v>0</v>
      </c>
      <c r="H308">
        <v>0</v>
      </c>
      <c r="I308">
        <v>497</v>
      </c>
      <c r="J308">
        <v>-112</v>
      </c>
      <c r="K308">
        <v>0</v>
      </c>
    </row>
    <row r="309" spans="2:11" x14ac:dyDescent="0.25">
      <c r="B309">
        <v>49559</v>
      </c>
      <c r="C309">
        <v>-99</v>
      </c>
      <c r="D309">
        <v>-220</v>
      </c>
      <c r="E309">
        <v>-94</v>
      </c>
      <c r="F309">
        <v>0</v>
      </c>
      <c r="G309">
        <v>110</v>
      </c>
      <c r="H309">
        <v>519</v>
      </c>
      <c r="I309">
        <v>523</v>
      </c>
      <c r="J309">
        <v>270</v>
      </c>
      <c r="K309">
        <v>-155</v>
      </c>
    </row>
    <row r="310" spans="2:11" x14ac:dyDescent="0.25">
      <c r="B310">
        <v>-38</v>
      </c>
      <c r="C310">
        <v>-9</v>
      </c>
      <c r="D310">
        <v>-34</v>
      </c>
      <c r="E310">
        <v>9</v>
      </c>
      <c r="F310">
        <v>71</v>
      </c>
      <c r="G310">
        <v>0</v>
      </c>
      <c r="H310">
        <v>-1</v>
      </c>
      <c r="I310">
        <v>-84</v>
      </c>
      <c r="J310">
        <v>-100</v>
      </c>
      <c r="K310">
        <v>-139</v>
      </c>
    </row>
    <row r="311" spans="2:11" x14ac:dyDescent="0.25">
      <c r="B311">
        <v>-102</v>
      </c>
      <c r="C311">
        <v>-24</v>
      </c>
      <c r="D311">
        <v>-37</v>
      </c>
      <c r="E311">
        <v>-68</v>
      </c>
      <c r="F311">
        <v>-66</v>
      </c>
      <c r="G311">
        <v>0</v>
      </c>
      <c r="H311">
        <v>12</v>
      </c>
      <c r="I311">
        <v>26</v>
      </c>
      <c r="J311">
        <v>61</v>
      </c>
      <c r="K311">
        <v>73</v>
      </c>
    </row>
    <row r="312" spans="2:11" x14ac:dyDescent="0.25">
      <c r="B312">
        <v>41</v>
      </c>
      <c r="C312">
        <v>269</v>
      </c>
      <c r="D312">
        <v>19</v>
      </c>
      <c r="E312">
        <v>65</v>
      </c>
      <c r="F312">
        <v>29</v>
      </c>
      <c r="G312">
        <v>3</v>
      </c>
      <c r="H312">
        <v>-14</v>
      </c>
      <c r="I312">
        <v>172</v>
      </c>
      <c r="J312">
        <v>42</v>
      </c>
      <c r="K312">
        <v>13</v>
      </c>
    </row>
    <row r="313" spans="2:11" x14ac:dyDescent="0.25">
      <c r="B313">
        <v>-7</v>
      </c>
      <c r="C313">
        <v>514</v>
      </c>
      <c r="D313">
        <v>111</v>
      </c>
      <c r="E313">
        <v>-8509</v>
      </c>
      <c r="F313">
        <v>1451</v>
      </c>
      <c r="G313">
        <v>-446</v>
      </c>
      <c r="H313">
        <v>-35</v>
      </c>
      <c r="I313">
        <v>-742</v>
      </c>
      <c r="J313">
        <v>-27</v>
      </c>
      <c r="K313">
        <v>51</v>
      </c>
    </row>
    <row r="314" spans="2:11" x14ac:dyDescent="0.25">
      <c r="B314">
        <v>19</v>
      </c>
      <c r="C314">
        <v>-19</v>
      </c>
      <c r="D314">
        <v>6</v>
      </c>
      <c r="E314">
        <v>44</v>
      </c>
      <c r="F314">
        <v>267</v>
      </c>
      <c r="G314">
        <v>-190</v>
      </c>
      <c r="H314">
        <v>11</v>
      </c>
      <c r="I314">
        <v>0</v>
      </c>
      <c r="J314">
        <v>31</v>
      </c>
      <c r="K314">
        <v>0</v>
      </c>
    </row>
    <row r="315" spans="2:11" x14ac:dyDescent="0.25">
      <c r="B315">
        <v>0</v>
      </c>
      <c r="C315">
        <v>0</v>
      </c>
      <c r="D315">
        <v>0</v>
      </c>
      <c r="E315">
        <v>-6</v>
      </c>
      <c r="F315">
        <v>79838</v>
      </c>
      <c r="G315">
        <v>0</v>
      </c>
      <c r="H315">
        <v>-162</v>
      </c>
      <c r="I315">
        <v>-38</v>
      </c>
      <c r="J315">
        <v>7</v>
      </c>
      <c r="K315">
        <v>2</v>
      </c>
    </row>
    <row r="316" spans="2:11" x14ac:dyDescent="0.25">
      <c r="B316">
        <v>3</v>
      </c>
      <c r="C316">
        <v>0</v>
      </c>
      <c r="D316">
        <v>-1</v>
      </c>
      <c r="E316">
        <v>9</v>
      </c>
      <c r="F316">
        <v>-2</v>
      </c>
      <c r="G316">
        <v>1</v>
      </c>
      <c r="H316">
        <v>-4</v>
      </c>
      <c r="I316">
        <v>-4</v>
      </c>
      <c r="J316">
        <v>13</v>
      </c>
      <c r="K316">
        <v>11</v>
      </c>
    </row>
    <row r="317" spans="2:11" x14ac:dyDescent="0.25">
      <c r="B317">
        <v>19</v>
      </c>
      <c r="C317">
        <v>10</v>
      </c>
      <c r="D317">
        <v>0</v>
      </c>
      <c r="E317">
        <v>-4</v>
      </c>
      <c r="F317">
        <v>-6</v>
      </c>
      <c r="G317">
        <v>-6</v>
      </c>
      <c r="H317">
        <v>-5</v>
      </c>
      <c r="I317">
        <v>-9</v>
      </c>
      <c r="J317">
        <v>-15</v>
      </c>
      <c r="K317">
        <v>-16</v>
      </c>
    </row>
    <row r="318" spans="2:11" x14ac:dyDescent="0.25">
      <c r="B318">
        <v>-11</v>
      </c>
      <c r="C318">
        <v>-5</v>
      </c>
      <c r="D318">
        <v>0</v>
      </c>
      <c r="E318">
        <v>6</v>
      </c>
      <c r="F318">
        <v>6</v>
      </c>
      <c r="G318">
        <v>7</v>
      </c>
      <c r="H318">
        <v>5</v>
      </c>
      <c r="I318">
        <v>2</v>
      </c>
      <c r="J318">
        <v>7</v>
      </c>
      <c r="K318">
        <v>1</v>
      </c>
    </row>
    <row r="319" spans="2:11" x14ac:dyDescent="0.25">
      <c r="B319">
        <v>2</v>
      </c>
      <c r="C319">
        <v>1</v>
      </c>
      <c r="D319">
        <v>1</v>
      </c>
      <c r="E319">
        <v>0</v>
      </c>
      <c r="F319">
        <v>2</v>
      </c>
      <c r="G319">
        <v>-1</v>
      </c>
      <c r="H319">
        <v>3</v>
      </c>
      <c r="I319">
        <v>3</v>
      </c>
      <c r="J319">
        <v>13</v>
      </c>
      <c r="K319">
        <v>6</v>
      </c>
    </row>
    <row r="320" spans="2:11" x14ac:dyDescent="0.25">
      <c r="B320">
        <v>99502</v>
      </c>
      <c r="C320">
        <v>99999</v>
      </c>
      <c r="D320">
        <v>-18</v>
      </c>
      <c r="E320">
        <v>-9</v>
      </c>
      <c r="F320">
        <v>-20</v>
      </c>
      <c r="G320">
        <v>0</v>
      </c>
      <c r="H320">
        <v>-1</v>
      </c>
      <c r="I320">
        <v>3</v>
      </c>
      <c r="J320">
        <v>-12</v>
      </c>
      <c r="K320">
        <v>-5</v>
      </c>
    </row>
    <row r="321" spans="2:11" x14ac:dyDescent="0.25">
      <c r="B321">
        <v>0</v>
      </c>
      <c r="C321">
        <v>7</v>
      </c>
      <c r="D321">
        <v>-4</v>
      </c>
      <c r="E321">
        <v>-2</v>
      </c>
      <c r="F321">
        <v>0</v>
      </c>
      <c r="G321">
        <v>-4</v>
      </c>
      <c r="H321">
        <v>0</v>
      </c>
      <c r="I321">
        <v>0</v>
      </c>
      <c r="J321">
        <v>0</v>
      </c>
      <c r="K321">
        <v>0</v>
      </c>
    </row>
    <row r="322" spans="2:11" x14ac:dyDescent="0.25">
      <c r="B322">
        <v>0</v>
      </c>
      <c r="C322">
        <v>1116</v>
      </c>
      <c r="D322">
        <v>0</v>
      </c>
      <c r="E322">
        <v>9</v>
      </c>
      <c r="F322">
        <v>2</v>
      </c>
      <c r="G322">
        <v>1450</v>
      </c>
      <c r="H322">
        <v>-5198</v>
      </c>
      <c r="I322">
        <v>-5616</v>
      </c>
      <c r="J322">
        <v>-4584</v>
      </c>
      <c r="K322">
        <v>0</v>
      </c>
    </row>
    <row r="323" spans="2:11" x14ac:dyDescent="0.25">
      <c r="B323">
        <v>3872</v>
      </c>
      <c r="C323">
        <v>5833</v>
      </c>
      <c r="D323">
        <v>2476</v>
      </c>
      <c r="E323">
        <v>-1627</v>
      </c>
      <c r="F323">
        <v>-4138</v>
      </c>
      <c r="G323">
        <v>-3681</v>
      </c>
      <c r="H323">
        <v>-1423</v>
      </c>
      <c r="I323">
        <v>-2509</v>
      </c>
      <c r="J323">
        <v>-4192</v>
      </c>
      <c r="K323">
        <v>-4411</v>
      </c>
    </row>
    <row r="324" spans="2:11" x14ac:dyDescent="0.25">
      <c r="B324">
        <v>0</v>
      </c>
      <c r="C324">
        <v>584</v>
      </c>
      <c r="D324">
        <v>-30</v>
      </c>
      <c r="E324">
        <v>-1603</v>
      </c>
      <c r="F324">
        <v>-4405</v>
      </c>
      <c r="G324">
        <v>-4383</v>
      </c>
      <c r="H324">
        <v>4422</v>
      </c>
      <c r="I324">
        <v>-511</v>
      </c>
      <c r="J324">
        <v>-5573</v>
      </c>
      <c r="K324">
        <v>-3885</v>
      </c>
    </row>
    <row r="325" spans="2:11" x14ac:dyDescent="0.25">
      <c r="B325">
        <v>0</v>
      </c>
      <c r="C325">
        <v>221</v>
      </c>
      <c r="D325">
        <v>1943</v>
      </c>
      <c r="E325">
        <v>5716</v>
      </c>
      <c r="F325">
        <v>9353</v>
      </c>
      <c r="G325">
        <v>5479</v>
      </c>
      <c r="H325">
        <v>1166</v>
      </c>
      <c r="I325">
        <v>1043</v>
      </c>
      <c r="J325">
        <v>1616</v>
      </c>
      <c r="K325">
        <v>629</v>
      </c>
    </row>
    <row r="326" spans="2:11" x14ac:dyDescent="0.25">
      <c r="B326">
        <v>-352</v>
      </c>
      <c r="C326">
        <v>-4509</v>
      </c>
      <c r="D326">
        <v>-1800</v>
      </c>
      <c r="E326">
        <v>-1422</v>
      </c>
      <c r="F326">
        <v>-530</v>
      </c>
      <c r="G326">
        <v>-978</v>
      </c>
      <c r="H326">
        <v>306</v>
      </c>
      <c r="I326">
        <v>376</v>
      </c>
      <c r="J326">
        <v>21</v>
      </c>
      <c r="K326">
        <v>-1</v>
      </c>
    </row>
    <row r="327" spans="2:11" x14ac:dyDescent="0.25">
      <c r="B327">
        <v>-7783</v>
      </c>
      <c r="C327">
        <v>16431</v>
      </c>
      <c r="D327">
        <v>9756</v>
      </c>
      <c r="E327">
        <v>-10304</v>
      </c>
      <c r="F327">
        <v>3059</v>
      </c>
      <c r="G327">
        <v>-7039</v>
      </c>
      <c r="H327">
        <v>801</v>
      </c>
      <c r="I327">
        <v>-5110</v>
      </c>
      <c r="J327">
        <v>1339</v>
      </c>
      <c r="K327">
        <v>11</v>
      </c>
    </row>
    <row r="328" spans="2:11" x14ac:dyDescent="0.25">
      <c r="B328">
        <v>91</v>
      </c>
      <c r="C328">
        <v>18412</v>
      </c>
      <c r="D328">
        <v>0</v>
      </c>
      <c r="E328">
        <v>37218</v>
      </c>
      <c r="F328">
        <v>0</v>
      </c>
      <c r="G328">
        <v>0</v>
      </c>
      <c r="H328">
        <v>0</v>
      </c>
      <c r="I328">
        <v>0</v>
      </c>
      <c r="J328">
        <v>-214</v>
      </c>
      <c r="K328">
        <v>-168</v>
      </c>
    </row>
    <row r="329" spans="2:11" x14ac:dyDescent="0.25">
      <c r="B329">
        <v>0</v>
      </c>
      <c r="C329">
        <v>8697</v>
      </c>
      <c r="D329">
        <v>7134</v>
      </c>
      <c r="E329">
        <v>168</v>
      </c>
      <c r="F329">
        <v>-10</v>
      </c>
      <c r="G329">
        <v>7869</v>
      </c>
      <c r="H329">
        <v>9355</v>
      </c>
      <c r="I329">
        <v>8346</v>
      </c>
      <c r="J329">
        <v>0</v>
      </c>
      <c r="K329">
        <v>-7227</v>
      </c>
    </row>
    <row r="330" spans="2:11" x14ac:dyDescent="0.25">
      <c r="B330">
        <v>-11422</v>
      </c>
      <c r="C330">
        <v>-5737</v>
      </c>
      <c r="D330">
        <v>2176</v>
      </c>
      <c r="E330">
        <v>6508</v>
      </c>
      <c r="F330">
        <v>7144</v>
      </c>
      <c r="G330">
        <v>6507</v>
      </c>
      <c r="H330">
        <v>7185</v>
      </c>
      <c r="I330">
        <v>7065</v>
      </c>
      <c r="J330">
        <v>4211</v>
      </c>
      <c r="K330">
        <v>0</v>
      </c>
    </row>
    <row r="331" spans="2:11" x14ac:dyDescent="0.25">
      <c r="B331">
        <v>159</v>
      </c>
      <c r="C331">
        <v>1821</v>
      </c>
      <c r="D331">
        <v>5780</v>
      </c>
      <c r="E331">
        <v>11756</v>
      </c>
      <c r="F331">
        <v>11437</v>
      </c>
      <c r="G331">
        <v>-733</v>
      </c>
      <c r="H331">
        <v>74</v>
      </c>
      <c r="I331">
        <v>1052</v>
      </c>
      <c r="J331">
        <v>1576</v>
      </c>
      <c r="K331">
        <v>0</v>
      </c>
    </row>
    <row r="332" spans="2:11" x14ac:dyDescent="0.25">
      <c r="B332">
        <v>-2473</v>
      </c>
      <c r="C332">
        <v>-3625</v>
      </c>
      <c r="D332">
        <v>-6383</v>
      </c>
      <c r="E332">
        <v>-7991</v>
      </c>
      <c r="F332">
        <v>-4052</v>
      </c>
      <c r="G332">
        <v>-1111</v>
      </c>
      <c r="H332">
        <v>-779</v>
      </c>
      <c r="I332">
        <v>-1686</v>
      </c>
      <c r="J332">
        <v>-648</v>
      </c>
      <c r="K332">
        <v>1039</v>
      </c>
    </row>
    <row r="333" spans="2:11" x14ac:dyDescent="0.25">
      <c r="B333">
        <v>646</v>
      </c>
      <c r="C333">
        <v>2079</v>
      </c>
      <c r="D333">
        <v>1181</v>
      </c>
      <c r="E333">
        <v>1245</v>
      </c>
      <c r="F333">
        <v>401</v>
      </c>
      <c r="G333">
        <v>66</v>
      </c>
      <c r="H333">
        <v>-396</v>
      </c>
      <c r="I333">
        <v>-55</v>
      </c>
      <c r="J333">
        <v>-32</v>
      </c>
      <c r="K333">
        <v>15531</v>
      </c>
    </row>
    <row r="334" spans="2:11" x14ac:dyDescent="0.25">
      <c r="B334">
        <v>5395</v>
      </c>
      <c r="C334">
        <v>-13287</v>
      </c>
      <c r="D334">
        <v>-4277</v>
      </c>
      <c r="E334">
        <v>-5918</v>
      </c>
      <c r="F334">
        <v>-2169</v>
      </c>
      <c r="G334">
        <v>-3844</v>
      </c>
      <c r="H334">
        <v>-3235</v>
      </c>
      <c r="I334">
        <v>-571</v>
      </c>
      <c r="J334">
        <v>99</v>
      </c>
      <c r="K334">
        <v>40</v>
      </c>
    </row>
    <row r="335" spans="2:11" x14ac:dyDescent="0.25">
      <c r="B335">
        <v>268</v>
      </c>
      <c r="C335">
        <v>0</v>
      </c>
      <c r="D335">
        <v>772</v>
      </c>
      <c r="E335">
        <v>0</v>
      </c>
      <c r="F335">
        <v>0</v>
      </c>
      <c r="G335">
        <v>0</v>
      </c>
      <c r="H335">
        <v>0</v>
      </c>
      <c r="I335">
        <v>328</v>
      </c>
      <c r="J335">
        <v>136</v>
      </c>
      <c r="K335">
        <v>0</v>
      </c>
    </row>
    <row r="336" spans="2:11" x14ac:dyDescent="0.25">
      <c r="B336">
        <v>-3029</v>
      </c>
      <c r="C336">
        <v>1378</v>
      </c>
      <c r="D336">
        <v>-284</v>
      </c>
      <c r="E336">
        <v>5</v>
      </c>
      <c r="F336">
        <v>-56182</v>
      </c>
      <c r="G336">
        <v>-8493</v>
      </c>
      <c r="H336">
        <v>364</v>
      </c>
      <c r="I336">
        <v>1218</v>
      </c>
      <c r="J336">
        <v>0</v>
      </c>
      <c r="K336">
        <v>-1289</v>
      </c>
    </row>
    <row r="337" spans="2:11" x14ac:dyDescent="0.25">
      <c r="B337">
        <v>-5447</v>
      </c>
      <c r="C337">
        <v>-5391</v>
      </c>
      <c r="D337">
        <v>-7904</v>
      </c>
      <c r="E337">
        <v>-5647</v>
      </c>
      <c r="F337">
        <v>-5266</v>
      </c>
      <c r="G337">
        <v>-3191</v>
      </c>
      <c r="H337">
        <v>645</v>
      </c>
      <c r="I337">
        <v>414</v>
      </c>
      <c r="J337">
        <v>780</v>
      </c>
      <c r="K337">
        <v>0</v>
      </c>
    </row>
    <row r="338" spans="2:11" x14ac:dyDescent="0.25">
      <c r="B338">
        <v>-743</v>
      </c>
      <c r="C338">
        <v>-1028</v>
      </c>
      <c r="D338">
        <v>-653</v>
      </c>
      <c r="E338">
        <v>-790</v>
      </c>
      <c r="F338">
        <v>116</v>
      </c>
      <c r="G338">
        <v>150</v>
      </c>
      <c r="H338">
        <v>402</v>
      </c>
      <c r="I338">
        <v>327</v>
      </c>
      <c r="J338">
        <v>113</v>
      </c>
      <c r="K338">
        <v>0</v>
      </c>
    </row>
    <row r="339" spans="2:11" x14ac:dyDescent="0.25">
      <c r="B339">
        <v>545</v>
      </c>
      <c r="C339">
        <v>647</v>
      </c>
      <c r="D339">
        <v>109</v>
      </c>
      <c r="E339">
        <v>84</v>
      </c>
      <c r="F339">
        <v>-1295</v>
      </c>
      <c r="G339">
        <v>-1637</v>
      </c>
      <c r="H339">
        <v>-68</v>
      </c>
      <c r="I339">
        <v>-726</v>
      </c>
      <c r="J339">
        <v>-398</v>
      </c>
      <c r="K339">
        <v>-147</v>
      </c>
    </row>
    <row r="340" spans="2:11" x14ac:dyDescent="0.25">
      <c r="B340">
        <v>212</v>
      </c>
      <c r="C340">
        <v>79</v>
      </c>
      <c r="D340">
        <v>-19</v>
      </c>
      <c r="E340">
        <v>-311</v>
      </c>
      <c r="F340">
        <v>49</v>
      </c>
      <c r="G340">
        <v>1091</v>
      </c>
      <c r="H340">
        <v>249</v>
      </c>
      <c r="I340">
        <v>272</v>
      </c>
      <c r="J340">
        <v>-58</v>
      </c>
      <c r="K340">
        <v>18977</v>
      </c>
    </row>
    <row r="341" spans="2:11" x14ac:dyDescent="0.25">
      <c r="B341">
        <v>1404</v>
      </c>
      <c r="C341">
        <v>22890</v>
      </c>
      <c r="D341">
        <v>1108</v>
      </c>
      <c r="E341">
        <v>5527</v>
      </c>
      <c r="F341">
        <v>261</v>
      </c>
      <c r="G341">
        <v>7117</v>
      </c>
      <c r="H341">
        <v>248</v>
      </c>
      <c r="I341">
        <v>-287</v>
      </c>
      <c r="J341">
        <v>-424</v>
      </c>
      <c r="K341">
        <v>-166</v>
      </c>
    </row>
    <row r="342" spans="2:11" x14ac:dyDescent="0.25">
      <c r="B342">
        <v>-168</v>
      </c>
      <c r="C342">
        <v>0</v>
      </c>
      <c r="D342">
        <v>-144</v>
      </c>
      <c r="E342">
        <v>0</v>
      </c>
      <c r="F342">
        <v>0</v>
      </c>
      <c r="G342">
        <v>0</v>
      </c>
      <c r="H342">
        <v>0</v>
      </c>
      <c r="I342">
        <v>308</v>
      </c>
      <c r="J342">
        <v>-376</v>
      </c>
      <c r="K342">
        <v>0</v>
      </c>
    </row>
    <row r="343" spans="2:11" x14ac:dyDescent="0.25">
      <c r="B343">
        <v>2425</v>
      </c>
      <c r="C343">
        <v>-321</v>
      </c>
      <c r="D343">
        <v>-1141</v>
      </c>
      <c r="E343">
        <v>-58</v>
      </c>
      <c r="F343">
        <v>-294</v>
      </c>
      <c r="G343">
        <v>374</v>
      </c>
      <c r="H343">
        <v>-533</v>
      </c>
      <c r="I343">
        <v>-1250</v>
      </c>
      <c r="J343">
        <v>-1031</v>
      </c>
      <c r="K343">
        <v>0</v>
      </c>
    </row>
    <row r="344" spans="2:11" x14ac:dyDescent="0.25">
      <c r="B344">
        <v>488</v>
      </c>
      <c r="C344">
        <v>1762</v>
      </c>
      <c r="D344">
        <v>1621</v>
      </c>
      <c r="E344">
        <v>610</v>
      </c>
      <c r="F344">
        <v>-2324</v>
      </c>
      <c r="G344">
        <v>-5379</v>
      </c>
      <c r="H344">
        <v>-9776</v>
      </c>
      <c r="I344">
        <v>-10312</v>
      </c>
      <c r="J344">
        <v>-8356</v>
      </c>
      <c r="K344">
        <v>-6084</v>
      </c>
    </row>
    <row r="345" spans="2:11" x14ac:dyDescent="0.25">
      <c r="B345">
        <v>0</v>
      </c>
      <c r="C345">
        <v>3288</v>
      </c>
      <c r="D345">
        <v>3731</v>
      </c>
      <c r="E345">
        <v>2755</v>
      </c>
      <c r="F345">
        <v>-1757</v>
      </c>
      <c r="G345">
        <v>-18381</v>
      </c>
      <c r="H345">
        <v>-738</v>
      </c>
      <c r="I345">
        <v>-933</v>
      </c>
      <c r="J345">
        <v>-881</v>
      </c>
      <c r="K345">
        <v>-637</v>
      </c>
    </row>
    <row r="346" spans="2:11" x14ac:dyDescent="0.25">
      <c r="B346">
        <v>0</v>
      </c>
      <c r="C346">
        <v>959</v>
      </c>
      <c r="D346">
        <v>1350</v>
      </c>
      <c r="E346">
        <v>2597</v>
      </c>
      <c r="F346">
        <v>1109</v>
      </c>
      <c r="G346">
        <v>-9166</v>
      </c>
      <c r="H346">
        <v>-812</v>
      </c>
      <c r="I346">
        <v>-765</v>
      </c>
      <c r="J346">
        <v>6</v>
      </c>
      <c r="K346">
        <v>-414</v>
      </c>
    </row>
    <row r="347" spans="2:11" x14ac:dyDescent="0.25">
      <c r="B347">
        <v>756</v>
      </c>
      <c r="C347">
        <v>-56</v>
      </c>
      <c r="D347">
        <v>1669</v>
      </c>
      <c r="E347">
        <v>-166</v>
      </c>
      <c r="F347">
        <v>461</v>
      </c>
      <c r="G347">
        <v>62</v>
      </c>
      <c r="H347">
        <v>779</v>
      </c>
      <c r="I347">
        <v>1202</v>
      </c>
      <c r="J347">
        <v>3</v>
      </c>
      <c r="K347">
        <v>4</v>
      </c>
    </row>
    <row r="348" spans="2:11" x14ac:dyDescent="0.25">
      <c r="B348">
        <v>-40990</v>
      </c>
      <c r="C348">
        <v>-33776</v>
      </c>
      <c r="D348">
        <v>-39069</v>
      </c>
      <c r="E348">
        <v>-29278</v>
      </c>
      <c r="F348">
        <v>-14</v>
      </c>
      <c r="G348">
        <v>-156</v>
      </c>
      <c r="H348">
        <v>-18540</v>
      </c>
      <c r="I348">
        <v>-17811</v>
      </c>
      <c r="J348">
        <v>126</v>
      </c>
      <c r="K348">
        <v>-409</v>
      </c>
    </row>
    <row r="349" spans="2:11" x14ac:dyDescent="0.25">
      <c r="B349">
        <v>-2296</v>
      </c>
      <c r="C349">
        <v>-79</v>
      </c>
      <c r="D349">
        <v>0</v>
      </c>
      <c r="E349">
        <v>443</v>
      </c>
      <c r="F349">
        <v>0</v>
      </c>
      <c r="G349">
        <v>0</v>
      </c>
      <c r="H349">
        <v>0</v>
      </c>
      <c r="I349">
        <v>0</v>
      </c>
      <c r="J349">
        <v>462</v>
      </c>
      <c r="K349">
        <v>-43</v>
      </c>
    </row>
    <row r="350" spans="2:11" x14ac:dyDescent="0.25">
      <c r="B350">
        <v>0</v>
      </c>
      <c r="C350">
        <v>725</v>
      </c>
      <c r="D350">
        <v>3878</v>
      </c>
      <c r="E350">
        <v>10</v>
      </c>
      <c r="F350">
        <v>22</v>
      </c>
      <c r="G350">
        <v>-1381</v>
      </c>
      <c r="H350">
        <v>1503</v>
      </c>
      <c r="I350">
        <v>-2763</v>
      </c>
      <c r="J350">
        <v>-3779</v>
      </c>
      <c r="K350">
        <v>-5972</v>
      </c>
    </row>
    <row r="351" spans="2:11" x14ac:dyDescent="0.25">
      <c r="B351">
        <v>1596</v>
      </c>
      <c r="C351">
        <v>0</v>
      </c>
      <c r="D351">
        <v>1449</v>
      </c>
      <c r="E351">
        <v>-820</v>
      </c>
      <c r="F351">
        <v>-870</v>
      </c>
      <c r="G351">
        <v>22</v>
      </c>
      <c r="H351">
        <v>-822</v>
      </c>
      <c r="I351">
        <v>-1298</v>
      </c>
      <c r="J351">
        <v>44274</v>
      </c>
      <c r="K351">
        <v>51296</v>
      </c>
    </row>
    <row r="352" spans="2:11" x14ac:dyDescent="0.25">
      <c r="B352">
        <v>58254</v>
      </c>
      <c r="C352">
        <v>61631</v>
      </c>
      <c r="D352">
        <v>0</v>
      </c>
      <c r="E352">
        <v>-280</v>
      </c>
      <c r="F352">
        <v>-18659</v>
      </c>
      <c r="G352">
        <v>-28984</v>
      </c>
      <c r="H352">
        <v>-37000</v>
      </c>
      <c r="I352">
        <v>-35927</v>
      </c>
      <c r="J352">
        <v>1727</v>
      </c>
      <c r="K352">
        <v>916</v>
      </c>
    </row>
    <row r="353" spans="2:11" x14ac:dyDescent="0.25">
      <c r="B353">
        <v>-2481</v>
      </c>
      <c r="C353">
        <v>-4187</v>
      </c>
      <c r="D353">
        <v>0</v>
      </c>
      <c r="E353">
        <v>548</v>
      </c>
      <c r="F353">
        <v>-1412</v>
      </c>
      <c r="G353">
        <v>-761</v>
      </c>
      <c r="H353">
        <v>-3488</v>
      </c>
      <c r="I353">
        <v>-1411</v>
      </c>
      <c r="J353">
        <v>785</v>
      </c>
      <c r="K353">
        <v>606</v>
      </c>
    </row>
    <row r="354" spans="2:11" x14ac:dyDescent="0.25">
      <c r="B354">
        <v>-102</v>
      </c>
      <c r="C354">
        <v>78</v>
      </c>
      <c r="D354">
        <v>347</v>
      </c>
      <c r="E354">
        <v>204</v>
      </c>
      <c r="F354">
        <v>-35</v>
      </c>
      <c r="G354">
        <v>-52</v>
      </c>
      <c r="H354">
        <v>-86</v>
      </c>
      <c r="I354">
        <v>-56</v>
      </c>
      <c r="J354">
        <v>349</v>
      </c>
      <c r="K354">
        <v>263</v>
      </c>
    </row>
    <row r="355" spans="2:11" x14ac:dyDescent="0.25">
      <c r="B355">
        <v>117</v>
      </c>
      <c r="C355">
        <v>131</v>
      </c>
      <c r="D355">
        <v>1998</v>
      </c>
      <c r="E355">
        <v>1751</v>
      </c>
      <c r="F355">
        <v>-64</v>
      </c>
      <c r="G355">
        <v>-216</v>
      </c>
      <c r="H355">
        <v>32</v>
      </c>
      <c r="I355">
        <v>61</v>
      </c>
      <c r="J355">
        <v>745</v>
      </c>
      <c r="K355">
        <v>528</v>
      </c>
    </row>
    <row r="356" spans="2:11" x14ac:dyDescent="0.25">
      <c r="B356">
        <v>-607</v>
      </c>
      <c r="C356">
        <v>126</v>
      </c>
      <c r="D356">
        <v>-171</v>
      </c>
      <c r="E356">
        <v>-1529</v>
      </c>
      <c r="F356">
        <v>0</v>
      </c>
      <c r="G356">
        <v>-3370</v>
      </c>
      <c r="H356">
        <v>0</v>
      </c>
      <c r="I356">
        <v>0</v>
      </c>
      <c r="J356">
        <v>0</v>
      </c>
      <c r="K356">
        <v>0</v>
      </c>
    </row>
    <row r="357" spans="2:11" x14ac:dyDescent="0.25">
      <c r="B357">
        <v>-249</v>
      </c>
      <c r="C357">
        <v>48</v>
      </c>
      <c r="D357">
        <v>0</v>
      </c>
      <c r="E357">
        <v>-1469</v>
      </c>
      <c r="F357">
        <v>-36993</v>
      </c>
      <c r="G357">
        <v>30</v>
      </c>
      <c r="H357">
        <v>4</v>
      </c>
      <c r="I357">
        <v>-2640</v>
      </c>
      <c r="J357">
        <v>1660</v>
      </c>
      <c r="K357">
        <v>788</v>
      </c>
    </row>
    <row r="358" spans="2:11" x14ac:dyDescent="0.25">
      <c r="B358">
        <v>-3542</v>
      </c>
    </row>
  </sheetData>
  <pageMargins bottom="0.75" footer="0.3" header="0.3" left="0.7" right="0.7" top="0.75"/>
</worksheet>
</file>

<file path=xl/worksheets/sheet1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186"/>
  <sheetViews>
    <sheetView workbookViewId="0">
      <selection activeCell="A8" sqref="A8:J63"/>
    </sheetView>
  </sheetViews>
  <sheetFormatPr defaultRowHeight="15" x14ac:dyDescent="0.25"/>
  <sheetData>
    <row r="1" spans="1:11" x14ac:dyDescent="0.25">
      <c r="A1" s="47" t="s">
        <v>92</v>
      </c>
      <c r="B1" s="48"/>
      <c r="C1" s="48"/>
      <c r="D1" s="48"/>
      <c r="E1" s="48"/>
      <c r="F1" s="48"/>
      <c r="G1" s="48"/>
      <c r="H1" s="48" t="s">
        <v>93</v>
      </c>
      <c r="I1" s="48"/>
      <c r="J1" s="48"/>
      <c r="K1" s="49"/>
    </row>
    <row r="2" spans="1:11" x14ac:dyDescent="0.25">
      <c r="A2" s="50">
        <v>1</v>
      </c>
      <c r="B2" s="51" t="s">
        <v>222</v>
      </c>
      <c r="C2" s="51"/>
      <c r="D2" s="51"/>
      <c r="E2" s="51"/>
      <c r="F2" s="51"/>
      <c r="G2" s="51"/>
      <c r="H2" s="51"/>
      <c r="I2" s="51"/>
      <c r="J2" s="51"/>
      <c r="K2" s="52"/>
    </row>
    <row r="3" spans="1:11" x14ac:dyDescent="0.25">
      <c r="A3" s="50">
        <v>2</v>
      </c>
      <c r="B3" s="51" t="s">
        <v>94</v>
      </c>
      <c r="C3" s="51"/>
      <c r="D3" s="51"/>
      <c r="E3" s="51"/>
      <c r="F3" s="51"/>
      <c r="G3" s="51"/>
      <c r="H3" s="51"/>
      <c r="I3" s="51"/>
      <c r="J3" s="51"/>
      <c r="K3" s="52"/>
    </row>
    <row r="4" spans="1:11" x14ac:dyDescent="0.25">
      <c r="A4" s="50">
        <v>3</v>
      </c>
      <c r="B4" s="51" t="s">
        <v>95</v>
      </c>
      <c r="C4" s="51"/>
      <c r="D4" s="51"/>
      <c r="E4" s="51"/>
      <c r="F4" s="51"/>
      <c r="G4" s="51"/>
      <c r="H4" s="51"/>
      <c r="I4" s="51"/>
      <c r="J4" s="51"/>
      <c r="K4" s="52"/>
    </row>
    <row r="5" spans="1:11" x14ac:dyDescent="0.25">
      <c r="A5" s="50">
        <v>4</v>
      </c>
      <c r="B5" s="51" t="s">
        <v>96</v>
      </c>
      <c r="C5" s="51"/>
      <c r="D5" s="51"/>
      <c r="E5" s="51"/>
      <c r="F5" s="51"/>
      <c r="G5" s="51"/>
      <c r="H5" s="51"/>
      <c r="I5" s="51"/>
      <c r="J5" s="51"/>
      <c r="K5" s="52"/>
    </row>
    <row r="6" spans="1:11" x14ac:dyDescent="0.25">
      <c r="A6" s="53"/>
      <c r="B6" s="54"/>
      <c r="C6" s="54"/>
      <c r="D6" s="54"/>
      <c r="E6" s="54"/>
      <c r="F6" s="54"/>
      <c r="G6" s="54"/>
      <c r="H6" s="54"/>
      <c r="I6" s="54"/>
      <c r="J6" s="54"/>
      <c r="K6" s="55"/>
    </row>
    <row r="8" spans="1:11" x14ac:dyDescent="0.25">
      <c r="A8" t="s">
        <v>97</v>
      </c>
      <c r="B8" t="s">
        <v>176</v>
      </c>
      <c r="C8" t="s">
        <v>177</v>
      </c>
    </row>
    <row r="9" spans="1:11" x14ac:dyDescent="0.25">
      <c r="A9" t="s">
        <v>100</v>
      </c>
      <c r="B9" t="s">
        <v>101</v>
      </c>
      <c r="C9" t="s">
        <v>102</v>
      </c>
      <c r="D9" t="s">
        <v>103</v>
      </c>
      <c r="E9">
        <v>4</v>
      </c>
      <c r="F9" s="56">
        <v>0.64906249999999999</v>
      </c>
      <c r="G9" t="s">
        <v>104</v>
      </c>
      <c r="H9">
        <v>7</v>
      </c>
      <c r="I9" t="s">
        <v>199</v>
      </c>
      <c r="J9">
        <v>12</v>
      </c>
    </row>
    <row r="10" spans="1:11" x14ac:dyDescent="0.25">
      <c r="A10" t="s">
        <v>105</v>
      </c>
    </row>
    <row r="11" spans="1:11" x14ac:dyDescent="0.25">
      <c r="B11">
        <v>11</v>
      </c>
      <c r="C11" t="s">
        <v>106</v>
      </c>
      <c r="D11" t="s">
        <v>109</v>
      </c>
      <c r="E11">
        <v>-0.45190000000000002</v>
      </c>
    </row>
    <row r="12" spans="1:11" x14ac:dyDescent="0.25">
      <c r="B12">
        <v>12</v>
      </c>
      <c r="C12" t="s">
        <v>108</v>
      </c>
      <c r="D12" t="s">
        <v>107</v>
      </c>
      <c r="E12">
        <v>-5</v>
      </c>
    </row>
    <row r="13" spans="1:11" x14ac:dyDescent="0.25">
      <c r="B13">
        <v>13</v>
      </c>
      <c r="C13" t="s">
        <v>110</v>
      </c>
      <c r="D13" t="s">
        <v>109</v>
      </c>
      <c r="E13">
        <v>-0.27489999999999998</v>
      </c>
      <c r="F13" s="57"/>
    </row>
    <row r="14" spans="1:11" x14ac:dyDescent="0.25">
      <c r="B14">
        <v>14</v>
      </c>
      <c r="C14" t="s">
        <v>111</v>
      </c>
      <c r="D14" t="s">
        <v>107</v>
      </c>
      <c r="E14">
        <v>0</v>
      </c>
    </row>
    <row r="15" spans="1:11" x14ac:dyDescent="0.25">
      <c r="B15">
        <v>15</v>
      </c>
      <c r="C15" t="s">
        <v>112</v>
      </c>
      <c r="D15" t="s">
        <v>109</v>
      </c>
      <c r="E15">
        <v>-0.4405</v>
      </c>
      <c r="F15" s="57"/>
    </row>
    <row r="16" spans="1:11" x14ac:dyDescent="0.25">
      <c r="B16">
        <v>16</v>
      </c>
      <c r="C16" t="s">
        <v>113</v>
      </c>
      <c r="D16" t="s">
        <v>109</v>
      </c>
      <c r="E16">
        <v>-0.1867</v>
      </c>
      <c r="F16" s="57"/>
    </row>
    <row r="17" spans="2:6" x14ac:dyDescent="0.25">
      <c r="B17">
        <v>17</v>
      </c>
      <c r="C17" t="s">
        <v>114</v>
      </c>
      <c r="D17" t="s">
        <v>109</v>
      </c>
      <c r="E17">
        <v>-1.6032</v>
      </c>
    </row>
    <row r="18" spans="2:6" x14ac:dyDescent="0.25">
      <c r="B18">
        <v>18</v>
      </c>
      <c r="C18" t="s">
        <v>115</v>
      </c>
      <c r="D18" t="s">
        <v>109</v>
      </c>
      <c r="E18">
        <v>-2.6232000000000002</v>
      </c>
    </row>
    <row r="19" spans="2:6" x14ac:dyDescent="0.25">
      <c r="B19">
        <v>19</v>
      </c>
      <c r="C19" t="s">
        <v>116</v>
      </c>
      <c r="D19" t="s">
        <v>109</v>
      </c>
      <c r="E19">
        <v>-4.4149000000000003</v>
      </c>
    </row>
    <row r="20" spans="2:6" x14ac:dyDescent="0.25">
      <c r="B20">
        <v>20</v>
      </c>
      <c r="C20" t="s">
        <v>117</v>
      </c>
      <c r="D20" t="s">
        <v>107</v>
      </c>
      <c r="E20">
        <v>-10</v>
      </c>
    </row>
    <row r="21" spans="2:6" x14ac:dyDescent="0.25">
      <c r="B21">
        <v>21</v>
      </c>
      <c r="C21" t="s">
        <v>118</v>
      </c>
      <c r="D21" t="s">
        <v>109</v>
      </c>
      <c r="E21">
        <v>2.5150000000000001</v>
      </c>
    </row>
    <row r="22" spans="2:6" x14ac:dyDescent="0.25">
      <c r="B22">
        <v>22</v>
      </c>
      <c r="C22" t="s">
        <v>119</v>
      </c>
      <c r="D22" t="s">
        <v>109</v>
      </c>
      <c r="E22" s="57">
        <v>0.43574099999999999</v>
      </c>
    </row>
    <row r="23" spans="2:6" x14ac:dyDescent="0.25">
      <c r="B23">
        <v>23</v>
      </c>
      <c r="C23" t="s">
        <v>120</v>
      </c>
      <c r="D23" t="s">
        <v>109</v>
      </c>
      <c r="E23">
        <v>0.84860599999999997</v>
      </c>
    </row>
    <row r="24" spans="2:6" x14ac:dyDescent="0.25">
      <c r="B24">
        <v>24</v>
      </c>
      <c r="C24" t="s">
        <v>121</v>
      </c>
      <c r="D24" t="s">
        <v>109</v>
      </c>
      <c r="E24">
        <v>0.78815900000000005</v>
      </c>
    </row>
    <row r="25" spans="2:6" x14ac:dyDescent="0.25">
      <c r="B25">
        <v>25</v>
      </c>
      <c r="C25" t="s">
        <v>122</v>
      </c>
      <c r="D25" t="s">
        <v>107</v>
      </c>
      <c r="E25">
        <v>0</v>
      </c>
    </row>
    <row r="26" spans="2:6" x14ac:dyDescent="0.25">
      <c r="B26">
        <v>26</v>
      </c>
      <c r="C26" t="s">
        <v>123</v>
      </c>
      <c r="D26" t="s">
        <v>109</v>
      </c>
      <c r="E26" s="57">
        <v>6.5059000000000006E-2</v>
      </c>
      <c r="F26" s="57"/>
    </row>
    <row r="27" spans="2:6" x14ac:dyDescent="0.25">
      <c r="B27">
        <v>27</v>
      </c>
      <c r="C27" t="s">
        <v>124</v>
      </c>
      <c r="D27" t="s">
        <v>109</v>
      </c>
      <c r="E27">
        <v>-9.9504999999999996E-2</v>
      </c>
    </row>
    <row r="28" spans="2:6" x14ac:dyDescent="0.25">
      <c r="B28">
        <v>28</v>
      </c>
      <c r="C28" t="s">
        <v>125</v>
      </c>
      <c r="D28" t="s">
        <v>109</v>
      </c>
      <c r="E28">
        <v>-8.7779999999999993E-3</v>
      </c>
    </row>
    <row r="29" spans="2:6" x14ac:dyDescent="0.25">
      <c r="B29">
        <v>29</v>
      </c>
      <c r="C29" t="s">
        <v>126</v>
      </c>
      <c r="D29" t="s">
        <v>109</v>
      </c>
      <c r="E29">
        <v>-1.58053</v>
      </c>
    </row>
    <row r="30" spans="2:6" x14ac:dyDescent="0.25">
      <c r="B30">
        <v>30</v>
      </c>
      <c r="C30" t="s">
        <v>127</v>
      </c>
      <c r="D30" t="s">
        <v>107</v>
      </c>
      <c r="E30">
        <v>-10</v>
      </c>
    </row>
    <row r="31" spans="2:6" x14ac:dyDescent="0.25">
      <c r="B31">
        <v>31</v>
      </c>
      <c r="C31" t="s">
        <v>178</v>
      </c>
      <c r="D31" t="s">
        <v>109</v>
      </c>
      <c r="E31">
        <v>1.9112849999999999</v>
      </c>
    </row>
    <row r="32" spans="2:6" x14ac:dyDescent="0.25">
      <c r="B32">
        <v>32</v>
      </c>
      <c r="C32" t="s">
        <v>179</v>
      </c>
      <c r="D32" t="s">
        <v>109</v>
      </c>
      <c r="E32">
        <v>1.531911</v>
      </c>
    </row>
    <row r="33" spans="2:6" x14ac:dyDescent="0.25">
      <c r="B33">
        <v>33</v>
      </c>
      <c r="C33" t="s">
        <v>180</v>
      </c>
      <c r="D33" t="s">
        <v>107</v>
      </c>
      <c r="E33">
        <v>0</v>
      </c>
    </row>
    <row r="34" spans="2:6" x14ac:dyDescent="0.25">
      <c r="B34">
        <v>34</v>
      </c>
      <c r="C34" t="s">
        <v>129</v>
      </c>
      <c r="D34" t="s">
        <v>109</v>
      </c>
      <c r="E34">
        <v>-2.3162820000000002</v>
      </c>
    </row>
    <row r="35" spans="2:6" x14ac:dyDescent="0.25">
      <c r="B35">
        <v>35</v>
      </c>
      <c r="C35" t="s">
        <v>130</v>
      </c>
      <c r="D35" t="s">
        <v>107</v>
      </c>
      <c r="E35">
        <v>-5</v>
      </c>
    </row>
    <row r="36" spans="2:6" x14ac:dyDescent="0.25">
      <c r="B36">
        <v>36</v>
      </c>
      <c r="C36" t="s">
        <v>131</v>
      </c>
      <c r="D36" t="s">
        <v>107</v>
      </c>
      <c r="E36">
        <v>-5</v>
      </c>
    </row>
    <row r="37" spans="2:6" x14ac:dyDescent="0.25">
      <c r="B37">
        <v>37</v>
      </c>
      <c r="C37" t="s">
        <v>181</v>
      </c>
      <c r="D37" t="s">
        <v>109</v>
      </c>
      <c r="E37" s="57">
        <v>5.1999999999999998E-2</v>
      </c>
    </row>
    <row r="38" spans="2:6" x14ac:dyDescent="0.25">
      <c r="B38">
        <v>38</v>
      </c>
      <c r="C38" t="s">
        <v>135</v>
      </c>
      <c r="D38" t="s">
        <v>107</v>
      </c>
      <c r="E38">
        <v>-10</v>
      </c>
    </row>
    <row r="39" spans="2:6" x14ac:dyDescent="0.25">
      <c r="B39">
        <v>39</v>
      </c>
      <c r="C39" t="s">
        <v>136</v>
      </c>
      <c r="D39" t="s">
        <v>107</v>
      </c>
      <c r="E39">
        <v>-10</v>
      </c>
    </row>
    <row r="40" spans="2:6" x14ac:dyDescent="0.25">
      <c r="B40">
        <v>41</v>
      </c>
      <c r="C40" t="s">
        <v>138</v>
      </c>
      <c r="D40" t="s">
        <v>109</v>
      </c>
      <c r="E40" s="57">
        <v>2.5999999999999999E-3</v>
      </c>
      <c r="F40" s="57"/>
    </row>
    <row r="41" spans="2:6" x14ac:dyDescent="0.25">
      <c r="B41">
        <v>42</v>
      </c>
      <c r="C41" t="s">
        <v>139</v>
      </c>
      <c r="D41" t="s">
        <v>109</v>
      </c>
      <c r="E41" s="57">
        <v>0.12809999999999999</v>
      </c>
      <c r="F41" s="57"/>
    </row>
    <row r="42" spans="2:6" x14ac:dyDescent="0.25">
      <c r="B42">
        <v>85</v>
      </c>
      <c r="C42" t="s">
        <v>152</v>
      </c>
      <c r="D42" t="s">
        <v>107</v>
      </c>
      <c r="E42" s="57">
        <v>0.25</v>
      </c>
      <c r="F42" s="57"/>
    </row>
    <row r="43" spans="2:6" x14ac:dyDescent="0.25">
      <c r="B43">
        <v>86</v>
      </c>
      <c r="C43" t="s">
        <v>153</v>
      </c>
      <c r="D43" t="s">
        <v>107</v>
      </c>
      <c r="E43">
        <v>0.25</v>
      </c>
      <c r="F43" s="57"/>
    </row>
    <row r="44" spans="2:6" x14ac:dyDescent="0.25">
      <c r="B44">
        <v>87</v>
      </c>
      <c r="C44" t="s">
        <v>154</v>
      </c>
      <c r="D44" t="s">
        <v>107</v>
      </c>
      <c r="E44" s="57">
        <v>0.25</v>
      </c>
      <c r="F44" s="57"/>
    </row>
    <row r="45" spans="2:6" x14ac:dyDescent="0.25">
      <c r="B45">
        <v>88</v>
      </c>
      <c r="C45" t="s">
        <v>155</v>
      </c>
      <c r="D45" t="s">
        <v>107</v>
      </c>
      <c r="E45">
        <v>0.25</v>
      </c>
      <c r="F45" s="57"/>
    </row>
    <row r="46" spans="2:6" x14ac:dyDescent="0.25">
      <c r="B46">
        <v>91</v>
      </c>
      <c r="C46" t="s">
        <v>182</v>
      </c>
      <c r="D46" t="s">
        <v>109</v>
      </c>
      <c r="E46" s="57">
        <v>2</v>
      </c>
      <c r="F46" s="57"/>
    </row>
    <row r="47" spans="2:6" x14ac:dyDescent="0.25">
      <c r="B47">
        <v>92</v>
      </c>
      <c r="C47" t="s">
        <v>183</v>
      </c>
      <c r="D47" t="s">
        <v>109</v>
      </c>
      <c r="E47">
        <v>2.0366</v>
      </c>
      <c r="F47" s="57"/>
    </row>
    <row r="48" spans="2:6" x14ac:dyDescent="0.25">
      <c r="B48">
        <v>93</v>
      </c>
      <c r="C48" t="s">
        <v>158</v>
      </c>
      <c r="D48" t="s">
        <v>109</v>
      </c>
      <c r="E48" s="57">
        <v>0.16059999999999999</v>
      </c>
      <c r="F48" s="57"/>
    </row>
    <row r="49" spans="2:11" x14ac:dyDescent="0.25">
      <c r="B49">
        <v>94</v>
      </c>
      <c r="C49" t="s">
        <v>159</v>
      </c>
      <c r="D49" t="s">
        <v>109</v>
      </c>
      <c r="E49" s="57">
        <v>6.6500000000000004E-2</v>
      </c>
      <c r="F49" s="57"/>
    </row>
    <row r="50" spans="2:11" x14ac:dyDescent="0.25">
      <c r="B50">
        <v>124</v>
      </c>
      <c r="C50" t="s">
        <v>165</v>
      </c>
      <c r="D50" t="s">
        <v>109</v>
      </c>
      <c r="E50" s="57">
        <v>0.622</v>
      </c>
      <c r="F50" s="57"/>
    </row>
    <row r="51" spans="2:11" x14ac:dyDescent="0.25">
      <c r="B51">
        <v>145</v>
      </c>
      <c r="C51" t="s">
        <v>184</v>
      </c>
      <c r="D51" t="s">
        <v>109</v>
      </c>
      <c r="E51" s="57">
        <v>0.18190000000000001</v>
      </c>
      <c r="F51" s="57"/>
    </row>
    <row r="52" spans="2:11" x14ac:dyDescent="0.25">
      <c r="B52">
        <v>146</v>
      </c>
      <c r="C52" t="s">
        <v>185</v>
      </c>
      <c r="D52" t="s">
        <v>109</v>
      </c>
      <c r="E52" s="57">
        <v>-1.9103000000000001</v>
      </c>
      <c r="F52" s="57"/>
    </row>
    <row r="53" spans="2:11" x14ac:dyDescent="0.25">
      <c r="B53">
        <v>147</v>
      </c>
      <c r="C53" t="s">
        <v>186</v>
      </c>
      <c r="D53" t="s">
        <v>109</v>
      </c>
      <c r="E53" s="57">
        <v>5.8099999999999999E-2</v>
      </c>
      <c r="F53" s="57"/>
    </row>
    <row r="54" spans="2:11" x14ac:dyDescent="0.25">
      <c r="B54">
        <v>148</v>
      </c>
      <c r="C54" t="s">
        <v>187</v>
      </c>
      <c r="D54" t="s">
        <v>109</v>
      </c>
      <c r="E54" s="57">
        <v>-0.88929999999999998</v>
      </c>
      <c r="F54" s="57"/>
    </row>
    <row r="55" spans="2:11" x14ac:dyDescent="0.25">
      <c r="B55">
        <v>149</v>
      </c>
      <c r="C55" t="s">
        <v>188</v>
      </c>
      <c r="D55" t="s">
        <v>109</v>
      </c>
      <c r="E55" s="57">
        <v>4.7300000000000002E-2</v>
      </c>
      <c r="F55" s="57"/>
    </row>
    <row r="56" spans="2:11" x14ac:dyDescent="0.25">
      <c r="B56">
        <v>150</v>
      </c>
      <c r="C56" t="s">
        <v>189</v>
      </c>
      <c r="D56" t="s">
        <v>109</v>
      </c>
      <c r="E56" s="57">
        <v>-0.35170000000000001</v>
      </c>
      <c r="F56" s="57"/>
    </row>
    <row r="57" spans="2:11" x14ac:dyDescent="0.25">
      <c r="B57">
        <v>151</v>
      </c>
      <c r="C57" t="s">
        <v>190</v>
      </c>
      <c r="D57" t="s">
        <v>109</v>
      </c>
      <c r="E57">
        <v>0.15</v>
      </c>
      <c r="F57" s="57"/>
    </row>
    <row r="58" spans="2:11" x14ac:dyDescent="0.25">
      <c r="B58">
        <v>152</v>
      </c>
      <c r="C58" t="s">
        <v>191</v>
      </c>
      <c r="D58" t="s">
        <v>109</v>
      </c>
      <c r="E58" s="57">
        <v>-3.7699999999999997E-2</v>
      </c>
    </row>
    <row r="59" spans="2:11" x14ac:dyDescent="0.25">
      <c r="B59">
        <v>153</v>
      </c>
      <c r="C59" t="s">
        <v>192</v>
      </c>
      <c r="D59" t="s">
        <v>109</v>
      </c>
      <c r="E59" s="57">
        <v>1.6199999999999999E-2</v>
      </c>
      <c r="F59" s="57"/>
    </row>
    <row r="60" spans="2:11" x14ac:dyDescent="0.25">
      <c r="B60">
        <v>154</v>
      </c>
      <c r="C60" t="s">
        <v>193</v>
      </c>
      <c r="D60" t="s">
        <v>109</v>
      </c>
      <c r="E60" s="57">
        <v>-0.29959999999999998</v>
      </c>
    </row>
    <row r="61" spans="2:11" x14ac:dyDescent="0.25">
      <c r="B61">
        <v>-1</v>
      </c>
      <c r="F61" s="57"/>
    </row>
    <row r="62" spans="2:11" x14ac:dyDescent="0.25">
      <c r="B62">
        <v>587</v>
      </c>
      <c r="C62" s="57">
        <v>-2207.08016249</v>
      </c>
      <c r="D62" s="57">
        <v>-2901.9892053499998</v>
      </c>
      <c r="E62" s="57">
        <v>1</v>
      </c>
      <c r="F62" s="57"/>
    </row>
    <row r="63" spans="2:11" x14ac:dyDescent="0.25">
      <c r="B63">
        <v>0</v>
      </c>
      <c r="C63" s="88">
        <v>4.8157291666666664</v>
      </c>
      <c r="D63" t="s">
        <v>104</v>
      </c>
      <c r="E63">
        <v>7</v>
      </c>
      <c r="F63" s="57" t="s">
        <v>199</v>
      </c>
      <c r="G63">
        <v>12</v>
      </c>
    </row>
    <row r="64" spans="2:11" x14ac:dyDescent="0.25">
      <c r="B64">
        <v>0</v>
      </c>
      <c r="C64">
        <v>1236</v>
      </c>
      <c r="D64">
        <v>0</v>
      </c>
      <c r="E64" s="57">
        <v>0</v>
      </c>
      <c r="F64" s="57">
        <v>0</v>
      </c>
      <c r="G64">
        <v>0</v>
      </c>
      <c r="H64">
        <v>-1605</v>
      </c>
      <c r="I64">
        <v>0</v>
      </c>
      <c r="J64">
        <v>20141</v>
      </c>
      <c r="K64">
        <v>0</v>
      </c>
    </row>
    <row r="65" spans="2:11" x14ac:dyDescent="0.25">
      <c r="B65">
        <v>-3161</v>
      </c>
      <c r="C65">
        <v>0</v>
      </c>
      <c r="D65">
        <v>11767</v>
      </c>
      <c r="E65">
        <v>0</v>
      </c>
      <c r="F65">
        <v>71051</v>
      </c>
      <c r="G65">
        <v>-3072</v>
      </c>
      <c r="H65">
        <v>0</v>
      </c>
      <c r="I65">
        <v>8555</v>
      </c>
      <c r="J65">
        <v>0</v>
      </c>
      <c r="K65">
        <v>61968</v>
      </c>
    </row>
    <row r="66" spans="2:11" x14ac:dyDescent="0.25">
      <c r="B66">
        <v>91284</v>
      </c>
      <c r="C66">
        <v>-2052</v>
      </c>
      <c r="D66">
        <v>0</v>
      </c>
      <c r="E66">
        <v>5208</v>
      </c>
      <c r="F66">
        <v>0</v>
      </c>
      <c r="G66">
        <v>42183</v>
      </c>
      <c r="H66">
        <v>64537</v>
      </c>
      <c r="I66">
        <v>72605</v>
      </c>
      <c r="J66">
        <v>-798</v>
      </c>
      <c r="K66">
        <v>0</v>
      </c>
    </row>
    <row r="67" spans="2:11" x14ac:dyDescent="0.25">
      <c r="B67">
        <v>1363</v>
      </c>
      <c r="C67">
        <v>0</v>
      </c>
      <c r="D67">
        <v>14272</v>
      </c>
      <c r="E67" s="57">
        <v>22966</v>
      </c>
      <c r="F67">
        <v>26860</v>
      </c>
      <c r="G67">
        <v>35403</v>
      </c>
      <c r="H67">
        <v>0</v>
      </c>
      <c r="I67">
        <v>0</v>
      </c>
      <c r="J67">
        <v>0</v>
      </c>
      <c r="K67">
        <v>0</v>
      </c>
    </row>
    <row r="68" spans="2:11" x14ac:dyDescent="0.25">
      <c r="B68">
        <v>0</v>
      </c>
      <c r="C68">
        <v>0</v>
      </c>
      <c r="D68">
        <v>0</v>
      </c>
      <c r="E68">
        <v>0</v>
      </c>
      <c r="F68" s="57">
        <v>0</v>
      </c>
      <c r="G68">
        <v>-39154</v>
      </c>
      <c r="H68">
        <v>0</v>
      </c>
      <c r="I68">
        <v>9156</v>
      </c>
      <c r="J68">
        <v>0</v>
      </c>
      <c r="K68">
        <v>19211</v>
      </c>
    </row>
    <row r="69" spans="2:11" x14ac:dyDescent="0.25">
      <c r="B69">
        <v>23506</v>
      </c>
      <c r="C69">
        <v>24171</v>
      </c>
      <c r="D69">
        <v>31432</v>
      </c>
      <c r="E69">
        <v>10391</v>
      </c>
      <c r="F69" s="57">
        <v>0</v>
      </c>
      <c r="G69">
        <v>-651</v>
      </c>
      <c r="H69">
        <v>0</v>
      </c>
      <c r="I69">
        <v>-3437</v>
      </c>
      <c r="J69">
        <v>0</v>
      </c>
      <c r="K69">
        <v>17864</v>
      </c>
    </row>
    <row r="70" spans="2:11" x14ac:dyDescent="0.25">
      <c r="B70">
        <v>36979</v>
      </c>
      <c r="C70">
        <v>40374</v>
      </c>
      <c r="D70">
        <v>54882</v>
      </c>
      <c r="E70" s="57">
        <v>18528</v>
      </c>
      <c r="F70" s="57">
        <v>0</v>
      </c>
      <c r="G70">
        <v>55202</v>
      </c>
      <c r="H70">
        <v>201</v>
      </c>
      <c r="I70">
        <v>0</v>
      </c>
      <c r="J70">
        <v>1091</v>
      </c>
      <c r="K70">
        <v>0</v>
      </c>
    </row>
    <row r="71" spans="2:11" x14ac:dyDescent="0.25">
      <c r="B71">
        <v>-722</v>
      </c>
      <c r="C71">
        <v>248</v>
      </c>
      <c r="D71">
        <v>11445</v>
      </c>
      <c r="E71" s="57">
        <v>44121</v>
      </c>
      <c r="F71" s="57">
        <v>14786</v>
      </c>
      <c r="G71">
        <v>0</v>
      </c>
      <c r="H71">
        <v>50152</v>
      </c>
      <c r="I71">
        <v>83379</v>
      </c>
      <c r="J71">
        <v>136</v>
      </c>
      <c r="K71">
        <v>0</v>
      </c>
    </row>
    <row r="72" spans="2:11" x14ac:dyDescent="0.25">
      <c r="B72">
        <v>788</v>
      </c>
      <c r="C72">
        <v>0</v>
      </c>
      <c r="D72">
        <v>-863</v>
      </c>
      <c r="E72" s="57">
        <v>-1863</v>
      </c>
      <c r="F72" s="57">
        <v>3882</v>
      </c>
      <c r="G72">
        <v>44231</v>
      </c>
      <c r="H72">
        <v>14432</v>
      </c>
      <c r="I72">
        <v>0</v>
      </c>
      <c r="J72">
        <v>43887</v>
      </c>
      <c r="K72">
        <v>74982</v>
      </c>
    </row>
    <row r="73" spans="2:11" x14ac:dyDescent="0.25">
      <c r="B73">
        <v>93102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</row>
    <row r="74" spans="2:11" x14ac:dyDescent="0.25">
      <c r="B74">
        <v>0</v>
      </c>
      <c r="C74" s="57">
        <v>0</v>
      </c>
      <c r="D74" s="57">
        <v>0</v>
      </c>
      <c r="E74" s="57">
        <v>0</v>
      </c>
      <c r="F74">
        <v>0</v>
      </c>
      <c r="G74">
        <v>-166</v>
      </c>
      <c r="H74">
        <v>0</v>
      </c>
      <c r="I74">
        <v>-231</v>
      </c>
      <c r="J74">
        <v>0</v>
      </c>
      <c r="K74">
        <v>368</v>
      </c>
    </row>
    <row r="75" spans="2:11" x14ac:dyDescent="0.25">
      <c r="B75">
        <v>990</v>
      </c>
      <c r="C75">
        <v>1096</v>
      </c>
      <c r="D75">
        <v>-21685</v>
      </c>
      <c r="E75">
        <v>-6714</v>
      </c>
      <c r="F75">
        <v>0</v>
      </c>
      <c r="G75">
        <v>1086</v>
      </c>
      <c r="H75">
        <v>3114</v>
      </c>
      <c r="I75">
        <v>5940</v>
      </c>
      <c r="J75">
        <v>9244</v>
      </c>
      <c r="K75">
        <v>0</v>
      </c>
    </row>
    <row r="76" spans="2:11" x14ac:dyDescent="0.25">
      <c r="B76">
        <v>-374</v>
      </c>
      <c r="C76">
        <v>0</v>
      </c>
      <c r="D76">
        <v>-592</v>
      </c>
      <c r="E76">
        <v>0</v>
      </c>
      <c r="F76">
        <v>1015</v>
      </c>
      <c r="G76">
        <v>2932</v>
      </c>
      <c r="H76">
        <v>3816</v>
      </c>
      <c r="I76">
        <v>-19419</v>
      </c>
      <c r="J76">
        <v>-5357</v>
      </c>
      <c r="K76">
        <v>0</v>
      </c>
    </row>
    <row r="77" spans="2:11" x14ac:dyDescent="0.25">
      <c r="B77">
        <v>-3650</v>
      </c>
      <c r="C77">
        <v>-4290</v>
      </c>
      <c r="D77">
        <v>-3021</v>
      </c>
      <c r="E77">
        <v>404</v>
      </c>
      <c r="F77">
        <v>0</v>
      </c>
      <c r="G77">
        <v>34786</v>
      </c>
      <c r="H77">
        <v>-188</v>
      </c>
      <c r="I77">
        <v>0</v>
      </c>
      <c r="J77">
        <v>-399</v>
      </c>
      <c r="K77">
        <v>0</v>
      </c>
    </row>
    <row r="78" spans="2:11" x14ac:dyDescent="0.25">
      <c r="B78">
        <v>511</v>
      </c>
      <c r="C78">
        <v>1244</v>
      </c>
      <c r="D78">
        <v>1251</v>
      </c>
      <c r="E78">
        <v>-10420</v>
      </c>
      <c r="F78">
        <v>-30961</v>
      </c>
      <c r="G78">
        <v>0</v>
      </c>
      <c r="H78">
        <v>-4022</v>
      </c>
      <c r="I78">
        <v>-5407</v>
      </c>
      <c r="J78">
        <v>-4656</v>
      </c>
      <c r="K78">
        <v>-1845</v>
      </c>
    </row>
    <row r="79" spans="2:11" x14ac:dyDescent="0.25">
      <c r="B79">
        <v>0</v>
      </c>
      <c r="C79">
        <v>18051</v>
      </c>
      <c r="D79">
        <v>19364</v>
      </c>
      <c r="E79">
        <v>-265</v>
      </c>
      <c r="F79">
        <v>0</v>
      </c>
      <c r="G79">
        <v>-374</v>
      </c>
      <c r="H79">
        <v>0</v>
      </c>
      <c r="I79">
        <v>564</v>
      </c>
      <c r="J79">
        <v>1167</v>
      </c>
      <c r="K79">
        <v>1065</v>
      </c>
    </row>
    <row r="80" spans="2:11" x14ac:dyDescent="0.25">
      <c r="B80">
        <v>-6232</v>
      </c>
      <c r="C80">
        <v>-82413</v>
      </c>
      <c r="D80">
        <v>0</v>
      </c>
      <c r="E80">
        <v>-5075</v>
      </c>
      <c r="F80">
        <v>-6993</v>
      </c>
      <c r="G80">
        <v>-6426</v>
      </c>
      <c r="H80">
        <v>-3480</v>
      </c>
      <c r="I80">
        <v>0</v>
      </c>
      <c r="J80">
        <v>12020</v>
      </c>
      <c r="K80">
        <v>13874</v>
      </c>
    </row>
    <row r="81" spans="2:11" x14ac:dyDescent="0.25">
      <c r="B81">
        <v>36199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</row>
    <row r="82" spans="2:11" x14ac:dyDescent="0.25"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</row>
    <row r="83" spans="2:11" x14ac:dyDescent="0.25">
      <c r="B83">
        <v>-922</v>
      </c>
      <c r="C83">
        <v>0</v>
      </c>
      <c r="D83">
        <v>-103</v>
      </c>
      <c r="E83">
        <v>0</v>
      </c>
      <c r="F83">
        <v>-415</v>
      </c>
      <c r="G83">
        <v>198</v>
      </c>
      <c r="H83">
        <v>283</v>
      </c>
      <c r="I83">
        <v>700</v>
      </c>
      <c r="J83">
        <v>-346</v>
      </c>
      <c r="K83">
        <v>0</v>
      </c>
    </row>
    <row r="84" spans="2:11" x14ac:dyDescent="0.25">
      <c r="B84">
        <v>30</v>
      </c>
      <c r="C84">
        <v>-716</v>
      </c>
      <c r="D84">
        <v>-678</v>
      </c>
      <c r="E84">
        <v>-292</v>
      </c>
      <c r="F84">
        <v>0</v>
      </c>
      <c r="G84">
        <v>474</v>
      </c>
      <c r="H84">
        <v>431</v>
      </c>
      <c r="I84">
        <v>76</v>
      </c>
      <c r="J84">
        <v>750</v>
      </c>
      <c r="K84">
        <v>0</v>
      </c>
    </row>
    <row r="85" spans="2:11" x14ac:dyDescent="0.25">
      <c r="B85">
        <v>-617</v>
      </c>
      <c r="C85">
        <v>0</v>
      </c>
      <c r="D85">
        <v>-94</v>
      </c>
      <c r="E85">
        <v>0</v>
      </c>
      <c r="F85">
        <v>-573</v>
      </c>
      <c r="G85">
        <v>-73</v>
      </c>
      <c r="H85">
        <v>212</v>
      </c>
      <c r="I85">
        <v>1047</v>
      </c>
      <c r="J85">
        <v>-925</v>
      </c>
      <c r="K85">
        <v>0</v>
      </c>
    </row>
    <row r="86" spans="2:11" x14ac:dyDescent="0.25">
      <c r="B86">
        <v>794</v>
      </c>
      <c r="C86">
        <v>708</v>
      </c>
      <c r="D86">
        <v>881</v>
      </c>
      <c r="E86">
        <v>849</v>
      </c>
      <c r="F86">
        <v>0</v>
      </c>
      <c r="G86">
        <v>232</v>
      </c>
      <c r="H86">
        <v>56</v>
      </c>
      <c r="I86">
        <v>39</v>
      </c>
      <c r="J86">
        <v>1269</v>
      </c>
      <c r="K86">
        <v>0</v>
      </c>
    </row>
    <row r="87" spans="2:11" x14ac:dyDescent="0.25">
      <c r="B87">
        <v>90926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</row>
    <row r="88" spans="2:11" x14ac:dyDescent="0.25"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</row>
    <row r="89" spans="2:11" x14ac:dyDescent="0.25">
      <c r="B89">
        <v>0</v>
      </c>
      <c r="C89">
        <v>0</v>
      </c>
      <c r="D89">
        <v>0</v>
      </c>
      <c r="E89">
        <v>438</v>
      </c>
      <c r="F89">
        <v>0</v>
      </c>
      <c r="G89">
        <v>-9</v>
      </c>
      <c r="H89">
        <v>0</v>
      </c>
      <c r="I89">
        <v>-290</v>
      </c>
      <c r="J89">
        <v>-847</v>
      </c>
      <c r="K89">
        <v>-1765</v>
      </c>
    </row>
    <row r="90" spans="2:11" x14ac:dyDescent="0.25">
      <c r="B90">
        <v>-1385</v>
      </c>
      <c r="C90">
        <v>7446</v>
      </c>
      <c r="D90">
        <v>0</v>
      </c>
      <c r="E90">
        <v>-79</v>
      </c>
      <c r="F90">
        <v>157</v>
      </c>
      <c r="G90">
        <v>493</v>
      </c>
      <c r="H90">
        <v>1375</v>
      </c>
      <c r="I90">
        <v>0</v>
      </c>
      <c r="J90">
        <v>286</v>
      </c>
      <c r="K90">
        <v>-87</v>
      </c>
    </row>
    <row r="91" spans="2:11" x14ac:dyDescent="0.25">
      <c r="B91">
        <v>-2246</v>
      </c>
      <c r="C91">
        <v>-8777</v>
      </c>
      <c r="D91">
        <v>0</v>
      </c>
      <c r="E91">
        <v>8862</v>
      </c>
      <c r="F91">
        <v>23242</v>
      </c>
      <c r="G91">
        <v>0</v>
      </c>
      <c r="H91">
        <v>0</v>
      </c>
      <c r="I91">
        <v>0</v>
      </c>
      <c r="J91">
        <v>0</v>
      </c>
      <c r="K91">
        <v>0</v>
      </c>
    </row>
    <row r="92" spans="2:11" x14ac:dyDescent="0.25"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</row>
    <row r="93" spans="2:11" x14ac:dyDescent="0.25"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</row>
    <row r="94" spans="2:11" x14ac:dyDescent="0.25"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</row>
    <row r="95" spans="2:11" x14ac:dyDescent="0.25"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</row>
    <row r="96" spans="2:11" x14ac:dyDescent="0.25"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</row>
    <row r="97" spans="2:11" x14ac:dyDescent="0.25"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</row>
    <row r="98" spans="2:11" x14ac:dyDescent="0.25"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</row>
    <row r="99" spans="2:11" x14ac:dyDescent="0.25"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</row>
    <row r="100" spans="2:11" x14ac:dyDescent="0.25"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</row>
    <row r="101" spans="2:11" x14ac:dyDescent="0.25"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</row>
    <row r="102" spans="2:11" x14ac:dyDescent="0.25"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</row>
    <row r="103" spans="2:11" x14ac:dyDescent="0.25"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</row>
    <row r="104" spans="2:11" x14ac:dyDescent="0.25"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5775</v>
      </c>
      <c r="I104">
        <v>0</v>
      </c>
      <c r="J104">
        <v>1160</v>
      </c>
      <c r="K104">
        <v>0</v>
      </c>
    </row>
    <row r="105" spans="2:11" x14ac:dyDescent="0.25">
      <c r="B105">
        <v>381</v>
      </c>
      <c r="C105">
        <v>-167</v>
      </c>
      <c r="D105">
        <v>733</v>
      </c>
      <c r="E105">
        <v>1237</v>
      </c>
      <c r="F105">
        <v>-535</v>
      </c>
      <c r="G105">
        <v>0</v>
      </c>
      <c r="H105">
        <v>649</v>
      </c>
      <c r="I105">
        <v>-2465</v>
      </c>
      <c r="J105">
        <v>-2142</v>
      </c>
      <c r="K105">
        <v>-2500</v>
      </c>
    </row>
    <row r="106" spans="2:11" x14ac:dyDescent="0.25">
      <c r="B106">
        <v>0</v>
      </c>
      <c r="C106">
        <v>-736</v>
      </c>
      <c r="D106">
        <v>-3203</v>
      </c>
      <c r="E106">
        <v>-1374</v>
      </c>
      <c r="F106">
        <v>-2092</v>
      </c>
      <c r="G106">
        <v>0</v>
      </c>
      <c r="H106">
        <v>-4</v>
      </c>
      <c r="I106">
        <v>14</v>
      </c>
      <c r="J106">
        <v>0</v>
      </c>
      <c r="K106">
        <v>-13</v>
      </c>
    </row>
    <row r="107" spans="2:11" x14ac:dyDescent="0.25">
      <c r="B107">
        <v>0</v>
      </c>
      <c r="C107">
        <v>0</v>
      </c>
      <c r="D107">
        <v>0</v>
      </c>
      <c r="E107">
        <v>0</v>
      </c>
      <c r="F107">
        <v>0</v>
      </c>
      <c r="G107">
        <v>1005</v>
      </c>
      <c r="H107">
        <v>0</v>
      </c>
      <c r="I107">
        <v>238</v>
      </c>
      <c r="J107">
        <v>0</v>
      </c>
      <c r="K107">
        <v>-802</v>
      </c>
    </row>
    <row r="108" spans="2:11" x14ac:dyDescent="0.25">
      <c r="B108">
        <v>-1217</v>
      </c>
      <c r="C108">
        <v>-1270</v>
      </c>
      <c r="D108">
        <v>-1157</v>
      </c>
      <c r="E108">
        <v>2607</v>
      </c>
      <c r="F108">
        <v>0</v>
      </c>
      <c r="G108">
        <v>-129</v>
      </c>
      <c r="H108">
        <v>-1084</v>
      </c>
      <c r="I108">
        <v>-687</v>
      </c>
      <c r="J108">
        <v>-933</v>
      </c>
      <c r="K108">
        <v>0</v>
      </c>
    </row>
    <row r="109" spans="2:11" x14ac:dyDescent="0.25">
      <c r="B109">
        <v>-191</v>
      </c>
      <c r="C109">
        <v>-766</v>
      </c>
      <c r="D109">
        <v>-1823</v>
      </c>
      <c r="E109">
        <v>-4075</v>
      </c>
      <c r="F109">
        <v>0</v>
      </c>
      <c r="G109">
        <v>2844</v>
      </c>
      <c r="H109">
        <v>2570</v>
      </c>
      <c r="I109">
        <v>0</v>
      </c>
      <c r="J109">
        <v>-4012</v>
      </c>
      <c r="K109">
        <v>0</v>
      </c>
    </row>
    <row r="110" spans="2:11" x14ac:dyDescent="0.25">
      <c r="B110">
        <v>0</v>
      </c>
      <c r="C110">
        <v>0</v>
      </c>
      <c r="D110">
        <v>0</v>
      </c>
      <c r="E110">
        <v>0</v>
      </c>
      <c r="F110">
        <v>13290</v>
      </c>
      <c r="G110">
        <v>0</v>
      </c>
      <c r="H110">
        <v>0</v>
      </c>
      <c r="I110">
        <v>0</v>
      </c>
      <c r="J110">
        <v>0</v>
      </c>
      <c r="K110">
        <v>0</v>
      </c>
    </row>
    <row r="111" spans="2:11" x14ac:dyDescent="0.25"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</row>
    <row r="112" spans="2:11" x14ac:dyDescent="0.25"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</row>
    <row r="113" spans="2:11" x14ac:dyDescent="0.25"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</row>
    <row r="114" spans="2:11" x14ac:dyDescent="0.25"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</row>
    <row r="115" spans="2:11" x14ac:dyDescent="0.25"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</row>
    <row r="116" spans="2:11" x14ac:dyDescent="0.25"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</row>
    <row r="117" spans="2:11" x14ac:dyDescent="0.25"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2:11" x14ac:dyDescent="0.25"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</row>
    <row r="119" spans="2:11" x14ac:dyDescent="0.25"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</row>
    <row r="120" spans="2:11" x14ac:dyDescent="0.25"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</row>
    <row r="121" spans="2:11" x14ac:dyDescent="0.25"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</row>
    <row r="122" spans="2:11" x14ac:dyDescent="0.25"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</row>
    <row r="123" spans="2:11" x14ac:dyDescent="0.25">
      <c r="B123">
        <v>0</v>
      </c>
      <c r="C123">
        <v>0</v>
      </c>
      <c r="D123">
        <v>0</v>
      </c>
      <c r="E123">
        <v>0</v>
      </c>
      <c r="F123">
        <v>0</v>
      </c>
      <c r="G123">
        <v>432</v>
      </c>
      <c r="H123">
        <v>0</v>
      </c>
      <c r="I123">
        <v>2811</v>
      </c>
      <c r="J123">
        <v>0</v>
      </c>
      <c r="K123">
        <v>-4590</v>
      </c>
    </row>
    <row r="124" spans="2:11" x14ac:dyDescent="0.25">
      <c r="B124">
        <v>-7138</v>
      </c>
      <c r="C124">
        <v>-7447</v>
      </c>
      <c r="D124">
        <v>-4430</v>
      </c>
      <c r="E124">
        <v>-1335</v>
      </c>
      <c r="F124">
        <v>0</v>
      </c>
      <c r="G124">
        <v>580</v>
      </c>
      <c r="H124">
        <v>-1494</v>
      </c>
      <c r="I124">
        <v>312</v>
      </c>
      <c r="J124">
        <v>1212</v>
      </c>
      <c r="K124">
        <v>0</v>
      </c>
    </row>
    <row r="125" spans="2:11" x14ac:dyDescent="0.25">
      <c r="B125">
        <v>-871</v>
      </c>
      <c r="C125">
        <v>-640</v>
      </c>
      <c r="D125">
        <v>-813</v>
      </c>
      <c r="E125">
        <v>-511</v>
      </c>
      <c r="F125">
        <v>0</v>
      </c>
      <c r="G125">
        <v>-1165</v>
      </c>
      <c r="H125">
        <v>-370</v>
      </c>
      <c r="I125">
        <v>0</v>
      </c>
      <c r="J125">
        <v>366</v>
      </c>
      <c r="K125">
        <v>0</v>
      </c>
    </row>
    <row r="126" spans="2:11" x14ac:dyDescent="0.25">
      <c r="B126">
        <v>0</v>
      </c>
      <c r="C126">
        <v>0</v>
      </c>
      <c r="D126">
        <v>0</v>
      </c>
      <c r="E126">
        <v>0</v>
      </c>
      <c r="F126">
        <v>-365</v>
      </c>
      <c r="G126">
        <v>857</v>
      </c>
      <c r="H126">
        <v>0</v>
      </c>
      <c r="I126">
        <v>0</v>
      </c>
      <c r="J126">
        <v>0</v>
      </c>
      <c r="K126">
        <v>0</v>
      </c>
    </row>
    <row r="127" spans="2:11" x14ac:dyDescent="0.25">
      <c r="B127">
        <v>-429</v>
      </c>
      <c r="C127">
        <v>0</v>
      </c>
      <c r="D127">
        <v>613</v>
      </c>
      <c r="E127">
        <v>0</v>
      </c>
      <c r="F127">
        <v>-1199</v>
      </c>
      <c r="G127">
        <v>-3007</v>
      </c>
      <c r="H127">
        <v>-3631</v>
      </c>
      <c r="I127">
        <v>-4618</v>
      </c>
      <c r="J127">
        <v>-2103</v>
      </c>
      <c r="K127">
        <v>0</v>
      </c>
    </row>
    <row r="128" spans="2:11" x14ac:dyDescent="0.25">
      <c r="B128">
        <v>-439</v>
      </c>
      <c r="C128">
        <v>-4480</v>
      </c>
      <c r="D128">
        <v>-4398</v>
      </c>
      <c r="E128">
        <v>-4551</v>
      </c>
      <c r="F128">
        <v>0</v>
      </c>
      <c r="G128">
        <v>4356</v>
      </c>
      <c r="H128">
        <v>4037</v>
      </c>
      <c r="I128">
        <v>2511</v>
      </c>
      <c r="J128">
        <v>1162</v>
      </c>
      <c r="K128">
        <v>0</v>
      </c>
    </row>
    <row r="129" spans="2:11" x14ac:dyDescent="0.25">
      <c r="B129">
        <v>-1406</v>
      </c>
      <c r="C129">
        <v>-595</v>
      </c>
      <c r="D129">
        <v>0</v>
      </c>
      <c r="E129">
        <v>380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703</v>
      </c>
    </row>
    <row r="130" spans="2:11" x14ac:dyDescent="0.25">
      <c r="B130">
        <v>822</v>
      </c>
      <c r="C130">
        <v>0</v>
      </c>
      <c r="D130">
        <v>0</v>
      </c>
      <c r="E130">
        <v>0</v>
      </c>
      <c r="F130">
        <v>0</v>
      </c>
      <c r="G130">
        <v>-19482</v>
      </c>
      <c r="H130">
        <v>5461</v>
      </c>
      <c r="I130">
        <v>0</v>
      </c>
      <c r="J130">
        <v>8061</v>
      </c>
      <c r="K130">
        <v>0</v>
      </c>
    </row>
    <row r="131" spans="2:11" x14ac:dyDescent="0.25">
      <c r="B131">
        <v>-16888</v>
      </c>
      <c r="C131">
        <v>-36880</v>
      </c>
      <c r="D131">
        <v>-41499</v>
      </c>
      <c r="E131">
        <v>-32193</v>
      </c>
      <c r="F131">
        <v>-12107</v>
      </c>
      <c r="G131">
        <v>0</v>
      </c>
      <c r="H131">
        <v>-5791</v>
      </c>
      <c r="I131">
        <v>-16104</v>
      </c>
      <c r="J131">
        <v>-4461</v>
      </c>
      <c r="K131">
        <v>-1434</v>
      </c>
    </row>
    <row r="132" spans="2:11" x14ac:dyDescent="0.25">
      <c r="B132">
        <v>0</v>
      </c>
      <c r="C132">
        <v>-618</v>
      </c>
      <c r="D132">
        <v>-2321</v>
      </c>
      <c r="E132">
        <v>-905</v>
      </c>
      <c r="F132">
        <v>-895</v>
      </c>
      <c r="G132">
        <v>0</v>
      </c>
      <c r="H132">
        <v>-16351</v>
      </c>
      <c r="I132">
        <v>-7926</v>
      </c>
      <c r="J132">
        <v>0</v>
      </c>
      <c r="K132">
        <v>5504</v>
      </c>
    </row>
    <row r="133" spans="2:11" x14ac:dyDescent="0.25">
      <c r="B133">
        <v>0</v>
      </c>
      <c r="C133">
        <v>0</v>
      </c>
      <c r="D133">
        <v>0</v>
      </c>
      <c r="E133">
        <v>0</v>
      </c>
      <c r="F133">
        <v>0</v>
      </c>
      <c r="G133">
        <v>-1024</v>
      </c>
      <c r="H133">
        <v>6920</v>
      </c>
      <c r="I133">
        <v>0</v>
      </c>
      <c r="J133">
        <v>0</v>
      </c>
      <c r="K133">
        <v>0</v>
      </c>
    </row>
    <row r="134" spans="2:11" x14ac:dyDescent="0.25">
      <c r="B134">
        <v>0</v>
      </c>
      <c r="C134">
        <v>7932</v>
      </c>
      <c r="D134">
        <v>10347</v>
      </c>
      <c r="E134">
        <v>1341</v>
      </c>
      <c r="F134">
        <v>0</v>
      </c>
      <c r="G134">
        <v>1817</v>
      </c>
      <c r="H134">
        <v>0</v>
      </c>
      <c r="I134">
        <v>-7855</v>
      </c>
      <c r="J134">
        <v>-19071</v>
      </c>
      <c r="K134">
        <v>-23928</v>
      </c>
    </row>
    <row r="135" spans="2:11" x14ac:dyDescent="0.25">
      <c r="B135">
        <v>-20115</v>
      </c>
      <c r="C135">
        <v>-7395</v>
      </c>
      <c r="D135">
        <v>0</v>
      </c>
      <c r="E135">
        <v>-23062</v>
      </c>
      <c r="F135">
        <v>-31106</v>
      </c>
      <c r="G135">
        <v>-21835</v>
      </c>
      <c r="H135">
        <v>-12202</v>
      </c>
      <c r="I135">
        <v>0</v>
      </c>
      <c r="J135">
        <v>2431</v>
      </c>
      <c r="K135">
        <v>3369</v>
      </c>
    </row>
    <row r="136" spans="2:11" x14ac:dyDescent="0.25">
      <c r="B136">
        <v>3477</v>
      </c>
      <c r="C136">
        <v>3833</v>
      </c>
      <c r="D136">
        <v>0</v>
      </c>
      <c r="E136">
        <v>-17112</v>
      </c>
      <c r="F136">
        <v>-8519</v>
      </c>
      <c r="G136">
        <v>0</v>
      </c>
      <c r="H136">
        <v>5582</v>
      </c>
      <c r="I136">
        <v>0</v>
      </c>
      <c r="J136">
        <v>0</v>
      </c>
      <c r="K136">
        <v>0</v>
      </c>
    </row>
    <row r="137" spans="2:11" x14ac:dyDescent="0.25">
      <c r="B137">
        <v>0</v>
      </c>
      <c r="C137">
        <v>0</v>
      </c>
      <c r="D137">
        <v>895</v>
      </c>
      <c r="E137">
        <v>7482</v>
      </c>
      <c r="F137">
        <v>0</v>
      </c>
      <c r="G137">
        <v>0</v>
      </c>
      <c r="H137">
        <v>0</v>
      </c>
      <c r="I137">
        <v>0</v>
      </c>
      <c r="J137">
        <v>8362</v>
      </c>
      <c r="K137">
        <v>8068</v>
      </c>
    </row>
    <row r="138" spans="2:11" x14ac:dyDescent="0.25">
      <c r="B138">
        <v>79175</v>
      </c>
      <c r="C138">
        <v>31</v>
      </c>
      <c r="D138">
        <v>0</v>
      </c>
      <c r="E138">
        <v>196</v>
      </c>
      <c r="F138">
        <v>0</v>
      </c>
      <c r="G138">
        <v>187</v>
      </c>
      <c r="H138">
        <v>1065</v>
      </c>
      <c r="I138">
        <v>2348</v>
      </c>
      <c r="J138">
        <v>42396</v>
      </c>
      <c r="K138">
        <v>13984</v>
      </c>
    </row>
    <row r="139" spans="2:11" x14ac:dyDescent="0.25">
      <c r="B139">
        <v>0</v>
      </c>
      <c r="C139">
        <v>33275</v>
      </c>
      <c r="D139">
        <v>58724</v>
      </c>
      <c r="E139">
        <v>75104</v>
      </c>
      <c r="F139">
        <v>83104</v>
      </c>
      <c r="G139">
        <v>0</v>
      </c>
      <c r="H139">
        <v>10565</v>
      </c>
      <c r="I139">
        <v>3675</v>
      </c>
      <c r="J139">
        <v>747</v>
      </c>
      <c r="K139">
        <v>-401</v>
      </c>
    </row>
    <row r="140" spans="2:11" x14ac:dyDescent="0.25">
      <c r="B140">
        <v>0</v>
      </c>
      <c r="C140">
        <v>1041</v>
      </c>
      <c r="D140">
        <v>1670</v>
      </c>
      <c r="E140">
        <v>0</v>
      </c>
      <c r="F140">
        <v>-685</v>
      </c>
      <c r="G140">
        <v>0</v>
      </c>
      <c r="H140">
        <v>0</v>
      </c>
      <c r="I140">
        <v>0</v>
      </c>
      <c r="J140">
        <v>0</v>
      </c>
      <c r="K140">
        <v>0</v>
      </c>
    </row>
    <row r="141" spans="2:11" x14ac:dyDescent="0.25">
      <c r="B141">
        <v>-963</v>
      </c>
      <c r="C141">
        <v>-621</v>
      </c>
      <c r="D141">
        <v>0</v>
      </c>
      <c r="E141">
        <v>0</v>
      </c>
      <c r="F141">
        <v>0</v>
      </c>
      <c r="G141">
        <v>0</v>
      </c>
      <c r="H141">
        <v>1028</v>
      </c>
      <c r="I141">
        <v>-3581</v>
      </c>
      <c r="J141">
        <v>-2114</v>
      </c>
      <c r="K141">
        <v>-5897</v>
      </c>
    </row>
    <row r="142" spans="2:11" x14ac:dyDescent="0.25">
      <c r="B142">
        <v>-2489</v>
      </c>
      <c r="C142">
        <v>0</v>
      </c>
      <c r="D142">
        <v>772</v>
      </c>
      <c r="E142">
        <v>0</v>
      </c>
      <c r="F142">
        <v>1088</v>
      </c>
      <c r="G142">
        <v>1951</v>
      </c>
      <c r="H142">
        <v>-1566</v>
      </c>
      <c r="I142">
        <v>-3609</v>
      </c>
      <c r="J142">
        <v>-1845</v>
      </c>
      <c r="K142">
        <v>0</v>
      </c>
    </row>
    <row r="143" spans="2:11" x14ac:dyDescent="0.25">
      <c r="B143">
        <v>-74</v>
      </c>
      <c r="C143">
        <v>5844</v>
      </c>
      <c r="D143">
        <v>2211</v>
      </c>
      <c r="E143">
        <v>1035</v>
      </c>
      <c r="F143">
        <v>0</v>
      </c>
      <c r="G143">
        <v>-1074</v>
      </c>
      <c r="H143">
        <v>-2315</v>
      </c>
      <c r="I143">
        <v>-1593</v>
      </c>
      <c r="J143">
        <v>-224</v>
      </c>
      <c r="K143">
        <v>0</v>
      </c>
    </row>
    <row r="144" spans="2:11" x14ac:dyDescent="0.25">
      <c r="B144">
        <v>195</v>
      </c>
      <c r="C144">
        <v>91</v>
      </c>
      <c r="D144">
        <v>0</v>
      </c>
      <c r="E144">
        <v>129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-6603</v>
      </c>
    </row>
    <row r="145" spans="2:11" x14ac:dyDescent="0.25">
      <c r="B145">
        <v>-1002</v>
      </c>
      <c r="C145">
        <v>0</v>
      </c>
      <c r="D145">
        <v>0</v>
      </c>
      <c r="E145">
        <v>0</v>
      </c>
      <c r="F145">
        <v>0</v>
      </c>
      <c r="G145">
        <v>-68</v>
      </c>
      <c r="H145">
        <v>-1429</v>
      </c>
      <c r="I145">
        <v>-10172</v>
      </c>
      <c r="J145">
        <v>1302</v>
      </c>
      <c r="K145">
        <v>-579</v>
      </c>
    </row>
    <row r="146" spans="2:11" x14ac:dyDescent="0.25">
      <c r="B146">
        <v>-180</v>
      </c>
      <c r="C146">
        <v>0</v>
      </c>
      <c r="D146">
        <v>-419</v>
      </c>
      <c r="E146">
        <v>0</v>
      </c>
      <c r="F146">
        <v>-576</v>
      </c>
      <c r="G146">
        <v>-593</v>
      </c>
      <c r="H146">
        <v>-47</v>
      </c>
      <c r="I146">
        <v>415</v>
      </c>
      <c r="J146">
        <v>151</v>
      </c>
      <c r="K146">
        <v>0</v>
      </c>
    </row>
    <row r="147" spans="2:11" x14ac:dyDescent="0.25">
      <c r="B147">
        <v>666</v>
      </c>
      <c r="C147">
        <v>2048</v>
      </c>
      <c r="D147">
        <v>2258</v>
      </c>
      <c r="E147">
        <v>1337</v>
      </c>
      <c r="F147">
        <v>0</v>
      </c>
      <c r="G147">
        <v>-606</v>
      </c>
      <c r="H147">
        <v>-799</v>
      </c>
      <c r="I147">
        <v>-901</v>
      </c>
      <c r="J147">
        <v>-332</v>
      </c>
      <c r="K147">
        <v>0</v>
      </c>
    </row>
    <row r="148" spans="2:11" x14ac:dyDescent="0.25">
      <c r="B148">
        <v>11313</v>
      </c>
      <c r="C148">
        <v>6021</v>
      </c>
      <c r="D148">
        <v>0</v>
      </c>
      <c r="E148">
        <v>-3470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-618</v>
      </c>
    </row>
    <row r="149" spans="2:11" x14ac:dyDescent="0.25">
      <c r="B149">
        <v>-5676</v>
      </c>
      <c r="C149">
        <v>0</v>
      </c>
      <c r="D149">
        <v>0</v>
      </c>
      <c r="E149">
        <v>0</v>
      </c>
      <c r="F149">
        <v>0</v>
      </c>
      <c r="G149">
        <v>943</v>
      </c>
      <c r="H149">
        <v>503</v>
      </c>
      <c r="I149">
        <v>4884</v>
      </c>
      <c r="J149">
        <v>5712</v>
      </c>
      <c r="K149">
        <v>1082</v>
      </c>
    </row>
    <row r="150" spans="2:11" x14ac:dyDescent="0.25">
      <c r="B150">
        <v>7226</v>
      </c>
      <c r="C150">
        <v>-4931</v>
      </c>
      <c r="D150">
        <v>0</v>
      </c>
      <c r="E150">
        <v>-5850</v>
      </c>
      <c r="F150">
        <v>0</v>
      </c>
      <c r="G150">
        <v>6597</v>
      </c>
      <c r="H150">
        <v>8625</v>
      </c>
      <c r="I150">
        <v>1669</v>
      </c>
      <c r="J150">
        <v>-3438</v>
      </c>
      <c r="K150">
        <v>-3800</v>
      </c>
    </row>
    <row r="151" spans="2:11" x14ac:dyDescent="0.25">
      <c r="B151">
        <v>0</v>
      </c>
      <c r="C151">
        <v>1653</v>
      </c>
      <c r="D151">
        <v>12921</v>
      </c>
      <c r="E151">
        <v>7707</v>
      </c>
      <c r="F151">
        <v>5011</v>
      </c>
      <c r="G151">
        <v>0</v>
      </c>
      <c r="H151">
        <v>-481</v>
      </c>
      <c r="I151">
        <v>-1390</v>
      </c>
      <c r="J151">
        <v>-789</v>
      </c>
      <c r="K151">
        <v>-3394</v>
      </c>
    </row>
    <row r="152" spans="2:11" x14ac:dyDescent="0.25">
      <c r="B152">
        <v>0</v>
      </c>
      <c r="C152">
        <v>1279</v>
      </c>
      <c r="D152">
        <v>610</v>
      </c>
      <c r="E152">
        <v>0</v>
      </c>
      <c r="F152">
        <v>271</v>
      </c>
      <c r="G152">
        <v>0</v>
      </c>
      <c r="H152">
        <v>0</v>
      </c>
      <c r="I152">
        <v>0</v>
      </c>
      <c r="J152">
        <v>0</v>
      </c>
      <c r="K152">
        <v>0</v>
      </c>
    </row>
    <row r="153" spans="2:11" x14ac:dyDescent="0.25">
      <c r="B153">
        <v>-7143</v>
      </c>
      <c r="C153">
        <v>-1844</v>
      </c>
      <c r="D153">
        <v>0</v>
      </c>
      <c r="E153">
        <v>0</v>
      </c>
      <c r="F153">
        <v>0</v>
      </c>
      <c r="G153">
        <v>0</v>
      </c>
      <c r="H153">
        <v>-889</v>
      </c>
      <c r="I153">
        <v>-3135</v>
      </c>
      <c r="J153">
        <v>-26880</v>
      </c>
      <c r="K153">
        <v>-2253</v>
      </c>
    </row>
    <row r="154" spans="2:11" x14ac:dyDescent="0.25">
      <c r="B154">
        <v>5</v>
      </c>
      <c r="C154">
        <v>20497</v>
      </c>
      <c r="D154">
        <v>1120</v>
      </c>
      <c r="E154">
        <v>-354</v>
      </c>
      <c r="F154">
        <v>0</v>
      </c>
      <c r="G154">
        <v>524</v>
      </c>
      <c r="H154">
        <v>0</v>
      </c>
      <c r="I154">
        <v>-1461</v>
      </c>
      <c r="J154">
        <v>-2606</v>
      </c>
      <c r="K154">
        <v>-1316</v>
      </c>
    </row>
    <row r="155" spans="2:11" x14ac:dyDescent="0.25">
      <c r="B155">
        <v>870</v>
      </c>
      <c r="C155">
        <v>5850</v>
      </c>
      <c r="D155">
        <v>0</v>
      </c>
      <c r="E155">
        <v>1494</v>
      </c>
      <c r="F155">
        <v>4020</v>
      </c>
      <c r="G155">
        <v>5682</v>
      </c>
      <c r="H155">
        <v>3658</v>
      </c>
      <c r="I155">
        <v>0</v>
      </c>
      <c r="J155">
        <v>-1304</v>
      </c>
      <c r="K155">
        <v>-1557</v>
      </c>
    </row>
    <row r="156" spans="2:11" x14ac:dyDescent="0.25">
      <c r="B156">
        <v>-4887</v>
      </c>
      <c r="C156">
        <v>-8407</v>
      </c>
      <c r="D156">
        <v>0</v>
      </c>
      <c r="E156">
        <v>34442</v>
      </c>
      <c r="F156">
        <v>21493</v>
      </c>
      <c r="G156">
        <v>0</v>
      </c>
      <c r="H156">
        <v>-13524</v>
      </c>
      <c r="I156">
        <v>0</v>
      </c>
      <c r="J156">
        <v>0</v>
      </c>
      <c r="K156">
        <v>0</v>
      </c>
    </row>
    <row r="157" spans="2:11" x14ac:dyDescent="0.25">
      <c r="B157">
        <v>0</v>
      </c>
      <c r="C157">
        <v>0</v>
      </c>
      <c r="D157">
        <v>-1004</v>
      </c>
      <c r="E157">
        <v>-6390</v>
      </c>
      <c r="F157">
        <v>0</v>
      </c>
      <c r="G157">
        <v>0</v>
      </c>
      <c r="H157">
        <v>0</v>
      </c>
      <c r="I157">
        <v>0</v>
      </c>
      <c r="J157">
        <v>1782</v>
      </c>
      <c r="K157">
        <v>2111</v>
      </c>
    </row>
    <row r="158" spans="2:11" x14ac:dyDescent="0.25">
      <c r="B158">
        <v>12239</v>
      </c>
      <c r="C158">
        <v>13885</v>
      </c>
      <c r="D158">
        <v>3147</v>
      </c>
      <c r="E158">
        <v>1476</v>
      </c>
      <c r="F158">
        <v>10951</v>
      </c>
      <c r="G158">
        <v>9623</v>
      </c>
      <c r="H158">
        <v>-6361</v>
      </c>
      <c r="I158">
        <v>0</v>
      </c>
      <c r="J158">
        <v>-7736</v>
      </c>
      <c r="K158">
        <v>0</v>
      </c>
    </row>
    <row r="159" spans="2:11" x14ac:dyDescent="0.25">
      <c r="B159">
        <v>9191</v>
      </c>
      <c r="C159">
        <v>11913</v>
      </c>
      <c r="D159">
        <v>3102</v>
      </c>
      <c r="E159">
        <v>-3503</v>
      </c>
      <c r="F159">
        <v>-2100</v>
      </c>
      <c r="G159">
        <v>0</v>
      </c>
      <c r="H159">
        <v>1722</v>
      </c>
      <c r="I159">
        <v>16045</v>
      </c>
      <c r="J159">
        <v>9938</v>
      </c>
      <c r="K159">
        <v>6776</v>
      </c>
    </row>
    <row r="160" spans="2:11" x14ac:dyDescent="0.25">
      <c r="B160">
        <v>0</v>
      </c>
      <c r="C160">
        <v>-2512</v>
      </c>
      <c r="D160">
        <v>-4797</v>
      </c>
      <c r="E160">
        <v>-2410</v>
      </c>
      <c r="F160">
        <v>-1686</v>
      </c>
      <c r="G160">
        <v>0</v>
      </c>
      <c r="H160">
        <v>1505</v>
      </c>
      <c r="I160">
        <v>724</v>
      </c>
      <c r="J160">
        <v>0</v>
      </c>
      <c r="K160">
        <v>368</v>
      </c>
    </row>
    <row r="161" spans="2:11" x14ac:dyDescent="0.25">
      <c r="B161">
        <v>0</v>
      </c>
      <c r="C161">
        <v>0</v>
      </c>
      <c r="D161">
        <v>0</v>
      </c>
      <c r="E161">
        <v>0</v>
      </c>
      <c r="F161">
        <v>0</v>
      </c>
      <c r="G161">
        <v>-5384</v>
      </c>
      <c r="H161">
        <v>-1419</v>
      </c>
      <c r="I161">
        <v>0</v>
      </c>
      <c r="J161">
        <v>0</v>
      </c>
      <c r="K161">
        <v>0</v>
      </c>
    </row>
    <row r="162" spans="2:11" x14ac:dyDescent="0.25">
      <c r="B162">
        <v>0</v>
      </c>
      <c r="C162">
        <v>-1615</v>
      </c>
      <c r="D162">
        <v>-4276</v>
      </c>
      <c r="E162">
        <v>-35531</v>
      </c>
      <c r="F162">
        <v>-1398</v>
      </c>
      <c r="G162">
        <v>517</v>
      </c>
      <c r="H162">
        <v>27009</v>
      </c>
      <c r="I162">
        <v>1513</v>
      </c>
      <c r="J162">
        <v>56393</v>
      </c>
      <c r="K162">
        <v>3042</v>
      </c>
    </row>
    <row r="163" spans="2:11" x14ac:dyDescent="0.25">
      <c r="B163">
        <v>-527</v>
      </c>
      <c r="C163">
        <v>0</v>
      </c>
      <c r="D163">
        <v>772</v>
      </c>
      <c r="E163">
        <v>0</v>
      </c>
      <c r="F163">
        <v>-2138</v>
      </c>
      <c r="G163">
        <v>-3802</v>
      </c>
      <c r="H163">
        <v>-1509</v>
      </c>
      <c r="I163">
        <v>1248</v>
      </c>
      <c r="J163">
        <v>-372</v>
      </c>
      <c r="K163">
        <v>0</v>
      </c>
    </row>
    <row r="164" spans="2:11" x14ac:dyDescent="0.25">
      <c r="B164">
        <v>2186</v>
      </c>
      <c r="C164">
        <v>5772</v>
      </c>
      <c r="D164">
        <v>8525</v>
      </c>
      <c r="E164">
        <v>5292</v>
      </c>
      <c r="F164">
        <v>0</v>
      </c>
      <c r="G164">
        <v>-2211</v>
      </c>
      <c r="H164">
        <v>-2809</v>
      </c>
      <c r="I164">
        <v>-2351</v>
      </c>
      <c r="J164">
        <v>-659</v>
      </c>
      <c r="K164">
        <v>0</v>
      </c>
    </row>
    <row r="165" spans="2:11" x14ac:dyDescent="0.25">
      <c r="B165">
        <v>55033</v>
      </c>
      <c r="C165">
        <v>36032</v>
      </c>
      <c r="D165">
        <v>0</v>
      </c>
      <c r="E165">
        <v>-23728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-411</v>
      </c>
    </row>
    <row r="166" spans="2:11" x14ac:dyDescent="0.25">
      <c r="B166">
        <v>-2612</v>
      </c>
      <c r="C166">
        <v>0</v>
      </c>
      <c r="D166">
        <v>0</v>
      </c>
      <c r="E166">
        <v>0</v>
      </c>
      <c r="F166">
        <v>0</v>
      </c>
      <c r="G166">
        <v>2581</v>
      </c>
      <c r="H166">
        <v>2208</v>
      </c>
      <c r="I166">
        <v>17857</v>
      </c>
      <c r="J166">
        <v>20698</v>
      </c>
      <c r="K166">
        <v>4378</v>
      </c>
    </row>
    <row r="167" spans="2:11" x14ac:dyDescent="0.25">
      <c r="B167">
        <v>2236</v>
      </c>
      <c r="C167">
        <v>16190</v>
      </c>
      <c r="D167">
        <v>3434</v>
      </c>
      <c r="E167">
        <v>43648</v>
      </c>
      <c r="F167">
        <v>8336</v>
      </c>
      <c r="G167">
        <v>-5177</v>
      </c>
      <c r="H167">
        <v>0</v>
      </c>
      <c r="I167">
        <v>-4723</v>
      </c>
      <c r="J167">
        <v>0</v>
      </c>
      <c r="K167">
        <v>5406</v>
      </c>
    </row>
    <row r="168" spans="2:11" x14ac:dyDescent="0.25">
      <c r="B168">
        <v>7008</v>
      </c>
      <c r="C168">
        <v>202</v>
      </c>
      <c r="D168">
        <v>-4243</v>
      </c>
      <c r="E168">
        <v>-2759</v>
      </c>
      <c r="F168">
        <v>0</v>
      </c>
      <c r="G168">
        <v>3512</v>
      </c>
      <c r="H168">
        <v>13604</v>
      </c>
      <c r="I168">
        <v>9706</v>
      </c>
      <c r="J168">
        <v>7127</v>
      </c>
      <c r="K168">
        <v>0</v>
      </c>
    </row>
    <row r="169" spans="2:11" x14ac:dyDescent="0.25">
      <c r="B169">
        <v>-1328</v>
      </c>
      <c r="C169">
        <v>-6085</v>
      </c>
      <c r="D169">
        <v>-5086</v>
      </c>
      <c r="E169">
        <v>-5799</v>
      </c>
      <c r="F169">
        <v>0</v>
      </c>
      <c r="G169">
        <v>1053</v>
      </c>
      <c r="H169">
        <v>524</v>
      </c>
      <c r="I169">
        <v>0</v>
      </c>
      <c r="J169">
        <v>427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-672</v>
      </c>
      <c r="G170">
        <v>-219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-371</v>
      </c>
      <c r="C171">
        <v>-3183</v>
      </c>
      <c r="D171">
        <v>-25296</v>
      </c>
      <c r="E171">
        <v>-1460</v>
      </c>
      <c r="F171">
        <v>1022</v>
      </c>
      <c r="G171">
        <v>20278</v>
      </c>
      <c r="H171">
        <v>1164</v>
      </c>
      <c r="I171">
        <v>43298</v>
      </c>
      <c r="J171">
        <v>2888</v>
      </c>
      <c r="K171">
        <v>56658</v>
      </c>
    </row>
    <row r="172" spans="2:11" x14ac:dyDescent="0.25">
      <c r="B172">
        <v>3844</v>
      </c>
      <c r="C172">
        <v>-525</v>
      </c>
      <c r="D172">
        <v>0</v>
      </c>
      <c r="E172">
        <v>806</v>
      </c>
      <c r="F172">
        <v>0</v>
      </c>
      <c r="G172">
        <v>-1897</v>
      </c>
      <c r="H172">
        <v>-3404</v>
      </c>
      <c r="I172">
        <v>-1714</v>
      </c>
      <c r="J172">
        <v>890</v>
      </c>
      <c r="K172">
        <v>2616</v>
      </c>
    </row>
    <row r="173" spans="2:11" x14ac:dyDescent="0.25">
      <c r="B173">
        <v>0</v>
      </c>
      <c r="C173">
        <v>2384</v>
      </c>
      <c r="D173">
        <v>4662</v>
      </c>
      <c r="E173">
        <v>7042</v>
      </c>
      <c r="F173">
        <v>4848</v>
      </c>
      <c r="G173">
        <v>0</v>
      </c>
      <c r="H173">
        <v>-1795</v>
      </c>
      <c r="I173">
        <v>-2807</v>
      </c>
      <c r="J173">
        <v>-4197</v>
      </c>
      <c r="K173">
        <v>-4870</v>
      </c>
    </row>
    <row r="174" spans="2:11" x14ac:dyDescent="0.25">
      <c r="B174">
        <v>0</v>
      </c>
      <c r="C174">
        <v>41562</v>
      </c>
      <c r="D174">
        <v>28104</v>
      </c>
      <c r="E174">
        <v>0</v>
      </c>
      <c r="F174">
        <v>-20493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407</v>
      </c>
      <c r="C175">
        <v>1945</v>
      </c>
      <c r="D175">
        <v>0</v>
      </c>
      <c r="E175">
        <v>0</v>
      </c>
      <c r="F175">
        <v>0</v>
      </c>
      <c r="G175">
        <v>0</v>
      </c>
      <c r="H175">
        <v>1843</v>
      </c>
      <c r="I175">
        <v>1827</v>
      </c>
      <c r="J175">
        <v>13805</v>
      </c>
      <c r="K175">
        <v>15251</v>
      </c>
    </row>
    <row r="176" spans="2:11" x14ac:dyDescent="0.25">
      <c r="B176">
        <v>3873</v>
      </c>
      <c r="C176">
        <v>1423</v>
      </c>
      <c r="D176">
        <v>11663</v>
      </c>
      <c r="E176">
        <v>2323</v>
      </c>
      <c r="F176">
        <v>32546</v>
      </c>
      <c r="G176">
        <v>3026</v>
      </c>
      <c r="H176">
        <v>49793</v>
      </c>
      <c r="I176">
        <v>10825</v>
      </c>
      <c r="J176">
        <v>-2525</v>
      </c>
      <c r="K176">
        <v>0</v>
      </c>
    </row>
    <row r="177" spans="2:11" x14ac:dyDescent="0.25">
      <c r="B177">
        <v>-3275</v>
      </c>
      <c r="C177">
        <v>0</v>
      </c>
      <c r="D177">
        <v>4336</v>
      </c>
      <c r="E177">
        <v>5295</v>
      </c>
      <c r="F177">
        <v>533</v>
      </c>
      <c r="G177">
        <v>-2519</v>
      </c>
      <c r="H177">
        <v>-1712</v>
      </c>
      <c r="I177">
        <v>0</v>
      </c>
      <c r="J177">
        <v>3510</v>
      </c>
      <c r="K177">
        <v>9817</v>
      </c>
    </row>
    <row r="178" spans="2:11" x14ac:dyDescent="0.25">
      <c r="B178">
        <v>5409</v>
      </c>
      <c r="C178">
        <v>3312</v>
      </c>
      <c r="D178">
        <v>0</v>
      </c>
      <c r="E178">
        <v>-1187</v>
      </c>
      <c r="F178">
        <v>-750</v>
      </c>
      <c r="G178">
        <v>-963</v>
      </c>
      <c r="H178">
        <v>-2039</v>
      </c>
      <c r="I178">
        <v>0</v>
      </c>
      <c r="J178">
        <v>912</v>
      </c>
      <c r="K178">
        <v>422</v>
      </c>
    </row>
    <row r="179" spans="2:11" x14ac:dyDescent="0.25">
      <c r="B179">
        <v>0</v>
      </c>
      <c r="C179">
        <v>264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-7488</v>
      </c>
      <c r="J179">
        <v>-1843</v>
      </c>
      <c r="K179">
        <v>0</v>
      </c>
    </row>
    <row r="180" spans="2:11" x14ac:dyDescent="0.25">
      <c r="B180">
        <v>0</v>
      </c>
      <c r="C180">
        <v>0</v>
      </c>
      <c r="D180">
        <v>0</v>
      </c>
      <c r="E180">
        <v>-499</v>
      </c>
      <c r="F180">
        <v>-2082</v>
      </c>
      <c r="G180">
        <v>-22683</v>
      </c>
      <c r="H180">
        <v>-780</v>
      </c>
      <c r="I180">
        <v>228</v>
      </c>
      <c r="J180">
        <v>17670</v>
      </c>
      <c r="K180">
        <v>1005</v>
      </c>
    </row>
    <row r="181" spans="2:11" x14ac:dyDescent="0.25">
      <c r="B181">
        <v>36181</v>
      </c>
      <c r="C181">
        <v>2172</v>
      </c>
      <c r="D181">
        <v>47358</v>
      </c>
      <c r="E181">
        <v>3047</v>
      </c>
      <c r="F181">
        <v>35802</v>
      </c>
      <c r="G181">
        <v>1943</v>
      </c>
      <c r="H181">
        <v>-595</v>
      </c>
      <c r="I181">
        <v>0</v>
      </c>
      <c r="J181">
        <v>548</v>
      </c>
      <c r="K181">
        <v>0</v>
      </c>
    </row>
    <row r="182" spans="2:11" x14ac:dyDescent="0.25">
      <c r="B182">
        <v>-922</v>
      </c>
      <c r="C182">
        <v>-1318</v>
      </c>
      <c r="D182">
        <v>-282</v>
      </c>
      <c r="E182">
        <v>689</v>
      </c>
      <c r="F182">
        <v>1430</v>
      </c>
      <c r="G182">
        <v>0</v>
      </c>
      <c r="H182">
        <v>2514</v>
      </c>
      <c r="I182">
        <v>3529</v>
      </c>
      <c r="J182">
        <v>4070</v>
      </c>
      <c r="K182">
        <v>2239</v>
      </c>
    </row>
    <row r="183" spans="2:11" x14ac:dyDescent="0.25">
      <c r="B183">
        <v>0</v>
      </c>
      <c r="C183">
        <v>-1059</v>
      </c>
      <c r="D183">
        <v>-1116</v>
      </c>
      <c r="E183">
        <v>-1986</v>
      </c>
      <c r="F183">
        <v>-2575</v>
      </c>
      <c r="G183">
        <v>0</v>
      </c>
      <c r="H183">
        <v>36918</v>
      </c>
      <c r="I183">
        <v>24883</v>
      </c>
      <c r="J183">
        <v>0</v>
      </c>
      <c r="K183">
        <v>-18462</v>
      </c>
    </row>
    <row r="184" spans="2:11" x14ac:dyDescent="0.25">
      <c r="B184">
        <v>0</v>
      </c>
      <c r="C184">
        <v>0</v>
      </c>
      <c r="D184">
        <v>0</v>
      </c>
      <c r="E184">
        <v>0</v>
      </c>
      <c r="F184">
        <v>0</v>
      </c>
      <c r="G184">
        <v>-1272</v>
      </c>
      <c r="H184">
        <v>-1125</v>
      </c>
      <c r="I184">
        <v>0</v>
      </c>
      <c r="J184">
        <v>0</v>
      </c>
      <c r="K184">
        <v>0</v>
      </c>
    </row>
    <row r="185" spans="2:11" x14ac:dyDescent="0.25">
      <c r="B185">
        <v>0</v>
      </c>
      <c r="C185">
        <v>1700</v>
      </c>
      <c r="D185">
        <v>1726</v>
      </c>
      <c r="E185">
        <v>11237</v>
      </c>
      <c r="F185">
        <v>13170</v>
      </c>
      <c r="G185">
        <v>2094</v>
      </c>
      <c r="H185">
        <v>1471</v>
      </c>
      <c r="I185">
        <v>10453</v>
      </c>
      <c r="J185">
        <v>2226</v>
      </c>
      <c r="K185">
        <v>28791</v>
      </c>
    </row>
    <row r="186" spans="2:11" x14ac:dyDescent="0.25">
      <c r="B186">
        <v>2853</v>
      </c>
      <c r="C186">
        <v>44033</v>
      </c>
      <c r="D186">
        <v>2406</v>
      </c>
      <c r="E186">
        <v>33068</v>
      </c>
      <c r="F186">
        <v>9553</v>
      </c>
    </row>
  </sheetData>
  <pageMargins bottom="0.75" footer="0.3" header="0.3" left="0.7" right="0.7" top="0.75"/>
</worksheet>
</file>

<file path=xl/worksheets/sheet1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V76"/>
  <sheetViews>
    <sheetView topLeftCell="A16" workbookViewId="0" zoomScaleNormal="100">
      <selection activeCell="J19" sqref="J19"/>
    </sheetView>
  </sheetViews>
  <sheetFormatPr defaultRowHeight="15" x14ac:dyDescent="0.25"/>
  <cols>
    <col min="2" max="2" customWidth="true" width="14.5703125" collapsed="true"/>
    <col min="3" max="3" bestFit="true" customWidth="true" width="11.5703125" collapsed="true"/>
    <col min="7" max="8" customWidth="true" width="7.7109375" collapsed="true"/>
    <col min="9" max="9" bestFit="true" customWidth="true" width="12.7109375" collapsed="true"/>
    <col min="12" max="12" bestFit="true" customWidth="true" width="6.0" collapsed="true"/>
    <col min="13" max="13" customWidth="true" width="9.42578125" collapsed="true"/>
    <col min="14" max="14" customWidth="true" width="12.28515625" collapsed="true"/>
    <col min="15" max="15" customWidth="true" width="22.28515625" collapsed="true"/>
    <col min="19" max="19" bestFit="true" customWidth="true" width="11.140625" collapsed="true"/>
    <col min="21" max="21" bestFit="true" customWidth="true" width="11.28515625" collapsed="true"/>
  </cols>
  <sheetData>
    <row ht="15.75" r="1" spans="2:21" thickBot="1" x14ac:dyDescent="0.3">
      <c r="B1" s="37" t="s">
        <v>219</v>
      </c>
      <c r="C1" s="1"/>
      <c r="D1" s="1"/>
      <c r="E1" s="1" t="s">
        <v>86</v>
      </c>
      <c r="F1" s="38">
        <v>1</v>
      </c>
      <c r="G1" s="1"/>
      <c r="H1" s="1"/>
      <c r="I1" s="1"/>
      <c r="R1" s="58" t="s">
        <v>234</v>
      </c>
      <c r="S1" s="59"/>
      <c r="T1" s="59"/>
      <c r="U1" s="59"/>
    </row>
    <row ht="15.75" r="2" spans="2:21" thickBot="1" x14ac:dyDescent="0.3">
      <c r="B2" s="5"/>
      <c r="C2" s="94" t="s">
        <v>87</v>
      </c>
      <c r="D2" s="94"/>
      <c r="E2" s="94" t="s">
        <v>83</v>
      </c>
      <c r="F2" s="94"/>
      <c r="G2" s="11"/>
      <c r="H2" s="11"/>
      <c r="I2" s="11"/>
      <c r="L2" s="1"/>
      <c r="M2" s="1"/>
      <c r="N2" s="1"/>
      <c r="O2" s="1"/>
      <c r="R2" s="59"/>
      <c r="S2" s="59"/>
      <c r="T2" s="60" t="s">
        <v>170</v>
      </c>
      <c r="U2" s="60" t="s">
        <v>171</v>
      </c>
    </row>
    <row r="3" spans="2:21" x14ac:dyDescent="0.25">
      <c r="B3" s="32" t="s">
        <v>72</v>
      </c>
      <c r="C3" s="33" t="s">
        <v>48</v>
      </c>
      <c r="D3" s="33" t="s">
        <v>35</v>
      </c>
      <c r="E3" s="33" t="s">
        <v>48</v>
      </c>
      <c r="F3" s="33" t="s">
        <v>35</v>
      </c>
      <c r="G3" s="33" t="s">
        <v>84</v>
      </c>
      <c r="H3" s="33" t="s">
        <v>86</v>
      </c>
      <c r="I3" s="33" t="s">
        <v>85</v>
      </c>
      <c r="L3" s="68" t="s">
        <v>88</v>
      </c>
      <c r="M3" s="68" t="s">
        <v>89</v>
      </c>
      <c r="N3" s="69" t="s">
        <v>91</v>
      </c>
      <c r="O3" s="70" t="s">
        <v>195</v>
      </c>
      <c r="R3" s="66">
        <f>WorkTourTime!B11</f>
        <v>11</v>
      </c>
      <c r="S3" s="66" t="str">
        <f>WorkTourTime!C11</f>
        <v>arr3-5</v>
      </c>
      <c r="T3" s="66">
        <f>VLOOKUP(R3,WorkTourTime!$B$11:$E$84,4,FALSE)</f>
        <v>-2.3394698170399999</v>
      </c>
      <c r="U3" s="67">
        <f>_xlfn.IFNA(VLOOKUP(R3,$L$3:$N$45,3,FALSE),T3)</f>
        <v>-2.175930947828066</v>
      </c>
    </row>
    <row r="4" spans="2:21" x14ac:dyDescent="0.25">
      <c r="B4" t="s">
        <v>73</v>
      </c>
      <c r="C4" s="29">
        <f>SUM(Departure_Time!B9:B16)</f>
        <v>8189.7792083088389</v>
      </c>
      <c r="D4" s="29">
        <f>SUM(Departure_Time!I9:I16)</f>
        <v>14336.210803985596</v>
      </c>
      <c r="E4" s="30">
        <f>C4/C$14</f>
        <v>1.1636694796651382E-2</v>
      </c>
      <c r="F4" s="30">
        <f>D4/D$14</f>
        <v>1.9732311852853946E-2</v>
      </c>
      <c r="G4" s="6">
        <f>E4/F4</f>
        <v>0.58972789825274985</v>
      </c>
      <c r="H4" s="6">
        <f ref="H4:H13" si="0" t="shared">$F$1</f>
        <v>1</v>
      </c>
      <c r="I4" s="31">
        <f>H4*(LN(G4)-LN($G$8))</f>
        <v>-0.62870427669193529</v>
      </c>
      <c r="L4" s="71">
        <v>21</v>
      </c>
      <c r="M4" s="72">
        <f ref="M4:M13" si="1" t="shared">VLOOKUP(L4,$R$3:$U$64,3,FALSE)</f>
        <v>-2.7576260000000001</v>
      </c>
      <c r="N4" s="73">
        <f>I4+M4</f>
        <v>-3.3863302766919352</v>
      </c>
      <c r="O4" s="71" t="str">
        <f>CONCATENATE("Departure ",B4)</f>
        <v>Departure 3-7 am</v>
      </c>
      <c r="R4" s="66">
        <f>WorkTourTime!B12</f>
        <v>12</v>
      </c>
      <c r="S4" s="66" t="str">
        <f>WorkTourTime!C12</f>
        <v>arr=6</v>
      </c>
      <c r="T4" s="66">
        <f>VLOOKUP(R4,WorkTourTime!$B$11:$E$84,4,FALSE)</f>
        <v>-0.67106220384299997</v>
      </c>
      <c r="U4" s="67">
        <f ref="U4:U67" si="2" t="shared">_xlfn.IFNA(VLOOKUP(R4,$L$3:$N$45,3,FALSE),T4)</f>
        <v>-0.544799301442635</v>
      </c>
    </row>
    <row r="5" spans="2:21" x14ac:dyDescent="0.25">
      <c r="B5" t="s">
        <v>74</v>
      </c>
      <c r="C5" s="29">
        <f>SUM(Departure_Time!B17:B22)</f>
        <v>26119.679650211423</v>
      </c>
      <c r="D5" s="29">
        <f>SUM(Departure_Time!I17:I22)</f>
        <v>32645.013327598572</v>
      </c>
      <c r="E5" s="30">
        <f ref="E5:F14" si="3" t="shared">C5/C$14</f>
        <v>3.7112934615801466E-2</v>
      </c>
      <c r="F5" s="30">
        <f si="3" t="shared"/>
        <v>4.4932485454361876E-2</v>
      </c>
      <c r="G5" s="6">
        <f ref="G5:G14" si="4" t="shared">E5/F5</f>
        <v>0.82597110399105866</v>
      </c>
      <c r="H5" s="6">
        <f si="0" t="shared"/>
        <v>1</v>
      </c>
      <c r="I5" s="31">
        <f ref="I5:I13" si="5" t="shared">H5*(LN(G5)-LN($G$8))</f>
        <v>-0.29180572796165605</v>
      </c>
      <c r="L5" s="71">
        <v>22</v>
      </c>
      <c r="M5" s="74">
        <f si="1" t="shared"/>
        <v>-1.6259760000000001</v>
      </c>
      <c r="N5" s="73">
        <f ref="N5:N13" si="6" t="shared">I5+M5</f>
        <v>-1.917781727961656</v>
      </c>
      <c r="O5" s="71" t="str">
        <f ref="O5:O13" si="7" t="shared">CONCATENATE("Departure ",B5)</f>
        <v>Departure 7-10 am</v>
      </c>
      <c r="R5" s="66">
        <f>WorkTourTime!B13</f>
        <v>13</v>
      </c>
      <c r="S5" s="66" t="str">
        <f>WorkTourTime!C13</f>
        <v>arr=7</v>
      </c>
      <c r="T5" s="66">
        <f>VLOOKUP(R5,WorkTourTime!$B$11:$E$84,4,FALSE)</f>
        <v>-1.81869725389E-2</v>
      </c>
      <c r="U5" s="67">
        <f si="2" t="shared"/>
        <v>3.7602125559062116E-2</v>
      </c>
    </row>
    <row r="6" spans="2:21" x14ac:dyDescent="0.25">
      <c r="B6" t="s">
        <v>232</v>
      </c>
      <c r="C6" s="29">
        <f>SUM(Departure_Time!B23:B28)</f>
        <v>77091.186480020056</v>
      </c>
      <c r="D6" s="29">
        <f>SUM(Departure_Time!I23:I28)</f>
        <v>89424.297080039978</v>
      </c>
      <c r="E6" s="30">
        <f si="3" t="shared"/>
        <v>0.10953733742536095</v>
      </c>
      <c r="F6" s="30">
        <f si="3" t="shared"/>
        <v>0.12308329874132747</v>
      </c>
      <c r="G6" s="6">
        <f si="4" t="shared"/>
        <v>0.88994476541911038</v>
      </c>
      <c r="H6" s="6">
        <f si="0" t="shared"/>
        <v>1</v>
      </c>
      <c r="I6" s="31">
        <f si="5" t="shared"/>
        <v>-0.21720611833558082</v>
      </c>
      <c r="L6" s="71">
        <v>23</v>
      </c>
      <c r="M6" s="74">
        <f si="1" t="shared"/>
        <v>-0.57779599999999998</v>
      </c>
      <c r="N6" s="73">
        <f si="6" t="shared"/>
        <v>-0.79500211833558077</v>
      </c>
      <c r="O6" s="71" t="str">
        <f si="7" t="shared"/>
        <v>Departure 10 am-1 pm</v>
      </c>
      <c r="R6" s="66">
        <f>WorkTourTime!B14</f>
        <v>14</v>
      </c>
      <c r="S6" s="66" t="str">
        <f>WorkTourTime!C14</f>
        <v>arr=8</v>
      </c>
      <c r="T6" s="66">
        <f>VLOOKUP(R6,WorkTourTime!$B$11:$E$84,4,FALSE)</f>
        <v>0</v>
      </c>
      <c r="U6" s="67">
        <f si="2" t="shared"/>
        <v>0</v>
      </c>
    </row>
    <row r="7" spans="2:21" x14ac:dyDescent="0.25">
      <c r="B7" t="s">
        <v>76</v>
      </c>
      <c r="C7" s="29">
        <f>SUM(Departure_Time!B29:B32)</f>
        <v>117588.11540640387</v>
      </c>
      <c r="D7" s="29">
        <f>SUM(Departure_Time!I29:I32)</f>
        <v>109477.8620672226</v>
      </c>
      <c r="E7" s="30">
        <f si="3" t="shared"/>
        <v>0.16707862030144999</v>
      </c>
      <c r="F7" s="30">
        <f si="3" t="shared"/>
        <v>0.15068495747102131</v>
      </c>
      <c r="G7" s="6">
        <f si="4" t="shared"/>
        <v>1.1087942891285707</v>
      </c>
      <c r="H7" s="6">
        <f si="0" t="shared"/>
        <v>1</v>
      </c>
      <c r="I7" s="31">
        <f si="5" t="shared"/>
        <v>2.6629601160138849E-3</v>
      </c>
      <c r="L7" s="71">
        <v>24</v>
      </c>
      <c r="M7" s="74">
        <f si="1" t="shared"/>
        <v>-0.45795000000000002</v>
      </c>
      <c r="N7" s="73">
        <f si="6" t="shared"/>
        <v>-0.45528703988398611</v>
      </c>
      <c r="O7" s="71" t="str">
        <f si="7" t="shared"/>
        <v>Departure 1-3 pm</v>
      </c>
      <c r="R7" s="66">
        <f>WorkTourTime!B15</f>
        <v>15</v>
      </c>
      <c r="S7" s="66" t="str">
        <f>WorkTourTime!C15</f>
        <v>arr=9</v>
      </c>
      <c r="T7" s="66">
        <f>VLOOKUP(R7,WorkTourTime!$B$11:$E$84,4,FALSE)</f>
        <v>-0.93649924875500001</v>
      </c>
      <c r="U7" s="67">
        <f si="2" t="shared"/>
        <v>-0.99408936365548417</v>
      </c>
    </row>
    <row r="8" spans="2:21" x14ac:dyDescent="0.25">
      <c r="B8" t="s">
        <v>173</v>
      </c>
      <c r="C8" s="29">
        <f>SUM(Departure_Time!B33:B36)</f>
        <v>222957.57769764558</v>
      </c>
      <c r="D8" s="29">
        <f>SUM(Departure_Time!I33:I36)</f>
        <v>208133.32583904266</v>
      </c>
      <c r="E8" s="30">
        <f si="3" t="shared"/>
        <v>0.31679599880250514</v>
      </c>
      <c r="F8" s="30">
        <f si="3" t="shared"/>
        <v>0.28647400269015888</v>
      </c>
      <c r="G8" s="6">
        <f si="4" t="shared"/>
        <v>1.1058455421001729</v>
      </c>
      <c r="H8" s="6">
        <f si="0" t="shared"/>
        <v>1</v>
      </c>
      <c r="I8" s="31">
        <f si="5" t="shared"/>
        <v>0</v>
      </c>
      <c r="L8" s="71">
        <v>25</v>
      </c>
      <c r="M8" s="74">
        <f si="1" t="shared"/>
        <v>0</v>
      </c>
      <c r="N8" s="73">
        <f si="6" t="shared"/>
        <v>0</v>
      </c>
      <c r="O8" s="71" t="str">
        <f si="7" t="shared"/>
        <v>Departure 3-5 pm</v>
      </c>
      <c r="R8" s="66">
        <f>WorkTourTime!B16</f>
        <v>16</v>
      </c>
      <c r="S8" s="66" t="str">
        <f>WorkTourTime!C16</f>
        <v>arr10-12</v>
      </c>
      <c r="T8" s="66">
        <f>VLOOKUP(R8,WorkTourTime!$B$11:$E$84,4,FALSE)</f>
        <v>-1.77743849575</v>
      </c>
      <c r="U8" s="67">
        <f si="2" t="shared"/>
        <v>-1.8583881433253004</v>
      </c>
    </row>
    <row r="9" spans="2:21" x14ac:dyDescent="0.25">
      <c r="B9" t="s">
        <v>77</v>
      </c>
      <c r="C9" s="29">
        <f>SUM(Departure_Time!B37:B38)</f>
        <v>106586.83102087809</v>
      </c>
      <c r="D9" s="29">
        <f>SUM(Departure_Time!I37:I38)</f>
        <v>105745.82460403442</v>
      </c>
      <c r="E9" s="30">
        <f si="3" t="shared"/>
        <v>0.15144711357711116</v>
      </c>
      <c r="F9" s="30">
        <f si="3" t="shared"/>
        <v>0.14554819378380701</v>
      </c>
      <c r="G9" s="6">
        <f si="4" t="shared"/>
        <v>1.0405289797142123</v>
      </c>
      <c r="H9" s="6">
        <f si="0" t="shared"/>
        <v>1</v>
      </c>
      <c r="I9" s="31">
        <f si="5" t="shared"/>
        <v>-6.0881020643633321E-2</v>
      </c>
      <c r="L9" s="71">
        <v>26</v>
      </c>
      <c r="M9" s="74">
        <f si="1" t="shared"/>
        <v>-5.4146E-2</v>
      </c>
      <c r="N9" s="73">
        <f si="6" t="shared"/>
        <v>-0.11502702064363332</v>
      </c>
      <c r="O9" s="71" t="str">
        <f si="7" t="shared"/>
        <v>Departure 5-6 pm</v>
      </c>
      <c r="R9" s="66">
        <f>WorkTourTime!B17</f>
        <v>17</v>
      </c>
      <c r="S9" s="66" t="str">
        <f>WorkTourTime!C17</f>
        <v>arr13-15</v>
      </c>
      <c r="T9" s="66">
        <f>VLOOKUP(R9,WorkTourTime!$B$11:$E$84,4,FALSE)</f>
        <v>-1.86737256636</v>
      </c>
      <c r="U9" s="67">
        <f si="2" t="shared"/>
        <v>-2.0009483963641657</v>
      </c>
    </row>
    <row r="10" spans="2:21" x14ac:dyDescent="0.25">
      <c r="B10" t="s">
        <v>78</v>
      </c>
      <c r="C10" s="29">
        <f>SUM(Departure_Time!B39:B40)</f>
        <v>66413.112939183891</v>
      </c>
      <c r="D10" s="29">
        <f>SUM(Departure_Time!I39:I40)</f>
        <v>70881.295008659363</v>
      </c>
      <c r="E10" s="30">
        <f si="3" t="shared"/>
        <v>9.4365074577927269E-2</v>
      </c>
      <c r="F10" s="30">
        <f si="3" t="shared"/>
        <v>9.7560773677809534E-2</v>
      </c>
      <c r="G10" s="6">
        <f si="4" t="shared"/>
        <v>0.96724401642779168</v>
      </c>
      <c r="H10" s="6">
        <f si="0" t="shared"/>
        <v>1</v>
      </c>
      <c r="I10" s="31">
        <f si="5" t="shared"/>
        <v>-0.13391471041680364</v>
      </c>
      <c r="L10" s="71">
        <v>27</v>
      </c>
      <c r="M10" s="74">
        <f si="1" t="shared"/>
        <v>-0.85907800000000001</v>
      </c>
      <c r="N10" s="73">
        <f si="6" t="shared"/>
        <v>-0.9929927104168037</v>
      </c>
      <c r="O10" s="71" t="str">
        <f si="7" t="shared"/>
        <v>Departure 6-7 pm</v>
      </c>
      <c r="R10" s="66">
        <f>WorkTourTime!B18</f>
        <v>18</v>
      </c>
      <c r="S10" s="66" t="str">
        <f>WorkTourTime!C18</f>
        <v>arr16-18</v>
      </c>
      <c r="T10" s="66">
        <f>VLOOKUP(R10,WorkTourTime!$B$11:$E$84,4,FALSE)</f>
        <v>-2.26568763106</v>
      </c>
      <c r="U10" s="67">
        <f si="2" t="shared"/>
        <v>-2.3863552181430543</v>
      </c>
    </row>
    <row r="11" spans="2:21" x14ac:dyDescent="0.25">
      <c r="B11" t="s">
        <v>79</v>
      </c>
      <c r="C11" s="29">
        <f>SUM(Departure_Time!B41:B44)</f>
        <v>50083.504979902675</v>
      </c>
      <c r="D11" s="29">
        <f>SUM(Departure_Time!I41:I44)</f>
        <v>57078.244390487671</v>
      </c>
      <c r="E11" s="30">
        <f si="3" t="shared"/>
        <v>7.1162658598465989E-2</v>
      </c>
      <c r="F11" s="30">
        <f si="3" t="shared"/>
        <v>7.8562301693652317E-2</v>
      </c>
      <c r="G11" s="6">
        <f si="4" t="shared"/>
        <v>0.90581178331509848</v>
      </c>
      <c r="H11" s="6">
        <f si="0" t="shared"/>
        <v>1</v>
      </c>
      <c r="I11" s="31">
        <f si="5" t="shared"/>
        <v>-0.19953397803329886</v>
      </c>
      <c r="L11" s="71">
        <v>28</v>
      </c>
      <c r="M11" s="74">
        <f si="1" t="shared"/>
        <v>-1.93876</v>
      </c>
      <c r="N11" s="73">
        <f si="6" t="shared"/>
        <v>-2.1382939780332988</v>
      </c>
      <c r="O11" s="71" t="str">
        <f si="7" t="shared"/>
        <v>Departure 7-9 pm</v>
      </c>
      <c r="R11" s="66">
        <f>WorkTourTime!B19</f>
        <v>19</v>
      </c>
      <c r="S11" s="66" t="str">
        <f>WorkTourTime!C19</f>
        <v>arr19-21</v>
      </c>
      <c r="T11" s="66">
        <f>VLOOKUP(R11,WorkTourTime!$B$11:$E$84,4,FALSE)</f>
        <v>-3.1613092691400002</v>
      </c>
      <c r="U11" s="67">
        <f si="2" t="shared"/>
        <v>-3.7046604194456831</v>
      </c>
    </row>
    <row r="12" spans="2:21" x14ac:dyDescent="0.25">
      <c r="B12" t="s">
        <v>80</v>
      </c>
      <c r="C12" s="29">
        <f>SUM(Departure_Time!B45:B50)</f>
        <v>23922.973024018673</v>
      </c>
      <c r="D12" s="29">
        <f>SUM(Departure_Time!I45:I50)</f>
        <v>27755.465531349182</v>
      </c>
      <c r="E12" s="30">
        <f si="3" t="shared"/>
        <v>3.3991677752020236E-2</v>
      </c>
      <c r="F12" s="30">
        <f si="3" t="shared"/>
        <v>3.8202528476594444E-2</v>
      </c>
      <c r="G12" s="6">
        <f si="4" t="shared"/>
        <v>0.88977560144601231</v>
      </c>
      <c r="H12" s="6">
        <f si="0" t="shared"/>
        <v>1</v>
      </c>
      <c r="I12" s="31">
        <f si="5" t="shared"/>
        <v>-0.21739622008050324</v>
      </c>
      <c r="L12" s="71">
        <v>29</v>
      </c>
      <c r="M12" s="74">
        <f si="1" t="shared"/>
        <v>-1.9554069999999999</v>
      </c>
      <c r="N12" s="73">
        <f si="6" t="shared"/>
        <v>-2.1728032200805032</v>
      </c>
      <c r="O12" s="71" t="str">
        <f si="7" t="shared"/>
        <v>Departure 9-12 pm</v>
      </c>
      <c r="R12" s="66">
        <f>WorkTourTime!B20</f>
        <v>20</v>
      </c>
      <c r="S12" s="66" t="str">
        <f>WorkTourTime!C20</f>
        <v>arr22-26</v>
      </c>
      <c r="T12" s="66">
        <f>VLOOKUP(R12,WorkTourTime!$B$11:$E$84,4,FALSE)</f>
        <v>-4.1209548115799999</v>
      </c>
      <c r="U12" s="67">
        <f si="2" t="shared"/>
        <v>-5.6713542022340784</v>
      </c>
    </row>
    <row r="13" spans="2:21" x14ac:dyDescent="0.25">
      <c r="B13" s="23" t="s">
        <v>81</v>
      </c>
      <c r="C13" s="34">
        <f>SUM(Departure_Time!B51:B57)+Departure_Time!B8</f>
        <v>4836.3611114684163</v>
      </c>
      <c r="D13" s="34">
        <f>SUM(Departure_Time!I51:I57)+Departure_Time!I8</f>
        <v>11057.238969802856</v>
      </c>
      <c r="E13" s="35">
        <f si="3" t="shared"/>
        <v>6.871889552706646E-3</v>
      </c>
      <c r="F13" s="35">
        <f si="3" t="shared"/>
        <v>1.5219146158413219E-2</v>
      </c>
      <c r="G13" s="22">
        <f si="4" t="shared"/>
        <v>0.45152924357112056</v>
      </c>
      <c r="H13" s="6">
        <f si="0" t="shared"/>
        <v>1</v>
      </c>
      <c r="I13" s="31">
        <f si="5" t="shared"/>
        <v>-0.89572537723525347</v>
      </c>
      <c r="L13" s="75">
        <v>30</v>
      </c>
      <c r="M13" s="75">
        <f si="1" t="shared"/>
        <v>-3.4381330000000001</v>
      </c>
      <c r="N13" s="76">
        <f si="6" t="shared"/>
        <v>-4.3338583772352539</v>
      </c>
      <c r="O13" s="75" t="str">
        <f si="7" t="shared"/>
        <v>Departure 12-3 am</v>
      </c>
      <c r="R13" s="66">
        <f>WorkTourTime!B21</f>
        <v>21</v>
      </c>
      <c r="S13" s="66" t="str">
        <f>WorkTourTime!C21</f>
        <v>dep3-6</v>
      </c>
      <c r="T13" s="66">
        <f>VLOOKUP(R13,WorkTourTime!$B$11:$E$84,4,FALSE)</f>
        <v>-2.7576260000000001</v>
      </c>
      <c r="U13" s="67">
        <f si="2" t="shared"/>
        <v>-3.3863302766919352</v>
      </c>
    </row>
    <row ht="15.75" r="14" spans="2:21" thickBot="1" x14ac:dyDescent="0.3">
      <c r="B14" s="39" t="s">
        <v>82</v>
      </c>
      <c r="C14" s="40">
        <f>SUM(C4:C13)</f>
        <v>703789.12151804136</v>
      </c>
      <c r="D14" s="40">
        <f>SUM(D4:D13)</f>
        <v>726534.7776222229</v>
      </c>
      <c r="E14" s="41">
        <f si="3" t="shared"/>
        <v>1</v>
      </c>
      <c r="F14" s="41">
        <f si="3" t="shared"/>
        <v>1</v>
      </c>
      <c r="G14" s="42">
        <f si="4" t="shared"/>
        <v>1</v>
      </c>
      <c r="H14" s="42"/>
      <c r="I14" s="43"/>
      <c r="R14" s="66">
        <f>WorkTourTime!B22</f>
        <v>22</v>
      </c>
      <c r="S14" s="66" t="str">
        <f>WorkTourTime!C22</f>
        <v>dep7-9</v>
      </c>
      <c r="T14" s="66">
        <f>VLOOKUP(R14,WorkTourTime!$B$11:$E$84,4,FALSE)</f>
        <v>-1.6259760000000001</v>
      </c>
      <c r="U14" s="67">
        <f si="2" t="shared"/>
        <v>-1.917781727961656</v>
      </c>
    </row>
    <row r="15" spans="2:21" x14ac:dyDescent="0.25">
      <c r="R15" s="66">
        <f>WorkTourTime!B23</f>
        <v>23</v>
      </c>
      <c r="S15" s="66" t="str">
        <f>WorkTourTime!C23</f>
        <v>dep10-12</v>
      </c>
      <c r="T15" s="66">
        <f>VLOOKUP(R15,WorkTourTime!$B$11:$E$84,4,FALSE)</f>
        <v>-0.57779599999999998</v>
      </c>
      <c r="U15" s="67">
        <f si="2" t="shared"/>
        <v>-0.79500211833558077</v>
      </c>
    </row>
    <row r="16" spans="2:21" x14ac:dyDescent="0.25">
      <c r="R16" s="66">
        <f>WorkTourTime!B24</f>
        <v>24</v>
      </c>
      <c r="S16" s="66" t="str">
        <f>WorkTourTime!C24</f>
        <v>dep13-14</v>
      </c>
      <c r="T16" s="66">
        <f>VLOOKUP(R16,WorkTourTime!$B$11:$E$84,4,FALSE)</f>
        <v>-0.45795000000000002</v>
      </c>
      <c r="U16" s="67">
        <f si="2" t="shared"/>
        <v>-0.45528703988398611</v>
      </c>
    </row>
    <row ht="15.75" r="17" spans="2:21" thickBot="1" x14ac:dyDescent="0.3">
      <c r="B17" s="37" t="s">
        <v>233</v>
      </c>
      <c r="C17" s="1"/>
      <c r="D17" s="1"/>
      <c r="E17" s="1" t="s">
        <v>86</v>
      </c>
      <c r="F17" s="38">
        <v>1</v>
      </c>
      <c r="G17" s="1"/>
      <c r="H17" s="1"/>
      <c r="I17" s="1"/>
      <c r="R17" s="66">
        <f>WorkTourTime!B25</f>
        <v>25</v>
      </c>
      <c r="S17" s="66" t="str">
        <f>WorkTourTime!C25</f>
        <v>dep=16</v>
      </c>
      <c r="T17" s="66">
        <f>VLOOKUP(R17,WorkTourTime!$B$11:$E$84,4,FALSE)</f>
        <v>0</v>
      </c>
      <c r="U17" s="67">
        <f si="2" t="shared"/>
        <v>0</v>
      </c>
    </row>
    <row ht="15.75" r="18" spans="2:21" thickBot="1" x14ac:dyDescent="0.3">
      <c r="B18" s="5"/>
      <c r="C18" s="94" t="s">
        <v>87</v>
      </c>
      <c r="D18" s="94"/>
      <c r="E18" s="94" t="s">
        <v>83</v>
      </c>
      <c r="F18" s="94"/>
      <c r="G18" s="11"/>
      <c r="H18" s="11"/>
      <c r="I18" s="11"/>
      <c r="L18" s="1"/>
      <c r="M18" s="1"/>
      <c r="N18" s="1"/>
      <c r="O18" s="1"/>
      <c r="R18" s="66">
        <f>WorkTourTime!B26</f>
        <v>26</v>
      </c>
      <c r="S18" s="66" t="str">
        <f>WorkTourTime!C26</f>
        <v>dep=17</v>
      </c>
      <c r="T18" s="66">
        <f>VLOOKUP(R18,WorkTourTime!$B$11:$E$84,4,FALSE)</f>
        <v>-5.4146E-2</v>
      </c>
      <c r="U18" s="67">
        <f si="2" t="shared"/>
        <v>-0.11502702064363332</v>
      </c>
    </row>
    <row r="19" spans="2:21" x14ac:dyDescent="0.25">
      <c r="B19" s="32" t="s">
        <v>72</v>
      </c>
      <c r="C19" s="33" t="s">
        <v>48</v>
      </c>
      <c r="D19" s="33" t="s">
        <v>35</v>
      </c>
      <c r="E19" s="33" t="s">
        <v>48</v>
      </c>
      <c r="F19" s="33" t="s">
        <v>35</v>
      </c>
      <c r="G19" s="33" t="s">
        <v>84</v>
      </c>
      <c r="H19" s="33" t="s">
        <v>86</v>
      </c>
      <c r="I19" s="65" t="s">
        <v>85</v>
      </c>
      <c r="L19" s="68" t="s">
        <v>88</v>
      </c>
      <c r="M19" s="68" t="s">
        <v>89</v>
      </c>
      <c r="N19" s="69" t="s">
        <v>91</v>
      </c>
      <c r="O19" s="70" t="s">
        <v>195</v>
      </c>
      <c r="R19" s="66">
        <f>WorkTourTime!B27</f>
        <v>27</v>
      </c>
      <c r="S19" s="66" t="str">
        <f>WorkTourTime!C27</f>
        <v>dep=18</v>
      </c>
      <c r="T19" s="66">
        <f>VLOOKUP(R19,WorkTourTime!$B$11:$E$84,4,FALSE)</f>
        <v>-0.85907800000000001</v>
      </c>
      <c r="U19" s="67">
        <f si="2" t="shared"/>
        <v>-0.9929927104168037</v>
      </c>
    </row>
    <row r="20" spans="2:21" x14ac:dyDescent="0.25">
      <c r="B20" t="s">
        <v>224</v>
      </c>
      <c r="C20" s="29">
        <f>SUM(Arrival_Time!B9:B14)</f>
        <v>65613.654919303546</v>
      </c>
      <c r="D20" s="29">
        <f>SUM(Arrival_Time!I9:I14)</f>
        <v>56501.436138153076</v>
      </c>
      <c r="E20" s="30">
        <f>C20/C$14</f>
        <v>9.3229140538259328E-2</v>
      </c>
      <c r="F20" s="30">
        <f>D20/D$14</f>
        <v>7.776838477446181E-2</v>
      </c>
      <c r="G20" s="6">
        <f>E20/F20</f>
        <v>1.1988051546735305</v>
      </c>
      <c r="H20" s="6">
        <f ref="H20:H29" si="8" t="shared">$F$1</f>
        <v>1</v>
      </c>
      <c r="I20" s="62">
        <f>H20*(LN(G20)-LN($G$23))</f>
        <v>0.163538869211934</v>
      </c>
      <c r="L20" s="71">
        <v>11</v>
      </c>
      <c r="M20" s="72">
        <f ref="M20:M29" si="9" t="shared">VLOOKUP(L20,$R$3:$U$64,3,FALSE)</f>
        <v>-2.3394698170399999</v>
      </c>
      <c r="N20" s="73">
        <f>I20+M20</f>
        <v>-2.175930947828066</v>
      </c>
      <c r="O20" s="72" t="str">
        <f>CONCATENATE("Arrival ",B20)</f>
        <v>Arrival 3-6 am</v>
      </c>
      <c r="R20" s="66">
        <f>WorkTourTime!B28</f>
        <v>28</v>
      </c>
      <c r="S20" s="66" t="str">
        <f>WorkTourTime!C28</f>
        <v>dep19-20</v>
      </c>
      <c r="T20" s="66">
        <f>VLOOKUP(R20,WorkTourTime!$B$11:$E$84,4,FALSE)</f>
        <v>-1.93876</v>
      </c>
      <c r="U20" s="67">
        <f si="2" t="shared"/>
        <v>-2.1382939780332988</v>
      </c>
    </row>
    <row r="21" spans="2:21" x14ac:dyDescent="0.25">
      <c r="B21" t="s">
        <v>225</v>
      </c>
      <c r="C21" s="29">
        <f>SUM(Arrival_Time!B15:B16)</f>
        <v>92521.101848061095</v>
      </c>
      <c r="D21" s="29">
        <f>SUM(Arrival_Time!I15:I16)</f>
        <v>82697.960562705994</v>
      </c>
      <c r="E21" s="30">
        <f ref="E21:E30" si="10" t="shared">C21/C$14</f>
        <v>0.13146139805130441</v>
      </c>
      <c r="F21" s="30">
        <f ref="F21:F30" si="11" t="shared">D21/D$14</f>
        <v>0.11382519200712859</v>
      </c>
      <c r="G21" s="6">
        <f ref="G21:G30" si="12" t="shared">E21/F21</f>
        <v>1.1549411490829842</v>
      </c>
      <c r="H21" s="6">
        <f si="8" t="shared"/>
        <v>1</v>
      </c>
      <c r="I21" s="63">
        <f ref="I21:I29" si="13" t="shared">H21*(LN(G21)-LN($G$23))</f>
        <v>0.12626290240036495</v>
      </c>
      <c r="L21" s="71">
        <v>12</v>
      </c>
      <c r="M21" s="74">
        <f si="9" t="shared"/>
        <v>-0.67106220384299997</v>
      </c>
      <c r="N21" s="73">
        <f ref="N21:N29" si="14" t="shared">I21+M21</f>
        <v>-0.544799301442635</v>
      </c>
      <c r="O21" s="74" t="str">
        <f ref="O21:O29" si="15" t="shared">CONCATENATE("Arrival ",B21)</f>
        <v>Arrival 6-7 am</v>
      </c>
      <c r="R21" s="66">
        <f>WorkTourTime!B29</f>
        <v>29</v>
      </c>
      <c r="S21" s="66" t="str">
        <f>WorkTourTime!C29</f>
        <v>dep21-23</v>
      </c>
      <c r="T21" s="66">
        <f>VLOOKUP(R21,WorkTourTime!$B$11:$E$84,4,FALSE)</f>
        <v>-1.9554069999999999</v>
      </c>
      <c r="U21" s="67">
        <f si="2" t="shared"/>
        <v>-2.1728032200805032</v>
      </c>
    </row>
    <row r="22" spans="2:21" x14ac:dyDescent="0.25">
      <c r="B22" t="s">
        <v>226</v>
      </c>
      <c r="C22" s="29">
        <f>SUM(Arrival_Time!B17:B18)</f>
        <v>133062.1411981656</v>
      </c>
      <c r="D22" s="29">
        <f>SUM(Arrival_Time!I17:I18)</f>
        <v>127618.87012004852</v>
      </c>
      <c r="E22" s="30">
        <f si="10" t="shared"/>
        <v>0.18906535655333315</v>
      </c>
      <c r="F22" s="30">
        <f si="11" t="shared"/>
        <v>0.17565417933290819</v>
      </c>
      <c r="G22" s="6">
        <f si="12" t="shared"/>
        <v>1.0763498897171553</v>
      </c>
      <c r="H22" s="6">
        <f si="8" t="shared"/>
        <v>1</v>
      </c>
      <c r="I22" s="63">
        <f si="13" t="shared"/>
        <v>5.578909809796212E-2</v>
      </c>
      <c r="L22" s="71">
        <v>13</v>
      </c>
      <c r="M22" s="74">
        <f si="9" t="shared"/>
        <v>-1.81869725389E-2</v>
      </c>
      <c r="N22" s="73">
        <f si="14" t="shared"/>
        <v>3.7602125559062116E-2</v>
      </c>
      <c r="O22" s="74" t="str">
        <f si="15" t="shared"/>
        <v>Arrival 7-8 am</v>
      </c>
      <c r="R22" s="66">
        <f>WorkTourTime!B30</f>
        <v>30</v>
      </c>
      <c r="S22" s="66" t="str">
        <f>WorkTourTime!C30</f>
        <v>dep24-26</v>
      </c>
      <c r="T22" s="66">
        <f>VLOOKUP(R22,WorkTourTime!$B$11:$E$84,4,FALSE)</f>
        <v>-3.4381330000000001</v>
      </c>
      <c r="U22" s="67">
        <f si="2" t="shared"/>
        <v>-4.3338583772352539</v>
      </c>
    </row>
    <row r="23" spans="2:21" x14ac:dyDescent="0.25">
      <c r="B23" t="s">
        <v>227</v>
      </c>
      <c r="C23" s="29">
        <f>SUM(Arrival_Time!B19:B20)</f>
        <v>131869.01166845422</v>
      </c>
      <c r="D23" s="29">
        <f>SUM(Arrival_Time!I19:I20)</f>
        <v>133730.98278999329</v>
      </c>
      <c r="E23" s="30">
        <f si="10" t="shared"/>
        <v>0.18737006247555904</v>
      </c>
      <c r="F23" s="30">
        <f si="11" t="shared"/>
        <v>0.18406687044997802</v>
      </c>
      <c r="G23" s="6">
        <f si="12" t="shared"/>
        <v>1.0179456086665997</v>
      </c>
      <c r="H23" s="6">
        <f si="8" t="shared"/>
        <v>1</v>
      </c>
      <c r="I23" s="63">
        <f si="13" t="shared"/>
        <v>0</v>
      </c>
      <c r="L23" s="71">
        <v>14</v>
      </c>
      <c r="M23" s="74">
        <f si="9" t="shared"/>
        <v>0</v>
      </c>
      <c r="N23" s="73">
        <f si="14" t="shared"/>
        <v>0</v>
      </c>
      <c r="O23" s="74" t="str">
        <f si="15" t="shared"/>
        <v>Arrival 8-9 am</v>
      </c>
      <c r="R23" s="89">
        <f>WorkTourTime!B31</f>
        <v>31</v>
      </c>
      <c r="S23" s="89" t="str">
        <f>WorkTourTime!C31</f>
        <v>dur0-2</v>
      </c>
      <c r="T23" s="89">
        <f>VLOOKUP(R23,WorkTourTime!$B$11:$E$84,4,FALSE)</f>
        <v>0.94328400000000001</v>
      </c>
      <c r="U23" s="91">
        <f si="2" t="shared"/>
        <v>0.98771359847846263</v>
      </c>
    </row>
    <row r="24" spans="2:21" x14ac:dyDescent="0.25">
      <c r="B24" t="s">
        <v>228</v>
      </c>
      <c r="C24" s="29">
        <f>SUM(Arrival_Time!B21:B22)</f>
        <v>91507.497074743063</v>
      </c>
      <c r="D24" s="29">
        <f>SUM(Arrival_Time!I21:I22)</f>
        <v>98300.795130729675</v>
      </c>
      <c r="E24" s="30">
        <f si="10" t="shared"/>
        <v>0.13002118713822333</v>
      </c>
      <c r="F24" s="30">
        <f si="11" t="shared"/>
        <v>0.1353008805062918</v>
      </c>
      <c r="G24" s="6">
        <f si="12" t="shared"/>
        <v>0.960978130014291</v>
      </c>
      <c r="H24" s="6">
        <f si="8" t="shared"/>
        <v>1</v>
      </c>
      <c r="I24" s="63">
        <f si="13" t="shared"/>
        <v>-5.7590114900484185E-2</v>
      </c>
      <c r="L24" s="71">
        <v>15</v>
      </c>
      <c r="M24" s="74">
        <f si="9" t="shared"/>
        <v>-0.93649924875500001</v>
      </c>
      <c r="N24" s="73">
        <f si="14" t="shared"/>
        <v>-0.99408936365548417</v>
      </c>
      <c r="O24" s="74" t="str">
        <f si="15" t="shared"/>
        <v>Arrival 9-10 am</v>
      </c>
      <c r="R24" s="89">
        <f>WorkTourTime!B32</f>
        <v>32</v>
      </c>
      <c r="S24" s="89" t="str">
        <f>WorkTourTime!C32</f>
        <v>dur3-4</v>
      </c>
      <c r="T24" s="89">
        <f>VLOOKUP(R24,WorkTourTime!$B$11:$E$84,4,FALSE)</f>
        <v>1.0836619999999999</v>
      </c>
      <c r="U24" s="91">
        <f si="2" t="shared"/>
        <v>0.75153896174123835</v>
      </c>
    </row>
    <row r="25" spans="2:21" x14ac:dyDescent="0.25">
      <c r="B25" t="s">
        <v>232</v>
      </c>
      <c r="C25" s="29">
        <f>SUM(Arrival_Time!B23:B28)</f>
        <v>103996.06736387902</v>
      </c>
      <c r="D25" s="29">
        <f>SUM(Arrival_Time!I23:I28)</f>
        <v>114356.85075283051</v>
      </c>
      <c r="E25" s="30">
        <f si="10" t="shared"/>
        <v>0.14776594889611849</v>
      </c>
      <c r="F25" s="30">
        <f si="11" t="shared"/>
        <v>0.15740038092476938</v>
      </c>
      <c r="G25" s="6">
        <f si="12" t="shared"/>
        <v>0.93879028772328244</v>
      </c>
      <c r="H25" s="6">
        <f si="8" t="shared"/>
        <v>1</v>
      </c>
      <c r="I25" s="63">
        <f si="13" t="shared"/>
        <v>-8.0949647575300404E-2</v>
      </c>
      <c r="L25" s="71">
        <v>16</v>
      </c>
      <c r="M25" s="74">
        <f si="9" t="shared"/>
        <v>-1.77743849575</v>
      </c>
      <c r="N25" s="73">
        <f si="14" t="shared"/>
        <v>-1.8583881433253004</v>
      </c>
      <c r="O25" s="74" t="str">
        <f si="15" t="shared"/>
        <v>Arrival 10 am-1 pm</v>
      </c>
      <c r="R25" s="89">
        <f>WorkTourTime!B33</f>
        <v>33</v>
      </c>
      <c r="S25" s="89" t="str">
        <f>WorkTourTime!C33</f>
        <v>dur5-6</v>
      </c>
      <c r="T25" s="89">
        <f>VLOOKUP(R25,WorkTourTime!$B$11:$E$84,4,FALSE)</f>
        <v>0.42832700000000001</v>
      </c>
      <c r="U25" s="91">
        <f si="2" t="shared"/>
        <v>0.30878596974093042</v>
      </c>
    </row>
    <row r="26" spans="2:21" x14ac:dyDescent="0.25">
      <c r="B26" t="s">
        <v>229</v>
      </c>
      <c r="C26" s="29">
        <f>SUM(Arrival_Time!B29:B34)</f>
        <v>47477.588084243165</v>
      </c>
      <c r="D26" s="29">
        <f>SUM(Arrival_Time!I29:I34)</f>
        <v>55028.690614700317</v>
      </c>
      <c r="E26" s="30">
        <f si="10" t="shared"/>
        <v>6.7459962981292115E-2</v>
      </c>
      <c r="F26" s="30">
        <f si="11" t="shared"/>
        <v>7.5741302838655919E-2</v>
      </c>
      <c r="G26" s="6">
        <f si="12" t="shared"/>
        <v>0.89066282798165342</v>
      </c>
      <c r="H26" s="6">
        <f si="8" t="shared"/>
        <v>1</v>
      </c>
      <c r="I26" s="63">
        <f si="13" t="shared"/>
        <v>-0.13357583000416559</v>
      </c>
      <c r="L26" s="71">
        <v>17</v>
      </c>
      <c r="M26" s="74">
        <f si="9" t="shared"/>
        <v>-1.86737256636</v>
      </c>
      <c r="N26" s="73">
        <f si="14" t="shared"/>
        <v>-2.0009483963641657</v>
      </c>
      <c r="O26" s="74" t="str">
        <f si="15" t="shared"/>
        <v>Arrival 1-4 pm</v>
      </c>
      <c r="R26" s="89">
        <f>WorkTourTime!B34</f>
        <v>34</v>
      </c>
      <c r="S26" s="89" t="str">
        <f>WorkTourTime!C34</f>
        <v>dur7-8</v>
      </c>
      <c r="T26" s="89">
        <f>VLOOKUP(R26,WorkTourTime!$B$11:$E$84,4,FALSE)</f>
        <v>0.61578100000000002</v>
      </c>
      <c r="U26" s="91">
        <f si="2" t="shared"/>
        <v>0.61578100000000002</v>
      </c>
    </row>
    <row r="27" spans="2:21" x14ac:dyDescent="0.25">
      <c r="B27" t="s">
        <v>230</v>
      </c>
      <c r="C27" s="29">
        <f>SUM(Arrival_Time!B35:B40)</f>
        <v>24473.52208851563</v>
      </c>
      <c r="D27" s="29">
        <f>SUM(Arrival_Time!I35:I40)</f>
        <v>28002.127404212952</v>
      </c>
      <c r="E27" s="30">
        <f si="10" t="shared"/>
        <v>3.4773941995192181E-2</v>
      </c>
      <c r="F27" s="30">
        <f si="11" t="shared"/>
        <v>3.8542033040534295E-2</v>
      </c>
      <c r="G27" s="6">
        <f si="12" t="shared"/>
        <v>0.90223424277128172</v>
      </c>
      <c r="H27" s="6">
        <f si="8" t="shared"/>
        <v>1</v>
      </c>
      <c r="I27" s="63">
        <f si="13" t="shared"/>
        <v>-0.12066758708305407</v>
      </c>
      <c r="L27" s="71">
        <v>18</v>
      </c>
      <c r="M27" s="74">
        <f si="9" t="shared"/>
        <v>-2.26568763106</v>
      </c>
      <c r="N27" s="73">
        <f si="14" t="shared"/>
        <v>-2.3863552181430543</v>
      </c>
      <c r="O27" s="74" t="str">
        <f si="15" t="shared"/>
        <v>Arrival 4-7 pm</v>
      </c>
      <c r="R27" s="89">
        <f>WorkTourTime!B35</f>
        <v>35</v>
      </c>
      <c r="S27" s="89" t="str">
        <f>WorkTourTime!C35</f>
        <v>dur=9</v>
      </c>
      <c r="T27" s="89">
        <f>VLOOKUP(R27,WorkTourTime!$B$11:$E$84,4,FALSE)</f>
        <v>-0.111499</v>
      </c>
      <c r="U27" s="91">
        <f si="2" t="shared"/>
        <v>-0.23279372181260283</v>
      </c>
    </row>
    <row r="28" spans="2:21" x14ac:dyDescent="0.25">
      <c r="B28" t="s">
        <v>79</v>
      </c>
      <c r="C28" s="29">
        <f>SUM(Arrival_Time!B41:B44)</f>
        <v>5586.2002666689832</v>
      </c>
      <c r="D28" s="29">
        <f>SUM(Arrival_Time!I41:I44)</f>
        <v>9753.9425325393677</v>
      </c>
      <c r="E28" s="30">
        <f si="10" t="shared"/>
        <v>7.9373211319603825E-3</v>
      </c>
      <c r="F28" s="30">
        <f si="11" t="shared"/>
        <v>1.3425293369247544E-2</v>
      </c>
      <c r="G28" s="6">
        <f si="12" t="shared"/>
        <v>0.59122142910797715</v>
      </c>
      <c r="H28" s="6">
        <f si="8" t="shared"/>
        <v>1</v>
      </c>
      <c r="I28" s="63">
        <f si="13" t="shared"/>
        <v>-0.54335115030568304</v>
      </c>
      <c r="L28" s="71">
        <v>19</v>
      </c>
      <c r="M28" s="74">
        <f si="9" t="shared"/>
        <v>-3.1613092691400002</v>
      </c>
      <c r="N28" s="73">
        <f si="14" t="shared"/>
        <v>-3.7046604194456831</v>
      </c>
      <c r="O28" s="74" t="str">
        <f si="15" t="shared"/>
        <v>Arrival 7-9 pm</v>
      </c>
      <c r="R28" s="89">
        <f>WorkTourTime!B36</f>
        <v>36</v>
      </c>
      <c r="S28" s="89" t="str">
        <f>WorkTourTime!C36</f>
        <v>dur=10</v>
      </c>
      <c r="T28" s="89">
        <f>VLOOKUP(R28,WorkTourTime!$B$11:$E$84,4,FALSE)</f>
        <v>-1.2529269999999999</v>
      </c>
      <c r="U28" s="91">
        <f si="2" t="shared"/>
        <v>-1.5846102217326843</v>
      </c>
    </row>
    <row r="29" spans="2:21" x14ac:dyDescent="0.25">
      <c r="B29" s="23" t="s">
        <v>231</v>
      </c>
      <c r="C29" s="34">
        <f>SUM(Arrival_Time!B45:B57)+Arrival_Time!B8</f>
        <v>1932.1925021001109</v>
      </c>
      <c r="D29" s="34">
        <f>SUM(Arrival_Time!I45:I57)+Arrival_Time!I8</f>
        <v>9235.694899559021</v>
      </c>
      <c r="E29" s="35">
        <f si="10" t="shared"/>
        <v>2.7454139926636817E-3</v>
      </c>
      <c r="F29" s="35">
        <f si="11" t="shared"/>
        <v>1.2711979087615425E-2</v>
      </c>
      <c r="G29" s="22">
        <f si="12" t="shared"/>
        <v>0.21597061903117712</v>
      </c>
      <c r="H29" s="6">
        <f si="8" t="shared"/>
        <v>1</v>
      </c>
      <c r="I29" s="36">
        <f si="13" t="shared"/>
        <v>-1.5503993906540787</v>
      </c>
      <c r="L29" s="75">
        <v>20</v>
      </c>
      <c r="M29" s="75">
        <f si="9" t="shared"/>
        <v>-4.1209548115799999</v>
      </c>
      <c r="N29" s="76">
        <f si="14" t="shared"/>
        <v>-5.6713542022340784</v>
      </c>
      <c r="O29" s="75" t="str">
        <f si="15" t="shared"/>
        <v>Arrival 9 pm-3 am</v>
      </c>
      <c r="R29" s="89">
        <f>WorkTourTime!B37</f>
        <v>37</v>
      </c>
      <c r="S29" s="89" t="str">
        <f>WorkTourTime!C37</f>
        <v>dur=11</v>
      </c>
      <c r="T29" s="89">
        <f>VLOOKUP(R29,WorkTourTime!$B$11:$E$84,4,FALSE)</f>
        <v>-2.4258410000000001</v>
      </c>
      <c r="U29" s="91">
        <f si="2" t="shared"/>
        <v>-2.9581354772540127</v>
      </c>
    </row>
    <row ht="15.75" r="30" spans="2:21" thickBot="1" x14ac:dyDescent="0.3">
      <c r="B30" s="39" t="s">
        <v>82</v>
      </c>
      <c r="C30" s="40">
        <f>SUM(C20:C29)</f>
        <v>698038.97701413452</v>
      </c>
      <c r="D30" s="40">
        <f>SUM(D20:D29)</f>
        <v>715227.35094547272</v>
      </c>
      <c r="E30" s="41">
        <f si="10" t="shared"/>
        <v>0.99182973375390626</v>
      </c>
      <c r="F30" s="41">
        <f si="11" t="shared"/>
        <v>0.98443649633159103</v>
      </c>
      <c r="G30" s="42">
        <f si="12" t="shared"/>
        <v>1.0075101212214961</v>
      </c>
      <c r="H30" s="42"/>
      <c r="I30" s="1"/>
      <c r="R30" s="89">
        <f>WorkTourTime!B38</f>
        <v>38</v>
      </c>
      <c r="S30" s="89" t="str">
        <f>WorkTourTime!C38</f>
        <v>dur12-13</v>
      </c>
      <c r="T30" s="89">
        <f>VLOOKUP(R30,WorkTourTime!$B$11:$E$84,4,FALSE)</f>
        <v>-3.6496620000000002</v>
      </c>
      <c r="U30" s="91">
        <f si="2" t="shared"/>
        <v>-4.2806071784468536</v>
      </c>
    </row>
    <row r="31" spans="2:21" x14ac:dyDescent="0.25">
      <c r="R31" s="89">
        <f>WorkTourTime!B39</f>
        <v>39</v>
      </c>
      <c r="S31" s="89" t="str">
        <f>WorkTourTime!C39</f>
        <v>dur14-17</v>
      </c>
      <c r="T31" s="89">
        <f>VLOOKUP(R31,WorkTourTime!$B$11:$E$84,4,FALSE)</f>
        <v>-6.2620810000000002</v>
      </c>
      <c r="U31" s="91">
        <f si="2" t="shared"/>
        <v>-6.9969977909019567</v>
      </c>
    </row>
    <row r="32" spans="2:21" x14ac:dyDescent="0.25">
      <c r="B32" s="77"/>
      <c r="C32" s="77"/>
      <c r="D32" s="77"/>
      <c r="E32" s="77"/>
      <c r="F32" s="77"/>
      <c r="G32" s="77"/>
      <c r="H32" s="77"/>
      <c r="I32" s="77"/>
      <c r="J32" s="77"/>
      <c r="K32" s="77"/>
      <c r="L32" s="77"/>
      <c r="M32" s="77"/>
      <c r="N32" s="77"/>
      <c r="O32" s="77"/>
      <c r="R32" s="89">
        <f>WorkTourTime!B40</f>
        <v>40</v>
      </c>
      <c r="S32" s="89" t="str">
        <f>WorkTourTime!C40</f>
        <v>dur18-23</v>
      </c>
      <c r="T32" s="89">
        <f>VLOOKUP(R32,WorkTourTime!$B$11:$E$84,4,FALSE)</f>
        <v>-9.2484599999999997</v>
      </c>
      <c r="U32" s="91">
        <f si="2" t="shared"/>
        <v>-9.7019318625539839</v>
      </c>
    </row>
    <row ht="15.75" r="33" spans="2:21" thickBot="1" x14ac:dyDescent="0.3">
      <c r="B33" s="37" t="s">
        <v>220</v>
      </c>
      <c r="C33" s="1"/>
      <c r="D33" s="1"/>
      <c r="E33" s="1" t="s">
        <v>86</v>
      </c>
      <c r="F33" s="38">
        <v>0</v>
      </c>
      <c r="G33" s="1"/>
      <c r="H33" s="1"/>
      <c r="I33" s="1"/>
      <c r="M33" s="77"/>
      <c r="N33" s="77"/>
      <c r="O33" s="77"/>
      <c r="R33">
        <f>WorkTourTime!B41</f>
        <v>41</v>
      </c>
      <c r="S33" t="str">
        <f>WorkTourTime!C41</f>
        <v>ptwk-arr</v>
      </c>
      <c r="T33">
        <f>VLOOKUP(R33,WorkTourTime!$B$11:$E$84,4,FALSE)</f>
        <v>4.0037136956699998E-2</v>
      </c>
      <c r="U33" s="64">
        <f si="2" t="shared"/>
        <v>4.0037136956699998E-2</v>
      </c>
    </row>
    <row ht="15.75" r="34" spans="2:21" thickBot="1" x14ac:dyDescent="0.3">
      <c r="B34" s="8"/>
      <c r="C34" s="95" t="s">
        <v>87</v>
      </c>
      <c r="D34" s="95"/>
      <c r="E34" s="95" t="s">
        <v>83</v>
      </c>
      <c r="F34" s="95"/>
      <c r="G34" s="8"/>
      <c r="H34" s="8"/>
      <c r="I34" s="8"/>
      <c r="L34" s="1"/>
      <c r="M34" s="1"/>
      <c r="N34" s="1"/>
      <c r="O34" s="1"/>
      <c r="R34">
        <f>WorkTourTime!B42</f>
        <v>42</v>
      </c>
      <c r="S34" t="str">
        <f>WorkTourTime!C42</f>
        <v>ptwk-dur</v>
      </c>
      <c r="T34">
        <f>VLOOKUP(R34,WorkTourTime!$B$11:$E$84,4,FALSE)</f>
        <v>-2.9029788634599998E-2</v>
      </c>
      <c r="U34" s="64">
        <f si="2" t="shared"/>
        <v>-2.9029788634599998E-2</v>
      </c>
    </row>
    <row r="35" spans="2:21" x14ac:dyDescent="0.25">
      <c r="B35" s="32" t="s">
        <v>14</v>
      </c>
      <c r="C35" s="33" t="s">
        <v>48</v>
      </c>
      <c r="D35" s="33" t="s">
        <v>35</v>
      </c>
      <c r="E35" s="33" t="s">
        <v>48</v>
      </c>
      <c r="F35" s="33" t="s">
        <v>35</v>
      </c>
      <c r="G35" s="33" t="s">
        <v>84</v>
      </c>
      <c r="H35" s="33" t="s">
        <v>86</v>
      </c>
      <c r="I35" s="33" t="s">
        <v>85</v>
      </c>
      <c r="L35" s="33" t="s">
        <v>88</v>
      </c>
      <c r="M35" s="68" t="s">
        <v>89</v>
      </c>
      <c r="N35" s="69" t="s">
        <v>91</v>
      </c>
      <c r="O35" s="90" t="s">
        <v>195</v>
      </c>
      <c r="R35">
        <f>WorkTourTime!B43</f>
        <v>43</v>
      </c>
      <c r="S35" t="str">
        <f>WorkTourTime!C43</f>
        <v>nwad-arr</v>
      </c>
      <c r="T35">
        <f>VLOOKUP(R35,WorkTourTime!$B$11:$E$84,4,FALSE)</f>
        <v>6.0083727421699998E-2</v>
      </c>
      <c r="U35" s="64">
        <f si="2" t="shared"/>
        <v>6.0083727421699998E-2</v>
      </c>
    </row>
    <row r="36" spans="2:21" x14ac:dyDescent="0.25">
      <c r="B36" t="s">
        <v>62</v>
      </c>
      <c r="C36" s="29">
        <f>SUM(Duration!B8:B13)</f>
        <v>147672.88692997542</v>
      </c>
      <c r="D36" s="29">
        <f>SUM(Duration!I7:I12)</f>
        <v>121574.75231647491</v>
      </c>
      <c r="E36" s="30">
        <f ref="E36:E46" si="16" t="shared">C36/C$46</f>
        <v>0.20031276859360664</v>
      </c>
      <c r="F36" s="30">
        <f ref="F36:F46" si="17" t="shared">D36/D$46</f>
        <v>0.16791514094202525</v>
      </c>
      <c r="G36" s="6">
        <f>E36/F36</f>
        <v>1.1929404785645092</v>
      </c>
      <c r="H36" s="6">
        <f>$F$1</f>
        <v>1</v>
      </c>
      <c r="I36" s="62">
        <f ref="I36:I45" si="18" t="shared">H36*(LN(G36)-LN($G$39))</f>
        <v>4.442959847846259E-2</v>
      </c>
      <c r="L36">
        <v>31</v>
      </c>
      <c r="M36" s="72">
        <f ref="M36:M45" si="19" t="shared">VLOOKUP(L36,$R$3:$U$64,3,FALSE)</f>
        <v>0.94328400000000001</v>
      </c>
      <c r="N36" s="73">
        <f>I36+M36</f>
        <v>0.98771359847846263</v>
      </c>
      <c r="O36" s="74" t="str">
        <f>CONCATENATE("Duration ",B36)</f>
        <v>Duration 0-3 hrs</v>
      </c>
      <c r="R36">
        <f>WorkTourTime!B44</f>
        <v>44</v>
      </c>
      <c r="S36" t="str">
        <f>WorkTourTime!C44</f>
        <v>nwad-dur</v>
      </c>
      <c r="T36">
        <f>VLOOKUP(R36,WorkTourTime!$B$11:$E$84,4,FALSE)</f>
        <v>-0.13634249725200001</v>
      </c>
      <c r="U36" s="64">
        <f si="2" t="shared"/>
        <v>-0.13634249725200001</v>
      </c>
    </row>
    <row r="37" spans="2:21" x14ac:dyDescent="0.25">
      <c r="B37" t="s">
        <v>63</v>
      </c>
      <c r="C37" s="29">
        <f>SUM(Duration!B14:B17)</f>
        <v>80757.028045230007</v>
      </c>
      <c r="D37" s="29">
        <f>SUM(Duration!I13:I16)</f>
        <v>96885.255422592163</v>
      </c>
      <c r="E37" s="30">
        <f si="16" t="shared"/>
        <v>0.10954389940790096</v>
      </c>
      <c r="F37" s="30">
        <f si="17" t="shared"/>
        <v>0.13381480126021275</v>
      </c>
      <c r="G37" s="6">
        <f ref="G37:G46" si="20" t="shared">E37/F37</f>
        <v>0.81862318948473245</v>
      </c>
      <c r="H37" s="6">
        <f ref="H37:H44" si="21" t="shared">$F$1</f>
        <v>1</v>
      </c>
      <c r="I37" s="63">
        <f si="18" t="shared"/>
        <v>-0.33212303825876155</v>
      </c>
      <c r="L37" s="5">
        <v>32</v>
      </c>
      <c r="M37" s="74">
        <f si="19" t="shared"/>
        <v>1.0836619999999999</v>
      </c>
      <c r="N37" s="73">
        <f ref="N37:N45" si="22" t="shared">I37+M37</f>
        <v>0.75153896174123835</v>
      </c>
      <c r="O37" s="74" t="str">
        <f ref="O37:O45" si="23" t="shared">CONCATENATE("Duration ",B37)</f>
        <v>Duration 3-5 hrs</v>
      </c>
      <c r="R37">
        <f>WorkTourTime!B45</f>
        <v>45</v>
      </c>
      <c r="S37" t="str">
        <f>WorkTourTime!C45</f>
        <v>univ-arr</v>
      </c>
      <c r="T37">
        <f>VLOOKUP(R37,WorkTourTime!$B$11:$E$84,4,FALSE)</f>
        <v>0.103738819739</v>
      </c>
      <c r="U37" s="64">
        <f si="2" t="shared"/>
        <v>0.103738819739</v>
      </c>
    </row>
    <row r="38" spans="2:21" x14ac:dyDescent="0.25">
      <c r="B38" t="s">
        <v>64</v>
      </c>
      <c r="C38" s="29">
        <f>SUM(Duration!B18:B21)</f>
        <v>111191.5632790712</v>
      </c>
      <c r="D38" s="29">
        <f>SUM(Duration!I17:I20)</f>
        <v>107851.45381450653</v>
      </c>
      <c r="E38" s="30">
        <f si="16" t="shared"/>
        <v>0.15082721241336314</v>
      </c>
      <c r="F38" s="30">
        <f si="17" t="shared"/>
        <v>0.1489609620665546</v>
      </c>
      <c r="G38" s="6">
        <f si="20" t="shared"/>
        <v>1.0125284525617841</v>
      </c>
      <c r="H38" s="6">
        <f si="21" t="shared"/>
        <v>1</v>
      </c>
      <c r="I38" s="63">
        <f si="18" t="shared"/>
        <v>-0.11954103025906956</v>
      </c>
      <c r="L38" s="5">
        <v>33</v>
      </c>
      <c r="M38" s="74">
        <f si="19" t="shared"/>
        <v>0.42832700000000001</v>
      </c>
      <c r="N38" s="73">
        <f si="22" t="shared"/>
        <v>0.30878596974093042</v>
      </c>
      <c r="O38" s="74" t="str">
        <f si="23" t="shared"/>
        <v>Duration 5-7 hrs</v>
      </c>
      <c r="R38">
        <f>WorkTourTime!B46</f>
        <v>46</v>
      </c>
      <c r="S38" t="str">
        <f>WorkTourTime!C46</f>
        <v>univ-dur</v>
      </c>
      <c r="T38">
        <f>VLOOKUP(R38,WorkTourTime!$B$11:$E$84,4,FALSE)</f>
        <v>1.35703205954E-2</v>
      </c>
      <c r="U38" s="64">
        <f si="2" t="shared"/>
        <v>1.35703205954E-2</v>
      </c>
    </row>
    <row r="39" spans="2:21" x14ac:dyDescent="0.25">
      <c r="B39" t="s">
        <v>65</v>
      </c>
      <c r="C39" s="29">
        <f>SUM(Duration!B22:B25)</f>
        <v>202707.31289120871</v>
      </c>
      <c r="D39" s="29">
        <f>SUM(Duration!I21:I24)</f>
        <v>174464.70254898071</v>
      </c>
      <c r="E39" s="30">
        <f si="16" t="shared"/>
        <v>0.27496491673967755</v>
      </c>
      <c r="F39" s="30">
        <f si="17" t="shared"/>
        <v>0.24096504051812681</v>
      </c>
      <c r="G39" s="6">
        <f si="20" t="shared"/>
        <v>1.1410987923743778</v>
      </c>
      <c r="H39" s="6">
        <f si="21" t="shared"/>
        <v>1</v>
      </c>
      <c r="I39" s="63">
        <f si="18" t="shared"/>
        <v>0</v>
      </c>
      <c r="L39" s="5">
        <v>34</v>
      </c>
      <c r="M39" s="74">
        <f si="19" t="shared"/>
        <v>0.61578100000000002</v>
      </c>
      <c r="N39" s="73">
        <f si="22" t="shared"/>
        <v>0.61578100000000002</v>
      </c>
      <c r="O39" s="74" t="str">
        <f si="23" t="shared"/>
        <v>Duration 7-9 hrs</v>
      </c>
      <c r="R39">
        <f>WorkTourTime!B47</f>
        <v>49</v>
      </c>
      <c r="S39" t="str">
        <f>WorkTourTime!C47</f>
        <v>dkid-arr</v>
      </c>
      <c r="T39">
        <f>VLOOKUP(R39,WorkTourTime!$B$11:$E$84,4,FALSE)</f>
        <v>0.19068824550399999</v>
      </c>
      <c r="U39" s="64">
        <f si="2" t="shared"/>
        <v>0.19068824550399999</v>
      </c>
    </row>
    <row r="40" spans="2:21" x14ac:dyDescent="0.25">
      <c r="B40" t="s">
        <v>66</v>
      </c>
      <c r="C40" s="29">
        <f>SUM(Duration!B26:B27)</f>
        <v>99937.288346294343</v>
      </c>
      <c r="D40" s="29">
        <f>SUM(Duration!I25:I26)</f>
        <v>97105.392360687256</v>
      </c>
      <c r="E40" s="30">
        <f si="16" t="shared"/>
        <v>0.13556120781925537</v>
      </c>
      <c r="F40" s="30">
        <f si="17" t="shared"/>
        <v>0.13411884732473248</v>
      </c>
      <c r="G40" s="6">
        <f si="20" t="shared"/>
        <v>1.0107543460393051</v>
      </c>
      <c r="H40" s="6">
        <f si="21" t="shared"/>
        <v>1</v>
      </c>
      <c r="I40" s="63">
        <f si="18" t="shared"/>
        <v>-0.12129472181260284</v>
      </c>
      <c r="L40" s="5">
        <v>35</v>
      </c>
      <c r="M40" s="74">
        <f si="19" t="shared"/>
        <v>-0.111499</v>
      </c>
      <c r="N40" s="73">
        <f si="22" t="shared"/>
        <v>-0.23279372181260283</v>
      </c>
      <c r="O40" s="74" t="str">
        <f si="23" t="shared"/>
        <v>Duration 9-10 hrs</v>
      </c>
      <c r="R40">
        <f>WorkTourTime!B48</f>
        <v>50</v>
      </c>
      <c r="S40" t="str">
        <f>WorkTourTime!C48</f>
        <v>dkid-dur</v>
      </c>
      <c r="T40">
        <f>VLOOKUP(R40,WorkTourTime!$B$11:$E$84,4,FALSE)</f>
        <v>-4.7658902528499997E-2</v>
      </c>
      <c r="U40" s="64">
        <f si="2" t="shared"/>
        <v>-4.7658902528499997E-2</v>
      </c>
    </row>
    <row r="41" spans="2:21" x14ac:dyDescent="0.25">
      <c r="B41" t="s">
        <v>67</v>
      </c>
      <c r="C41" s="29">
        <f>SUM(Duration!B28:B29)</f>
        <v>57800.716753472036</v>
      </c>
      <c r="D41" s="29">
        <f>SUM(Duration!I27:I28)</f>
        <v>69313.778557777405</v>
      </c>
      <c r="E41" s="30">
        <f si="16" t="shared"/>
        <v>7.8404518529343104E-2</v>
      </c>
      <c r="F41" s="30">
        <f si="17" t="shared"/>
        <v>9.5733963458598081E-2</v>
      </c>
      <c r="G41" s="6">
        <f si="20" t="shared"/>
        <v>0.81898331268035907</v>
      </c>
      <c r="H41" s="6">
        <f si="21" t="shared"/>
        <v>1</v>
      </c>
      <c r="I41" s="63">
        <f si="18" t="shared"/>
        <v>-0.33168322173268439</v>
      </c>
      <c r="L41" s="5">
        <v>36</v>
      </c>
      <c r="M41" s="74">
        <f si="19" t="shared"/>
        <v>-1.2529269999999999</v>
      </c>
      <c r="N41" s="73">
        <f si="22" t="shared"/>
        <v>-1.5846102217326843</v>
      </c>
      <c r="O41" s="74" t="str">
        <f si="23" t="shared"/>
        <v>Duration 10-11 hrs</v>
      </c>
      <c r="R41">
        <f>WorkTourTime!B49</f>
        <v>51</v>
      </c>
      <c r="S41" t="str">
        <f>WorkTourTime!C49</f>
        <v>linc-arr</v>
      </c>
      <c r="T41">
        <f>VLOOKUP(R41,WorkTourTime!$B$11:$E$84,4,FALSE)</f>
        <v>1.74365636267E-2</v>
      </c>
      <c r="U41" s="64">
        <f si="2" t="shared"/>
        <v>1.74365636267E-2</v>
      </c>
    </row>
    <row r="42" spans="2:21" x14ac:dyDescent="0.25">
      <c r="B42" t="s">
        <v>68</v>
      </c>
      <c r="C42" s="29">
        <f>SUM(Duration!B30:B31)</f>
        <v>23623.430214800508</v>
      </c>
      <c r="D42" s="29">
        <f>SUM(Duration!I29:I30)</f>
        <v>34622.121095657349</v>
      </c>
      <c r="E42" s="30">
        <f si="16" t="shared"/>
        <v>3.2044302839751744E-2</v>
      </c>
      <c r="F42" s="30">
        <f si="17" t="shared"/>
        <v>4.7818961031939167E-2</v>
      </c>
      <c r="G42" s="6">
        <f si="20" t="shared"/>
        <v>0.67011708636556877</v>
      </c>
      <c r="H42" s="6">
        <f si="21" t="shared"/>
        <v>1</v>
      </c>
      <c r="I42" s="63">
        <f si="18" t="shared"/>
        <v>-0.53229447725401235</v>
      </c>
      <c r="L42" s="5">
        <v>37</v>
      </c>
      <c r="M42" s="74">
        <f si="19" t="shared"/>
        <v>-2.4258410000000001</v>
      </c>
      <c r="N42" s="73">
        <f si="22" t="shared"/>
        <v>-2.9581354772540127</v>
      </c>
      <c r="O42" s="74" t="str">
        <f si="23" t="shared"/>
        <v>Duration 11-12 hrs</v>
      </c>
      <c r="R42">
        <f>WorkTourTime!B50</f>
        <v>52</v>
      </c>
      <c r="S42" t="str">
        <f>WorkTourTime!C50</f>
        <v>linc-dur</v>
      </c>
      <c r="T42">
        <f>VLOOKUP(R42,WorkTourTime!$B$11:$E$84,4,FALSE)</f>
        <v>-1.1076555783700001E-2</v>
      </c>
      <c r="U42" s="64">
        <f si="2" t="shared"/>
        <v>-1.1076555783700001E-2</v>
      </c>
    </row>
    <row r="43" spans="2:21" x14ac:dyDescent="0.25">
      <c r="B43" t="s">
        <v>69</v>
      </c>
      <c r="C43" s="29">
        <f>SUM(Duration!B32:B35)</f>
        <v>11349.335741098117</v>
      </c>
      <c r="D43" s="29">
        <f>SUM(Duration!I31:I34)</f>
        <v>18357.968096733093</v>
      </c>
      <c r="E43" s="30">
        <f si="16" t="shared"/>
        <v>1.5394951038478452E-2</v>
      </c>
      <c r="F43" s="30">
        <f si="17" t="shared"/>
        <v>2.5355435578826278E-2</v>
      </c>
      <c r="G43" s="6">
        <f si="20" t="shared"/>
        <v>0.60716570972002581</v>
      </c>
      <c r="H43" s="6">
        <f si="21" t="shared"/>
        <v>1</v>
      </c>
      <c r="I43" s="63">
        <f si="18" t="shared"/>
        <v>-0.63094517844685349</v>
      </c>
      <c r="L43" s="5">
        <v>38</v>
      </c>
      <c r="M43" s="74">
        <f si="19" t="shared"/>
        <v>-3.6496620000000002</v>
      </c>
      <c r="N43" s="73">
        <f si="22" t="shared"/>
        <v>-4.2806071784468536</v>
      </c>
      <c r="O43" s="74" t="str">
        <f si="23" t="shared"/>
        <v>Duration 12-14 hrs</v>
      </c>
      <c r="R43">
        <f>WorkTourTime!B51</f>
        <v>53</v>
      </c>
      <c r="S43" t="str">
        <f>WorkTourTime!C51</f>
        <v>hinc-arr</v>
      </c>
      <c r="T43">
        <f>VLOOKUP(R43,WorkTourTime!$B$11:$E$84,4,FALSE)</f>
        <v>-4.5799393531799999E-3</v>
      </c>
      <c r="U43" s="64">
        <f si="2" t="shared"/>
        <v>-4.5799393531799999E-3</v>
      </c>
    </row>
    <row r="44" spans="2:21" x14ac:dyDescent="0.25">
      <c r="B44" t="s">
        <v>90</v>
      </c>
      <c r="C44" s="29">
        <f>SUM(Duration!B36:B43)</f>
        <v>2061.4031860593263</v>
      </c>
      <c r="D44" s="29">
        <f>SUM(Duration!I35:I42)</f>
        <v>3699.7417259216309</v>
      </c>
      <c r="E44" s="30">
        <f si="16" t="shared"/>
        <v>2.7962166107244127E-3</v>
      </c>
      <c r="F44" s="30">
        <f si="17" t="shared"/>
        <v>5.1099643759918746E-3</v>
      </c>
      <c r="G44" s="6">
        <f si="20" t="shared"/>
        <v>0.54720863101548534</v>
      </c>
      <c r="H44" s="6">
        <f si="21" t="shared"/>
        <v>1</v>
      </c>
      <c r="I44" s="63">
        <f si="18" t="shared"/>
        <v>-0.73491679090195661</v>
      </c>
      <c r="L44" s="5">
        <v>39</v>
      </c>
      <c r="M44" s="74">
        <f si="19" t="shared"/>
        <v>-6.2620810000000002</v>
      </c>
      <c r="N44" s="73">
        <f si="22" t="shared"/>
        <v>-6.9969977909019567</v>
      </c>
      <c r="O44" s="74" t="str">
        <f si="23" t="shared"/>
        <v>Duration 14-18 hrs</v>
      </c>
      <c r="R44">
        <f>WorkTourTime!B52</f>
        <v>54</v>
      </c>
      <c r="S44" t="str">
        <f>WorkTourTime!C52</f>
        <v>hinc-dur</v>
      </c>
      <c r="T44">
        <f>VLOOKUP(R44,WorkTourTime!$B$11:$E$84,4,FALSE)</f>
        <v>1.7562242850300001E-3</v>
      </c>
      <c r="U44" s="64">
        <f si="2" t="shared"/>
        <v>1.7562242850300001E-3</v>
      </c>
    </row>
    <row r="45" spans="2:21" x14ac:dyDescent="0.25">
      <c r="B45" s="23" t="s">
        <v>70</v>
      </c>
      <c r="C45" s="34">
        <f>SUM(Duration!B44:B55)</f>
        <v>110.58616182468853</v>
      </c>
      <c r="D45" s="34">
        <f>SUM(Duration!I43:I54)</f>
        <v>149.78877544403076</v>
      </c>
      <c r="E45" s="35">
        <f si="16" t="shared"/>
        <v>1.5000600789871521E-4</v>
      </c>
      <c r="F45" s="35">
        <f si="17" t="shared"/>
        <v>2.0688344299270607E-4</v>
      </c>
      <c r="G45" s="22">
        <f si="20" t="shared"/>
        <v>0.72507497810737742</v>
      </c>
      <c r="H45" s="22">
        <v>1</v>
      </c>
      <c r="I45" s="36">
        <f si="18" t="shared"/>
        <v>-0.45347186255398386</v>
      </c>
      <c r="L45" s="23">
        <v>40</v>
      </c>
      <c r="M45" s="75">
        <f si="19" t="shared"/>
        <v>-9.2484599999999997</v>
      </c>
      <c r="N45" s="76">
        <f si="22" t="shared"/>
        <v>-9.7019318625539839</v>
      </c>
      <c r="O45" s="75" t="str">
        <f si="23" t="shared"/>
        <v>Duration 18-24 hrs</v>
      </c>
      <c r="R45">
        <f>WorkTourTime!B53</f>
        <v>57</v>
      </c>
      <c r="S45" t="str">
        <f>WorkTourTime!C53</f>
        <v>lprs-arr</v>
      </c>
      <c r="T45">
        <f>VLOOKUP(R45,WorkTourTime!$B$11:$E$84,4,FALSE)</f>
        <v>1.4622136722300001</v>
      </c>
      <c r="U45" s="64">
        <f si="2" t="shared"/>
        <v>1.4622136722300001</v>
      </c>
    </row>
    <row ht="15.75" r="46" spans="2:21" thickBot="1" x14ac:dyDescent="0.3">
      <c r="B46" s="3" t="s">
        <v>82</v>
      </c>
      <c r="C46" s="44">
        <f>SUM(C36:C45)</f>
        <v>737211.55154903431</v>
      </c>
      <c r="D46" s="44">
        <f>SUM(D36:D45)</f>
        <v>724024.95471477509</v>
      </c>
      <c r="E46" s="45">
        <f si="16" t="shared"/>
        <v>1</v>
      </c>
      <c r="F46" s="45">
        <f si="17" t="shared"/>
        <v>1</v>
      </c>
      <c r="G46" s="46">
        <f si="20" t="shared"/>
        <v>1</v>
      </c>
      <c r="H46" s="46"/>
      <c r="I46" s="1"/>
      <c r="M46" s="77"/>
      <c r="N46" s="77"/>
      <c r="O46" s="77"/>
      <c r="R46">
        <f>WorkTourTime!B54</f>
        <v>58</v>
      </c>
      <c r="S46" t="str">
        <f>WorkTourTime!C54</f>
        <v>lprs-dur</v>
      </c>
      <c r="T46">
        <f>VLOOKUP(R46,WorkTourTime!$B$11:$E$84,4,FALSE)</f>
        <v>0.24430192177099999</v>
      </c>
      <c r="U46" s="64">
        <f si="2" t="shared"/>
        <v>0.24430192177099999</v>
      </c>
    </row>
    <row r="47" spans="2:21" x14ac:dyDescent="0.25">
      <c r="M47" s="77"/>
      <c r="N47" s="77"/>
      <c r="O47" s="77"/>
      <c r="R47">
        <f>WorkTourTime!B55</f>
        <v>61</v>
      </c>
      <c r="S47" t="str">
        <f>WorkTourTime!C55</f>
        <v>ns*ot-arr</v>
      </c>
      <c r="T47">
        <f>VLOOKUP(R47,WorkTourTime!$B$11:$E$84,4,FALSE)</f>
        <v>3.9458577753300004E-3</v>
      </c>
      <c r="U47" s="64">
        <f si="2" t="shared"/>
        <v>3.9458577753300004E-3</v>
      </c>
    </row>
    <row r="48" spans="2:21" x14ac:dyDescent="0.25">
      <c r="B48" s="77"/>
      <c r="C48" s="77"/>
      <c r="D48" s="77"/>
      <c r="E48" s="77"/>
      <c r="F48" s="77"/>
      <c r="G48" s="77"/>
      <c r="H48" s="77"/>
      <c r="I48" s="77"/>
      <c r="J48" s="77"/>
      <c r="K48" s="77"/>
      <c r="L48" s="77"/>
      <c r="M48" s="77"/>
      <c r="N48" s="77"/>
      <c r="O48" s="77"/>
      <c r="R48">
        <f>WorkTourTime!B56</f>
        <v>62</v>
      </c>
      <c r="S48" t="str">
        <f>WorkTourTime!C56</f>
        <v>ns*ot-dur</v>
      </c>
      <c r="T48">
        <f>VLOOKUP(R48,WorkTourTime!$B$11:$E$84,4,FALSE)</f>
        <v>-4.5842264627900003E-2</v>
      </c>
      <c r="U48" s="64">
        <f si="2" t="shared"/>
        <v>-4.5842264627900003E-2</v>
      </c>
    </row>
    <row r="49" spans="2:21" x14ac:dyDescent="0.25">
      <c r="B49" s="78"/>
      <c r="C49" s="77"/>
      <c r="D49" s="77"/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R49">
        <f>WorkTourTime!B57</f>
        <v>63</v>
      </c>
      <c r="S49" t="str">
        <f>WorkTourTime!C57</f>
        <v>ns*mt-arr</v>
      </c>
      <c r="T49">
        <f>VLOOKUP(R49,WorkTourTime!$B$11:$E$84,4,FALSE)</f>
        <v>-6.5425870724599995E-4</v>
      </c>
      <c r="U49" s="64">
        <f si="2" t="shared"/>
        <v>-6.5425870724599995E-4</v>
      </c>
    </row>
    <row r="50" spans="2:21" x14ac:dyDescent="0.25">
      <c r="B50" s="79"/>
      <c r="C50" s="93"/>
      <c r="D50" s="93"/>
      <c r="E50" s="93"/>
      <c r="F50" s="93"/>
      <c r="G50" s="79"/>
      <c r="H50" s="79"/>
      <c r="I50" s="79"/>
      <c r="J50" s="77"/>
      <c r="K50" s="77"/>
      <c r="L50" s="77"/>
      <c r="M50" s="77"/>
      <c r="N50" s="77"/>
      <c r="O50" s="77"/>
      <c r="R50">
        <f>WorkTourTime!B58</f>
        <v>64</v>
      </c>
      <c r="S50" t="str">
        <f>WorkTourTime!C58</f>
        <v>ns*mt-dur</v>
      </c>
      <c r="T50">
        <f>VLOOKUP(R50,WorkTourTime!$B$11:$E$84,4,FALSE)</f>
        <v>-4.2823263761100003E-2</v>
      </c>
      <c r="U50" s="64">
        <f si="2" t="shared"/>
        <v>-4.2823263761100003E-2</v>
      </c>
    </row>
    <row r="51" spans="2:21" x14ac:dyDescent="0.25">
      <c r="B51" s="79"/>
      <c r="C51" s="80"/>
      <c r="D51" s="80"/>
      <c r="E51" s="80"/>
      <c r="F51" s="80"/>
      <c r="G51" s="80"/>
      <c r="H51" s="80"/>
      <c r="I51" s="80"/>
      <c r="J51" s="77"/>
      <c r="K51" s="77"/>
      <c r="L51" s="80"/>
      <c r="M51" s="80"/>
      <c r="N51" s="79"/>
      <c r="O51" s="77"/>
      <c r="R51">
        <f>WorkTourTime!B59</f>
        <v>67</v>
      </c>
      <c r="S51" t="str">
        <f>WorkTourTime!C59</f>
        <v>iescs-arr</v>
      </c>
      <c r="T51">
        <f>VLOOKUP(R51,WorkTourTime!$B$11:$E$84,4,FALSE)</f>
        <v>-1.43005534112E-2</v>
      </c>
      <c r="U51" s="64">
        <f si="2" t="shared"/>
        <v>-1.43005534112E-2</v>
      </c>
    </row>
    <row r="52" spans="2:21" x14ac:dyDescent="0.25">
      <c r="B52" s="77"/>
      <c r="C52" s="81"/>
      <c r="D52" s="81"/>
      <c r="E52" s="82"/>
      <c r="F52" s="82"/>
      <c r="G52" s="83"/>
      <c r="H52" s="83"/>
      <c r="I52" s="84"/>
      <c r="J52" s="77"/>
      <c r="K52" s="77"/>
      <c r="L52" s="77"/>
      <c r="M52" s="77"/>
      <c r="N52" s="84"/>
      <c r="O52" s="77"/>
      <c r="R52">
        <f>WorkTourTime!B60</f>
        <v>68</v>
      </c>
      <c r="S52" t="str">
        <f>WorkTourTime!C60</f>
        <v>iescs-dur</v>
      </c>
      <c r="T52">
        <f>VLOOKUP(R52,WorkTourTime!$B$11:$E$84,4,FALSE)</f>
        <v>4.5097327600000001E-2</v>
      </c>
      <c r="U52" s="64">
        <f si="2" t="shared"/>
        <v>4.5097327600000001E-2</v>
      </c>
    </row>
    <row r="53" spans="2:21" x14ac:dyDescent="0.25">
      <c r="B53" s="77"/>
      <c r="C53" s="81"/>
      <c r="D53" s="81"/>
      <c r="E53" s="82"/>
      <c r="F53" s="82"/>
      <c r="G53" s="83"/>
      <c r="H53" s="83"/>
      <c r="I53" s="84"/>
      <c r="J53" s="77"/>
      <c r="K53" s="77"/>
      <c r="L53" s="77"/>
      <c r="M53" s="77"/>
      <c r="N53" s="84"/>
      <c r="O53" s="77"/>
      <c r="R53">
        <f>WorkTourTime!B61</f>
        <v>69</v>
      </c>
      <c r="S53" t="str">
        <f>WorkTourTime!C61</f>
        <v>nsubt-arr</v>
      </c>
      <c r="T53">
        <f>VLOOKUP(R53,WorkTourTime!$B$11:$E$84,4,FALSE)</f>
        <v>1.3563955105100001E-2</v>
      </c>
      <c r="U53" s="64">
        <f si="2" t="shared"/>
        <v>1.3563955105100001E-2</v>
      </c>
    </row>
    <row r="54" spans="2:21" x14ac:dyDescent="0.25">
      <c r="B54" s="77"/>
      <c r="C54" s="81"/>
      <c r="D54" s="81"/>
      <c r="E54" s="82"/>
      <c r="F54" s="82"/>
      <c r="G54" s="83"/>
      <c r="H54" s="83"/>
      <c r="I54" s="84"/>
      <c r="J54" s="77"/>
      <c r="K54" s="77"/>
      <c r="L54" s="77"/>
      <c r="M54" s="77"/>
      <c r="N54" s="84"/>
      <c r="O54" s="77"/>
      <c r="R54">
        <f>WorkTourTime!B62</f>
        <v>70</v>
      </c>
      <c r="S54" t="str">
        <f>WorkTourTime!C62</f>
        <v>nsubt-dur</v>
      </c>
      <c r="T54">
        <f>VLOOKUP(R54,WorkTourTime!$B$11:$E$84,4,FALSE)</f>
        <v>0.16495387210699999</v>
      </c>
      <c r="U54" s="64">
        <f si="2" t="shared"/>
        <v>0.16495387210699999</v>
      </c>
    </row>
    <row r="55" spans="2:21" x14ac:dyDescent="0.25">
      <c r="B55" s="77"/>
      <c r="C55" s="81"/>
      <c r="D55" s="81"/>
      <c r="E55" s="82"/>
      <c r="F55" s="82"/>
      <c r="G55" s="83"/>
      <c r="H55" s="83"/>
      <c r="I55" s="84"/>
      <c r="J55" s="77"/>
      <c r="K55" s="77"/>
      <c r="L55" s="77"/>
      <c r="M55" s="77"/>
      <c r="N55" s="84"/>
      <c r="O55" s="77"/>
      <c r="R55">
        <f>WorkTourTime!B63</f>
        <v>71</v>
      </c>
      <c r="S55" t="str">
        <f>WorkTourTime!C63</f>
        <v>ftwk-x&lt;9</v>
      </c>
      <c r="T55">
        <f>VLOOKUP(R55,WorkTourTime!$B$11:$E$84,4,FALSE)</f>
        <v>-1.2851468616399999</v>
      </c>
      <c r="U55" s="64">
        <f si="2" t="shared"/>
        <v>-1.2851468616399999</v>
      </c>
    </row>
    <row r="56" spans="2:21" x14ac:dyDescent="0.25">
      <c r="B56" s="77"/>
      <c r="C56" s="81"/>
      <c r="D56" s="81"/>
      <c r="E56" s="82"/>
      <c r="F56" s="82"/>
      <c r="G56" s="83"/>
      <c r="H56" s="83"/>
      <c r="I56" s="84"/>
      <c r="J56" s="77"/>
      <c r="K56" s="77"/>
      <c r="L56" s="77"/>
      <c r="M56" s="77"/>
      <c r="N56" s="84"/>
      <c r="O56" s="77"/>
      <c r="R56">
        <f>WorkTourTime!B64</f>
        <v>72</v>
      </c>
      <c r="S56" t="str">
        <f>WorkTourTime!C64</f>
        <v>hinc-d36</v>
      </c>
      <c r="T56">
        <f>VLOOKUP(R56,WorkTourTime!$B$11:$E$84,4,FALSE)</f>
        <v>-0.473472396189</v>
      </c>
      <c r="U56" s="64">
        <f si="2" t="shared"/>
        <v>-0.473472396189</v>
      </c>
    </row>
    <row r="57" spans="2:21" x14ac:dyDescent="0.25">
      <c r="B57" s="77"/>
      <c r="C57" s="81"/>
      <c r="D57" s="81"/>
      <c r="E57" s="82"/>
      <c r="F57" s="82"/>
      <c r="G57" s="83"/>
      <c r="H57" s="83"/>
      <c r="I57" s="84"/>
      <c r="J57" s="77"/>
      <c r="K57" s="77"/>
      <c r="L57" s="77"/>
      <c r="M57" s="77"/>
      <c r="N57" s="84"/>
      <c r="O57" s="77"/>
      <c r="R57">
        <f>WorkTourTime!B65</f>
        <v>73</v>
      </c>
      <c r="S57" t="str">
        <f>WorkTourTime!C65</f>
        <v>hinc-a2226</v>
      </c>
      <c r="T57">
        <f>VLOOKUP(R57,WorkTourTime!$B$11:$E$84,4,FALSE)</f>
        <v>-0.81108460731200005</v>
      </c>
      <c r="U57" s="64">
        <f si="2" t="shared"/>
        <v>-0.81108460731200005</v>
      </c>
    </row>
    <row r="58" spans="2:21" x14ac:dyDescent="0.25">
      <c r="B58" s="77"/>
      <c r="C58" s="81"/>
      <c r="D58" s="81"/>
      <c r="E58" s="82"/>
      <c r="F58" s="82"/>
      <c r="G58" s="83"/>
      <c r="H58" s="83"/>
      <c r="I58" s="84"/>
      <c r="J58" s="77"/>
      <c r="K58" s="77"/>
      <c r="L58" s="77"/>
      <c r="M58" s="77"/>
      <c r="N58" s="84"/>
      <c r="O58" s="77"/>
      <c r="R58">
        <f>WorkTourTime!B66</f>
        <v>81</v>
      </c>
      <c r="S58" t="str">
        <f>WorkTourTime!C66</f>
        <v>hprs-x&lt;8</v>
      </c>
      <c r="T58">
        <f>VLOOKUP(R58,WorkTourTime!$B$11:$E$84,4,FALSE)</f>
        <v>2.0980899153400001</v>
      </c>
      <c r="U58" s="64">
        <f si="2" t="shared"/>
        <v>2.0980899153400001</v>
      </c>
    </row>
    <row r="59" spans="2:21" x14ac:dyDescent="0.25">
      <c r="B59" s="77"/>
      <c r="C59" s="81"/>
      <c r="D59" s="81"/>
      <c r="E59" s="82"/>
      <c r="F59" s="82"/>
      <c r="G59" s="83"/>
      <c r="H59" s="83"/>
      <c r="I59" s="84"/>
      <c r="J59" s="77"/>
      <c r="K59" s="77"/>
      <c r="L59" s="77"/>
      <c r="M59" s="77"/>
      <c r="N59" s="84"/>
      <c r="O59" s="77"/>
      <c r="R59">
        <f>WorkTourTime!B67</f>
        <v>82</v>
      </c>
      <c r="S59" t="str">
        <f>WorkTourTime!C67</f>
        <v>lprs-x&lt;8</v>
      </c>
      <c r="T59">
        <f>VLOOKUP(R59,WorkTourTime!$B$11:$E$84,4,FALSE)</f>
        <v>5</v>
      </c>
      <c r="U59" s="64">
        <f si="2" t="shared"/>
        <v>5</v>
      </c>
    </row>
    <row r="60" spans="2:21" x14ac:dyDescent="0.25">
      <c r="B60" s="77"/>
      <c r="C60" s="81"/>
      <c r="D60" s="81"/>
      <c r="E60" s="82"/>
      <c r="F60" s="82"/>
      <c r="G60" s="83"/>
      <c r="H60" s="83"/>
      <c r="I60" s="84"/>
      <c r="J60" s="77"/>
      <c r="K60" s="77"/>
      <c r="L60" s="77"/>
      <c r="M60" s="77"/>
      <c r="N60" s="84"/>
      <c r="O60" s="77"/>
      <c r="R60">
        <f>WorkTourTime!B68</f>
        <v>83</v>
      </c>
      <c r="S60" t="str">
        <f>WorkTourTime!C68</f>
        <v>hprd-x&lt;8</v>
      </c>
      <c r="T60">
        <f>VLOOKUP(R60,WorkTourTime!$B$11:$E$84,4,FALSE)</f>
        <v>-0.64054936577699995</v>
      </c>
      <c r="U60" s="64">
        <f si="2" t="shared"/>
        <v>-0.64054936577699995</v>
      </c>
    </row>
    <row r="61" spans="2:21" x14ac:dyDescent="0.25">
      <c r="B61" s="77"/>
      <c r="C61" s="81"/>
      <c r="D61" s="81"/>
      <c r="E61" s="82"/>
      <c r="F61" s="82"/>
      <c r="G61" s="83"/>
      <c r="H61" s="83"/>
      <c r="I61" s="84"/>
      <c r="J61" s="77"/>
      <c r="K61" s="77"/>
      <c r="L61" s="77"/>
      <c r="M61" s="77"/>
      <c r="N61" s="84"/>
      <c r="O61" s="77"/>
      <c r="R61">
        <f>WorkTourTime!B69</f>
        <v>85</v>
      </c>
      <c r="S61" t="str">
        <f>WorkTourTime!C69</f>
        <v>ctim-out</v>
      </c>
      <c r="T61">
        <f>VLOOKUP(R61,WorkTourTime!$B$11:$E$84,4,FALSE)</f>
        <v>0.5</v>
      </c>
      <c r="U61" s="64">
        <f si="2" t="shared"/>
        <v>0.5</v>
      </c>
    </row>
    <row r="62" spans="2:21" x14ac:dyDescent="0.25">
      <c r="B62" s="79"/>
      <c r="C62" s="85"/>
      <c r="D62" s="85"/>
      <c r="E62" s="86"/>
      <c r="F62" s="86"/>
      <c r="G62" s="87"/>
      <c r="H62" s="87"/>
      <c r="I62" s="77"/>
      <c r="J62" s="77"/>
      <c r="K62" s="77"/>
      <c r="L62" s="77"/>
      <c r="M62" s="77"/>
      <c r="N62" s="77"/>
      <c r="O62" s="77"/>
      <c r="R62">
        <f>WorkTourTime!B70</f>
        <v>86</v>
      </c>
      <c r="S62" t="str">
        <f>WorkTourTime!C70</f>
        <v>ctim-ret</v>
      </c>
      <c r="T62">
        <f>VLOOKUP(R62,WorkTourTime!$B$11:$E$84,4,FALSE)</f>
        <v>0.5</v>
      </c>
      <c r="U62" s="64">
        <f si="2" t="shared"/>
        <v>0.5</v>
      </c>
    </row>
    <row r="63" spans="2:21" x14ac:dyDescent="0.25">
      <c r="B63" s="77"/>
      <c r="C63" s="77"/>
      <c r="D63" s="77"/>
      <c r="E63" s="77"/>
      <c r="F63" s="77"/>
      <c r="G63" s="77"/>
      <c r="H63" s="77"/>
      <c r="I63" s="77"/>
      <c r="J63" s="77"/>
      <c r="K63" s="77"/>
      <c r="L63" s="77"/>
      <c r="M63" s="77"/>
      <c r="N63" s="77"/>
      <c r="O63" s="77"/>
      <c r="R63">
        <f>WorkTourTime!B71</f>
        <v>87</v>
      </c>
      <c r="S63" t="str">
        <f>WorkTourTime!C71</f>
        <v>ttim-out</v>
      </c>
      <c r="T63">
        <f>VLOOKUP(R63,WorkTourTime!$B$11:$E$84,4,FALSE)</f>
        <v>0.5</v>
      </c>
      <c r="U63" s="64">
        <f si="2" t="shared"/>
        <v>0.5</v>
      </c>
    </row>
    <row r="64" spans="2:21" x14ac:dyDescent="0.25">
      <c r="R64">
        <f>WorkTourTime!B72</f>
        <v>88</v>
      </c>
      <c r="S64" t="str">
        <f>WorkTourTime!C72</f>
        <v>ttim-ret</v>
      </c>
      <c r="T64">
        <f>VLOOKUP(R64,WorkTourTime!$B$11:$E$84,4,FALSE)</f>
        <v>0.5</v>
      </c>
      <c r="U64" s="64">
        <f si="2" t="shared"/>
        <v>0.5</v>
      </c>
    </row>
    <row r="65" spans="18:21" x14ac:dyDescent="0.25">
      <c r="R65">
        <f>WorkTourTime!B73</f>
        <v>89</v>
      </c>
      <c r="S65" t="str">
        <f>WorkTourTime!C73</f>
        <v>ttim-mis</v>
      </c>
      <c r="T65">
        <f>VLOOKUP(R65,WorkTourTime!$B$11:$E$84,4,FALSE)</f>
        <v>-2.9770165213499999</v>
      </c>
      <c r="U65" s="64">
        <f si="2" t="shared"/>
        <v>-2.9770165213499999</v>
      </c>
    </row>
    <row r="66" spans="18:21" x14ac:dyDescent="0.25">
      <c r="R66">
        <f>WorkTourTime!B74</f>
        <v>91</v>
      </c>
      <c r="S66" t="str">
        <f>WorkTourTime!C74</f>
        <v>arravail</v>
      </c>
      <c r="T66">
        <f>VLOOKUP(R66,WorkTourTime!$B$11:$E$84,4,FALSE)</f>
        <v>3.1461924511900001</v>
      </c>
      <c r="U66" s="64">
        <f si="2" t="shared"/>
        <v>3.1461924511900001</v>
      </c>
    </row>
    <row r="67" spans="18:21" x14ac:dyDescent="0.25">
      <c r="R67">
        <f>WorkTourTime!B75</f>
        <v>92</v>
      </c>
      <c r="S67" t="str">
        <f>WorkTourTime!C75</f>
        <v>depavail</v>
      </c>
      <c r="T67">
        <f>VLOOKUP(R67,WorkTourTime!$B$11:$E$84,4,FALSE)</f>
        <v>5</v>
      </c>
      <c r="U67" s="64">
        <f si="2" t="shared"/>
        <v>5</v>
      </c>
    </row>
    <row r="68" spans="18:21" x14ac:dyDescent="0.25">
      <c r="R68">
        <f>WorkTourTime!B76</f>
        <v>93</v>
      </c>
      <c r="S68" t="str">
        <f>WorkTourTime!C76</f>
        <v>cempbef1</v>
      </c>
      <c r="T68">
        <f>VLOOKUP(R68,WorkTourTime!$B$11:$E$84,4,FALSE)</f>
        <v>-0.240163130498</v>
      </c>
      <c r="U68" s="64">
        <f ref="U68:U76" si="24" t="shared">_xlfn.IFNA(VLOOKUP(R68,$L$3:$N$45,3,FALSE),T68)</f>
        <v>-0.240163130498</v>
      </c>
    </row>
    <row r="69" spans="18:21" x14ac:dyDescent="0.25">
      <c r="R69">
        <f>WorkTourTime!B77</f>
        <v>94</v>
      </c>
      <c r="S69" t="str">
        <f>WorkTourTime!C77</f>
        <v>cempaft1</v>
      </c>
      <c r="T69">
        <f>VLOOKUP(R69,WorkTourTime!$B$11:$E$84,4,FALSE)</f>
        <v>-0.24977007544900001</v>
      </c>
      <c r="U69" s="64">
        <f si="24" t="shared"/>
        <v>-0.24977007544900001</v>
      </c>
    </row>
    <row r="70" spans="18:21" x14ac:dyDescent="0.25">
      <c r="R70">
        <f>WorkTourTime!B78</f>
        <v>95</v>
      </c>
      <c r="S70" t="str">
        <f>WorkTourTime!C78</f>
        <v>cempbef2</v>
      </c>
      <c r="T70">
        <f>VLOOKUP(R70,WorkTourTime!$B$11:$E$84,4,FALSE)</f>
        <v>-1.72821922101</v>
      </c>
      <c r="U70" s="64">
        <f si="24" t="shared"/>
        <v>-1.72821922101</v>
      </c>
    </row>
    <row r="71" spans="18:21" x14ac:dyDescent="0.25">
      <c r="R71">
        <f>WorkTourTime!B79</f>
        <v>96</v>
      </c>
      <c r="S71" t="str">
        <f>WorkTourTime!C79</f>
        <v>cempaft2</v>
      </c>
      <c r="T71">
        <f>VLOOKUP(R71,WorkTourTime!$B$11:$E$84,4,FALSE)</f>
        <v>1.9500749384399999E-2</v>
      </c>
      <c r="U71" s="64">
        <f si="24" t="shared"/>
        <v>1.9500749384399999E-2</v>
      </c>
    </row>
    <row r="72" spans="18:21" x14ac:dyDescent="0.25">
      <c r="R72">
        <f>WorkTourTime!B80</f>
        <v>97</v>
      </c>
      <c r="S72" t="str">
        <f>WorkTourTime!C80</f>
        <v>toursdtwin</v>
      </c>
      <c r="T72">
        <f>VLOOKUP(R72,WorkTourTime!$B$11:$E$84,4,FALSE)</f>
        <v>-100.45727126200001</v>
      </c>
      <c r="U72" s="64">
        <f si="24" t="shared"/>
        <v>-100.45727126200001</v>
      </c>
    </row>
    <row r="73" spans="18:21" x14ac:dyDescent="0.25">
      <c r="R73">
        <f>WorkTourTime!B81</f>
        <v>98</v>
      </c>
      <c r="S73" t="str">
        <f>WorkTourTime!C81</f>
        <v>toursdmwin</v>
      </c>
      <c r="T73">
        <f>VLOOKUP(R73,WorkTourTime!$B$11:$E$84,4,FALSE)</f>
        <v>-23.747958025900001</v>
      </c>
      <c r="U73" s="64">
        <f si="24" t="shared"/>
        <v>-23.747958025900001</v>
      </c>
    </row>
    <row r="74" spans="18:21" x14ac:dyDescent="0.25">
      <c r="R74">
        <f>WorkTourTime!B82</f>
        <v>99</v>
      </c>
      <c r="S74" t="str">
        <f>WorkTourTime!C82</f>
        <v>toursdbwin</v>
      </c>
      <c r="T74">
        <f>VLOOKUP(R74,WorkTourTime!$B$11:$E$84,4,FALSE)</f>
        <v>-0.58740415466499996</v>
      </c>
      <c r="U74" s="64">
        <f si="24" t="shared"/>
        <v>-0.58740415466499996</v>
      </c>
    </row>
    <row r="75" spans="18:21" x14ac:dyDescent="0.25">
      <c r="R75">
        <f>WorkTourTime!B83</f>
        <v>100</v>
      </c>
      <c r="S75" t="str">
        <f>WorkTourTime!C83</f>
        <v>toursdawin</v>
      </c>
      <c r="T75">
        <f>VLOOKUP(R75,WorkTourTime!$B$11:$E$84,4,FALSE)</f>
        <v>-0.99452973540199996</v>
      </c>
      <c r="U75" s="64">
        <f si="24" t="shared"/>
        <v>-0.99452973540199996</v>
      </c>
    </row>
    <row r="76" spans="18:21" x14ac:dyDescent="0.25">
      <c r="R76">
        <f>WorkTourTime!B84</f>
        <v>124</v>
      </c>
      <c r="S76" t="str">
        <f>WorkTourTime!C84</f>
        <v>dep15</v>
      </c>
      <c r="T76">
        <f>VLOOKUP(R76,WorkTourTime!$B$11:$E$84,4,FALSE)</f>
        <v>-0.12591233227500001</v>
      </c>
      <c r="U76" s="64">
        <f si="24" t="shared"/>
        <v>-0.12591233227500001</v>
      </c>
    </row>
  </sheetData>
  <mergeCells count="8">
    <mergeCell ref="C50:D50"/>
    <mergeCell ref="E50:F50"/>
    <mergeCell ref="C2:D2"/>
    <mergeCell ref="E2:F2"/>
    <mergeCell ref="C34:D34"/>
    <mergeCell ref="E34:F34"/>
    <mergeCell ref="C18:D18"/>
    <mergeCell ref="E18:F18"/>
  </mergeCells>
  <pageMargins bottom="0.75" footer="0.3" header="0.3" left="0.7" right="0.7" top="0.75"/>
  <pageSetup orientation="portrait" r:id="rId1"/>
</worksheet>
</file>

<file path=xl/worksheets/sheet1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V64"/>
  <sheetViews>
    <sheetView topLeftCell="A13" workbookViewId="0">
      <selection activeCell="B17" sqref="B17:O31"/>
    </sheetView>
  </sheetViews>
  <sheetFormatPr defaultRowHeight="15" x14ac:dyDescent="0.25"/>
  <cols>
    <col min="2" max="2" customWidth="true" width="14.5703125" collapsed="true"/>
    <col min="3" max="3" bestFit="true" customWidth="true" width="11.5703125" collapsed="true"/>
    <col min="7" max="8" customWidth="true" width="7.7109375" collapsed="true"/>
    <col min="9" max="9" bestFit="true" customWidth="true" width="12.7109375" collapsed="true"/>
    <col min="12" max="12" bestFit="true" customWidth="true" width="6.0" collapsed="true"/>
    <col min="13" max="13" customWidth="true" width="9.42578125" collapsed="true"/>
    <col min="14" max="14" customWidth="true" width="12.28515625" collapsed="true"/>
    <col min="15" max="15" customWidth="true" width="22.28515625" collapsed="true"/>
    <col min="19" max="19" bestFit="true" customWidth="true" width="11.140625" collapsed="true"/>
    <col min="21" max="21" bestFit="true" customWidth="true" width="11.28515625" collapsed="true"/>
  </cols>
  <sheetData>
    <row ht="15.75" r="1" spans="2:21" thickBot="1" x14ac:dyDescent="0.3">
      <c r="B1" s="37" t="s">
        <v>71</v>
      </c>
      <c r="C1" s="1"/>
      <c r="D1" s="1"/>
      <c r="E1" s="1" t="s">
        <v>86</v>
      </c>
      <c r="F1" s="38">
        <v>1</v>
      </c>
      <c r="G1" s="1"/>
      <c r="H1" s="1"/>
      <c r="I1" s="1"/>
      <c r="R1" s="58" t="s">
        <v>172</v>
      </c>
      <c r="S1" s="59"/>
      <c r="T1" s="59"/>
      <c r="U1" s="59"/>
    </row>
    <row ht="15.75" r="2" spans="2:21" thickBot="1" x14ac:dyDescent="0.3">
      <c r="B2" s="5"/>
      <c r="C2" s="94" t="s">
        <v>87</v>
      </c>
      <c r="D2" s="94"/>
      <c r="E2" s="94" t="s">
        <v>83</v>
      </c>
      <c r="F2" s="94"/>
      <c r="G2" s="11"/>
      <c r="H2" s="11"/>
      <c r="I2" s="11"/>
      <c r="L2" s="1"/>
      <c r="M2" s="1"/>
      <c r="N2" s="1"/>
      <c r="O2" s="1"/>
      <c r="R2" s="59"/>
      <c r="S2" s="59"/>
      <c r="T2" s="60" t="s">
        <v>170</v>
      </c>
      <c r="U2" s="60" t="s">
        <v>171</v>
      </c>
    </row>
    <row r="3" spans="2:21" x14ac:dyDescent="0.25">
      <c r="B3" s="32" t="s">
        <v>72</v>
      </c>
      <c r="C3" s="33" t="s">
        <v>48</v>
      </c>
      <c r="D3" s="33" t="s">
        <v>35</v>
      </c>
      <c r="E3" s="33" t="s">
        <v>48</v>
      </c>
      <c r="F3" s="33" t="s">
        <v>35</v>
      </c>
      <c r="G3" s="33" t="s">
        <v>84</v>
      </c>
      <c r="H3" s="33" t="s">
        <v>86</v>
      </c>
      <c r="I3" s="33" t="s">
        <v>85</v>
      </c>
      <c r="L3" s="68" t="s">
        <v>88</v>
      </c>
      <c r="M3" s="68" t="s">
        <v>89</v>
      </c>
      <c r="N3" s="69" t="s">
        <v>91</v>
      </c>
      <c r="O3" s="70" t="s">
        <v>195</v>
      </c>
      <c r="R3" s="66">
        <f>SchoolTourTime!B11</f>
        <v>11</v>
      </c>
      <c r="S3" s="66" t="str">
        <f>SchoolTourTime!C11</f>
        <v>arr3-5</v>
      </c>
      <c r="T3" s="66">
        <f>VLOOKUP(R3,SchoolTourTime!$B$11:$E$72,4,FALSE)</f>
        <v>-10</v>
      </c>
      <c r="U3" s="67">
        <f>_xlfn.IFNA(VLOOKUP(R3,$L$3:$N$29,3,FALSE),T3)</f>
        <v>-10</v>
      </c>
    </row>
    <row r="4" spans="2:21" x14ac:dyDescent="0.25">
      <c r="B4" t="s">
        <v>73</v>
      </c>
      <c r="C4" s="29">
        <f>SUM(Departure_Time!C9:C16)</f>
        <v>10951.995604475354</v>
      </c>
      <c r="D4" s="29">
        <f>SUM(Departure_Time!J9:J16)</f>
        <v>5617.2263193130493</v>
      </c>
      <c r="E4" s="30">
        <f>C4/C$14</f>
        <v>2.097706486871552E-2</v>
      </c>
      <c r="F4" s="30">
        <f>D4/D$14</f>
        <v>1.0787494240860134E-2</v>
      </c>
      <c r="G4" s="6">
        <f>E4/F4</f>
        <v>1.944572520767615</v>
      </c>
      <c r="H4" s="6">
        <v>0</v>
      </c>
      <c r="I4" s="31">
        <f>H4*(LN(G4)-LN($G$8))</f>
        <v>0</v>
      </c>
      <c r="L4" s="71">
        <v>21</v>
      </c>
      <c r="M4" s="72">
        <f>VLOOKUP(L4,$R$3:$U$64,3,FALSE)</f>
        <v>-10</v>
      </c>
      <c r="N4" s="73">
        <f>I4+M4</f>
        <v>-10</v>
      </c>
      <c r="O4" s="71" t="str">
        <f>CONCATENATE("Departure ",B4)</f>
        <v>Departure 3-7 am</v>
      </c>
      <c r="R4" s="66">
        <f>SchoolTourTime!B12</f>
        <v>12</v>
      </c>
      <c r="S4" s="66" t="str">
        <f>SchoolTourTime!C12</f>
        <v>arr=6</v>
      </c>
      <c r="T4" s="66">
        <f>VLOOKUP(R4,SchoolTourTime!$B$11:$E$72,4,FALSE)</f>
        <v>-3.25373144395</v>
      </c>
      <c r="U4" s="67">
        <f ref="U4:U64" si="0" t="shared">_xlfn.IFNA(VLOOKUP(R4,$L$3:$N$29,3,FALSE),T4)</f>
        <v>-3.1966838594930311</v>
      </c>
    </row>
    <row r="5" spans="2:21" x14ac:dyDescent="0.25">
      <c r="B5" t="s">
        <v>74</v>
      </c>
      <c r="C5" s="29">
        <f>SUM(Departure_Time!C17:C22)</f>
        <v>57824.229369326364</v>
      </c>
      <c r="D5" s="29">
        <f>SUM(Departure_Time!J17:J22)</f>
        <v>48509.68026638031</v>
      </c>
      <c r="E5" s="30">
        <f ref="E5:E14" si="1" t="shared">C5/C$14</f>
        <v>0.11075448295178084</v>
      </c>
      <c r="F5" s="30">
        <f ref="F5:F14" si="2" t="shared">D5/D$14</f>
        <v>9.3159482412227254E-2</v>
      </c>
      <c r="G5" s="6">
        <f ref="G5:G14" si="3" t="shared">E5/F5</f>
        <v>1.1888696682716242</v>
      </c>
      <c r="H5" s="6">
        <f ref="H5:H12" si="4" t="shared">$F$1</f>
        <v>1</v>
      </c>
      <c r="I5" s="31">
        <f ref="I5:I13" si="5" t="shared">H5*(LN(G5)-LN($G$8))</f>
        <v>5.2618430874490571E-2</v>
      </c>
      <c r="L5" s="71">
        <v>22</v>
      </c>
      <c r="M5" s="74">
        <f ref="M5:M13" si="6" t="shared">VLOOKUP(L5,$R$3:$U$64,3,FALSE)</f>
        <v>-1.220998</v>
      </c>
      <c r="N5" s="73">
        <f ref="N5:N13" si="7" t="shared">I5+M5</f>
        <v>-1.1683795691255094</v>
      </c>
      <c r="O5" s="71" t="str">
        <f ref="O5:O13" si="8" t="shared">CONCATENATE("Departure ",B5)</f>
        <v>Departure 7-10 am</v>
      </c>
      <c r="R5" s="66">
        <f>SchoolTourTime!B13</f>
        <v>13</v>
      </c>
      <c r="S5" s="66" t="str">
        <f>SchoolTourTime!C13</f>
        <v>arr=7</v>
      </c>
      <c r="T5" s="66">
        <f>VLOOKUP(R5,SchoolTourTime!$B$11:$E$72,4,FALSE)</f>
        <v>-0.21597678247800001</v>
      </c>
      <c r="U5" s="67">
        <f si="0" t="shared"/>
        <v>-0.16495978286860358</v>
      </c>
    </row>
    <row r="6" spans="2:21" x14ac:dyDescent="0.25">
      <c r="B6" t="s">
        <v>75</v>
      </c>
      <c r="C6" s="29">
        <f>SUM(Departure_Time!C23:C28)</f>
        <v>79697.73091748287</v>
      </c>
      <c r="D6" s="29">
        <f>SUM(Departure_Time!J23:J28)</f>
        <v>86446.446304321289</v>
      </c>
      <c r="E6" s="30">
        <f si="1" t="shared"/>
        <v>0.15265021387173575</v>
      </c>
      <c r="F6" s="30">
        <f si="2" t="shared"/>
        <v>0.1660144150582728</v>
      </c>
      <c r="G6" s="6">
        <f si="3" t="shared"/>
        <v>0.91949975439273701</v>
      </c>
      <c r="H6" s="6">
        <f si="4" t="shared"/>
        <v>1</v>
      </c>
      <c r="I6" s="31">
        <f si="5" t="shared"/>
        <v>-0.20431006829951193</v>
      </c>
      <c r="L6" s="71">
        <v>23</v>
      </c>
      <c r="M6" s="74">
        <f si="6" t="shared"/>
        <v>0.64485899999999996</v>
      </c>
      <c r="N6" s="73">
        <f si="7" t="shared"/>
        <v>0.44054893170048803</v>
      </c>
      <c r="O6" s="71" t="str">
        <f si="8" t="shared"/>
        <v>Departure 10 am - 1 pm</v>
      </c>
      <c r="R6" s="66">
        <f>SchoolTourTime!B14</f>
        <v>14</v>
      </c>
      <c r="S6" s="66" t="str">
        <f>SchoolTourTime!C14</f>
        <v>arr=8</v>
      </c>
      <c r="T6" s="66">
        <f>VLOOKUP(R6,SchoolTourTime!$B$11:$E$72,4,FALSE)</f>
        <v>0</v>
      </c>
      <c r="U6" s="67">
        <f si="0" t="shared"/>
        <v>0</v>
      </c>
    </row>
    <row r="7" spans="2:21" x14ac:dyDescent="0.25">
      <c r="B7" t="s">
        <v>76</v>
      </c>
      <c r="C7" s="29">
        <f>SUM(Departure_Time!C29:C32)</f>
        <v>134821.4713516226</v>
      </c>
      <c r="D7" s="29">
        <f>SUM(Departure_Time!J29:J32)</f>
        <v>107466.7072725296</v>
      </c>
      <c r="E7" s="30">
        <f si="1" t="shared"/>
        <v>0.25823227586787723</v>
      </c>
      <c r="F7" s="30">
        <f si="2" t="shared"/>
        <v>0.20638237092223646</v>
      </c>
      <c r="G7" s="6">
        <f si="3" t="shared"/>
        <v>1.2512322380731709</v>
      </c>
      <c r="H7" s="6">
        <f si="4" t="shared"/>
        <v>1</v>
      </c>
      <c r="I7" s="31">
        <f si="5" t="shared"/>
        <v>0.10374428994829078</v>
      </c>
      <c r="L7" s="71">
        <v>24</v>
      </c>
      <c r="M7" s="74">
        <f si="6" t="shared"/>
        <v>1.592598</v>
      </c>
      <c r="N7" s="73">
        <f si="7" t="shared"/>
        <v>1.6963422899482907</v>
      </c>
      <c r="O7" s="71" t="str">
        <f si="8" t="shared"/>
        <v>Departure 1-3 pm</v>
      </c>
      <c r="R7" s="66">
        <f>SchoolTourTime!B15</f>
        <v>15</v>
      </c>
      <c r="S7" s="66" t="str">
        <f>SchoolTourTime!C15</f>
        <v>arr=9</v>
      </c>
      <c r="T7" s="66">
        <f>VLOOKUP(R7,SchoolTourTime!$B$11:$E$72,4,FALSE)</f>
        <v>-1.2614952667399999</v>
      </c>
      <c r="U7" s="67">
        <f si="0" t="shared"/>
        <v>-1.3406013472851075</v>
      </c>
    </row>
    <row r="8" spans="2:21" x14ac:dyDescent="0.25">
      <c r="B8" t="s">
        <v>173</v>
      </c>
      <c r="C8" s="29">
        <f>SUM(Departure_Time!C33:C36)</f>
        <v>142578.94149525877</v>
      </c>
      <c r="D8" s="29">
        <f>SUM(Departure_Time!J33:J36)</f>
        <v>126074.08907413483</v>
      </c>
      <c r="E8" s="30">
        <f si="1" t="shared"/>
        <v>0.27309065970010621</v>
      </c>
      <c r="F8" s="30">
        <f si="2" t="shared"/>
        <v>0.24211655940101751</v>
      </c>
      <c r="G8" s="6">
        <f si="3" t="shared"/>
        <v>1.1279305322019975</v>
      </c>
      <c r="H8" s="6">
        <f si="4" t="shared"/>
        <v>1</v>
      </c>
      <c r="I8" s="31">
        <f si="5" t="shared"/>
        <v>0</v>
      </c>
      <c r="L8" s="71">
        <v>25</v>
      </c>
      <c r="M8" s="74">
        <f si="6" t="shared"/>
        <v>0</v>
      </c>
      <c r="N8" s="73">
        <f si="7" t="shared"/>
        <v>0</v>
      </c>
      <c r="O8" s="71" t="str">
        <f si="8" t="shared"/>
        <v>Departure 3-5 pm</v>
      </c>
      <c r="R8" s="66">
        <f>SchoolTourTime!B16</f>
        <v>16</v>
      </c>
      <c r="S8" s="66" t="str">
        <f>SchoolTourTime!C16</f>
        <v>arr10-12</v>
      </c>
      <c r="T8" s="66">
        <f>VLOOKUP(R8,SchoolTourTime!$B$11:$E$72,4,FALSE)</f>
        <v>-2.25578381447</v>
      </c>
      <c r="U8" s="67">
        <f si="0" t="shared"/>
        <v>-2.4617723240848686</v>
      </c>
    </row>
    <row r="9" spans="2:21" x14ac:dyDescent="0.25">
      <c r="B9" t="s">
        <v>77</v>
      </c>
      <c r="C9" s="29">
        <f>SUM(Departure_Time!C37:C38)</f>
        <v>38390.980990948752</v>
      </c>
      <c r="D9" s="29">
        <f>SUM(Departure_Time!J37:J38)</f>
        <v>48837.32400894165</v>
      </c>
      <c r="E9" s="30">
        <f si="1" t="shared"/>
        <v>7.3532726610269217E-2</v>
      </c>
      <c r="F9" s="30">
        <f si="2" t="shared"/>
        <v>9.3788699535593323E-2</v>
      </c>
      <c r="G9" s="6">
        <f si="3" t="shared"/>
        <v>0.78402544202420832</v>
      </c>
      <c r="H9" s="6">
        <f si="4" t="shared"/>
        <v>1</v>
      </c>
      <c r="I9" s="31">
        <f si="5" t="shared"/>
        <v>-0.36369837384890996</v>
      </c>
      <c r="L9" s="71">
        <v>26</v>
      </c>
      <c r="M9" s="74">
        <f si="6" t="shared"/>
        <v>1.7683000000000001E-2</v>
      </c>
      <c r="N9" s="73">
        <f si="7" t="shared"/>
        <v>-0.34601537384890996</v>
      </c>
      <c r="O9" s="71" t="str">
        <f si="8" t="shared"/>
        <v>Departure 5-6 pm</v>
      </c>
      <c r="R9" s="66">
        <f>SchoolTourTime!B17</f>
        <v>17</v>
      </c>
      <c r="S9" s="66" t="str">
        <f>SchoolTourTime!C17</f>
        <v>arr13-15</v>
      </c>
      <c r="T9" s="66">
        <f>VLOOKUP(R9,SchoolTourTime!$B$11:$E$72,4,FALSE)</f>
        <v>-2.9429385107799999</v>
      </c>
      <c r="U9" s="67">
        <f si="0" t="shared"/>
        <v>-3.173263694982372</v>
      </c>
    </row>
    <row r="10" spans="2:21" x14ac:dyDescent="0.25">
      <c r="B10" t="s">
        <v>78</v>
      </c>
      <c r="C10" s="29">
        <f>SUM(Departure_Time!C39:C40)</f>
        <v>22715.78090854676</v>
      </c>
      <c r="D10" s="29">
        <f>SUM(Departure_Time!J39:J40)</f>
        <v>36119.430055618286</v>
      </c>
      <c r="E10" s="30">
        <f si="1" t="shared"/>
        <v>4.3509003004657598E-2</v>
      </c>
      <c r="F10" s="30">
        <f si="2" t="shared"/>
        <v>6.9364864714189206E-2</v>
      </c>
      <c r="G10" s="6">
        <f si="3" t="shared"/>
        <v>0.62724843743200498</v>
      </c>
      <c r="H10" s="6">
        <f si="4" t="shared"/>
        <v>1</v>
      </c>
      <c r="I10" s="31">
        <f si="5" t="shared"/>
        <v>-0.58679715113152431</v>
      </c>
      <c r="L10" s="71">
        <v>27</v>
      </c>
      <c r="M10" s="74">
        <f si="6" t="shared"/>
        <v>-0.88386299999999995</v>
      </c>
      <c r="N10" s="73">
        <f si="7" t="shared"/>
        <v>-1.4706601511315243</v>
      </c>
      <c r="O10" s="71" t="str">
        <f si="8" t="shared"/>
        <v>Departure 6-7 pm</v>
      </c>
      <c r="R10" s="66">
        <f>SchoolTourTime!B18</f>
        <v>18</v>
      </c>
      <c r="S10" s="66" t="str">
        <f>SchoolTourTime!C18</f>
        <v>arr16-18</v>
      </c>
      <c r="T10" s="66">
        <f>VLOOKUP(R10,SchoolTourTime!$B$11:$E$72,4,FALSE)</f>
        <v>-2.0422750131099998</v>
      </c>
      <c r="U10" s="67">
        <f si="0" t="shared"/>
        <v>-2.5614323019976908</v>
      </c>
    </row>
    <row r="11" spans="2:21" x14ac:dyDescent="0.25">
      <c r="B11" t="s">
        <v>79</v>
      </c>
      <c r="C11" s="29">
        <f>SUM(Departure_Time!C41:C44)</f>
        <v>24157.851128756745</v>
      </c>
      <c r="D11" s="29">
        <f>SUM(Departure_Time!J41:J44)</f>
        <v>42187.220396995544</v>
      </c>
      <c r="E11" s="30">
        <f si="1" t="shared"/>
        <v>4.6271093279988462E-2</v>
      </c>
      <c r="F11" s="30">
        <f si="2" t="shared"/>
        <v>8.1017635964886967E-2</v>
      </c>
      <c r="G11" s="6">
        <f si="3" t="shared"/>
        <v>0.57112371558264607</v>
      </c>
      <c r="H11" s="6">
        <f si="4" t="shared"/>
        <v>1</v>
      </c>
      <c r="I11" s="31">
        <f si="5" t="shared"/>
        <v>-0.68053399427847161</v>
      </c>
      <c r="L11" s="71">
        <v>28</v>
      </c>
      <c r="M11" s="74">
        <f si="6" t="shared"/>
        <v>-1.604725</v>
      </c>
      <c r="N11" s="73">
        <f si="7" t="shared"/>
        <v>-2.2852589942784718</v>
      </c>
      <c r="O11" s="71" t="str">
        <f si="8" t="shared"/>
        <v>Departure 7-9 pm</v>
      </c>
      <c r="R11" s="66">
        <f>SchoolTourTime!B19</f>
        <v>19</v>
      </c>
      <c r="S11" s="66" t="str">
        <f>SchoolTourTime!C19</f>
        <v>arr19-21</v>
      </c>
      <c r="T11" s="66">
        <f>VLOOKUP(R11,SchoolTourTime!$B$11:$E$72,4,FALSE)</f>
        <v>-3.4674414305300001</v>
      </c>
      <c r="U11" s="67">
        <f si="0" t="shared"/>
        <v>-4.2497335408818682</v>
      </c>
    </row>
    <row r="12" spans="2:21" x14ac:dyDescent="0.25">
      <c r="B12" t="s">
        <v>80</v>
      </c>
      <c r="C12" s="29">
        <f>SUM(Departure_Time!C45:C50)</f>
        <v>10542.240007474393</v>
      </c>
      <c r="D12" s="29">
        <f>SUM(Departure_Time!J45:J50)</f>
        <v>17972.236909866333</v>
      </c>
      <c r="E12" s="30">
        <f si="1" t="shared"/>
        <v>2.0192233496513726E-2</v>
      </c>
      <c r="F12" s="30">
        <f si="2" t="shared"/>
        <v>3.4514436688081795E-2</v>
      </c>
      <c r="G12" s="6">
        <f si="3" t="shared"/>
        <v>0.58503731870224385</v>
      </c>
      <c r="H12" s="6">
        <f si="4" t="shared"/>
        <v>1</v>
      </c>
      <c r="I12" s="31">
        <f si="5" t="shared"/>
        <v>-0.65646420738366751</v>
      </c>
      <c r="L12" s="71">
        <v>29</v>
      </c>
      <c r="M12" s="74">
        <f si="6" t="shared"/>
        <v>-2.4918230000000001</v>
      </c>
      <c r="N12" s="73">
        <f si="7" t="shared"/>
        <v>-3.1482872073836674</v>
      </c>
      <c r="O12" s="71" t="str">
        <f si="8" t="shared"/>
        <v>Departure 9-12 pm</v>
      </c>
      <c r="R12" s="66">
        <f>SchoolTourTime!B20</f>
        <v>20</v>
      </c>
      <c r="S12" s="66" t="str">
        <f>SchoolTourTime!C20</f>
        <v>arr22-26</v>
      </c>
      <c r="T12" s="66">
        <f>VLOOKUP(R12,SchoolTourTime!$B$11:$E$72,4,FALSE)</f>
        <v>-10</v>
      </c>
      <c r="U12" s="67">
        <f si="0" t="shared"/>
        <v>-10</v>
      </c>
    </row>
    <row r="13" spans="2:21" x14ac:dyDescent="0.25">
      <c r="B13" s="23" t="s">
        <v>81</v>
      </c>
      <c r="C13" s="34">
        <f>SUM(Departure_Time!C51:C57)+Departure_Time!C8</f>
        <v>412.58272250228538</v>
      </c>
      <c r="D13" s="34">
        <f>SUM(Departure_Time!J51:J57)+Departure_Time!J8</f>
        <v>1486.1462926864624</v>
      </c>
      <c r="E13" s="35">
        <f si="1" t="shared"/>
        <v>7.902463483554598E-4</v>
      </c>
      <c r="F13" s="35">
        <f si="2" t="shared"/>
        <v>2.8540410626345276E-3</v>
      </c>
      <c r="G13" s="22">
        <f si="3" t="shared"/>
        <v>0.27688681802846726</v>
      </c>
      <c r="H13" s="22">
        <v>0</v>
      </c>
      <c r="I13" s="31">
        <f si="5" t="shared"/>
        <v>0</v>
      </c>
      <c r="L13" s="75">
        <v>30</v>
      </c>
      <c r="M13" s="75">
        <f si="6" t="shared"/>
        <v>-10</v>
      </c>
      <c r="N13" s="76">
        <f si="7" t="shared"/>
        <v>-10</v>
      </c>
      <c r="O13" s="75" t="str">
        <f si="8" t="shared"/>
        <v>Departure 12-3 am</v>
      </c>
      <c r="R13" s="66">
        <f>SchoolTourTime!B21</f>
        <v>21</v>
      </c>
      <c r="S13" s="66" t="str">
        <f>SchoolTourTime!C21</f>
        <v>dep3-6</v>
      </c>
      <c r="T13" s="66">
        <f>VLOOKUP(R13,SchoolTourTime!$B$11:$E$72,4,FALSE)</f>
        <v>-10</v>
      </c>
      <c r="U13" s="67">
        <f si="0" t="shared"/>
        <v>-10</v>
      </c>
    </row>
    <row ht="15.75" r="14" spans="2:21" thickBot="1" x14ac:dyDescent="0.3">
      <c r="B14" s="39" t="s">
        <v>82</v>
      </c>
      <c r="C14" s="40">
        <f>SUM(C4:C13)</f>
        <v>522093.80449639488</v>
      </c>
      <c r="D14" s="40">
        <f>SUM(D4:D13)</f>
        <v>520716.50690078735</v>
      </c>
      <c r="E14" s="41">
        <f si="1" t="shared"/>
        <v>1</v>
      </c>
      <c r="F14" s="41">
        <f si="2" t="shared"/>
        <v>1</v>
      </c>
      <c r="G14" s="42">
        <f si="3" t="shared"/>
        <v>1</v>
      </c>
      <c r="H14" s="42"/>
      <c r="I14" s="43"/>
      <c r="R14" s="66">
        <f>SchoolTourTime!B22</f>
        <v>22</v>
      </c>
      <c r="S14" s="66" t="str">
        <f>SchoolTourTime!C22</f>
        <v>dep7-9</v>
      </c>
      <c r="T14" s="66">
        <f>VLOOKUP(R14,SchoolTourTime!$B$11:$E$72,4,FALSE)</f>
        <v>-1.220998</v>
      </c>
      <c r="U14" s="67">
        <f si="0" t="shared"/>
        <v>-1.1683795691255094</v>
      </c>
    </row>
    <row r="15" spans="2:21" x14ac:dyDescent="0.25">
      <c r="R15" s="66">
        <f>SchoolTourTime!B23</f>
        <v>23</v>
      </c>
      <c r="S15" s="66" t="str">
        <f>SchoolTourTime!C23</f>
        <v>dep10-12</v>
      </c>
      <c r="T15" s="66">
        <f>VLOOKUP(R15,SchoolTourTime!$B$11:$E$72,4,FALSE)</f>
        <v>0.64485899999999996</v>
      </c>
      <c r="U15" s="67">
        <f si="0" t="shared"/>
        <v>0.44054893170048803</v>
      </c>
    </row>
    <row r="16" spans="2:21" x14ac:dyDescent="0.25">
      <c r="R16" s="66">
        <f>SchoolTourTime!B24</f>
        <v>24</v>
      </c>
      <c r="S16" s="66" t="str">
        <f>SchoolTourTime!C24</f>
        <v>dep13-14</v>
      </c>
      <c r="T16" s="66">
        <f>VLOOKUP(R16,SchoolTourTime!$B$11:$E$72,4,FALSE)</f>
        <v>1.592598</v>
      </c>
      <c r="U16" s="67">
        <f si="0" t="shared"/>
        <v>1.6963422899482907</v>
      </c>
    </row>
    <row ht="15.75" r="17" spans="2:21" thickBot="1" x14ac:dyDescent="0.3">
      <c r="B17" s="37" t="s">
        <v>223</v>
      </c>
      <c r="C17" s="1"/>
      <c r="D17" s="1"/>
      <c r="E17" s="1" t="s">
        <v>86</v>
      </c>
      <c r="F17" s="38">
        <v>1</v>
      </c>
      <c r="G17" s="1"/>
      <c r="H17" s="1"/>
      <c r="I17" s="1"/>
      <c r="R17" s="66">
        <f>SchoolTourTime!B25</f>
        <v>25</v>
      </c>
      <c r="S17" s="66" t="str">
        <f>SchoolTourTime!C25</f>
        <v>dep=16</v>
      </c>
      <c r="T17" s="66">
        <f>VLOOKUP(R17,SchoolTourTime!$B$11:$E$72,4,FALSE)</f>
        <v>0</v>
      </c>
      <c r="U17" s="67">
        <f si="0" t="shared"/>
        <v>0</v>
      </c>
    </row>
    <row ht="15.75" r="18" spans="2:21" thickBot="1" x14ac:dyDescent="0.3">
      <c r="B18" s="5"/>
      <c r="C18" s="94" t="s">
        <v>87</v>
      </c>
      <c r="D18" s="94"/>
      <c r="E18" s="94" t="s">
        <v>83</v>
      </c>
      <c r="F18" s="94"/>
      <c r="G18" s="11"/>
      <c r="H18" s="11"/>
      <c r="I18" s="11"/>
      <c r="L18" s="1"/>
      <c r="M18" s="1"/>
      <c r="N18" s="1"/>
      <c r="O18" s="1"/>
      <c r="R18" s="66">
        <f>SchoolTourTime!B26</f>
        <v>26</v>
      </c>
      <c r="S18" s="66" t="str">
        <f>SchoolTourTime!C26</f>
        <v>dep=17</v>
      </c>
      <c r="T18" s="66">
        <f>VLOOKUP(R18,SchoolTourTime!$B$11:$E$72,4,FALSE)</f>
        <v>1.7683000000000001E-2</v>
      </c>
      <c r="U18" s="67">
        <f si="0" t="shared"/>
        <v>-0.34601537384890996</v>
      </c>
    </row>
    <row r="19" spans="2:21" x14ac:dyDescent="0.25">
      <c r="B19" s="32" t="s">
        <v>72</v>
      </c>
      <c r="C19" s="33" t="s">
        <v>48</v>
      </c>
      <c r="D19" s="33" t="s">
        <v>35</v>
      </c>
      <c r="E19" s="33" t="s">
        <v>48</v>
      </c>
      <c r="F19" s="33" t="s">
        <v>35</v>
      </c>
      <c r="G19" s="33" t="s">
        <v>84</v>
      </c>
      <c r="H19" s="33" t="s">
        <v>86</v>
      </c>
      <c r="I19" s="33" t="s">
        <v>85</v>
      </c>
      <c r="L19" s="68" t="s">
        <v>88</v>
      </c>
      <c r="M19" s="68" t="s">
        <v>89</v>
      </c>
      <c r="N19" s="69" t="s">
        <v>91</v>
      </c>
      <c r="O19" s="70" t="s">
        <v>195</v>
      </c>
      <c r="R19" s="66">
        <f>SchoolTourTime!B27</f>
        <v>27</v>
      </c>
      <c r="S19" s="66" t="str">
        <f>SchoolTourTime!C27</f>
        <v>dep=18</v>
      </c>
      <c r="T19" s="66">
        <f>VLOOKUP(R19,SchoolTourTime!$B$11:$E$72,4,FALSE)</f>
        <v>-0.88386299999999995</v>
      </c>
      <c r="U19" s="67">
        <f si="0" t="shared"/>
        <v>-1.4706601511315243</v>
      </c>
    </row>
    <row r="20" spans="2:21" x14ac:dyDescent="0.25">
      <c r="B20" t="s">
        <v>224</v>
      </c>
      <c r="C20" s="29">
        <f>SUM(Arrival_Time!C9:C14)</f>
        <v>19486.099592448529</v>
      </c>
      <c r="D20" s="29">
        <f>SUM(Arrival_Time!J9:J14)</f>
        <v>17325.705528259277</v>
      </c>
      <c r="E20" s="30">
        <f>C20/C$14</f>
        <v>3.7322985686919948E-2</v>
      </c>
      <c r="F20" s="30">
        <f>D20/D$14</f>
        <v>3.3272817931927712E-2</v>
      </c>
      <c r="G20" s="6">
        <f>E20/F20</f>
        <v>1.1217260216215652</v>
      </c>
      <c r="H20" s="6">
        <v>0</v>
      </c>
      <c r="I20" s="31">
        <f>H20*(LN(G20)-LN($G$23))</f>
        <v>0</v>
      </c>
      <c r="L20" s="71">
        <v>11</v>
      </c>
      <c r="M20" s="72">
        <f>VLOOKUP(L20,$R$3:$U$64,3,FALSE)</f>
        <v>-10</v>
      </c>
      <c r="N20" s="73">
        <f>I20+M20</f>
        <v>-10</v>
      </c>
      <c r="O20" s="72" t="str">
        <f>CONCATENATE("Arrival ",B20)</f>
        <v>Arrival 3-6 am</v>
      </c>
      <c r="R20" s="66">
        <f>SchoolTourTime!B28</f>
        <v>28</v>
      </c>
      <c r="S20" s="66" t="str">
        <f>SchoolTourTime!C28</f>
        <v>dep19-20</v>
      </c>
      <c r="T20" s="66">
        <f>VLOOKUP(R20,SchoolTourTime!$B$11:$E$72,4,FALSE)</f>
        <v>-1.604725</v>
      </c>
      <c r="U20" s="67">
        <f si="0" t="shared"/>
        <v>-2.2852589942784718</v>
      </c>
    </row>
    <row r="21" spans="2:21" x14ac:dyDescent="0.25">
      <c r="B21" t="s">
        <v>225</v>
      </c>
      <c r="C21" s="29">
        <f>SUM(Arrival_Time!C15:C16)</f>
        <v>53344.892738843366</v>
      </c>
      <c r="D21" s="29">
        <f>SUM(Arrival_Time!J15:J16)</f>
        <v>44150.405316352844</v>
      </c>
      <c r="E21" s="30">
        <f ref="E21:E30" si="9" t="shared">C21/C$14</f>
        <v>0.10217492006115488</v>
      </c>
      <c r="F21" s="30">
        <f ref="F21:F30" si="10" t="shared">D21/D$14</f>
        <v>8.4787796682552388E-2</v>
      </c>
      <c r="G21" s="6">
        <f ref="G21:G30" si="11" t="shared">E21/F21</f>
        <v>1.2050663427863364</v>
      </c>
      <c r="H21" s="6">
        <f ref="H21:H28" si="12" t="shared">$F$1</f>
        <v>1</v>
      </c>
      <c r="I21" s="31">
        <f ref="I21:I29" si="13" t="shared">H21*(LN(G21)-LN($G$23))</f>
        <v>5.7047584456968836E-2</v>
      </c>
      <c r="L21" s="71">
        <v>12</v>
      </c>
      <c r="M21" s="74">
        <f ref="M21:M29" si="14" t="shared">VLOOKUP(L21,$R$3:$U$64,3,FALSE)</f>
        <v>-3.25373144395</v>
      </c>
      <c r="N21" s="73">
        <f ref="N21:N29" si="15" t="shared">I21+M21</f>
        <v>-3.1966838594930311</v>
      </c>
      <c r="O21" s="74" t="str">
        <f ref="O21:O29" si="16" t="shared">CONCATENATE("Arrival ",B21)</f>
        <v>Arrival 6-7 am</v>
      </c>
      <c r="R21" s="66">
        <f>SchoolTourTime!B29</f>
        <v>29</v>
      </c>
      <c r="S21" s="66" t="str">
        <f>SchoolTourTime!C29</f>
        <v>dep21-23</v>
      </c>
      <c r="T21" s="66">
        <f>VLOOKUP(R21,SchoolTourTime!$B$11:$E$72,4,FALSE)</f>
        <v>-2.4918230000000001</v>
      </c>
      <c r="U21" s="67">
        <f si="0" t="shared"/>
        <v>-3.1482872073836674</v>
      </c>
    </row>
    <row r="22" spans="2:21" x14ac:dyDescent="0.25">
      <c r="B22" t="s">
        <v>226</v>
      </c>
      <c r="C22" s="29">
        <f>SUM(Arrival_Time!C17:C18)</f>
        <v>96085.602183629817</v>
      </c>
      <c r="D22" s="29">
        <f>SUM(Arrival_Time!J17:J18)</f>
        <v>80005.384120941162</v>
      </c>
      <c r="E22" s="30">
        <f si="9" t="shared"/>
        <v>0.18403896264640179</v>
      </c>
      <c r="F22" s="30">
        <f si="10" t="shared"/>
        <v>0.15364480107826631</v>
      </c>
      <c r="G22" s="6">
        <f si="11" t="shared"/>
        <v>1.1978209568747644</v>
      </c>
      <c r="H22" s="6">
        <f si="12" t="shared"/>
        <v>1</v>
      </c>
      <c r="I22" s="31">
        <f si="13" t="shared"/>
        <v>5.101699960939643E-2</v>
      </c>
      <c r="L22" s="71">
        <v>13</v>
      </c>
      <c r="M22" s="74">
        <f si="14" t="shared"/>
        <v>-0.21597678247800001</v>
      </c>
      <c r="N22" s="73">
        <f si="15" t="shared"/>
        <v>-0.16495978286860358</v>
      </c>
      <c r="O22" s="74" t="str">
        <f si="16" t="shared"/>
        <v>Arrival 7-8 am</v>
      </c>
      <c r="R22" s="66">
        <f>SchoolTourTime!B30</f>
        <v>30</v>
      </c>
      <c r="S22" s="66" t="str">
        <f>SchoolTourTime!C30</f>
        <v>dep24-26</v>
      </c>
      <c r="T22" s="66">
        <f>VLOOKUP(R22,SchoolTourTime!$B$11:$E$72,4,FALSE)</f>
        <v>-10</v>
      </c>
      <c r="U22" s="67">
        <f si="0" t="shared"/>
        <v>-10</v>
      </c>
    </row>
    <row r="23" spans="2:21" x14ac:dyDescent="0.25">
      <c r="B23" t="s">
        <v>227</v>
      </c>
      <c r="C23" s="29">
        <f>SUM(Arrival_Time!C19:C20)</f>
        <v>101299.90192102463</v>
      </c>
      <c r="D23" s="29">
        <f>SUM(Arrival_Time!J19:J20)</f>
        <v>88761.845779418945</v>
      </c>
      <c r="E23" s="30">
        <f si="9" t="shared"/>
        <v>0.19402624786696568</v>
      </c>
      <c r="F23" s="30">
        <f si="10" t="shared"/>
        <v>0.17046097944486871</v>
      </c>
      <c r="G23" s="6">
        <f si="11" t="shared"/>
        <v>1.1382443565609017</v>
      </c>
      <c r="H23" s="6">
        <f si="12" t="shared"/>
        <v>1</v>
      </c>
      <c r="I23" s="31">
        <f si="13" t="shared"/>
        <v>0</v>
      </c>
      <c r="L23" s="71">
        <v>14</v>
      </c>
      <c r="M23" s="74">
        <f si="14" t="shared"/>
        <v>0</v>
      </c>
      <c r="N23" s="73">
        <f si="15" t="shared"/>
        <v>0</v>
      </c>
      <c r="O23" s="74" t="str">
        <f si="16" t="shared"/>
        <v>Arrival 8-9 am</v>
      </c>
      <c r="R23" s="89">
        <f>SchoolTourTime!B31</f>
        <v>31</v>
      </c>
      <c r="S23" s="89" t="str">
        <f>SchoolTourTime!C31</f>
        <v>dur0-2</v>
      </c>
      <c r="T23" s="89">
        <f>VLOOKUP(R23,SchoolTourTime!$B$11:$E$72,4,FALSE)</f>
        <v>-1.672868</v>
      </c>
      <c r="U23" s="91">
        <f si="0" t="shared"/>
        <v>-1.672868</v>
      </c>
    </row>
    <row r="24" spans="2:21" x14ac:dyDescent="0.25">
      <c r="B24" t="s">
        <v>228</v>
      </c>
      <c r="C24" s="29">
        <f>SUM(Arrival_Time!C21:C22)</f>
        <v>67644.52565626966</v>
      </c>
      <c r="D24" s="29">
        <f>SUM(Arrival_Time!J21:J22)</f>
        <v>64151.27462387085</v>
      </c>
      <c r="E24" s="30">
        <f si="9" t="shared"/>
        <v>0.12956393099036814</v>
      </c>
      <c r="F24" s="30">
        <f si="10" t="shared"/>
        <v>0.12319808143914604</v>
      </c>
      <c r="G24" s="6">
        <f si="11" t="shared"/>
        <v>1.0516716614159818</v>
      </c>
      <c r="H24" s="6">
        <f si="12" t="shared"/>
        <v>1</v>
      </c>
      <c r="I24" s="31">
        <f si="13" t="shared"/>
        <v>-7.9106080545107677E-2</v>
      </c>
      <c r="L24" s="71">
        <v>15</v>
      </c>
      <c r="M24" s="74">
        <f si="14" t="shared"/>
        <v>-1.2614952667399999</v>
      </c>
      <c r="N24" s="73">
        <f si="15" t="shared"/>
        <v>-1.3406013472851075</v>
      </c>
      <c r="O24" s="74" t="str">
        <f si="16" t="shared"/>
        <v>Arrival 9-10 am</v>
      </c>
      <c r="R24" s="89">
        <f>SchoolTourTime!B32</f>
        <v>32</v>
      </c>
      <c r="S24" s="89" t="str">
        <f>SchoolTourTime!C32</f>
        <v>dur3-4</v>
      </c>
      <c r="T24" s="89">
        <f>VLOOKUP(R24,SchoolTourTime!$B$11:$E$72,4,FALSE)</f>
        <v>-1.041045</v>
      </c>
      <c r="U24" s="91">
        <f si="0" t="shared"/>
        <v>-1.041045</v>
      </c>
    </row>
    <row r="25" spans="2:21" x14ac:dyDescent="0.25">
      <c r="B25" t="s">
        <v>232</v>
      </c>
      <c r="C25" s="29">
        <f>SUM(Arrival_Time!C23:C28)</f>
        <v>76986.649126811259</v>
      </c>
      <c r="D25" s="29">
        <f>SUM(Arrival_Time!J23:J28)</f>
        <v>82888.139209747314</v>
      </c>
      <c r="E25" s="30">
        <f si="9" t="shared"/>
        <v>0.14745750373550517</v>
      </c>
      <c r="F25" s="30">
        <f si="10" t="shared"/>
        <v>0.15918093264045513</v>
      </c>
      <c r="G25" s="6">
        <f si="11" t="shared"/>
        <v>0.92635155033656025</v>
      </c>
      <c r="H25" s="6">
        <f si="12" t="shared"/>
        <v>1</v>
      </c>
      <c r="I25" s="31">
        <f si="13" t="shared"/>
        <v>-0.20598850961486875</v>
      </c>
      <c r="L25" s="71">
        <v>16</v>
      </c>
      <c r="M25" s="74">
        <f si="14" t="shared"/>
        <v>-2.25578381447</v>
      </c>
      <c r="N25" s="73">
        <f si="15" t="shared"/>
        <v>-2.4617723240848686</v>
      </c>
      <c r="O25" s="74" t="str">
        <f si="16" t="shared"/>
        <v>Arrival 10 am-1 pm</v>
      </c>
      <c r="R25" s="89">
        <f>SchoolTourTime!B33</f>
        <v>33</v>
      </c>
      <c r="S25" s="89" t="str">
        <f>SchoolTourTime!C33</f>
        <v>dur5-6</v>
      </c>
      <c r="T25" s="89">
        <f>VLOOKUP(R25,SchoolTourTime!$B$11:$E$72,4,FALSE)</f>
        <v>-0.617788</v>
      </c>
      <c r="U25" s="91">
        <f si="0" t="shared"/>
        <v>-0.617788</v>
      </c>
    </row>
    <row r="26" spans="2:21" x14ac:dyDescent="0.25">
      <c r="B26" t="s">
        <v>229</v>
      </c>
      <c r="C26" s="29">
        <f>SUM(Arrival_Time!C29:C34)</f>
        <v>57103.788777969305</v>
      </c>
      <c r="D26" s="29">
        <f>SUM(Arrival_Time!J29:J34)</f>
        <v>62995.739808082581</v>
      </c>
      <c r="E26" s="30">
        <f si="9" t="shared"/>
        <v>0.10937457653428947</v>
      </c>
      <c r="F26" s="30">
        <f si="10" t="shared"/>
        <v>0.12097895682820214</v>
      </c>
      <c r="G26" s="6">
        <f si="11" t="shared"/>
        <v>0.90407934901941966</v>
      </c>
      <c r="H26" s="6">
        <f si="12" t="shared"/>
        <v>1</v>
      </c>
      <c r="I26" s="31">
        <f si="13" t="shared"/>
        <v>-0.23032518420237197</v>
      </c>
      <c r="L26" s="71">
        <v>17</v>
      </c>
      <c r="M26" s="74">
        <f si="14" t="shared"/>
        <v>-2.9429385107799999</v>
      </c>
      <c r="N26" s="73">
        <f si="15" t="shared"/>
        <v>-3.173263694982372</v>
      </c>
      <c r="O26" s="74" t="str">
        <f si="16" t="shared"/>
        <v>Arrival 1-4 pm</v>
      </c>
      <c r="R26" s="89">
        <f>SchoolTourTime!B34</f>
        <v>34</v>
      </c>
      <c r="S26" s="89" t="str">
        <f>SchoolTourTime!C34</f>
        <v>dur7-8</v>
      </c>
      <c r="T26" s="89">
        <f>VLOOKUP(R26,SchoolTourTime!$B$11:$E$72,4,FALSE)</f>
        <v>-0.160163</v>
      </c>
      <c r="U26" s="91">
        <f si="0" t="shared"/>
        <v>-0.160163</v>
      </c>
    </row>
    <row r="27" spans="2:21" x14ac:dyDescent="0.25">
      <c r="B27" t="s">
        <v>230</v>
      </c>
      <c r="C27" s="29">
        <f>SUM(Arrival_Time!C35:C40)</f>
        <v>40402.143918713868</v>
      </c>
      <c r="D27" s="29">
        <f>SUM(Arrival_Time!J35:J40)</f>
        <v>59496.149115562439</v>
      </c>
      <c r="E27" s="30">
        <f si="9" t="shared"/>
        <v>7.7384836921566738E-2</v>
      </c>
      <c r="F27" s="30">
        <f si="10" t="shared"/>
        <v>0.11425823519533307</v>
      </c>
      <c r="G27" s="6">
        <f si="11" t="shared"/>
        <v>0.67728016968992677</v>
      </c>
      <c r="H27" s="6">
        <f si="12" t="shared"/>
        <v>1</v>
      </c>
      <c r="I27" s="31">
        <f si="13" t="shared"/>
        <v>-0.51915728888769075</v>
      </c>
      <c r="L27" s="71">
        <v>18</v>
      </c>
      <c r="M27" s="74">
        <f si="14" t="shared"/>
        <v>-2.0422750131099998</v>
      </c>
      <c r="N27" s="73">
        <f si="15" t="shared"/>
        <v>-2.5614323019976908</v>
      </c>
      <c r="O27" s="74" t="str">
        <f si="16" t="shared"/>
        <v>Arrival 4-7 pm</v>
      </c>
      <c r="R27" s="89">
        <f>SchoolTourTime!B35</f>
        <v>35</v>
      </c>
      <c r="S27" s="89" t="str">
        <f>SchoolTourTime!C35</f>
        <v>dur=9</v>
      </c>
      <c r="T27" s="89">
        <f>VLOOKUP(R27,SchoolTourTime!$B$11:$E$72,4,FALSE)</f>
        <v>-7.2091000000000002E-2</v>
      </c>
      <c r="U27" s="91">
        <f si="0" t="shared"/>
        <v>-7.2091000000000002E-2</v>
      </c>
    </row>
    <row r="28" spans="2:21" x14ac:dyDescent="0.25">
      <c r="B28" t="s">
        <v>79</v>
      </c>
      <c r="C28" s="29">
        <f>SUM(Arrival_Time!C41:C44)</f>
        <v>8495.2179452710789</v>
      </c>
      <c r="D28" s="29">
        <f>SUM(Arrival_Time!J41:J44)</f>
        <v>16275.598649978638</v>
      </c>
      <c r="E28" s="30">
        <f si="9" t="shared"/>
        <v>1.6271439867909292E-2</v>
      </c>
      <c r="F28" s="30">
        <f si="10" t="shared"/>
        <v>3.1256160375725602E-2</v>
      </c>
      <c r="G28" s="6">
        <f si="11" t="shared"/>
        <v>0.52058345210392964</v>
      </c>
      <c r="H28" s="6">
        <f si="12" t="shared"/>
        <v>1</v>
      </c>
      <c r="I28" s="31">
        <f si="13" t="shared"/>
        <v>-0.78229211035186763</v>
      </c>
      <c r="L28" s="71">
        <v>19</v>
      </c>
      <c r="M28" s="74">
        <f si="14" t="shared"/>
        <v>-3.4674414305300001</v>
      </c>
      <c r="N28" s="73">
        <f si="15" t="shared"/>
        <v>-4.2497335408818682</v>
      </c>
      <c r="O28" s="74" t="str">
        <f si="16" t="shared"/>
        <v>Arrival 7-9 pm</v>
      </c>
      <c r="R28" s="89">
        <f>SchoolTourTime!B36</f>
        <v>36</v>
      </c>
      <c r="S28" s="89" t="str">
        <f>SchoolTourTime!C36</f>
        <v>dur=10</v>
      </c>
      <c r="T28" s="89">
        <f>VLOOKUP(R28,SchoolTourTime!$B$11:$E$72,4,FALSE)</f>
        <v>-0.79294299999999995</v>
      </c>
      <c r="U28" s="91">
        <f si="0" t="shared"/>
        <v>-0.79294299999999995</v>
      </c>
    </row>
    <row r="29" spans="2:21" x14ac:dyDescent="0.25">
      <c r="B29" s="23" t="s">
        <v>231</v>
      </c>
      <c r="C29" s="34">
        <f>SUM(Arrival_Time!C45:C57)+Arrival_Time!C8</f>
        <v>1226.4310687139268</v>
      </c>
      <c r="D29" s="34">
        <f>SUM(Arrival_Time!J45:J57)+Arrival_Time!J8</f>
        <v>4649.1742372512817</v>
      </c>
      <c r="E29" s="35">
        <f si="9" t="shared"/>
        <v>2.3490626744688665E-3</v>
      </c>
      <c r="F29" s="35">
        <f si="10" t="shared"/>
        <v>8.9284172397805193E-3</v>
      </c>
      <c r="G29" s="22">
        <f si="11" t="shared"/>
        <v>0.26309956304490667</v>
      </c>
      <c r="H29" s="22">
        <v>0</v>
      </c>
      <c r="I29" s="31">
        <f si="13" t="shared"/>
        <v>0</v>
      </c>
      <c r="L29" s="75">
        <v>20</v>
      </c>
      <c r="M29" s="75">
        <f si="14" t="shared"/>
        <v>-10</v>
      </c>
      <c r="N29" s="76">
        <f si="15" t="shared"/>
        <v>-10</v>
      </c>
      <c r="O29" s="75" t="str">
        <f si="16" t="shared"/>
        <v>Arrival 9 pm-3 am</v>
      </c>
      <c r="R29" s="89">
        <f>SchoolTourTime!B37</f>
        <v>37</v>
      </c>
      <c r="S29" s="89" t="str">
        <f>SchoolTourTime!C37</f>
        <v>dur=11</v>
      </c>
      <c r="T29" s="89">
        <f>VLOOKUP(R29,SchoolTourTime!$B$11:$E$72,4,FALSE)</f>
        <v>-1.8158650000000001</v>
      </c>
      <c r="U29" s="91">
        <f si="0" t="shared"/>
        <v>-1.8158650000000001</v>
      </c>
    </row>
    <row ht="15.75" r="30" spans="2:21" thickBot="1" x14ac:dyDescent="0.3">
      <c r="B30" s="39" t="s">
        <v>82</v>
      </c>
      <c r="C30" s="40">
        <f>SUM(C20:C29)</f>
        <v>522075.25292969536</v>
      </c>
      <c r="D30" s="40">
        <f>SUM(D20:D29)</f>
        <v>520699.41638946533</v>
      </c>
      <c r="E30" s="41">
        <f si="9" t="shared"/>
        <v>0.99996446698554986</v>
      </c>
      <c r="F30" s="41">
        <f si="10" t="shared"/>
        <v>0.99996717885625763</v>
      </c>
      <c r="G30" s="42">
        <f si="11" t="shared"/>
        <v>0.99999728804028265</v>
      </c>
      <c r="H30" s="42"/>
      <c r="I30" s="43"/>
      <c r="R30" s="89">
        <f>SchoolTourTime!B38</f>
        <v>38</v>
      </c>
      <c r="S30" s="89" t="str">
        <f>SchoolTourTime!C38</f>
        <v>dur12-13</v>
      </c>
      <c r="T30" s="89">
        <f>VLOOKUP(R30,SchoolTourTime!$B$11:$E$72,4,FALSE)</f>
        <v>-3.215354</v>
      </c>
      <c r="U30" s="91">
        <f si="0" t="shared"/>
        <v>-3.215354</v>
      </c>
    </row>
    <row r="31" spans="2:21" x14ac:dyDescent="0.25">
      <c r="R31" s="89">
        <f>SchoolTourTime!B39</f>
        <v>39</v>
      </c>
      <c r="S31" s="89" t="str">
        <f>SchoolTourTime!C39</f>
        <v>dur14-17</v>
      </c>
      <c r="T31" s="89">
        <f>VLOOKUP(R31,SchoolTourTime!$B$11:$E$72,4,FALSE)</f>
        <v>-5.0070750000000004</v>
      </c>
      <c r="U31" s="91">
        <f si="0" t="shared"/>
        <v>-5.0070750000000004</v>
      </c>
    </row>
    <row r="32" spans="2:21" x14ac:dyDescent="0.25">
      <c r="B32" s="77"/>
      <c r="C32" s="77"/>
      <c r="D32" s="77"/>
      <c r="E32" s="77"/>
      <c r="F32" s="77"/>
      <c r="G32" s="77"/>
      <c r="H32" s="77"/>
      <c r="I32" s="77"/>
      <c r="J32" s="77"/>
      <c r="K32" s="77"/>
      <c r="L32" s="77"/>
      <c r="M32" s="77"/>
      <c r="N32" s="77"/>
      <c r="O32" s="77"/>
      <c r="R32" s="89">
        <f>SchoolTourTime!B40</f>
        <v>40</v>
      </c>
      <c r="S32" s="89" t="str">
        <f>SchoolTourTime!C40</f>
        <v>dur18-23</v>
      </c>
      <c r="T32" s="89">
        <f>VLOOKUP(R32,SchoolTourTime!$B$11:$E$72,4,FALSE)</f>
        <v>-10</v>
      </c>
      <c r="U32" s="91">
        <f si="0" t="shared"/>
        <v>-10</v>
      </c>
    </row>
    <row r="33" spans="2:21" x14ac:dyDescent="0.25">
      <c r="B33" s="78"/>
      <c r="C33" s="77"/>
      <c r="D33" s="77"/>
      <c r="E33" s="77"/>
      <c r="F33" s="77"/>
      <c r="G33" s="77"/>
      <c r="H33" s="77"/>
      <c r="I33" s="77"/>
      <c r="J33" s="77"/>
      <c r="K33" s="77"/>
      <c r="L33" s="77"/>
      <c r="M33" s="77"/>
      <c r="N33" s="77"/>
      <c r="O33" s="77"/>
      <c r="R33">
        <f>SchoolTourTime!B41</f>
        <v>41</v>
      </c>
      <c r="S33" t="str">
        <f>SchoolTourTime!C41</f>
        <v>ptwk-arr</v>
      </c>
      <c r="T33">
        <f>VLOOKUP(R33,SchoolTourTime!$B$11:$E$72,4,FALSE)</f>
        <v>0.28932022582700001</v>
      </c>
      <c r="U33" s="64">
        <f si="0" t="shared"/>
        <v>0.28932022582700001</v>
      </c>
    </row>
    <row ht="15.75" r="34" spans="2:21" thickBot="1" x14ac:dyDescent="0.3">
      <c r="B34" s="37" t="s">
        <v>61</v>
      </c>
      <c r="C34" s="1"/>
      <c r="D34" s="1"/>
      <c r="E34" s="1" t="s">
        <v>86</v>
      </c>
      <c r="F34" s="38">
        <v>0</v>
      </c>
      <c r="G34" s="1"/>
      <c r="H34" s="1"/>
      <c r="I34" s="1"/>
      <c r="M34" s="77"/>
      <c r="N34" s="77"/>
      <c r="O34" s="77"/>
      <c r="R34">
        <f>SchoolTourTime!B42</f>
        <v>42</v>
      </c>
      <c r="S34" t="str">
        <f>SchoolTourTime!C42</f>
        <v>ptwk-dur</v>
      </c>
      <c r="T34">
        <f>VLOOKUP(R34,SchoolTourTime!$B$11:$E$72,4,FALSE)</f>
        <v>-0.126020317947</v>
      </c>
      <c r="U34" s="64">
        <f si="0" t="shared"/>
        <v>-0.126020317947</v>
      </c>
    </row>
    <row ht="15.75" r="35" spans="2:21" thickBot="1" x14ac:dyDescent="0.3">
      <c r="B35" s="8"/>
      <c r="C35" s="95" t="s">
        <v>87</v>
      </c>
      <c r="D35" s="95"/>
      <c r="E35" s="95" t="s">
        <v>83</v>
      </c>
      <c r="F35" s="95"/>
      <c r="G35" s="8"/>
      <c r="H35" s="8"/>
      <c r="I35" s="8"/>
      <c r="L35" s="1"/>
      <c r="M35" s="1"/>
      <c r="N35" s="1"/>
      <c r="O35" s="1"/>
      <c r="R35">
        <f>SchoolTourTime!B43</f>
        <v>43</v>
      </c>
      <c r="S35" t="str">
        <f>SchoolTourTime!C43</f>
        <v>nwad-arr</v>
      </c>
      <c r="T35">
        <f>VLOOKUP(R35,SchoolTourTime!$B$11:$E$72,4,FALSE)</f>
        <v>0.21889169970399999</v>
      </c>
      <c r="U35" s="64">
        <f si="0" t="shared"/>
        <v>0.21889169970399999</v>
      </c>
    </row>
    <row r="36" spans="2:21" x14ac:dyDescent="0.25">
      <c r="B36" s="32" t="s">
        <v>14</v>
      </c>
      <c r="C36" s="33" t="s">
        <v>48</v>
      </c>
      <c r="D36" s="33" t="s">
        <v>35</v>
      </c>
      <c r="E36" s="33" t="s">
        <v>48</v>
      </c>
      <c r="F36" s="33" t="s">
        <v>35</v>
      </c>
      <c r="G36" s="33" t="s">
        <v>84</v>
      </c>
      <c r="H36" s="33" t="s">
        <v>86</v>
      </c>
      <c r="I36" s="33" t="s">
        <v>85</v>
      </c>
      <c r="L36" s="33" t="s">
        <v>88</v>
      </c>
      <c r="M36" s="68" t="s">
        <v>89</v>
      </c>
      <c r="N36" s="69" t="s">
        <v>91</v>
      </c>
      <c r="O36" s="90" t="s">
        <v>195</v>
      </c>
      <c r="R36">
        <f>SchoolTourTime!B44</f>
        <v>44</v>
      </c>
      <c r="S36" t="str">
        <f>SchoolTourTime!C44</f>
        <v>nwad-dur</v>
      </c>
      <c r="T36">
        <f>VLOOKUP(R36,SchoolTourTime!$B$11:$E$72,4,FALSE)</f>
        <v>-0.130191110389</v>
      </c>
      <c r="U36" s="64">
        <f si="0" t="shared"/>
        <v>-0.130191110389</v>
      </c>
    </row>
    <row r="37" spans="2:21" x14ac:dyDescent="0.25">
      <c r="B37" t="s">
        <v>62</v>
      </c>
      <c r="C37" s="29">
        <f>SUM(Duration!C8:C13)</f>
        <v>372643.28347875178</v>
      </c>
      <c r="D37" s="29">
        <f>SUM(Duration!J7:J12)</f>
        <v>282842.37771034241</v>
      </c>
      <c r="E37" s="30">
        <f ref="E37:E47" si="17" t="shared">C37/C$47</f>
        <v>0.55078535006566576</v>
      </c>
      <c r="F37" s="30">
        <f ref="F37:F47" si="18" t="shared">D37/D$47</f>
        <v>0.47903154145006888</v>
      </c>
      <c r="G37" s="6">
        <f>E37/F37</f>
        <v>1.1497893195057511</v>
      </c>
      <c r="H37" s="6">
        <f>$F$1</f>
        <v>1</v>
      </c>
      <c r="I37" s="62">
        <f ref="I37:I46" si="19" t="shared">H37*(LN(G37)-LN($G$40))</f>
        <v>0.14533745777896986</v>
      </c>
      <c r="L37">
        <v>31</v>
      </c>
      <c r="M37" s="72">
        <f>VLOOKUP(L37,$R$3:$U$64,3,FALSE)</f>
        <v>-1.672868</v>
      </c>
      <c r="N37" s="73">
        <f>I37+M37</f>
        <v>-1.5275305422210301</v>
      </c>
      <c r="O37" s="74" t="str">
        <f>CONCATENATE("Duration ",B37)</f>
        <v>Duration 0-3 hrs</v>
      </c>
      <c r="R37">
        <f>SchoolTourTime!B45</f>
        <v>45</v>
      </c>
      <c r="S37" t="str">
        <f>SchoolTourTime!C45</f>
        <v>univ-arr</v>
      </c>
      <c r="T37">
        <f>VLOOKUP(R37,SchoolTourTime!$B$11:$E$72,4,FALSE)</f>
        <v>0.16568715041199999</v>
      </c>
      <c r="U37" s="64">
        <f si="0" t="shared"/>
        <v>0.16568715041199999</v>
      </c>
    </row>
    <row r="38" spans="2:21" x14ac:dyDescent="0.25">
      <c r="B38" t="s">
        <v>63</v>
      </c>
      <c r="C38" s="29">
        <f>SUM(Duration!C14:C17)</f>
        <v>60370.470696872049</v>
      </c>
      <c r="D38" s="29">
        <f>SUM(Duration!J13:J16)</f>
        <v>80011.510019302368</v>
      </c>
      <c r="E38" s="30">
        <f si="17" t="shared"/>
        <v>8.9230565290201125E-2</v>
      </c>
      <c r="F38" s="30">
        <f si="18" t="shared"/>
        <v>0.13551023467051182</v>
      </c>
      <c r="G38" s="6">
        <f ref="G38:G47" si="20" t="shared">E38/F38</f>
        <v>0.65847842052050154</v>
      </c>
      <c r="H38" s="6">
        <f ref="H38:H45" si="21" t="shared">$F$1</f>
        <v>1</v>
      </c>
      <c r="I38" s="63">
        <f si="19" t="shared"/>
        <v>-0.41206479637876042</v>
      </c>
      <c r="L38" s="5">
        <v>32</v>
      </c>
      <c r="M38" s="74">
        <f ref="M38:M46" si="22" t="shared">VLOOKUP(L38,$R$3:$U$64,3,FALSE)</f>
        <v>-1.041045</v>
      </c>
      <c r="N38" s="73">
        <f ref="N38:N46" si="23" t="shared">I38+M38</f>
        <v>-1.4531097963787605</v>
      </c>
      <c r="O38" s="74" t="str">
        <f ref="O38:O46" si="24" t="shared">CONCATENATE("Duration ",B38)</f>
        <v>Duration 3-5 hrs</v>
      </c>
      <c r="R38">
        <f>SchoolTourTime!B46</f>
        <v>46</v>
      </c>
      <c r="S38" t="str">
        <f>SchoolTourTime!C46</f>
        <v>univ-dur</v>
      </c>
      <c r="T38">
        <f>VLOOKUP(R38,SchoolTourTime!$B$11:$E$72,4,FALSE)</f>
        <v>-7.5649381697400001E-2</v>
      </c>
      <c r="U38" s="64">
        <f si="0" t="shared"/>
        <v>-7.5649381697400001E-2</v>
      </c>
    </row>
    <row r="39" spans="2:21" x14ac:dyDescent="0.25">
      <c r="B39" t="s">
        <v>64</v>
      </c>
      <c r="C39" s="29">
        <f>SUM(Duration!C18:C21)</f>
        <v>102146.94776059543</v>
      </c>
      <c r="D39" s="29">
        <f>SUM(Duration!J17:J20)</f>
        <v>75255.864930152893</v>
      </c>
      <c r="E39" s="30">
        <f si="17" t="shared"/>
        <v>0.15097828103929009</v>
      </c>
      <c r="F39" s="30">
        <f si="18" t="shared"/>
        <v>0.12745591121273875</v>
      </c>
      <c r="G39" s="6">
        <f si="20" t="shared"/>
        <v>1.1845529925033431</v>
      </c>
      <c r="H39" s="6">
        <f si="21" t="shared"/>
        <v>1</v>
      </c>
      <c r="I39" s="63">
        <f si="19" t="shared"/>
        <v>0.17512421452183613</v>
      </c>
      <c r="L39" s="5">
        <v>33</v>
      </c>
      <c r="M39" s="74">
        <f si="22" t="shared"/>
        <v>-0.617788</v>
      </c>
      <c r="N39" s="73">
        <f si="23" t="shared"/>
        <v>-0.44266378547816387</v>
      </c>
      <c r="O39" s="74" t="str">
        <f si="24" t="shared"/>
        <v>Duration 5-7 hrs</v>
      </c>
      <c r="R39">
        <f>SchoolTourTime!B47</f>
        <v>49</v>
      </c>
      <c r="S39" t="str">
        <f>SchoolTourTime!C47</f>
        <v>dkid-arr</v>
      </c>
      <c r="T39">
        <f>VLOOKUP(R39,SchoolTourTime!$B$11:$E$72,4,FALSE)</f>
        <v>-6.2615357102599994E-2</v>
      </c>
      <c r="U39" s="64">
        <f si="0" t="shared"/>
        <v>-6.2615357102599994E-2</v>
      </c>
    </row>
    <row r="40" spans="2:21" x14ac:dyDescent="0.25">
      <c r="B40" t="s">
        <v>65</v>
      </c>
      <c r="C40" s="29">
        <f>SUM(Duration!C22:C25)</f>
        <v>95653.516135905375</v>
      </c>
      <c r="D40" s="29">
        <f>SUM(Duration!J21:J24)</f>
        <v>83959.796333312988</v>
      </c>
      <c r="E40" s="30">
        <f si="17" t="shared"/>
        <v>0.14138066538620583</v>
      </c>
      <c r="F40" s="30">
        <f si="18" t="shared"/>
        <v>0.14219718764551348</v>
      </c>
      <c r="G40" s="6">
        <f si="20" t="shared"/>
        <v>0.99425781710013017</v>
      </c>
      <c r="H40" s="6">
        <f si="21" t="shared"/>
        <v>1</v>
      </c>
      <c r="I40" s="63">
        <f si="19" t="shared"/>
        <v>0</v>
      </c>
      <c r="L40" s="5">
        <v>34</v>
      </c>
      <c r="M40" s="74">
        <f si="22" t="shared"/>
        <v>-0.160163</v>
      </c>
      <c r="N40" s="73">
        <f si="23" t="shared"/>
        <v>-0.160163</v>
      </c>
      <c r="O40" s="74" t="str">
        <f si="24" t="shared"/>
        <v>Duration 7-9 hrs</v>
      </c>
      <c r="R40">
        <f>SchoolTourTime!B48</f>
        <v>50</v>
      </c>
      <c r="S40" t="str">
        <f>SchoolTourTime!C48</f>
        <v>dkid-dur</v>
      </c>
      <c r="T40">
        <f>VLOOKUP(R40,SchoolTourTime!$B$11:$E$72,4,FALSE)</f>
        <v>5.8936801301500003E-2</v>
      </c>
      <c r="U40" s="64">
        <f si="0" t="shared"/>
        <v>5.8936801301500003E-2</v>
      </c>
    </row>
    <row r="41" spans="2:21" x14ac:dyDescent="0.25">
      <c r="B41" t="s">
        <v>66</v>
      </c>
      <c r="C41" s="29">
        <f>SUM(Duration!C26:C27)</f>
        <v>23816.999774294032</v>
      </c>
      <c r="D41" s="29">
        <f>SUM(Duration!J25:J26)</f>
        <v>30477.1342420578</v>
      </c>
      <c r="E41" s="30">
        <f si="17" t="shared"/>
        <v>3.5202712996023761E-2</v>
      </c>
      <c r="F41" s="30">
        <f si="18" t="shared"/>
        <v>5.1617118739911441E-2</v>
      </c>
      <c r="G41" s="6">
        <f si="20" t="shared"/>
        <v>0.68199686180476948</v>
      </c>
      <c r="H41" s="6">
        <f si="21" t="shared"/>
        <v>1</v>
      </c>
      <c r="I41" s="63">
        <f si="19" t="shared"/>
        <v>-0.37697148999170266</v>
      </c>
      <c r="L41" s="5">
        <v>35</v>
      </c>
      <c r="M41" s="74">
        <f si="22" t="shared"/>
        <v>-7.2091000000000002E-2</v>
      </c>
      <c r="N41" s="73">
        <f si="23" t="shared"/>
        <v>-0.44906248999170267</v>
      </c>
      <c r="O41" s="74" t="str">
        <f si="24" t="shared"/>
        <v>Duration 9-10 hrs</v>
      </c>
      <c r="R41">
        <f>SchoolTourTime!B49</f>
        <v>61</v>
      </c>
      <c r="S41" t="str">
        <f>SchoolTourTime!C49</f>
        <v>ns*ot-arr</v>
      </c>
      <c r="T41">
        <f>VLOOKUP(R41,SchoolTourTime!$B$11:$E$72,4,FALSE)</f>
        <v>1.3894069452699999E-2</v>
      </c>
      <c r="U41" s="64">
        <f si="0" t="shared"/>
        <v>1.3894069452699999E-2</v>
      </c>
    </row>
    <row r="42" spans="2:21" x14ac:dyDescent="0.25">
      <c r="B42" t="s">
        <v>67</v>
      </c>
      <c r="C42" s="29">
        <f>SUM(Duration!C28:C29)</f>
        <v>12610.337963387607</v>
      </c>
      <c r="D42" s="29">
        <f>SUM(Duration!J27:J28)</f>
        <v>19581.168394088745</v>
      </c>
      <c r="E42" s="30">
        <f si="17" t="shared"/>
        <v>1.8638708162861162E-2</v>
      </c>
      <c r="F42" s="30">
        <f si="18" t="shared"/>
        <v>3.3163337669363371E-2</v>
      </c>
      <c r="G42" s="6">
        <f si="20" t="shared"/>
        <v>0.56202751208844071</v>
      </c>
      <c r="H42" s="6">
        <f si="21" t="shared"/>
        <v>1</v>
      </c>
      <c r="I42" s="63">
        <f si="19" t="shared"/>
        <v>-0.57044574377578483</v>
      </c>
      <c r="L42" s="5">
        <v>36</v>
      </c>
      <c r="M42" s="74">
        <f si="22" t="shared"/>
        <v>-0.79294299999999995</v>
      </c>
      <c r="N42" s="73">
        <f si="23" t="shared"/>
        <v>-1.3633887437757848</v>
      </c>
      <c r="O42" s="74" t="str">
        <f si="24" t="shared"/>
        <v>Duration 10-11 hrs</v>
      </c>
      <c r="R42">
        <f>SchoolTourTime!B50</f>
        <v>62</v>
      </c>
      <c r="S42" t="str">
        <f>SchoolTourTime!C50</f>
        <v>ns*ot-dur</v>
      </c>
      <c r="T42">
        <f>VLOOKUP(R42,SchoolTourTime!$B$11:$E$72,4,FALSE)</f>
        <v>-3.35065604818E-2</v>
      </c>
      <c r="U42" s="64">
        <f si="0" t="shared"/>
        <v>-3.35065604818E-2</v>
      </c>
    </row>
    <row r="43" spans="2:21" x14ac:dyDescent="0.25">
      <c r="B43" t="s">
        <v>68</v>
      </c>
      <c r="C43" s="29">
        <f>SUM(Duration!C30:C31)</f>
        <v>5590.6946959709148</v>
      </c>
      <c r="D43" s="29">
        <f>SUM(Duration!J29:J30)</f>
        <v>10555.094776153564</v>
      </c>
      <c r="E43" s="30">
        <f si="17" t="shared"/>
        <v>8.263325469023735E-3</v>
      </c>
      <c r="F43" s="30">
        <f si="18" t="shared"/>
        <v>1.7876470144620502E-2</v>
      </c>
      <c r="G43" s="6">
        <f si="20" t="shared"/>
        <v>0.4622459245126973</v>
      </c>
      <c r="H43" s="6">
        <f si="21" t="shared"/>
        <v>1</v>
      </c>
      <c r="I43" s="63">
        <f si="19" t="shared"/>
        <v>-0.76589949276711244</v>
      </c>
      <c r="L43" s="5">
        <v>37</v>
      </c>
      <c r="M43" s="74">
        <f si="22" t="shared"/>
        <v>-1.8158650000000001</v>
      </c>
      <c r="N43" s="73">
        <f si="23" t="shared"/>
        <v>-2.5817644927671126</v>
      </c>
      <c r="O43" s="74" t="str">
        <f si="24" t="shared"/>
        <v>Duration 11-12 hrs</v>
      </c>
      <c r="R43">
        <f>SchoolTourTime!B51</f>
        <v>65</v>
      </c>
      <c r="S43" t="str">
        <f>SchoolTourTime!C51</f>
        <v>rs*mt-arr</v>
      </c>
      <c r="T43">
        <f>VLOOKUP(R43,SchoolTourTime!$B$11:$E$72,4,FALSE)</f>
        <v>-5.4867372478100002E-3</v>
      </c>
      <c r="U43" s="64">
        <f si="0" t="shared"/>
        <v>-5.4867372478100002E-3</v>
      </c>
    </row>
    <row r="44" spans="2:21" x14ac:dyDescent="0.25">
      <c r="B44" t="s">
        <v>69</v>
      </c>
      <c r="C44" s="29">
        <f>SUM(Duration!C32:C35)</f>
        <v>3314.8551357374017</v>
      </c>
      <c r="D44" s="29">
        <f>SUM(Duration!J31:J34)</f>
        <v>6768.0000162124634</v>
      </c>
      <c r="E44" s="30">
        <f si="17" t="shared"/>
        <v>4.8995211434106015E-3</v>
      </c>
      <c r="F44" s="30">
        <f si="18" t="shared"/>
        <v>1.1462516708230166E-2</v>
      </c>
      <c r="G44" s="6">
        <f si="20" t="shared"/>
        <v>0.4274385170485912</v>
      </c>
      <c r="H44" s="6">
        <f si="21" t="shared"/>
        <v>1</v>
      </c>
      <c r="I44" s="63">
        <f si="19" t="shared"/>
        <v>-0.84418608810091278</v>
      </c>
      <c r="L44" s="5">
        <v>38</v>
      </c>
      <c r="M44" s="74">
        <f si="22" t="shared"/>
        <v>-3.215354</v>
      </c>
      <c r="N44" s="73">
        <f si="23" t="shared"/>
        <v>-4.0595400881009125</v>
      </c>
      <c r="O44" s="74" t="str">
        <f si="24" t="shared"/>
        <v>Duration 12-14 hrs</v>
      </c>
      <c r="R44">
        <f>SchoolTourTime!B52</f>
        <v>66</v>
      </c>
      <c r="S44" t="str">
        <f>SchoolTourTime!C52</f>
        <v>rs*mt-dur</v>
      </c>
      <c r="T44">
        <f>VLOOKUP(R44,SchoolTourTime!$B$11:$E$72,4,FALSE)</f>
        <v>-3.6193574736200003E-2</v>
      </c>
      <c r="U44" s="64">
        <f si="0" t="shared"/>
        <v>-3.6193574736200003E-2</v>
      </c>
    </row>
    <row r="45" spans="2:21" x14ac:dyDescent="0.25">
      <c r="B45" t="s">
        <v>90</v>
      </c>
      <c r="C45" s="29">
        <f>SUM(Duration!C36:C43)</f>
        <v>420.06005289489809</v>
      </c>
      <c r="D45" s="29">
        <f>SUM(Duration!J35:J42)</f>
        <v>995.24380683898926</v>
      </c>
      <c r="E45" s="30">
        <f si="17" t="shared"/>
        <v>6.2086969909256641E-4</v>
      </c>
      <c r="F45" s="30">
        <f si="18" t="shared"/>
        <v>1.6855790096523527E-3</v>
      </c>
      <c r="G45" s="6">
        <f si="20" t="shared"/>
        <v>0.36834209226455633</v>
      </c>
      <c r="H45" s="6">
        <f si="21" t="shared"/>
        <v>1</v>
      </c>
      <c r="I45" s="63">
        <f si="19" t="shared"/>
        <v>-0.99298444146051679</v>
      </c>
      <c r="L45" s="5">
        <v>39</v>
      </c>
      <c r="M45" s="74">
        <f si="22" t="shared"/>
        <v>-5.0070750000000004</v>
      </c>
      <c r="N45" s="73">
        <f si="23" t="shared"/>
        <v>-6.0000594414605173</v>
      </c>
      <c r="O45" s="74" t="str">
        <f si="24" t="shared"/>
        <v>Duration 14-18 hrs</v>
      </c>
      <c r="R45">
        <f>SchoolTourTime!B53</f>
        <v>67</v>
      </c>
      <c r="S45" t="str">
        <f>SchoolTourTime!C53</f>
        <v>iescs-arr</v>
      </c>
      <c r="T45">
        <f>VLOOKUP(R45,SchoolTourTime!$B$11:$E$72,4,FALSE)</f>
        <v>-2.12729108975E-2</v>
      </c>
      <c r="U45" s="64">
        <f si="0" t="shared"/>
        <v>-2.12729108975E-2</v>
      </c>
    </row>
    <row r="46" spans="2:21" x14ac:dyDescent="0.25">
      <c r="B46" s="23" t="s">
        <v>70</v>
      </c>
      <c r="C46" s="34">
        <f>SUM(Duration!C44:C55)</f>
        <v>5.062246554188352E-4</v>
      </c>
      <c r="D46" s="34">
        <f>SUM(Duration!J43:J54)</f>
        <v>6.0667991638183594E-2</v>
      </c>
      <c r="E46" s="35">
        <f si="17" t="shared"/>
        <v>7.4822527711715115E-10</v>
      </c>
      <c r="F46" s="35">
        <f si="18" t="shared"/>
        <v>1.027493892053231E-7</v>
      </c>
      <c r="G46" s="22">
        <f si="20" t="shared"/>
        <v>7.2820411187260676E-3</v>
      </c>
      <c r="H46" s="22">
        <v>0</v>
      </c>
      <c r="I46" s="36">
        <f si="19" t="shared"/>
        <v>0</v>
      </c>
      <c r="L46" s="23">
        <v>40</v>
      </c>
      <c r="M46" s="75">
        <f si="22" t="shared"/>
        <v>-10</v>
      </c>
      <c r="N46" s="76">
        <f si="23" t="shared"/>
        <v>-10</v>
      </c>
      <c r="O46" s="75" t="str">
        <f si="24" t="shared"/>
        <v>Duration 18-24 hrs</v>
      </c>
      <c r="R46">
        <f>SchoolTourTime!B54</f>
        <v>68</v>
      </c>
      <c r="S46" t="str">
        <f>SchoolTourTime!C54</f>
        <v>iescs-dur</v>
      </c>
      <c r="T46">
        <f>VLOOKUP(R46,SchoolTourTime!$B$11:$E$72,4,FALSE)</f>
        <v>3.8531785887300003E-2</v>
      </c>
      <c r="U46" s="64">
        <f si="0" t="shared"/>
        <v>3.8531785887300003E-2</v>
      </c>
    </row>
    <row ht="15.75" r="47" spans="2:21" thickBot="1" x14ac:dyDescent="0.3">
      <c r="B47" s="3" t="s">
        <v>82</v>
      </c>
      <c r="C47" s="44">
        <f>SUM(C37:C46)</f>
        <v>676567.16620063421</v>
      </c>
      <c r="D47" s="44">
        <f>SUM(D37:D46)</f>
        <v>590446.25089645386</v>
      </c>
      <c r="E47" s="45">
        <f si="17" t="shared"/>
        <v>1</v>
      </c>
      <c r="F47" s="45">
        <f si="18" t="shared"/>
        <v>1</v>
      </c>
      <c r="G47" s="46">
        <f si="20" t="shared"/>
        <v>1</v>
      </c>
      <c r="H47" s="46"/>
      <c r="I47" s="1"/>
      <c r="M47" s="77"/>
      <c r="N47" s="77"/>
      <c r="O47" s="77"/>
      <c r="R47">
        <f>SchoolTourTime!B55</f>
        <v>85</v>
      </c>
      <c r="S47" t="str">
        <f>SchoolTourTime!C55</f>
        <v>ctim-out</v>
      </c>
      <c r="T47">
        <f>VLOOKUP(R47,SchoolTourTime!$B$11:$E$72,4,FALSE)</f>
        <v>0.25</v>
      </c>
      <c r="U47" s="64">
        <f si="0" t="shared"/>
        <v>0.25</v>
      </c>
    </row>
    <row r="48" spans="2:21" x14ac:dyDescent="0.25">
      <c r="M48" s="77"/>
      <c r="N48" s="77"/>
      <c r="O48" s="77"/>
      <c r="R48">
        <f>SchoolTourTime!B56</f>
        <v>86</v>
      </c>
      <c r="S48" t="str">
        <f>SchoolTourTime!C56</f>
        <v>ctim-ret</v>
      </c>
      <c r="T48">
        <f>VLOOKUP(R48,SchoolTourTime!$B$11:$E$72,4,FALSE)</f>
        <v>0.25</v>
      </c>
      <c r="U48" s="64">
        <f si="0" t="shared"/>
        <v>0.25</v>
      </c>
    </row>
    <row r="49" spans="2:21" x14ac:dyDescent="0.25">
      <c r="B49" s="78"/>
      <c r="C49" s="77"/>
      <c r="D49" s="77"/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R49">
        <f>SchoolTourTime!B57</f>
        <v>87</v>
      </c>
      <c r="S49" t="str">
        <f>SchoolTourTime!C57</f>
        <v>ttim-out</v>
      </c>
      <c r="T49">
        <f>VLOOKUP(R49,SchoolTourTime!$B$11:$E$72,4,FALSE)</f>
        <v>0.25</v>
      </c>
      <c r="U49" s="64">
        <f si="0" t="shared"/>
        <v>0.25</v>
      </c>
    </row>
    <row r="50" spans="2:21" x14ac:dyDescent="0.25">
      <c r="B50" s="79"/>
      <c r="C50" s="93"/>
      <c r="D50" s="93"/>
      <c r="E50" s="93"/>
      <c r="F50" s="93"/>
      <c r="G50" s="79"/>
      <c r="H50" s="79"/>
      <c r="I50" s="79"/>
      <c r="J50" s="77"/>
      <c r="K50" s="77"/>
      <c r="L50" s="77"/>
      <c r="M50" s="77"/>
      <c r="N50" s="77"/>
      <c r="O50" s="77"/>
      <c r="R50">
        <f>SchoolTourTime!B58</f>
        <v>88</v>
      </c>
      <c r="S50" t="str">
        <f>SchoolTourTime!C58</f>
        <v>ttim-ret</v>
      </c>
      <c r="T50">
        <f>VLOOKUP(R50,SchoolTourTime!$B$11:$E$72,4,FALSE)</f>
        <v>0.25</v>
      </c>
      <c r="U50" s="64">
        <f si="0" t="shared"/>
        <v>0.25</v>
      </c>
    </row>
    <row r="51" spans="2:21" x14ac:dyDescent="0.25">
      <c r="B51" s="79"/>
      <c r="C51" s="80"/>
      <c r="D51" s="80"/>
      <c r="E51" s="80"/>
      <c r="F51" s="80"/>
      <c r="G51" s="80"/>
      <c r="H51" s="80"/>
      <c r="I51" s="80"/>
      <c r="J51" s="77"/>
      <c r="K51" s="77"/>
      <c r="L51" s="80"/>
      <c r="M51" s="80"/>
      <c r="N51" s="79"/>
      <c r="O51" s="77"/>
      <c r="R51">
        <f>SchoolTourTime!B59</f>
        <v>91</v>
      </c>
      <c r="S51" t="str">
        <f>SchoolTourTime!C59</f>
        <v>arrpused</v>
      </c>
      <c r="T51">
        <f>VLOOKUP(R51,SchoolTourTime!$B$11:$E$72,4,FALSE)</f>
        <v>4.3984912551099997</v>
      </c>
      <c r="U51" s="64">
        <f si="0" t="shared"/>
        <v>4.3984912551099997</v>
      </c>
    </row>
    <row r="52" spans="2:21" x14ac:dyDescent="0.25">
      <c r="B52" s="77"/>
      <c r="C52" s="81"/>
      <c r="D52" s="81"/>
      <c r="E52" s="82"/>
      <c r="F52" s="82"/>
      <c r="G52" s="83"/>
      <c r="H52" s="83"/>
      <c r="I52" s="84"/>
      <c r="J52" s="77"/>
      <c r="K52" s="77"/>
      <c r="L52" s="77"/>
      <c r="M52" s="77"/>
      <c r="N52" s="84"/>
      <c r="O52" s="77"/>
      <c r="R52">
        <f>SchoolTourTime!B60</f>
        <v>92</v>
      </c>
      <c r="S52" t="str">
        <f>SchoolTourTime!C60</f>
        <v>deppused</v>
      </c>
      <c r="T52">
        <f>VLOOKUP(R52,SchoolTourTime!$B$11:$E$72,4,FALSE)</f>
        <v>1.2976531666</v>
      </c>
      <c r="U52" s="64">
        <f si="0" t="shared"/>
        <v>1.2976531666</v>
      </c>
    </row>
    <row r="53" spans="2:21" x14ac:dyDescent="0.25">
      <c r="B53" s="77"/>
      <c r="C53" s="81"/>
      <c r="D53" s="81"/>
      <c r="E53" s="82"/>
      <c r="F53" s="82"/>
      <c r="G53" s="83"/>
      <c r="H53" s="83"/>
      <c r="I53" s="84"/>
      <c r="J53" s="77"/>
      <c r="K53" s="77"/>
      <c r="L53" s="77"/>
      <c r="M53" s="77"/>
      <c r="N53" s="84"/>
      <c r="O53" s="77"/>
      <c r="R53">
        <f>SchoolTourTime!B61</f>
        <v>93</v>
      </c>
      <c r="S53" t="str">
        <f>SchoolTourTime!C61</f>
        <v>cempbef1</v>
      </c>
      <c r="T53">
        <f>VLOOKUP(R53,SchoolTourTime!$B$11:$E$72,4,FALSE)</f>
        <v>-0.13712603030000001</v>
      </c>
      <c r="U53" s="64">
        <f si="0" t="shared"/>
        <v>-0.13712603030000001</v>
      </c>
    </row>
    <row r="54" spans="2:21" x14ac:dyDescent="0.25">
      <c r="B54" s="77"/>
      <c r="C54" s="81"/>
      <c r="D54" s="81"/>
      <c r="E54" s="82"/>
      <c r="F54" s="82"/>
      <c r="G54" s="83"/>
      <c r="H54" s="83"/>
      <c r="I54" s="84"/>
      <c r="J54" s="77"/>
      <c r="K54" s="77"/>
      <c r="L54" s="77"/>
      <c r="M54" s="77"/>
      <c r="N54" s="84"/>
      <c r="O54" s="77"/>
      <c r="R54">
        <f>SchoolTourTime!B62</f>
        <v>94</v>
      </c>
      <c r="S54" t="str">
        <f>SchoolTourTime!C62</f>
        <v>cempaft1</v>
      </c>
      <c r="T54">
        <f>VLOOKUP(R54,SchoolTourTime!$B$11:$E$72,4,FALSE)</f>
        <v>-0.117727254534</v>
      </c>
      <c r="U54" s="64">
        <f si="0" t="shared"/>
        <v>-0.117727254534</v>
      </c>
    </row>
    <row r="55" spans="2:21" x14ac:dyDescent="0.25">
      <c r="B55" s="77"/>
      <c r="C55" s="81"/>
      <c r="D55" s="81"/>
      <c r="E55" s="82"/>
      <c r="F55" s="82"/>
      <c r="G55" s="83"/>
      <c r="H55" s="83"/>
      <c r="I55" s="84"/>
      <c r="J55" s="77"/>
      <c r="K55" s="77"/>
      <c r="L55" s="77"/>
      <c r="M55" s="77"/>
      <c r="N55" s="84"/>
      <c r="O55" s="77"/>
      <c r="R55">
        <f>SchoolTourTime!B63</f>
        <v>95</v>
      </c>
      <c r="S55" t="str">
        <f>SchoolTourTime!C63</f>
        <v>cempbef2</v>
      </c>
      <c r="T55">
        <f>VLOOKUP(R55,SchoolTourTime!$B$11:$E$72,4,FALSE)</f>
        <v>-8.0903295982399995E-2</v>
      </c>
      <c r="U55" s="64">
        <f si="0" t="shared"/>
        <v>-8.0903295982399995E-2</v>
      </c>
    </row>
    <row r="56" spans="2:21" x14ac:dyDescent="0.25">
      <c r="B56" s="77"/>
      <c r="C56" s="81"/>
      <c r="D56" s="81"/>
      <c r="E56" s="82"/>
      <c r="F56" s="82"/>
      <c r="G56" s="83"/>
      <c r="H56" s="83"/>
      <c r="I56" s="84"/>
      <c r="J56" s="77"/>
      <c r="K56" s="77"/>
      <c r="L56" s="77"/>
      <c r="M56" s="77"/>
      <c r="N56" s="84"/>
      <c r="O56" s="77"/>
      <c r="R56">
        <f>SchoolTourTime!B64</f>
        <v>96</v>
      </c>
      <c r="S56" t="str">
        <f>SchoolTourTime!C64</f>
        <v>cempaft2</v>
      </c>
      <c r="T56">
        <f>VLOOKUP(R56,SchoolTourTime!$B$11:$E$72,4,FALSE)</f>
        <v>-2.0259430948599999E-2</v>
      </c>
      <c r="U56" s="64">
        <f si="0" t="shared"/>
        <v>-2.0259430948599999E-2</v>
      </c>
    </row>
    <row r="57" spans="2:21" x14ac:dyDescent="0.25">
      <c r="B57" s="77"/>
      <c r="C57" s="81"/>
      <c r="D57" s="81"/>
      <c r="E57" s="82"/>
      <c r="F57" s="82"/>
      <c r="G57" s="83"/>
      <c r="H57" s="83"/>
      <c r="I57" s="84"/>
      <c r="J57" s="77"/>
      <c r="K57" s="77"/>
      <c r="L57" s="77"/>
      <c r="M57" s="77"/>
      <c r="N57" s="84"/>
      <c r="O57" s="77"/>
      <c r="R57">
        <f>SchoolTourTime!B65</f>
        <v>97</v>
      </c>
      <c r="S57" t="str">
        <f>SchoolTourTime!C65</f>
        <v>toursdtwin</v>
      </c>
      <c r="T57">
        <f>VLOOKUP(R57,SchoolTourTime!$B$11:$E$72,4,FALSE)</f>
        <v>-88.147824057299999</v>
      </c>
      <c r="U57" s="64">
        <f si="0" t="shared"/>
        <v>-88.147824057299999</v>
      </c>
    </row>
    <row r="58" spans="2:21" x14ac:dyDescent="0.25">
      <c r="B58" s="77"/>
      <c r="C58" s="81"/>
      <c r="D58" s="81"/>
      <c r="E58" s="82"/>
      <c r="F58" s="82"/>
      <c r="G58" s="83"/>
      <c r="H58" s="83"/>
      <c r="I58" s="84"/>
      <c r="J58" s="77"/>
      <c r="K58" s="77"/>
      <c r="L58" s="77"/>
      <c r="M58" s="77"/>
      <c r="N58" s="84"/>
      <c r="O58" s="77"/>
      <c r="R58">
        <f>SchoolTourTime!B66</f>
        <v>99</v>
      </c>
      <c r="S58" t="str">
        <f>SchoolTourTime!C66</f>
        <v>toursdbwin</v>
      </c>
      <c r="T58">
        <f>VLOOKUP(R58,SchoolTourTime!$B$11:$E$72,4,FALSE)</f>
        <v>-0.515327957738</v>
      </c>
      <c r="U58" s="64">
        <f si="0" t="shared"/>
        <v>-0.515327957738</v>
      </c>
    </row>
    <row r="59" spans="2:21" x14ac:dyDescent="0.25">
      <c r="B59" s="77"/>
      <c r="C59" s="81"/>
      <c r="D59" s="81"/>
      <c r="E59" s="82"/>
      <c r="F59" s="82"/>
      <c r="G59" s="83"/>
      <c r="H59" s="83"/>
      <c r="I59" s="84"/>
      <c r="J59" s="77"/>
      <c r="K59" s="77"/>
      <c r="L59" s="77"/>
      <c r="M59" s="77"/>
      <c r="N59" s="84"/>
      <c r="O59" s="77"/>
      <c r="R59">
        <f>SchoolTourTime!B67</f>
        <v>100</v>
      </c>
      <c r="S59" t="str">
        <f>SchoolTourTime!C67</f>
        <v>toursdawin</v>
      </c>
      <c r="T59">
        <f>VLOOKUP(R59,SchoolTourTime!$B$11:$E$72,4,FALSE)</f>
        <v>-1.48342258525</v>
      </c>
      <c r="U59" s="64">
        <f si="0" t="shared"/>
        <v>-1.48342258525</v>
      </c>
    </row>
    <row r="60" spans="2:21" x14ac:dyDescent="0.25">
      <c r="B60" s="77"/>
      <c r="C60" s="81"/>
      <c r="D60" s="81"/>
      <c r="E60" s="82"/>
      <c r="F60" s="82"/>
      <c r="G60" s="83"/>
      <c r="H60" s="83"/>
      <c r="I60" s="84"/>
      <c r="J60" s="77"/>
      <c r="K60" s="77"/>
      <c r="L60" s="77"/>
      <c r="M60" s="77"/>
      <c r="N60" s="84"/>
      <c r="O60" s="77"/>
      <c r="R60">
        <f>SchoolTourTime!B68</f>
        <v>124</v>
      </c>
      <c r="S60" t="str">
        <f>SchoolTourTime!C68</f>
        <v>dep15</v>
      </c>
      <c r="T60">
        <f>VLOOKUP(R60,SchoolTourTime!$B$11:$E$72,4,FALSE)</f>
        <v>1.6847908809200001</v>
      </c>
      <c r="U60" s="64">
        <f si="0" t="shared"/>
        <v>1.6847908809200001</v>
      </c>
    </row>
    <row r="61" spans="2:21" x14ac:dyDescent="0.25">
      <c r="B61" s="77"/>
      <c r="C61" s="81"/>
      <c r="D61" s="81"/>
      <c r="E61" s="82"/>
      <c r="F61" s="82"/>
      <c r="G61" s="83"/>
      <c r="H61" s="83"/>
      <c r="I61" s="84"/>
      <c r="J61" s="77"/>
      <c r="K61" s="77"/>
      <c r="L61" s="77"/>
      <c r="M61" s="77"/>
      <c r="N61" s="84"/>
      <c r="O61" s="77"/>
      <c r="R61">
        <f>SchoolTourTime!B69</f>
        <v>139</v>
      </c>
      <c r="S61" t="str">
        <f>SchoolTourTime!C69</f>
        <v>ftwk-arr</v>
      </c>
      <c r="T61">
        <f>VLOOKUP(R61,SchoolTourTime!$B$11:$E$72,4,FALSE)</f>
        <v>0.28553018058200003</v>
      </c>
      <c r="U61" s="64">
        <f si="0" t="shared"/>
        <v>0.28553018058200003</v>
      </c>
    </row>
    <row r="62" spans="2:21" x14ac:dyDescent="0.25">
      <c r="B62" s="79"/>
      <c r="C62" s="85"/>
      <c r="D62" s="85"/>
      <c r="E62" s="86"/>
      <c r="F62" s="86"/>
      <c r="G62" s="87"/>
      <c r="H62" s="87"/>
      <c r="I62" s="77"/>
      <c r="J62" s="77"/>
      <c r="K62" s="77"/>
      <c r="L62" s="77"/>
      <c r="M62" s="77"/>
      <c r="N62" s="77"/>
      <c r="O62" s="77"/>
      <c r="R62">
        <f>SchoolTourTime!B70</f>
        <v>140</v>
      </c>
      <c r="S62" t="str">
        <f>SchoolTourTime!C70</f>
        <v>ftwk-dur</v>
      </c>
      <c r="T62">
        <f>VLOOKUP(R62,SchoolTourTime!$B$11:$E$72,4,FALSE)</f>
        <v>0.115396426521</v>
      </c>
      <c r="U62" s="64">
        <f si="0" t="shared"/>
        <v>0.115396426521</v>
      </c>
    </row>
    <row r="63" spans="2:21" x14ac:dyDescent="0.25">
      <c r="B63" s="77"/>
      <c r="C63" s="77"/>
      <c r="D63" s="77"/>
      <c r="E63" s="77"/>
      <c r="F63" s="77"/>
      <c r="G63" s="77"/>
      <c r="H63" s="77"/>
      <c r="I63" s="77"/>
      <c r="J63" s="77"/>
      <c r="K63" s="77"/>
      <c r="L63" s="77"/>
      <c r="M63" s="77"/>
      <c r="N63" s="77"/>
      <c r="O63" s="77"/>
      <c r="R63">
        <f>SchoolTourTime!B71</f>
        <v>143</v>
      </c>
      <c r="S63" t="str">
        <f>SchoolTourTime!C71</f>
        <v>pres-arr</v>
      </c>
      <c r="T63">
        <f>VLOOKUP(R63,SchoolTourTime!$B$11:$E$72,4,FALSE)</f>
        <v>0.10498530294699999</v>
      </c>
      <c r="U63" s="64">
        <f si="0" t="shared"/>
        <v>0.10498530294699999</v>
      </c>
    </row>
    <row r="64" spans="2:21" x14ac:dyDescent="0.25">
      <c r="B64" s="77"/>
      <c r="C64" s="77"/>
      <c r="D64" s="77"/>
      <c r="E64" s="77"/>
      <c r="F64" s="77"/>
      <c r="G64" s="77"/>
      <c r="H64" s="77"/>
      <c r="I64" s="77"/>
      <c r="J64" s="77"/>
      <c r="K64" s="77"/>
      <c r="L64" s="77"/>
      <c r="M64" s="77"/>
      <c r="N64" s="77"/>
      <c r="O64" s="77"/>
      <c r="R64">
        <f>SchoolTourTime!B72</f>
        <v>144</v>
      </c>
      <c r="S64" t="str">
        <f>SchoolTourTime!C72</f>
        <v>pres-dur</v>
      </c>
      <c r="T64">
        <f>VLOOKUP(R64,SchoolTourTime!$B$11:$E$72,4,FALSE)</f>
        <v>0.15534523906299999</v>
      </c>
      <c r="U64" s="64">
        <f si="0" t="shared"/>
        <v>0.15534523906299999</v>
      </c>
    </row>
  </sheetData>
  <mergeCells count="8">
    <mergeCell ref="C50:D50"/>
    <mergeCell ref="E50:F50"/>
    <mergeCell ref="E2:F2"/>
    <mergeCell ref="C2:D2"/>
    <mergeCell ref="C35:D35"/>
    <mergeCell ref="E35:F35"/>
    <mergeCell ref="C18:D18"/>
    <mergeCell ref="E18:F18"/>
  </mergeCells>
  <pageMargins bottom="0.75" footer="0.3" header="0.3" left="0.7" right="0.7" top="0.75"/>
  <pageSetup orientation="portrait" r:id="rId1"/>
  <ignoredErrors>
    <ignoredError formulaRange="1" sqref="C4:C12 D4:D12"/>
  </ignoredErrors>
</worksheet>
</file>

<file path=xl/worksheets/sheet1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U59"/>
  <sheetViews>
    <sheetView topLeftCell="A10" workbookViewId="0">
      <selection activeCell="J17" sqref="J17"/>
    </sheetView>
  </sheetViews>
  <sheetFormatPr defaultRowHeight="15" x14ac:dyDescent="0.25"/>
  <cols>
    <col min="2" max="2" customWidth="true" width="14.5703125" collapsed="true"/>
    <col min="3" max="3" bestFit="true" customWidth="true" width="11.5703125" collapsed="true"/>
    <col min="7" max="8" customWidth="true" width="7.7109375" collapsed="true"/>
    <col min="9" max="9" bestFit="true" customWidth="true" width="12.7109375" collapsed="true"/>
    <col min="12" max="12" bestFit="true" customWidth="true" width="6.0" collapsed="true"/>
    <col min="13" max="13" customWidth="true" width="9.42578125" collapsed="true"/>
    <col min="14" max="14" customWidth="true" width="12.28515625" collapsed="true"/>
    <col min="15" max="15" customWidth="true" width="22.28515625" collapsed="true"/>
    <col min="20" max="20" bestFit="true" customWidth="true" width="10.28515625" collapsed="true"/>
  </cols>
  <sheetData>
    <row ht="15.75" r="1" spans="2:20" thickBot="1" x14ac:dyDescent="0.3">
      <c r="B1" s="37" t="s">
        <v>174</v>
      </c>
      <c r="C1" s="1"/>
      <c r="D1" s="1"/>
      <c r="E1" s="1" t="s">
        <v>86</v>
      </c>
      <c r="F1" s="38">
        <v>1</v>
      </c>
      <c r="G1" s="1"/>
      <c r="H1" s="1"/>
      <c r="I1" s="1"/>
      <c r="Q1" s="58" t="s">
        <v>194</v>
      </c>
      <c r="R1" s="59"/>
      <c r="S1" s="59"/>
      <c r="T1" s="59"/>
    </row>
    <row ht="15.75" r="2" spans="2:20" thickBot="1" x14ac:dyDescent="0.3">
      <c r="B2" s="5"/>
      <c r="C2" s="94" t="s">
        <v>87</v>
      </c>
      <c r="D2" s="94"/>
      <c r="E2" s="94" t="s">
        <v>83</v>
      </c>
      <c r="F2" s="94"/>
      <c r="G2" s="11"/>
      <c r="H2" s="11"/>
      <c r="I2" s="11"/>
      <c r="L2" s="1"/>
      <c r="M2" s="1"/>
      <c r="N2" s="1"/>
      <c r="Q2" s="59"/>
      <c r="R2" s="59"/>
      <c r="S2" s="60" t="s">
        <v>170</v>
      </c>
      <c r="T2" s="60" t="s">
        <v>171</v>
      </c>
    </row>
    <row r="3" spans="2:20" x14ac:dyDescent="0.25">
      <c r="B3" s="32" t="s">
        <v>72</v>
      </c>
      <c r="C3" s="33" t="s">
        <v>48</v>
      </c>
      <c r="D3" s="33" t="s">
        <v>35</v>
      </c>
      <c r="E3" s="33" t="s">
        <v>48</v>
      </c>
      <c r="F3" s="33" t="s">
        <v>35</v>
      </c>
      <c r="G3" s="33" t="s">
        <v>84</v>
      </c>
      <c r="H3" s="33" t="s">
        <v>86</v>
      </c>
      <c r="I3" s="33" t="s">
        <v>85</v>
      </c>
      <c r="L3" s="33" t="s">
        <v>88</v>
      </c>
      <c r="M3" s="33" t="s">
        <v>89</v>
      </c>
      <c r="N3" s="32" t="s">
        <v>91</v>
      </c>
      <c r="Q3" s="66">
        <f>WorkBasedSubtourTime!B11</f>
        <v>11</v>
      </c>
      <c r="R3" s="66" t="str">
        <f>WorkBasedSubtourTime!C11</f>
        <v>arr3-5</v>
      </c>
      <c r="S3" s="66">
        <f>VLOOKUP(Q3,WorkBasedSubtourTime!$B$11:$E$60,4,FALSE)</f>
        <v>-0.45190000000000002</v>
      </c>
      <c r="T3" s="67">
        <f ref="T3:T34" si="0" t="shared">_xlfn.IFNA(VLOOKUP(Q3,$L$3:$N$45,3,FALSE),S3)</f>
        <v>-0.45190000000000002</v>
      </c>
    </row>
    <row r="4" spans="2:20" x14ac:dyDescent="0.25">
      <c r="B4" t="s">
        <v>73</v>
      </c>
      <c r="C4" s="29">
        <f>SUM(Departure_Time!E9:E16)</f>
        <v>1266.3992140510491</v>
      </c>
      <c r="D4" s="29">
        <f>SUM(Departure_Time!L9:L16)</f>
        <v>2555.2042102813721</v>
      </c>
      <c r="E4" s="30">
        <f ref="E4:E14" si="1" t="shared">C4/C$14</f>
        <v>7.4704595999270443E-3</v>
      </c>
      <c r="F4" s="30">
        <f ref="F4:F14" si="2" t="shared">D4/D$14</f>
        <v>1.4274401320678202E-2</v>
      </c>
      <c r="G4" s="6">
        <f>E4/F4</f>
        <v>0.52334661413121242</v>
      </c>
      <c r="H4" s="6">
        <v>0</v>
      </c>
      <c r="I4" s="62">
        <f ref="I4:I12" si="3" t="shared">H4*(LN(G4)-LN($G$8))</f>
        <v>0</v>
      </c>
      <c r="L4">
        <v>21</v>
      </c>
      <c r="M4" s="61">
        <f>VLOOKUP(L4,$Q$3:$T$64,3,FALSE)</f>
        <v>2.5150000000000001</v>
      </c>
      <c r="N4" s="31">
        <f>I4+M4</f>
        <v>2.5150000000000001</v>
      </c>
      <c r="Q4" s="66">
        <f>WorkBasedSubtourTime!B12</f>
        <v>12</v>
      </c>
      <c r="R4" s="66" t="str">
        <f>WorkBasedSubtourTime!C12</f>
        <v>arr=6</v>
      </c>
      <c r="S4" s="66">
        <f>VLOOKUP(Q4,WorkBasedSubtourTime!$B$11:$E$60,4,FALSE)</f>
        <v>-5</v>
      </c>
      <c r="T4" s="67">
        <f si="0" t="shared"/>
        <v>-4.9710295578468164</v>
      </c>
    </row>
    <row r="5" spans="2:20" x14ac:dyDescent="0.25">
      <c r="B5" t="s">
        <v>74</v>
      </c>
      <c r="C5" s="29">
        <f>SUM(Departure_Time!E17:E22)</f>
        <v>13898.63329050319</v>
      </c>
      <c r="D5" s="29">
        <f>SUM(Departure_Time!L17:L22)</f>
        <v>21575.282788276672</v>
      </c>
      <c r="E5" s="30">
        <f si="1" t="shared"/>
        <v>8.1987715515685539E-2</v>
      </c>
      <c r="F5" s="30">
        <f si="2" t="shared"/>
        <v>0.12052823171149554</v>
      </c>
      <c r="G5" s="6">
        <f ref="G5:G14" si="4" t="shared">E5/F5</f>
        <v>0.68023660806653852</v>
      </c>
      <c r="H5" s="6">
        <f ref="H5:H12" si="5" t="shared">$F$1</f>
        <v>1</v>
      </c>
      <c r="I5" s="63">
        <f si="3" t="shared"/>
        <v>-0.40222525461225789</v>
      </c>
      <c r="L5" s="5">
        <v>22</v>
      </c>
      <c r="M5" s="5">
        <f ref="M5:M13" si="6" t="shared">VLOOKUP(L5,$Q$3:$T$64,3,FALSE)</f>
        <v>0.43574099999999999</v>
      </c>
      <c r="N5" s="31">
        <f ref="N5:N13" si="7" t="shared">I5+M5</f>
        <v>3.3515745387742102E-2</v>
      </c>
      <c r="Q5" s="66">
        <f>WorkBasedSubtourTime!B13</f>
        <v>13</v>
      </c>
      <c r="R5" s="66" t="str">
        <f>WorkBasedSubtourTime!C13</f>
        <v>arr=7</v>
      </c>
      <c r="S5" s="66">
        <f>VLOOKUP(Q5,WorkBasedSubtourTime!$B$11:$E$60,4,FALSE)</f>
        <v>-0.27489999999999998</v>
      </c>
      <c r="T5" s="67">
        <f si="0" t="shared"/>
        <v>-0.24930983126749498</v>
      </c>
    </row>
    <row r="6" spans="2:20" x14ac:dyDescent="0.25">
      <c r="B6" t="s">
        <v>75</v>
      </c>
      <c r="C6" s="29">
        <f>SUM(Departure_Time!E23:E28)</f>
        <v>69114.013969619758</v>
      </c>
      <c r="D6" s="29">
        <f>SUM(Departure_Time!L23:L28)</f>
        <v>70456.917085647583</v>
      </c>
      <c r="E6" s="30">
        <f si="1" t="shared"/>
        <v>0.40770196587316027</v>
      </c>
      <c r="F6" s="30">
        <f si="2" t="shared"/>
        <v>0.39360075654678661</v>
      </c>
      <c r="G6" s="6">
        <f si="4" t="shared"/>
        <v>1.0358261743450117</v>
      </c>
      <c r="H6" s="6">
        <f si="5" t="shared"/>
        <v>1</v>
      </c>
      <c r="I6" s="63">
        <f si="3" t="shared"/>
        <v>1.828867806080622E-2</v>
      </c>
      <c r="L6" s="5">
        <v>23</v>
      </c>
      <c r="M6" s="5">
        <f si="6" t="shared"/>
        <v>0.84860599999999997</v>
      </c>
      <c r="N6" s="31">
        <f si="7" t="shared"/>
        <v>0.86689467806080622</v>
      </c>
      <c r="Q6" s="66">
        <f>WorkBasedSubtourTime!B14</f>
        <v>14</v>
      </c>
      <c r="R6" s="66" t="str">
        <f>WorkBasedSubtourTime!C14</f>
        <v>arr=8</v>
      </c>
      <c r="S6" s="66">
        <f>VLOOKUP(Q6,WorkBasedSubtourTime!$B$11:$E$60,4,FALSE)</f>
        <v>0</v>
      </c>
      <c r="T6" s="67">
        <f si="0" t="shared"/>
        <v>0</v>
      </c>
    </row>
    <row r="7" spans="2:20" x14ac:dyDescent="0.25">
      <c r="B7" t="s">
        <v>76</v>
      </c>
      <c r="C7" s="29">
        <f>SUM(Departure_Time!E29:E32)</f>
        <v>50129.865090986175</v>
      </c>
      <c r="D7" s="29">
        <f>SUM(Departure_Time!L29:L32)</f>
        <v>45147.344508171082</v>
      </c>
      <c r="E7" s="30">
        <f si="1" t="shared"/>
        <v>0.29571491181998577</v>
      </c>
      <c r="F7" s="30">
        <f si="2" t="shared"/>
        <v>0.25221127590486625</v>
      </c>
      <c r="G7" s="6">
        <f si="4" t="shared"/>
        <v>1.1724888618046128</v>
      </c>
      <c r="H7" s="6">
        <f si="5" t="shared"/>
        <v>1</v>
      </c>
      <c r="I7" s="63">
        <f si="3" t="shared"/>
        <v>0.1422180554485134</v>
      </c>
      <c r="L7" s="5">
        <v>24</v>
      </c>
      <c r="M7" s="5">
        <f si="6" t="shared"/>
        <v>0.78815900000000005</v>
      </c>
      <c r="N7" s="31">
        <f si="7" t="shared"/>
        <v>0.93037705544851346</v>
      </c>
      <c r="Q7" s="66">
        <f>WorkBasedSubtourTime!B15</f>
        <v>15</v>
      </c>
      <c r="R7" s="66" t="str">
        <f>WorkBasedSubtourTime!C15</f>
        <v>arr=9</v>
      </c>
      <c r="S7" s="66">
        <f>VLOOKUP(Q7,WorkBasedSubtourTime!$B$11:$E$60,4,FALSE)</f>
        <v>-0.4405</v>
      </c>
      <c r="T7" s="67">
        <f si="0" t="shared"/>
        <v>-0.50476026321826972</v>
      </c>
    </row>
    <row r="8" spans="2:20" x14ac:dyDescent="0.25">
      <c r="B8" t="s">
        <v>173</v>
      </c>
      <c r="C8" s="29">
        <f>SUM(Departure_Time!E33:E36)</f>
        <v>22789.952394750999</v>
      </c>
      <c r="D8" s="29">
        <f>SUM(Departure_Time!L33:L36)</f>
        <v>23661.57283782959</v>
      </c>
      <c r="E8" s="30">
        <f si="1" t="shared"/>
        <v>0.13443740075030167</v>
      </c>
      <c r="F8" s="30">
        <f si="2" t="shared"/>
        <v>0.13218308940107981</v>
      </c>
      <c r="G8" s="6">
        <f si="4" t="shared"/>
        <v>1.0170544610466901</v>
      </c>
      <c r="H8" s="6">
        <f si="5" t="shared"/>
        <v>1</v>
      </c>
      <c r="I8" s="63">
        <f si="3" t="shared"/>
        <v>0</v>
      </c>
      <c r="L8" s="5">
        <v>25</v>
      </c>
      <c r="M8" s="5">
        <f si="6" t="shared"/>
        <v>0</v>
      </c>
      <c r="N8" s="31">
        <f si="7" t="shared"/>
        <v>0</v>
      </c>
      <c r="Q8" s="66">
        <f>WorkBasedSubtourTime!B16</f>
        <v>16</v>
      </c>
      <c r="R8" s="66" t="str">
        <f>WorkBasedSubtourTime!C16</f>
        <v>arr10-12</v>
      </c>
      <c r="S8" s="66">
        <f>VLOOKUP(Q8,WorkBasedSubtourTime!$B$11:$E$60,4,FALSE)</f>
        <v>-0.1867</v>
      </c>
      <c r="T8" s="67">
        <f si="0" t="shared"/>
        <v>-7.3426672740546289E-2</v>
      </c>
    </row>
    <row r="9" spans="2:20" x14ac:dyDescent="0.25">
      <c r="B9" t="s">
        <v>77</v>
      </c>
      <c r="C9" s="29">
        <f>SUM(Departure_Time!E37:E38)</f>
        <v>4693.9892103941784</v>
      </c>
      <c r="D9" s="29">
        <f>SUM(Departure_Time!L37:L38)</f>
        <v>5546.3538980484009</v>
      </c>
      <c r="E9" s="30">
        <f si="1" t="shared"/>
        <v>2.7689733513471385E-2</v>
      </c>
      <c r="F9" s="30">
        <f si="2" t="shared"/>
        <v>3.0984169910448257E-2</v>
      </c>
      <c r="G9" s="6">
        <f si="4" t="shared"/>
        <v>0.89367356277419763</v>
      </c>
      <c r="H9" s="6">
        <f si="5" t="shared"/>
        <v>1</v>
      </c>
      <c r="I9" s="63">
        <f si="3" t="shared"/>
        <v>-0.12932537911773029</v>
      </c>
      <c r="L9" s="5">
        <v>26</v>
      </c>
      <c r="M9" s="5">
        <f si="6" t="shared"/>
        <v>6.5059000000000006E-2</v>
      </c>
      <c r="N9" s="31">
        <f si="7" t="shared"/>
        <v>-6.4266379117730282E-2</v>
      </c>
      <c r="Q9" s="66">
        <f>WorkBasedSubtourTime!B17</f>
        <v>17</v>
      </c>
      <c r="R9" s="66" t="str">
        <f>WorkBasedSubtourTime!C17</f>
        <v>arr13-15</v>
      </c>
      <c r="S9" s="66">
        <f>VLOOKUP(Q9,WorkBasedSubtourTime!$B$11:$E$60,4,FALSE)</f>
        <v>-1.6032</v>
      </c>
      <c r="T9" s="67">
        <f si="0" t="shared"/>
        <v>-1.3669454032297712</v>
      </c>
    </row>
    <row r="10" spans="2:20" x14ac:dyDescent="0.25">
      <c r="B10" t="s">
        <v>78</v>
      </c>
      <c r="C10" s="29">
        <f>SUM(Departure_Time!E39:E40)</f>
        <v>2277.849932094889</v>
      </c>
      <c r="D10" s="29">
        <f>SUM(Departure_Time!L39:L40)</f>
        <v>3472.467155456543</v>
      </c>
      <c r="E10" s="30">
        <f si="1" t="shared"/>
        <v>1.3436983933350329E-2</v>
      </c>
      <c r="F10" s="30">
        <f si="2" t="shared"/>
        <v>1.939860209623024E-2</v>
      </c>
      <c r="G10" s="6">
        <f si="4" t="shared"/>
        <v>0.69267795002411836</v>
      </c>
      <c r="H10" s="6">
        <f si="5" t="shared"/>
        <v>1</v>
      </c>
      <c r="I10" s="63">
        <f si="3" t="shared"/>
        <v>-0.38410077270497506</v>
      </c>
      <c r="L10" s="5">
        <v>27</v>
      </c>
      <c r="M10" s="5">
        <f si="6" t="shared"/>
        <v>-9.9504999999999996E-2</v>
      </c>
      <c r="N10" s="31">
        <f si="7" t="shared"/>
        <v>-0.48360577270497507</v>
      </c>
      <c r="Q10" s="66">
        <f>WorkBasedSubtourTime!B18</f>
        <v>18</v>
      </c>
      <c r="R10" s="66" t="str">
        <f>WorkBasedSubtourTime!C18</f>
        <v>arr16-18</v>
      </c>
      <c r="S10" s="66">
        <f>VLOOKUP(Q10,WorkBasedSubtourTime!$B$11:$E$60,4,FALSE)</f>
        <v>-2.6232000000000002</v>
      </c>
      <c r="T10" s="67">
        <f si="0" t="shared"/>
        <v>-2.6876774947165232</v>
      </c>
    </row>
    <row r="11" spans="2:20" x14ac:dyDescent="0.25">
      <c r="B11" t="s">
        <v>79</v>
      </c>
      <c r="C11" s="29">
        <f>SUM(Departure_Time!E41:E44)</f>
        <v>2223.7975993437362</v>
      </c>
      <c r="D11" s="29">
        <f>SUM(Departure_Time!L41:L44)</f>
        <v>4109.2274284362793</v>
      </c>
      <c r="E11" s="30">
        <f si="1" t="shared"/>
        <v>1.3118130475752538E-2</v>
      </c>
      <c r="F11" s="30">
        <f si="2" t="shared"/>
        <v>2.2955801808489818E-2</v>
      </c>
      <c r="G11" s="6">
        <f si="4" t="shared"/>
        <v>0.57145163498061824</v>
      </c>
      <c r="H11" s="6">
        <f si="5" t="shared"/>
        <v>1</v>
      </c>
      <c r="I11" s="63">
        <f si="3" t="shared"/>
        <v>-0.57648609385151317</v>
      </c>
      <c r="L11" s="5">
        <v>28</v>
      </c>
      <c r="M11" s="5">
        <f si="6" t="shared"/>
        <v>-8.7779999999999993E-3</v>
      </c>
      <c r="N11" s="31">
        <f si="7" t="shared"/>
        <v>-0.58526409385151312</v>
      </c>
      <c r="Q11" s="66">
        <f>WorkBasedSubtourTime!B19</f>
        <v>19</v>
      </c>
      <c r="R11" s="66" t="str">
        <f>WorkBasedSubtourTime!C19</f>
        <v>arr19-21</v>
      </c>
      <c r="S11" s="66">
        <f>VLOOKUP(Q11,WorkBasedSubtourTime!$B$11:$E$60,4,FALSE)</f>
        <v>-4.4149000000000003</v>
      </c>
      <c r="T11" s="67">
        <f si="0" t="shared"/>
        <v>-4.4788419905178003</v>
      </c>
    </row>
    <row r="12" spans="2:20" x14ac:dyDescent="0.25">
      <c r="B12" t="s">
        <v>80</v>
      </c>
      <c r="C12" s="29">
        <f>SUM(Departure_Time!E45:E50)</f>
        <v>2888.7100751343019</v>
      </c>
      <c r="D12" s="29">
        <f>SUM(Departure_Time!L45:L50)</f>
        <v>2183.7853670120239</v>
      </c>
      <c r="E12" s="30">
        <f si="1" t="shared"/>
        <v>1.704043375324072E-2</v>
      </c>
      <c r="F12" s="30">
        <f si="2" t="shared"/>
        <v>1.2199505856137254E-2</v>
      </c>
      <c r="G12" s="6">
        <f si="4" t="shared"/>
        <v>1.3968134409860644</v>
      </c>
      <c r="H12" s="6">
        <f si="5" t="shared"/>
        <v>1</v>
      </c>
      <c r="I12" s="63">
        <f si="3" t="shared"/>
        <v>0.31728286243829484</v>
      </c>
      <c r="L12" s="5">
        <v>29</v>
      </c>
      <c r="M12" s="5">
        <f si="6" t="shared"/>
        <v>-1.58053</v>
      </c>
      <c r="N12" s="31">
        <f si="7" t="shared"/>
        <v>-1.2632471375617051</v>
      </c>
      <c r="Q12" s="66">
        <f>WorkBasedSubtourTime!B20</f>
        <v>20</v>
      </c>
      <c r="R12" s="66" t="str">
        <f>WorkBasedSubtourTime!C20</f>
        <v>arr22-26</v>
      </c>
      <c r="S12" s="66">
        <f>VLOOKUP(Q12,WorkBasedSubtourTime!$B$11:$E$60,4,FALSE)</f>
        <v>-10</v>
      </c>
      <c r="T12" s="67">
        <f si="0" t="shared"/>
        <v>-10</v>
      </c>
    </row>
    <row r="13" spans="2:20" x14ac:dyDescent="0.25">
      <c r="B13" s="23" t="s">
        <v>81</v>
      </c>
      <c r="C13" s="34">
        <f>SUM(Departure_Time!E51:E57)+Departure_Time!E8</f>
        <v>237.71321867036053</v>
      </c>
      <c r="D13" s="34">
        <f>SUM(Departure_Time!L51:L57)+Departure_Time!L8</f>
        <v>297.89568424224854</v>
      </c>
      <c r="E13" s="35">
        <f si="1" t="shared"/>
        <v>1.4022647651248203E-3</v>
      </c>
      <c r="F13" s="35">
        <f si="2" t="shared"/>
        <v>1.6641654437880092E-3</v>
      </c>
      <c r="G13" s="22">
        <f si="4" t="shared"/>
        <v>0.84262341244927852</v>
      </c>
      <c r="H13" s="22">
        <v>0</v>
      </c>
      <c r="I13" s="36">
        <f>H13*IF(G13&gt;0,(LN(G13)-LN($G$8)),0)</f>
        <v>0</v>
      </c>
      <c r="L13" s="23">
        <v>30</v>
      </c>
      <c r="M13" s="23">
        <f si="6" t="shared"/>
        <v>-10</v>
      </c>
      <c r="N13" s="36">
        <f si="7" t="shared"/>
        <v>-10</v>
      </c>
      <c r="Q13" s="66">
        <f>WorkBasedSubtourTime!B21</f>
        <v>21</v>
      </c>
      <c r="R13" s="66" t="str">
        <f>WorkBasedSubtourTime!C21</f>
        <v>dep3-6</v>
      </c>
      <c r="S13" s="66">
        <f>VLOOKUP(Q13,WorkBasedSubtourTime!$B$11:$E$60,4,FALSE)</f>
        <v>2.5150000000000001</v>
      </c>
      <c r="T13" s="67">
        <f si="0" t="shared"/>
        <v>2.5150000000000001</v>
      </c>
    </row>
    <row ht="15.75" r="14" spans="2:20" thickBot="1" x14ac:dyDescent="0.3">
      <c r="B14" s="39" t="s">
        <v>82</v>
      </c>
      <c r="C14" s="40">
        <f>SUM(C4:C13)</f>
        <v>169520.92399554863</v>
      </c>
      <c r="D14" s="40">
        <f>SUM(D4:D13)</f>
        <v>179006.05096340179</v>
      </c>
      <c r="E14" s="41">
        <f si="1" t="shared"/>
        <v>1</v>
      </c>
      <c r="F14" s="41">
        <f si="2" t="shared"/>
        <v>1</v>
      </c>
      <c r="G14" s="42">
        <f si="4" t="shared"/>
        <v>1</v>
      </c>
      <c r="H14" s="42"/>
      <c r="I14" s="43"/>
      <c r="Q14" s="66">
        <f>WorkBasedSubtourTime!B22</f>
        <v>22</v>
      </c>
      <c r="R14" s="66" t="str">
        <f>WorkBasedSubtourTime!C22</f>
        <v>dep7-9</v>
      </c>
      <c r="S14" s="66">
        <f>VLOOKUP(Q14,WorkBasedSubtourTime!$B$11:$E$60,4,FALSE)</f>
        <v>0.43574099999999999</v>
      </c>
      <c r="T14" s="67">
        <f si="0" t="shared"/>
        <v>3.3515745387742102E-2</v>
      </c>
    </row>
    <row r="15" spans="2:20" x14ac:dyDescent="0.25">
      <c r="Q15" s="66">
        <f>WorkBasedSubtourTime!B23</f>
        <v>23</v>
      </c>
      <c r="R15" s="66" t="str">
        <f>WorkBasedSubtourTime!C23</f>
        <v>dep10-12</v>
      </c>
      <c r="S15" s="66">
        <f>VLOOKUP(Q15,WorkBasedSubtourTime!$B$11:$E$60,4,FALSE)</f>
        <v>0.84860599999999997</v>
      </c>
      <c r="T15" s="67">
        <f si="0" t="shared"/>
        <v>0.86689467806080622</v>
      </c>
    </row>
    <row r="16" spans="2:20" x14ac:dyDescent="0.25">
      <c r="Q16" s="66">
        <f>WorkBasedSubtourTime!B24</f>
        <v>24</v>
      </c>
      <c r="R16" s="66" t="str">
        <f>WorkBasedSubtourTime!C24</f>
        <v>dep13-14</v>
      </c>
      <c r="S16" s="66">
        <f>VLOOKUP(Q16,WorkBasedSubtourTime!$B$11:$E$60,4,FALSE)</f>
        <v>0.78815900000000005</v>
      </c>
      <c r="T16" s="67">
        <f si="0" t="shared"/>
        <v>0.93037705544851346</v>
      </c>
    </row>
    <row ht="15.75" r="17" spans="2:20" thickBot="1" x14ac:dyDescent="0.3">
      <c r="B17" s="37" t="s">
        <v>235</v>
      </c>
      <c r="C17" s="1"/>
      <c r="D17" s="1"/>
      <c r="E17" s="1" t="s">
        <v>86</v>
      </c>
      <c r="F17" s="38">
        <v>0</v>
      </c>
      <c r="G17" s="1"/>
      <c r="H17" s="1"/>
      <c r="I17" s="1"/>
      <c r="Q17" s="66">
        <f>WorkBasedSubtourTime!B25</f>
        <v>25</v>
      </c>
      <c r="R17" s="66" t="str">
        <f>WorkBasedSubtourTime!C25</f>
        <v>dep=16</v>
      </c>
      <c r="S17" s="66">
        <f>VLOOKUP(Q17,WorkBasedSubtourTime!$B$11:$E$60,4,FALSE)</f>
        <v>0</v>
      </c>
      <c r="T17" s="67">
        <f si="0" t="shared"/>
        <v>0</v>
      </c>
    </row>
    <row ht="15.75" r="18" spans="2:20" thickBot="1" x14ac:dyDescent="0.3">
      <c r="B18" s="5"/>
      <c r="C18" s="94" t="s">
        <v>87</v>
      </c>
      <c r="D18" s="94"/>
      <c r="E18" s="94" t="s">
        <v>83</v>
      </c>
      <c r="F18" s="94"/>
      <c r="G18" s="11"/>
      <c r="H18" s="11"/>
      <c r="I18" s="11"/>
      <c r="L18" s="1"/>
      <c r="M18" s="1"/>
      <c r="N18" s="1"/>
      <c r="O18" s="1"/>
      <c r="Q18" s="66">
        <f>WorkBasedSubtourTime!B26</f>
        <v>26</v>
      </c>
      <c r="R18" s="66" t="str">
        <f>WorkBasedSubtourTime!C26</f>
        <v>dep=17</v>
      </c>
      <c r="S18" s="66">
        <f>VLOOKUP(Q18,WorkBasedSubtourTime!$B$11:$E$60,4,FALSE)</f>
        <v>6.5059000000000006E-2</v>
      </c>
      <c r="T18" s="67">
        <f si="0" t="shared"/>
        <v>-6.4266379117730282E-2</v>
      </c>
    </row>
    <row r="19" spans="2:20" x14ac:dyDescent="0.25">
      <c r="B19" s="32" t="s">
        <v>72</v>
      </c>
      <c r="C19" s="33" t="s">
        <v>48</v>
      </c>
      <c r="D19" s="33" t="s">
        <v>35</v>
      </c>
      <c r="E19" s="33" t="s">
        <v>48</v>
      </c>
      <c r="F19" s="33" t="s">
        <v>35</v>
      </c>
      <c r="G19" s="33" t="s">
        <v>84</v>
      </c>
      <c r="H19" s="33" t="s">
        <v>86</v>
      </c>
      <c r="I19" s="33" t="s">
        <v>85</v>
      </c>
      <c r="L19" s="68" t="s">
        <v>88</v>
      </c>
      <c r="M19" s="92" t="s">
        <v>89</v>
      </c>
      <c r="N19" s="69" t="s">
        <v>91</v>
      </c>
      <c r="O19" s="70" t="s">
        <v>195</v>
      </c>
      <c r="Q19" s="66">
        <f>WorkBasedSubtourTime!B27</f>
        <v>27</v>
      </c>
      <c r="R19" s="66" t="str">
        <f>WorkBasedSubtourTime!C27</f>
        <v>dep=18</v>
      </c>
      <c r="S19" s="66">
        <f>VLOOKUP(Q19,WorkBasedSubtourTime!$B$11:$E$60,4,FALSE)</f>
        <v>-9.9504999999999996E-2</v>
      </c>
      <c r="T19" s="67">
        <f si="0" t="shared"/>
        <v>-0.48360577270497507</v>
      </c>
    </row>
    <row r="20" spans="2:20" x14ac:dyDescent="0.25">
      <c r="B20" t="s">
        <v>224</v>
      </c>
      <c r="C20" s="29">
        <f>SUM(Arrival_Time!E9:E14)</f>
        <v>1101.6791950182785</v>
      </c>
      <c r="D20" s="29">
        <f>SUM(Arrival_Time!L9:L14)</f>
        <v>1509.7186899185181</v>
      </c>
      <c r="E20" s="30">
        <f>C20/C$14</f>
        <v>6.4987800269847929E-3</v>
      </c>
      <c r="F20" s="30">
        <f>D20/D$14</f>
        <v>8.433897523537813E-3</v>
      </c>
      <c r="G20" s="6">
        <f>E20/F20</f>
        <v>0.77055477717717324</v>
      </c>
      <c r="H20" s="6">
        <v>0</v>
      </c>
      <c r="I20" s="31">
        <f>H20*(LN(G20)-LN($G$23))</f>
        <v>0</v>
      </c>
      <c r="L20" s="71">
        <v>11</v>
      </c>
      <c r="M20" s="74">
        <f>VLOOKUP(L20,$Q$3:$U$64,3,FALSE)</f>
        <v>-0.45190000000000002</v>
      </c>
      <c r="N20" s="73">
        <f>I20+M20</f>
        <v>-0.45190000000000002</v>
      </c>
      <c r="O20" s="72" t="str">
        <f>CONCATENATE("Arrival ",B20)</f>
        <v>Arrival 3-6 am</v>
      </c>
      <c r="Q20" s="66">
        <f>WorkBasedSubtourTime!B28</f>
        <v>28</v>
      </c>
      <c r="R20" s="66" t="str">
        <f>WorkBasedSubtourTime!C28</f>
        <v>dep19-20</v>
      </c>
      <c r="S20" s="66">
        <f>VLOOKUP(Q20,WorkBasedSubtourTime!$B$11:$E$60,4,FALSE)</f>
        <v>-8.7779999999999993E-3</v>
      </c>
      <c r="T20" s="67">
        <f si="0" t="shared"/>
        <v>-0.58526409385151312</v>
      </c>
    </row>
    <row r="21" spans="2:20" x14ac:dyDescent="0.25">
      <c r="B21" t="s">
        <v>225</v>
      </c>
      <c r="C21" s="29">
        <f>SUM(Arrival_Time!E15:E16)</f>
        <v>2208.4012596569883</v>
      </c>
      <c r="D21" s="29">
        <f>SUM(Arrival_Time!L15:L16)</f>
        <v>2523.6035776138306</v>
      </c>
      <c r="E21" s="30">
        <f ref="E21:F30" si="8" t="shared">C21/C$14</f>
        <v>1.3027307824932442E-2</v>
      </c>
      <c r="F21" s="30">
        <f si="8" t="shared"/>
        <v>1.409786744097152E-2</v>
      </c>
      <c r="G21" s="6">
        <f ref="G21:G30" si="9" t="shared">E21/F21</f>
        <v>0.92406230087482633</v>
      </c>
      <c r="H21" s="6">
        <f ref="H21:H28" si="10" t="shared">$F$1</f>
        <v>1</v>
      </c>
      <c r="I21" s="31">
        <f ref="I21:I29" si="11" t="shared">H21*(LN(G21)-LN($G$23))</f>
        <v>2.8970442153183937E-2</v>
      </c>
      <c r="L21" s="71">
        <v>12</v>
      </c>
      <c r="M21" s="74">
        <f ref="M21:M29" si="12" t="shared">VLOOKUP(L21,$Q$3:$U$64,3,FALSE)</f>
        <v>-5</v>
      </c>
      <c r="N21" s="73">
        <f ref="N21:N29" si="13" t="shared">I21+M21</f>
        <v>-4.9710295578468164</v>
      </c>
      <c r="O21" s="74" t="str">
        <f ref="O21:O29" si="14" t="shared">CONCATENATE("Arrival ",B21)</f>
        <v>Arrival 6-7 am</v>
      </c>
      <c r="Q21" s="66">
        <f>WorkBasedSubtourTime!B29</f>
        <v>29</v>
      </c>
      <c r="R21" s="66" t="str">
        <f>WorkBasedSubtourTime!C29</f>
        <v>dep21-23</v>
      </c>
      <c r="S21" s="66">
        <f>VLOOKUP(Q21,WorkBasedSubtourTime!$B$11:$E$60,4,FALSE)</f>
        <v>-1.58053</v>
      </c>
      <c r="T21" s="67">
        <f si="0" t="shared"/>
        <v>-1.2632471375617051</v>
      </c>
    </row>
    <row r="22" spans="2:20" x14ac:dyDescent="0.25">
      <c r="B22" t="s">
        <v>226</v>
      </c>
      <c r="C22" s="29">
        <f>SUM(Arrival_Time!E17:E18)</f>
        <v>4879.7511737427103</v>
      </c>
      <c r="D22" s="29">
        <f>SUM(Arrival_Time!L17:L18)</f>
        <v>5595.1129674911499</v>
      </c>
      <c r="E22" s="30">
        <f si="8" t="shared"/>
        <v>2.8785539028036714E-2</v>
      </c>
      <c r="F22" s="30">
        <f si="8" t="shared"/>
        <v>3.1256557738570993E-2</v>
      </c>
      <c r="G22" s="6">
        <f si="9" t="shared"/>
        <v>0.92094399097937096</v>
      </c>
      <c r="H22" s="6">
        <f si="10" t="shared"/>
        <v>1</v>
      </c>
      <c r="I22" s="31">
        <f si="11" t="shared"/>
        <v>2.5590168732504998E-2</v>
      </c>
      <c r="L22" s="71">
        <v>13</v>
      </c>
      <c r="M22" s="74">
        <f si="12" t="shared"/>
        <v>-0.27489999999999998</v>
      </c>
      <c r="N22" s="73">
        <f si="13" t="shared"/>
        <v>-0.24930983126749498</v>
      </c>
      <c r="O22" s="74" t="str">
        <f si="14" t="shared"/>
        <v>Arrival 7-8 am</v>
      </c>
      <c r="Q22" s="66">
        <f>WorkBasedSubtourTime!B30</f>
        <v>30</v>
      </c>
      <c r="R22" s="66" t="str">
        <f>WorkBasedSubtourTime!C30</f>
        <v>dep24-26</v>
      </c>
      <c r="S22" s="66">
        <f>VLOOKUP(Q22,WorkBasedSubtourTime!$B$11:$E$60,4,FALSE)</f>
        <v>-10</v>
      </c>
      <c r="T22" s="67">
        <f si="0" t="shared"/>
        <v>-10</v>
      </c>
    </row>
    <row r="23" spans="2:20" x14ac:dyDescent="0.25">
      <c r="B23" t="s">
        <v>227</v>
      </c>
      <c r="C23" s="29">
        <f>SUM(Arrival_Time!E19:E20)</f>
        <v>8783.3988321615088</v>
      </c>
      <c r="D23" s="29">
        <f>SUM(Arrival_Time!L19:L20)</f>
        <v>10332.072734832764</v>
      </c>
      <c r="E23" s="30">
        <f si="8" t="shared"/>
        <v>5.1813066051906068E-2</v>
      </c>
      <c r="F23" s="30">
        <f si="8" t="shared"/>
        <v>5.7719125578303387E-2</v>
      </c>
      <c r="G23" s="6">
        <f si="9" t="shared"/>
        <v>0.89767586623631379</v>
      </c>
      <c r="H23" s="6">
        <f si="10" t="shared"/>
        <v>1</v>
      </c>
      <c r="I23" s="31">
        <f si="11" t="shared"/>
        <v>0</v>
      </c>
      <c r="L23" s="71">
        <v>14</v>
      </c>
      <c r="M23" s="74">
        <f si="12" t="shared"/>
        <v>0</v>
      </c>
      <c r="N23" s="73">
        <f si="13" t="shared"/>
        <v>0</v>
      </c>
      <c r="O23" s="74" t="str">
        <f si="14" t="shared"/>
        <v>Arrival 8-9 am</v>
      </c>
      <c r="Q23" s="66">
        <f>WorkBasedSubtourTime!B31</f>
        <v>31</v>
      </c>
      <c r="R23" s="66" t="str">
        <f>WorkBasedSubtourTime!C31</f>
        <v>dur0-0</v>
      </c>
      <c r="S23" s="66">
        <f>VLOOKUP(Q23,WorkBasedSubtourTime!$B$11:$E$60,4,FALSE)</f>
        <v>1.9112849999999999</v>
      </c>
      <c r="T23" s="67">
        <f si="0" t="shared"/>
        <v>2.1885028412805854</v>
      </c>
    </row>
    <row r="24" spans="2:20" x14ac:dyDescent="0.25">
      <c r="B24" t="s">
        <v>228</v>
      </c>
      <c r="C24" s="29">
        <f>SUM(Arrival_Time!E21:E22)</f>
        <v>13478.84022418064</v>
      </c>
      <c r="D24" s="29">
        <f>SUM(Arrival_Time!L21:L22)</f>
        <v>16907.728071212769</v>
      </c>
      <c r="E24" s="30">
        <f si="8" t="shared"/>
        <v>7.9511365951111579E-2</v>
      </c>
      <c r="F24" s="30">
        <f si="8" t="shared"/>
        <v>9.4453388476066616E-2</v>
      </c>
      <c r="G24" s="6">
        <f si="9" t="shared"/>
        <v>0.8418053310100021</v>
      </c>
      <c r="H24" s="6">
        <f si="10" t="shared"/>
        <v>1</v>
      </c>
      <c r="I24" s="31">
        <f si="11" t="shared"/>
        <v>-6.4260263218269706E-2</v>
      </c>
      <c r="L24" s="71">
        <v>15</v>
      </c>
      <c r="M24" s="74">
        <f si="12" t="shared"/>
        <v>-0.4405</v>
      </c>
      <c r="N24" s="73">
        <f si="13" t="shared"/>
        <v>-0.50476026321826972</v>
      </c>
      <c r="O24" s="74" t="str">
        <f si="14" t="shared"/>
        <v>Arrival 9-10 am</v>
      </c>
      <c r="Q24" s="66">
        <f>WorkBasedSubtourTime!B32</f>
        <v>32</v>
      </c>
      <c r="R24" s="66" t="str">
        <f>WorkBasedSubtourTime!C32</f>
        <v>dur1-1</v>
      </c>
      <c r="S24" s="66">
        <f>VLOOKUP(Q24,WorkBasedSubtourTime!$B$11:$E$60,4,FALSE)</f>
        <v>1.531911</v>
      </c>
      <c r="T24" s="67">
        <f si="0" t="shared"/>
        <v>1.2402090005564568</v>
      </c>
    </row>
    <row r="25" spans="2:20" x14ac:dyDescent="0.25">
      <c r="B25" t="s">
        <v>232</v>
      </c>
      <c r="C25" s="29">
        <f>SUM(Arrival_Time!E23:E28)</f>
        <v>75569.348974579712</v>
      </c>
      <c r="D25" s="29">
        <f>SUM(Arrival_Time!L23:L28)</f>
        <v>79373.686447143555</v>
      </c>
      <c r="E25" s="30">
        <f si="8" t="shared"/>
        <v>0.44578183738878191</v>
      </c>
      <c r="F25" s="30">
        <f si="8" t="shared"/>
        <v>0.44341342664093342</v>
      </c>
      <c r="G25" s="6">
        <f si="9" t="shared"/>
        <v>1.0053413149118877</v>
      </c>
      <c r="H25" s="6">
        <f si="10" t="shared"/>
        <v>1</v>
      </c>
      <c r="I25" s="31">
        <f si="11" t="shared"/>
        <v>0.11327332725945372</v>
      </c>
      <c r="L25" s="71">
        <v>16</v>
      </c>
      <c r="M25" s="74">
        <f si="12" t="shared"/>
        <v>-0.1867</v>
      </c>
      <c r="N25" s="73">
        <f si="13" t="shared"/>
        <v>-7.3426672740546289E-2</v>
      </c>
      <c r="O25" s="74" t="str">
        <f si="14" t="shared"/>
        <v>Arrival 10 am-1 pm</v>
      </c>
      <c r="Q25" s="66">
        <f>WorkBasedSubtourTime!B33</f>
        <v>33</v>
      </c>
      <c r="R25" s="66" t="str">
        <f>WorkBasedSubtourTime!C33</f>
        <v>dur2-2</v>
      </c>
      <c r="S25" s="66">
        <f>VLOOKUP(Q25,WorkBasedSubtourTime!$B$11:$E$60,4,FALSE)</f>
        <v>0</v>
      </c>
      <c r="T25" s="67">
        <f si="0" t="shared"/>
        <v>0</v>
      </c>
    </row>
    <row r="26" spans="2:20" x14ac:dyDescent="0.25">
      <c r="B26" t="s">
        <v>229</v>
      </c>
      <c r="C26" s="29">
        <f>SUM(Arrival_Time!E29:E34)</f>
        <v>48230.550972019446</v>
      </c>
      <c r="D26" s="29">
        <f>SUM(Arrival_Time!L29:L34)</f>
        <v>44796.388959884644</v>
      </c>
      <c r="E26" s="30">
        <f si="8" t="shared"/>
        <v>0.28451090187123984</v>
      </c>
      <c r="F26" s="30">
        <f si="8" t="shared"/>
        <v>0.25025069665965299</v>
      </c>
      <c r="G26" s="6">
        <f si="9" t="shared"/>
        <v>1.1369035358098585</v>
      </c>
      <c r="H26" s="6">
        <f si="10" t="shared"/>
        <v>1</v>
      </c>
      <c r="I26" s="31">
        <f si="11" t="shared"/>
        <v>0.23625459677022875</v>
      </c>
      <c r="L26" s="71">
        <v>17</v>
      </c>
      <c r="M26" s="74">
        <f si="12" t="shared"/>
        <v>-1.6032</v>
      </c>
      <c r="N26" s="73">
        <f si="13" t="shared"/>
        <v>-1.3669454032297712</v>
      </c>
      <c r="O26" s="74" t="str">
        <f si="14" t="shared"/>
        <v>Arrival 1-4 pm</v>
      </c>
      <c r="Q26" s="66">
        <f>WorkBasedSubtourTime!B34</f>
        <v>34</v>
      </c>
      <c r="R26" s="66" t="str">
        <f>WorkBasedSubtourTime!C34</f>
        <v>dur3-4</v>
      </c>
      <c r="S26" s="66">
        <f>VLOOKUP(Q26,WorkBasedSubtourTime!$B$11:$E$60,4,FALSE)</f>
        <v>-2.3162820000000002</v>
      </c>
      <c r="T26" s="67">
        <f si="0" t="shared"/>
        <v>-0.30500722029228511</v>
      </c>
    </row>
    <row r="27" spans="2:20" x14ac:dyDescent="0.25">
      <c r="B27" t="s">
        <v>230</v>
      </c>
      <c r="C27" s="29">
        <f>SUM(Arrival_Time!E35:E40)</f>
        <v>10745.870177651141</v>
      </c>
      <c r="D27" s="29">
        <f>SUM(Arrival_Time!L35:L40)</f>
        <v>13482.445116043091</v>
      </c>
      <c r="E27" s="30">
        <f si="8" t="shared"/>
        <v>6.338963901549588E-2</v>
      </c>
      <c r="F27" s="30">
        <f si="8" t="shared"/>
        <v>7.5318376353655264E-2</v>
      </c>
      <c r="G27" s="6">
        <f si="9" t="shared"/>
        <v>0.84162248423746755</v>
      </c>
      <c r="H27" s="6">
        <f si="10" t="shared"/>
        <v>1</v>
      </c>
      <c r="I27" s="31">
        <f si="11" t="shared"/>
        <v>-6.4477494716522823E-2</v>
      </c>
      <c r="L27" s="71">
        <v>18</v>
      </c>
      <c r="M27" s="74">
        <f si="12" t="shared"/>
        <v>-2.6232000000000002</v>
      </c>
      <c r="N27" s="73">
        <f si="13" t="shared"/>
        <v>-2.6876774947165232</v>
      </c>
      <c r="O27" s="74" t="str">
        <f si="14" t="shared"/>
        <v>Arrival 4-7 pm</v>
      </c>
      <c r="Q27" s="66">
        <f>WorkBasedSubtourTime!B35</f>
        <v>35</v>
      </c>
      <c r="R27" s="66" t="str">
        <f>WorkBasedSubtourTime!C35</f>
        <v>dur5-6</v>
      </c>
      <c r="S27" s="66">
        <f>VLOOKUP(Q27,WorkBasedSubtourTime!$B$11:$E$60,4,FALSE)</f>
        <v>-5</v>
      </c>
      <c r="T27" s="67">
        <f si="0" t="shared"/>
        <v>-5</v>
      </c>
    </row>
    <row r="28" spans="2:20" x14ac:dyDescent="0.25">
      <c r="B28" t="s">
        <v>79</v>
      </c>
      <c r="C28" s="29">
        <f>SUM(Arrival_Time!E41:E44)</f>
        <v>2317.101006361082</v>
      </c>
      <c r="D28" s="29">
        <f>SUM(Arrival_Time!L41:L44)</f>
        <v>2905.6243801116943</v>
      </c>
      <c r="E28" s="30">
        <f si="8" t="shared"/>
        <v>1.3668525110339334E-2</v>
      </c>
      <c r="F28" s="30">
        <f si="8" t="shared"/>
        <v>1.623198972589902E-2</v>
      </c>
      <c r="G28" s="6">
        <f si="9" t="shared"/>
        <v>0.84207329730688907</v>
      </c>
      <c r="H28" s="6">
        <f si="10" t="shared"/>
        <v>1</v>
      </c>
      <c r="I28" s="31">
        <f si="11" t="shared"/>
        <v>-6.3941990517799793E-2</v>
      </c>
      <c r="L28" s="71">
        <v>19</v>
      </c>
      <c r="M28" s="74">
        <f si="12" t="shared"/>
        <v>-4.4149000000000003</v>
      </c>
      <c r="N28" s="73">
        <f si="13" t="shared"/>
        <v>-4.4788419905178003</v>
      </c>
      <c r="O28" s="74" t="str">
        <f si="14" t="shared"/>
        <v>Arrival 7-9 pm</v>
      </c>
      <c r="Q28" s="66">
        <f>WorkBasedSubtourTime!B36</f>
        <v>36</v>
      </c>
      <c r="R28" s="66" t="str">
        <f>WorkBasedSubtourTime!C36</f>
        <v>dur7-8</v>
      </c>
      <c r="S28" s="66">
        <f>VLOOKUP(Q28,WorkBasedSubtourTime!$B$11:$E$60,4,FALSE)</f>
        <v>-5</v>
      </c>
      <c r="T28" s="67">
        <f si="0" t="shared"/>
        <v>-5</v>
      </c>
    </row>
    <row r="29" spans="2:20" x14ac:dyDescent="0.25">
      <c r="B29" s="23" t="s">
        <v>231</v>
      </c>
      <c r="C29" s="34">
        <f>SUM(Arrival_Time!E45:E57)+Arrival_Time!E8</f>
        <v>2204.0825065354602</v>
      </c>
      <c r="D29" s="34">
        <f>SUM(Arrival_Time!L45:L57)+Arrival_Time!L8</f>
        <v>1546.4918279647827</v>
      </c>
      <c r="E29" s="35">
        <f si="8" t="shared"/>
        <v>1.3001831600406662E-2</v>
      </c>
      <c r="F29" s="35">
        <f si="8" t="shared"/>
        <v>8.639327104539983E-3</v>
      </c>
      <c r="G29" s="22">
        <f si="9" t="shared"/>
        <v>1.5049588287465321</v>
      </c>
      <c r="H29" s="22">
        <v>0</v>
      </c>
      <c r="I29" s="31">
        <f si="11" t="shared"/>
        <v>0</v>
      </c>
      <c r="L29" s="75">
        <v>20</v>
      </c>
      <c r="M29" s="75">
        <f si="12" t="shared"/>
        <v>-10</v>
      </c>
      <c r="N29" s="76">
        <f si="13" t="shared"/>
        <v>-10</v>
      </c>
      <c r="O29" s="75" t="str">
        <f si="14" t="shared"/>
        <v>Arrival 9 pm-3 am</v>
      </c>
      <c r="Q29" s="66">
        <f>WorkBasedSubtourTime!B37</f>
        <v>37</v>
      </c>
      <c r="R29" s="66" t="str">
        <f>WorkBasedSubtourTime!C37</f>
        <v>dur9-11</v>
      </c>
      <c r="S29" s="66">
        <f>VLOOKUP(Q29,WorkBasedSubtourTime!$B$11:$E$60,4,FALSE)</f>
        <v>5.1999999999999998E-2</v>
      </c>
      <c r="T29" s="67">
        <f si="0" t="shared"/>
        <v>5.1999999999999998E-2</v>
      </c>
    </row>
    <row ht="15.75" r="30" spans="2:20" thickBot="1" x14ac:dyDescent="0.3">
      <c r="B30" s="39" t="s">
        <v>82</v>
      </c>
      <c r="C30" s="40">
        <f>SUM(C20:C29)</f>
        <v>169519.02432190697</v>
      </c>
      <c r="D30" s="40">
        <f>SUM(D20:D29)</f>
        <v>178972.8727722168</v>
      </c>
      <c r="E30" s="41">
        <f si="8" t="shared"/>
        <v>0.99998879386923523</v>
      </c>
      <c r="F30" s="41">
        <f si="8" t="shared"/>
        <v>0.99981465324213104</v>
      </c>
      <c r="G30" s="42">
        <f si="9" t="shared"/>
        <v>1.0001741729094882</v>
      </c>
      <c r="H30" s="42"/>
      <c r="I30" s="43"/>
      <c r="Q30" s="66">
        <f>WorkBasedSubtourTime!B38</f>
        <v>38</v>
      </c>
      <c r="R30" s="66" t="str">
        <f>WorkBasedSubtourTime!C38</f>
        <v>dur12-13</v>
      </c>
      <c r="S30" s="66">
        <f>VLOOKUP(Q30,WorkBasedSubtourTime!$B$11:$E$60,4,FALSE)</f>
        <v>-10</v>
      </c>
      <c r="T30" s="67">
        <f si="0" t="shared"/>
        <v>-10</v>
      </c>
    </row>
    <row r="31" spans="2:20" x14ac:dyDescent="0.25">
      <c r="Q31" s="66">
        <f>WorkBasedSubtourTime!B39</f>
        <v>39</v>
      </c>
      <c r="R31" s="66" t="str">
        <f>WorkBasedSubtourTime!C39</f>
        <v>dur14-17</v>
      </c>
      <c r="S31" s="66">
        <f>VLOOKUP(Q31,WorkBasedSubtourTime!$B$11:$E$60,4,FALSE)</f>
        <v>-10</v>
      </c>
      <c r="T31" s="67">
        <f si="0" t="shared"/>
        <v>-10</v>
      </c>
    </row>
    <row r="32" spans="2:20" x14ac:dyDescent="0.25">
      <c r="Q32">
        <f>WorkBasedSubtourTime!B40</f>
        <v>41</v>
      </c>
      <c r="R32" t="str">
        <f>WorkBasedSubtourTime!C40</f>
        <v>ptwk-arr</v>
      </c>
      <c r="S32">
        <f>VLOOKUP(Q32,WorkBasedSubtourTime!$B$11:$E$60,4,FALSE)</f>
        <v>2.5999999999999999E-3</v>
      </c>
      <c r="T32" s="64">
        <f si="0" t="shared"/>
        <v>2.5999999999999999E-3</v>
      </c>
    </row>
    <row ht="15.75" r="33" spans="2:20" thickBot="1" x14ac:dyDescent="0.3">
      <c r="B33" s="37" t="s">
        <v>175</v>
      </c>
      <c r="C33" s="1"/>
      <c r="D33" s="1"/>
      <c r="E33" s="1" t="s">
        <v>86</v>
      </c>
      <c r="F33" s="38">
        <v>1</v>
      </c>
      <c r="G33" s="1"/>
      <c r="H33" s="1"/>
      <c r="I33" s="1"/>
      <c r="Q33">
        <f>WorkBasedSubtourTime!B41</f>
        <v>42</v>
      </c>
      <c r="R33" t="str">
        <f>WorkBasedSubtourTime!C41</f>
        <v>ptwk-dur</v>
      </c>
      <c r="S33">
        <f>VLOOKUP(Q33,WorkBasedSubtourTime!$B$11:$E$60,4,FALSE)</f>
        <v>0.12809999999999999</v>
      </c>
      <c r="T33" s="64">
        <f si="0" t="shared"/>
        <v>0.12809999999999999</v>
      </c>
    </row>
    <row ht="15.75" r="34" spans="2:20" thickBot="1" x14ac:dyDescent="0.3">
      <c r="B34" s="8"/>
      <c r="C34" s="95" t="s">
        <v>87</v>
      </c>
      <c r="D34" s="95"/>
      <c r="E34" s="95" t="s">
        <v>83</v>
      </c>
      <c r="F34" s="95"/>
      <c r="G34" s="8"/>
      <c r="H34" s="8"/>
      <c r="I34" s="8"/>
      <c r="L34" s="1"/>
      <c r="M34" s="1"/>
      <c r="N34" s="1"/>
      <c r="Q34">
        <f>WorkBasedSubtourTime!B42</f>
        <v>85</v>
      </c>
      <c r="R34" t="str">
        <f>WorkBasedSubtourTime!C42</f>
        <v>ctim-out</v>
      </c>
      <c r="S34">
        <f>VLOOKUP(Q34,WorkBasedSubtourTime!$B$11:$E$60,4,FALSE)</f>
        <v>0.25</v>
      </c>
      <c r="T34" s="64">
        <f si="0" t="shared"/>
        <v>0.25</v>
      </c>
    </row>
    <row r="35" spans="2:20" x14ac:dyDescent="0.25">
      <c r="B35" s="32" t="s">
        <v>14</v>
      </c>
      <c r="C35" s="33" t="s">
        <v>48</v>
      </c>
      <c r="D35" s="33" t="s">
        <v>35</v>
      </c>
      <c r="E35" s="33" t="s">
        <v>48</v>
      </c>
      <c r="F35" s="33" t="s">
        <v>35</v>
      </c>
      <c r="G35" s="33" t="s">
        <v>84</v>
      </c>
      <c r="H35" s="33" t="s">
        <v>86</v>
      </c>
      <c r="I35" s="65" t="s">
        <v>85</v>
      </c>
      <c r="L35" s="33" t="s">
        <v>88</v>
      </c>
      <c r="M35" s="33" t="s">
        <v>89</v>
      </c>
      <c r="N35" s="32" t="s">
        <v>91</v>
      </c>
      <c r="Q35">
        <f>WorkBasedSubtourTime!B43</f>
        <v>86</v>
      </c>
      <c r="R35" t="str">
        <f>WorkBasedSubtourTime!C43</f>
        <v>ctim-ret</v>
      </c>
      <c r="S35">
        <f>VLOOKUP(Q35,WorkBasedSubtourTime!$B$11:$E$60,4,FALSE)</f>
        <v>0.25</v>
      </c>
      <c r="T35" s="64">
        <f ref="T35:T52" si="15" t="shared">_xlfn.IFNA(VLOOKUP(Q35,$L$3:$N$45,3,FALSE),S35)</f>
        <v>0.25</v>
      </c>
    </row>
    <row r="36" spans="2:20" x14ac:dyDescent="0.25">
      <c r="B36" t="s">
        <v>62</v>
      </c>
      <c r="C36" s="29">
        <f>SUM(Duration!E8:E13)</f>
        <v>244888.96666478645</v>
      </c>
      <c r="D36" s="29">
        <f>SUM(Duration!L7:L12)</f>
        <v>246988.73281478882</v>
      </c>
      <c r="E36" s="30">
        <f ref="E36:E46" si="16" t="shared">C36/C$46</f>
        <v>0.94432067410817333</v>
      </c>
      <c r="F36" s="30">
        <f ref="F36:F46" si="17" t="shared">D36/D$46</f>
        <v>0.91557400416729873</v>
      </c>
      <c r="G36" s="6">
        <f>IFERROR(E36/F36,1)</f>
        <v>1.0313974291646903</v>
      </c>
      <c r="H36" s="6">
        <f>$F$33</f>
        <v>1</v>
      </c>
      <c r="I36" s="62">
        <f ref="I36:I45" si="18" t="shared">IFERROR(H36*(LN(G36)-LN($G$38)),0)</f>
        <v>0.27721784128058535</v>
      </c>
      <c r="L36">
        <v>31</v>
      </c>
      <c r="M36" s="61">
        <f>VLOOKUP(L36,$Q$3:$T$64,3,FALSE)</f>
        <v>1.9112849999999999</v>
      </c>
      <c r="N36" s="31">
        <f>I36+M36</f>
        <v>2.1885028412805854</v>
      </c>
      <c r="Q36">
        <f>WorkBasedSubtourTime!B44</f>
        <v>87</v>
      </c>
      <c r="R36" t="str">
        <f>WorkBasedSubtourTime!C44</f>
        <v>ttim-out</v>
      </c>
      <c r="S36">
        <f>VLOOKUP(Q36,WorkBasedSubtourTime!$B$11:$E$60,4,FALSE)</f>
        <v>0.25</v>
      </c>
      <c r="T36" s="64">
        <f si="15" t="shared"/>
        <v>0.25</v>
      </c>
    </row>
    <row r="37" spans="2:20" x14ac:dyDescent="0.25">
      <c r="B37" t="s">
        <v>63</v>
      </c>
      <c r="C37" s="29">
        <f>SUM(Duration!E14:E17)</f>
        <v>11041.599026056119</v>
      </c>
      <c r="D37" s="29">
        <f>SUM(Duration!L13:L16)</f>
        <v>19670.646896362305</v>
      </c>
      <c r="E37" s="30">
        <f si="16" t="shared"/>
        <v>4.2577705225038127E-2</v>
      </c>
      <c r="F37" s="30">
        <f si="17" t="shared"/>
        <v>7.2918034511998242E-2</v>
      </c>
      <c r="G37" s="6">
        <f ref="G37:G46" si="19" t="shared">IFERROR(E37/F37,1)</f>
        <v>0.58391186089954483</v>
      </c>
      <c r="H37" s="6">
        <f>$F$33</f>
        <v>1</v>
      </c>
      <c r="I37" s="63">
        <f si="18" t="shared"/>
        <v>-0.29170199944354325</v>
      </c>
      <c r="L37" s="5">
        <v>32</v>
      </c>
      <c r="M37" s="5">
        <f ref="M37:M44" si="20" t="shared">VLOOKUP(L37,$Q$3:$T$64,3,FALSE)</f>
        <v>1.531911</v>
      </c>
      <c r="N37" s="31">
        <f ref="N37:N44" si="21" t="shared">I37+M37</f>
        <v>1.2402090005564568</v>
      </c>
      <c r="Q37">
        <f>WorkBasedSubtourTime!B45</f>
        <v>88</v>
      </c>
      <c r="R37" t="str">
        <f>WorkBasedSubtourTime!C45</f>
        <v>ttim-ret</v>
      </c>
      <c r="S37">
        <f>VLOOKUP(Q37,WorkBasedSubtourTime!$B$11:$E$60,4,FALSE)</f>
        <v>0.25</v>
      </c>
      <c r="T37" s="64">
        <f si="15" t="shared"/>
        <v>0.25</v>
      </c>
    </row>
    <row r="38" spans="2:20" x14ac:dyDescent="0.25">
      <c r="B38" t="s">
        <v>64</v>
      </c>
      <c r="C38" s="29">
        <f>SUM(Duration!E18:E21)</f>
        <v>2088.0215872455251</v>
      </c>
      <c r="D38" s="29">
        <f>SUM(Duration!L17:L20)</f>
        <v>2778.6707305908203</v>
      </c>
      <c r="E38" s="30">
        <f si="16" t="shared"/>
        <v>8.0516569597810297E-3</v>
      </c>
      <c r="F38" s="30">
        <f si="17" t="shared"/>
        <v>1.0300383576514225E-2</v>
      </c>
      <c r="G38" s="6">
        <f si="19" t="shared"/>
        <v>0.78168515764204272</v>
      </c>
      <c r="H38" s="6">
        <f>$F$33</f>
        <v>1</v>
      </c>
      <c r="I38" s="63">
        <f si="18" t="shared"/>
        <v>0</v>
      </c>
      <c r="L38" s="5">
        <v>33</v>
      </c>
      <c r="M38" s="5">
        <f si="20" t="shared"/>
        <v>0</v>
      </c>
      <c r="N38" s="31">
        <f si="21" t="shared"/>
        <v>0</v>
      </c>
      <c r="Q38">
        <f>WorkBasedSubtourTime!B46</f>
        <v>91</v>
      </c>
      <c r="R38" t="str">
        <f>WorkBasedSubtourTime!C46</f>
        <v>arravail</v>
      </c>
      <c r="S38">
        <f>VLOOKUP(Q38,WorkBasedSubtourTime!$B$11:$E$60,4,FALSE)</f>
        <v>2</v>
      </c>
      <c r="T38" s="64">
        <f si="15" t="shared"/>
        <v>2</v>
      </c>
    </row>
    <row r="39" spans="2:20" x14ac:dyDescent="0.25">
      <c r="B39" t="s">
        <v>65</v>
      </c>
      <c r="C39" s="29">
        <f>SUM(Duration!E22:E25)</f>
        <v>918.73924896386939</v>
      </c>
      <c r="D39" s="29">
        <f>SUM(Duration!L21:L24)</f>
        <v>163.609619140625</v>
      </c>
      <c r="E39" s="30">
        <f si="16" t="shared"/>
        <v>3.542766661671538E-3</v>
      </c>
      <c r="F39" s="30">
        <f si="17" t="shared"/>
        <v>6.0649209544792423E-4</v>
      </c>
      <c r="G39" s="6">
        <f si="19" t="shared"/>
        <v>5.8414061588964827</v>
      </c>
      <c r="H39" s="6">
        <f>$F$33</f>
        <v>1</v>
      </c>
      <c r="I39" s="63">
        <f si="18" t="shared"/>
        <v>2.0112747797077151</v>
      </c>
      <c r="L39" s="5">
        <v>34</v>
      </c>
      <c r="M39" s="5">
        <f si="20" t="shared"/>
        <v>-2.3162820000000002</v>
      </c>
      <c r="N39" s="31">
        <f si="21" t="shared"/>
        <v>-0.30500722029228511</v>
      </c>
      <c r="Q39">
        <f>WorkBasedSubtourTime!B47</f>
        <v>92</v>
      </c>
      <c r="R39" t="str">
        <f>WorkBasedSubtourTime!C47</f>
        <v>depavail</v>
      </c>
      <c r="S39">
        <f>VLOOKUP(Q39,WorkBasedSubtourTime!$B$11:$E$60,4,FALSE)</f>
        <v>2.0366</v>
      </c>
      <c r="T39" s="64">
        <f si="15" t="shared"/>
        <v>2.0366</v>
      </c>
    </row>
    <row r="40" spans="2:20" x14ac:dyDescent="0.25">
      <c r="B40" t="s">
        <v>66</v>
      </c>
      <c r="C40" s="29">
        <f>SUM(Duration!E26:E27)</f>
        <v>239.65025027786822</v>
      </c>
      <c r="D40" s="29">
        <f>SUM(Duration!L25:L26)</f>
        <v>48.372464179992676</v>
      </c>
      <c r="E40" s="30">
        <f si="16" t="shared"/>
        <v>9.2411956722560876E-4</v>
      </c>
      <c r="F40" s="30">
        <f si="17" t="shared"/>
        <v>1.7931413395252369E-4</v>
      </c>
      <c r="G40" s="6">
        <f si="19" t="shared"/>
        <v>5.153634835446292</v>
      </c>
      <c r="H40" s="6">
        <v>0</v>
      </c>
      <c r="I40" s="63">
        <f si="18" t="shared"/>
        <v>0</v>
      </c>
      <c r="L40" s="5">
        <v>35</v>
      </c>
      <c r="M40" s="5">
        <f si="20" t="shared"/>
        <v>-5</v>
      </c>
      <c r="N40" s="31">
        <f si="21" t="shared"/>
        <v>-5</v>
      </c>
      <c r="Q40">
        <f>WorkBasedSubtourTime!B48</f>
        <v>93</v>
      </c>
      <c r="R40" t="str">
        <f>WorkBasedSubtourTime!C48</f>
        <v>cempbef1</v>
      </c>
      <c r="S40">
        <f>VLOOKUP(Q40,WorkBasedSubtourTime!$B$11:$E$60,4,FALSE)</f>
        <v>0.16059999999999999</v>
      </c>
      <c r="T40" s="64">
        <f si="15" t="shared"/>
        <v>0.16059999999999999</v>
      </c>
    </row>
    <row r="41" spans="2:20" x14ac:dyDescent="0.25">
      <c r="B41" t="s">
        <v>67</v>
      </c>
      <c r="C41" s="29">
        <f>SUM(Duration!E28:E29)</f>
        <v>112.42772510937834</v>
      </c>
      <c r="D41" s="29">
        <f>SUM(Duration!L27:L28)</f>
        <v>52.81771183013916</v>
      </c>
      <c r="E41" s="30">
        <f si="16" t="shared"/>
        <v>4.3353453856932321E-4</v>
      </c>
      <c r="F41" s="30">
        <f si="17" t="shared"/>
        <v>1.9579242891026109E-4</v>
      </c>
      <c r="G41" s="6">
        <f si="19" t="shared"/>
        <v>2.2142558881478922</v>
      </c>
      <c r="H41" s="6">
        <v>0</v>
      </c>
      <c r="I41" s="63">
        <f si="18" t="shared"/>
        <v>0</v>
      </c>
      <c r="L41" s="5">
        <v>36</v>
      </c>
      <c r="M41" s="5">
        <f si="20" t="shared"/>
        <v>-5</v>
      </c>
      <c r="N41" s="31">
        <f si="21" t="shared"/>
        <v>-5</v>
      </c>
      <c r="Q41">
        <f>WorkBasedSubtourTime!B49</f>
        <v>94</v>
      </c>
      <c r="R41" t="str">
        <f>WorkBasedSubtourTime!C49</f>
        <v>cempaft1</v>
      </c>
      <c r="S41">
        <f>VLOOKUP(Q41,WorkBasedSubtourTime!$B$11:$E$60,4,FALSE)</f>
        <v>6.6500000000000004E-2</v>
      </c>
      <c r="T41" s="64">
        <f si="15" t="shared"/>
        <v>6.6500000000000004E-2</v>
      </c>
    </row>
    <row r="42" spans="2:20" x14ac:dyDescent="0.25">
      <c r="B42" t="s">
        <v>68</v>
      </c>
      <c r="C42" s="29">
        <f>SUM(Duration!E30:E31)</f>
        <v>32.117376415510591</v>
      </c>
      <c r="D42" s="29">
        <f>SUM(Duration!L29:L30)</f>
        <v>37.586855888366699</v>
      </c>
      <c r="E42" s="30">
        <f si="16" t="shared"/>
        <v>1.238483830461687E-4</v>
      </c>
      <c r="F42" s="30">
        <f si="17" t="shared"/>
        <v>1.3933246167782494E-4</v>
      </c>
      <c r="G42" s="6">
        <f si="19" t="shared"/>
        <v>0.88886955383405408</v>
      </c>
      <c r="H42" s="6">
        <v>0</v>
      </c>
      <c r="I42" s="63">
        <f si="18" t="shared"/>
        <v>0</v>
      </c>
      <c r="L42" s="5">
        <v>37</v>
      </c>
      <c r="M42" s="5">
        <f si="20" t="shared"/>
        <v>5.1999999999999998E-2</v>
      </c>
      <c r="N42" s="31">
        <f si="21" t="shared"/>
        <v>5.1999999999999998E-2</v>
      </c>
      <c r="Q42">
        <f>WorkBasedSubtourTime!B50</f>
        <v>124</v>
      </c>
      <c r="R42" t="str">
        <f>WorkBasedSubtourTime!C50</f>
        <v>dep15</v>
      </c>
      <c r="S42">
        <f>VLOOKUP(Q42,WorkBasedSubtourTime!$B$11:$E$60,4,FALSE)</f>
        <v>0.622</v>
      </c>
      <c r="T42" s="64">
        <f si="15" t="shared"/>
        <v>0.622</v>
      </c>
    </row>
    <row r="43" spans="2:20" x14ac:dyDescent="0.25">
      <c r="B43" t="s">
        <v>69</v>
      </c>
      <c r="C43" s="29">
        <f>SUM(Duration!E32:E35)</f>
        <v>6.5791048751117822</v>
      </c>
      <c r="D43" s="29">
        <f>SUM(Duration!L31:L34)</f>
        <v>22.520160675048828</v>
      </c>
      <c r="E43" s="30">
        <f si="16" t="shared"/>
        <v>2.5369802630586577E-5</v>
      </c>
      <c r="F43" s="30">
        <f si="17" t="shared"/>
        <v>8.3481029473546931E-5</v>
      </c>
      <c r="G43" s="6">
        <f si="19" t="shared"/>
        <v>0.3038990150286256</v>
      </c>
      <c r="H43" s="6">
        <v>0</v>
      </c>
      <c r="I43" s="63">
        <f si="18" t="shared"/>
        <v>0</v>
      </c>
      <c r="L43" s="5">
        <v>38</v>
      </c>
      <c r="M43" s="5">
        <f si="20" t="shared"/>
        <v>-10</v>
      </c>
      <c r="N43" s="31">
        <f si="21" t="shared"/>
        <v>-10</v>
      </c>
      <c r="Q43">
        <f>WorkBasedSubtourTime!B51</f>
        <v>145</v>
      </c>
      <c r="R43" t="str">
        <f>WorkBasedSubtourTime!C51</f>
        <v>esco-arr</v>
      </c>
      <c r="S43">
        <f>VLOOKUP(Q43,WorkBasedSubtourTime!$B$11:$E$60,4,FALSE)</f>
        <v>0.18190000000000001</v>
      </c>
      <c r="T43" s="64">
        <f si="15" t="shared"/>
        <v>0.18190000000000001</v>
      </c>
    </row>
    <row r="44" spans="2:20" x14ac:dyDescent="0.25">
      <c r="B44" t="s">
        <v>90</v>
      </c>
      <c r="C44" s="29">
        <f>SUM(Duration!E36:E43)</f>
        <v>8.4217830258956308E-2</v>
      </c>
      <c r="D44" s="29">
        <f>SUM(Duration!L35:L42)</f>
        <v>0.85396289825439453</v>
      </c>
      <c r="E44" s="30">
        <f si="16" t="shared"/>
        <v>3.2475386427240408E-7</v>
      </c>
      <c r="F44" s="30">
        <f si="17" t="shared"/>
        <v>3.1655947267497058E-6</v>
      </c>
      <c r="G44" s="6">
        <f si="19" t="shared"/>
        <v>0.10258857886266672</v>
      </c>
      <c r="H44" s="6">
        <v>0</v>
      </c>
      <c r="I44" s="63">
        <f si="18" t="shared"/>
        <v>0</v>
      </c>
      <c r="L44" s="5">
        <v>39</v>
      </c>
      <c r="M44" s="5">
        <f si="20" t="shared"/>
        <v>-10</v>
      </c>
      <c r="N44" s="31">
        <f si="21" t="shared"/>
        <v>-10</v>
      </c>
      <c r="Q44">
        <f>WorkBasedSubtourTime!B52</f>
        <v>146</v>
      </c>
      <c r="R44" t="str">
        <f>WorkBasedSubtourTime!C52</f>
        <v>esco-dur</v>
      </c>
      <c r="S44">
        <f>VLOOKUP(Q44,WorkBasedSubtourTime!$B$11:$E$60,4,FALSE)</f>
        <v>-1.9103000000000001</v>
      </c>
      <c r="T44" s="64">
        <f si="15" t="shared"/>
        <v>-1.9103000000000001</v>
      </c>
    </row>
    <row r="45" spans="2:20" x14ac:dyDescent="0.25">
      <c r="B45" s="23" t="s">
        <v>70</v>
      </c>
      <c r="C45" s="34">
        <f>SUM(Duration!E44:E55)</f>
        <v>0</v>
      </c>
      <c r="D45" s="34">
        <f>SUM(Duration!L43:L54)</f>
        <v>0</v>
      </c>
      <c r="E45" s="35">
        <f si="16" t="shared"/>
        <v>0</v>
      </c>
      <c r="F45" s="35">
        <f si="17" t="shared"/>
        <v>0</v>
      </c>
      <c r="G45" s="22">
        <f si="19" t="shared"/>
        <v>1</v>
      </c>
      <c r="H45" s="22">
        <v>0</v>
      </c>
      <c r="I45" s="36">
        <f si="18" t="shared"/>
        <v>0</v>
      </c>
      <c r="L45" s="23"/>
      <c r="M45" s="23"/>
      <c r="N45" s="36"/>
      <c r="Q45">
        <f>WorkBasedSubtourTime!B53</f>
        <v>147</v>
      </c>
      <c r="R45" t="str">
        <f>WorkBasedSubtourTime!C53</f>
        <v>shop-arr</v>
      </c>
      <c r="S45">
        <f>VLOOKUP(Q45,WorkBasedSubtourTime!$B$11:$E$60,4,FALSE)</f>
        <v>5.8099999999999999E-2</v>
      </c>
      <c r="T45" s="64">
        <f si="15" t="shared"/>
        <v>5.8099999999999999E-2</v>
      </c>
    </row>
    <row ht="15.75" r="46" spans="2:20" thickBot="1" x14ac:dyDescent="0.3">
      <c r="B46" s="3" t="s">
        <v>82</v>
      </c>
      <c r="C46" s="44">
        <f>SUM(C36:C45)</f>
        <v>259328.18520156009</v>
      </c>
      <c r="D46" s="44">
        <f>SUM(D36:D45)</f>
        <v>269763.81121635437</v>
      </c>
      <c r="E46" s="45">
        <f si="16" t="shared"/>
        <v>1</v>
      </c>
      <c r="F46" s="45">
        <f si="17" t="shared"/>
        <v>1</v>
      </c>
      <c r="G46" s="46">
        <f si="19" t="shared"/>
        <v>1</v>
      </c>
      <c r="H46" s="46"/>
      <c r="I46" s="1"/>
      <c r="Q46">
        <f>WorkBasedSubtourTime!B54</f>
        <v>148</v>
      </c>
      <c r="R46" t="str">
        <f>WorkBasedSubtourTime!C54</f>
        <v>shop-dur</v>
      </c>
      <c r="S46">
        <f>VLOOKUP(Q46,WorkBasedSubtourTime!$B$11:$E$60,4,FALSE)</f>
        <v>-0.88929999999999998</v>
      </c>
      <c r="T46" s="64">
        <f si="15" t="shared"/>
        <v>-0.88929999999999998</v>
      </c>
    </row>
    <row r="47" spans="2:20" x14ac:dyDescent="0.25">
      <c r="Q47">
        <f>WorkBasedSubtourTime!B55</f>
        <v>149</v>
      </c>
      <c r="R47" t="str">
        <f>WorkBasedSubtourTime!C55</f>
        <v>meal-arr</v>
      </c>
      <c r="S47">
        <f>VLOOKUP(Q47,WorkBasedSubtourTime!$B$11:$E$60,4,FALSE)</f>
        <v>4.7300000000000002E-2</v>
      </c>
      <c r="T47" s="64">
        <f si="15" t="shared"/>
        <v>4.7300000000000002E-2</v>
      </c>
    </row>
    <row r="48" spans="2:20" x14ac:dyDescent="0.25">
      <c r="Q48">
        <f>WorkBasedSubtourTime!B56</f>
        <v>150</v>
      </c>
      <c r="R48" t="str">
        <f>WorkBasedSubtourTime!C56</f>
        <v>meal-dur</v>
      </c>
      <c r="S48">
        <f>VLOOKUP(Q48,WorkBasedSubtourTime!$B$11:$E$60,4,FALSE)</f>
        <v>-0.35170000000000001</v>
      </c>
      <c r="T48" s="64">
        <f si="15" t="shared"/>
        <v>-0.35170000000000001</v>
      </c>
    </row>
    <row r="49" spans="17:20" x14ac:dyDescent="0.25">
      <c r="Q49">
        <f>WorkBasedSubtourTime!B57</f>
        <v>151</v>
      </c>
      <c r="R49" t="str">
        <f>WorkBasedSubtourTime!C57</f>
        <v>srec-arr</v>
      </c>
      <c r="S49">
        <f>VLOOKUP(Q49,WorkBasedSubtourTime!$B$11:$E$60,4,FALSE)</f>
        <v>0.15</v>
      </c>
      <c r="T49" s="64">
        <f si="15" t="shared"/>
        <v>0.15</v>
      </c>
    </row>
    <row r="50" spans="17:20" x14ac:dyDescent="0.25">
      <c r="Q50">
        <f>WorkBasedSubtourTime!B58</f>
        <v>152</v>
      </c>
      <c r="R50" t="str">
        <f>WorkBasedSubtourTime!C58</f>
        <v>srec-dur</v>
      </c>
      <c r="S50">
        <f>VLOOKUP(Q50,WorkBasedSubtourTime!$B$11:$E$60,4,FALSE)</f>
        <v>-3.7699999999999997E-2</v>
      </c>
      <c r="T50" s="64">
        <f si="15" t="shared"/>
        <v>-3.7699999999999997E-2</v>
      </c>
    </row>
    <row r="51" spans="17:20" x14ac:dyDescent="0.25">
      <c r="Q51">
        <f>WorkBasedSubtourTime!B59</f>
        <v>153</v>
      </c>
      <c r="R51" t="str">
        <f>WorkBasedSubtourTime!C59</f>
        <v>pbus-arr</v>
      </c>
      <c r="S51">
        <f>VLOOKUP(Q51,WorkBasedSubtourTime!$B$11:$E$60,4,FALSE)</f>
        <v>1.6199999999999999E-2</v>
      </c>
      <c r="T51" s="64">
        <f si="15" t="shared"/>
        <v>1.6199999999999999E-2</v>
      </c>
    </row>
    <row r="52" spans="17:20" x14ac:dyDescent="0.25">
      <c r="Q52">
        <f>WorkBasedSubtourTime!B60</f>
        <v>154</v>
      </c>
      <c r="R52" t="str">
        <f>WorkBasedSubtourTime!C60</f>
        <v>pbus-dur</v>
      </c>
      <c r="S52">
        <f>VLOOKUP(Q52,WorkBasedSubtourTime!$B$11:$E$60,4,FALSE)</f>
        <v>-0.29959999999999998</v>
      </c>
      <c r="T52" s="64">
        <f si="15" t="shared"/>
        <v>-0.29959999999999998</v>
      </c>
    </row>
    <row r="53" spans="17:20" x14ac:dyDescent="0.25">
      <c r="T53" s="64"/>
    </row>
    <row r="54" spans="17:20" x14ac:dyDescent="0.25">
      <c r="T54" s="64"/>
    </row>
    <row r="55" spans="17:20" x14ac:dyDescent="0.25">
      <c r="T55" s="64"/>
    </row>
    <row r="56" spans="17:20" x14ac:dyDescent="0.25">
      <c r="T56" s="64"/>
    </row>
    <row r="57" spans="17:20" x14ac:dyDescent="0.25">
      <c r="T57" s="64"/>
    </row>
    <row r="58" spans="17:20" x14ac:dyDescent="0.25">
      <c r="T58" s="64"/>
    </row>
    <row r="59" spans="17:20" x14ac:dyDescent="0.25">
      <c r="T59" s="64"/>
    </row>
  </sheetData>
  <mergeCells count="6">
    <mergeCell ref="C34:D34"/>
    <mergeCell ref="E34:F34"/>
    <mergeCell ref="C2:D2"/>
    <mergeCell ref="E2:F2"/>
    <mergeCell ref="C18:D18"/>
    <mergeCell ref="E18:F18"/>
  </mergeCells>
  <pageMargins bottom="0.75" footer="0.3" header="0.3" left="0.7" right="0.7" top="0.7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18</vt:i4>
      </vt:variant>
      <vt:variant>
        <vt:lpstr>Named Ranges</vt:lpstr>
      </vt:variant>
      <vt:variant>
        <vt:i4>51</vt:i4>
      </vt:variant>
    </vt:vector>
  </HeadingPairs>
  <TitlesOfParts>
    <vt:vector baseType="lpstr" size="69">
      <vt:lpstr>Arrival_Time</vt:lpstr>
      <vt:lpstr>Departure_Time</vt:lpstr>
      <vt:lpstr>Duration</vt:lpstr>
      <vt:lpstr>Arrival_Time_Work</vt:lpstr>
      <vt:lpstr>Arrival_Time_School</vt:lpstr>
      <vt:lpstr>Arrival_Time_Other</vt:lpstr>
      <vt:lpstr>Arrival_Time_Workbased</vt:lpstr>
      <vt:lpstr>Depart_Time_Work</vt:lpstr>
      <vt:lpstr>Depart_Time_School</vt:lpstr>
      <vt:lpstr>Depart_Time_Other</vt:lpstr>
      <vt:lpstr>Depart_Time_Workbased</vt:lpstr>
      <vt:lpstr>Documentation</vt:lpstr>
      <vt:lpstr>SchoolTourTime</vt:lpstr>
      <vt:lpstr>WorkTourTime</vt:lpstr>
      <vt:lpstr>WorkBasedSubtourTime</vt:lpstr>
      <vt:lpstr>Calibration_Work</vt:lpstr>
      <vt:lpstr>Calibration_School</vt:lpstr>
      <vt:lpstr>Calibration_WorkBased</vt:lpstr>
      <vt:lpstr>DURDEST</vt:lpstr>
      <vt:lpstr>Other_Arrival</vt:lpstr>
      <vt:lpstr>out_1</vt:lpstr>
      <vt:lpstr>out_10</vt:lpstr>
      <vt:lpstr>out_11</vt:lpstr>
      <vt:lpstr>out_12</vt:lpstr>
      <vt:lpstr>out_13</vt:lpstr>
      <vt:lpstr>out_14</vt:lpstr>
      <vt:lpstr>out_15</vt:lpstr>
      <vt:lpstr>out_16</vt:lpstr>
      <vt:lpstr>out_17</vt:lpstr>
      <vt:lpstr>out_18</vt:lpstr>
      <vt:lpstr>out_19</vt:lpstr>
      <vt:lpstr>out_2</vt:lpstr>
      <vt:lpstr>out_20</vt:lpstr>
      <vt:lpstr>out_21</vt:lpstr>
      <vt:lpstr>out_22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out11</vt:lpstr>
      <vt:lpstr>out12</vt:lpstr>
      <vt:lpstr>out13</vt:lpstr>
      <vt:lpstr>out14</vt:lpstr>
      <vt:lpstr>out15</vt:lpstr>
      <vt:lpstr>out16</vt:lpstr>
      <vt:lpstr>out17</vt:lpstr>
      <vt:lpstr>out18</vt:lpstr>
      <vt:lpstr>out19</vt:lpstr>
      <vt:lpstr>out2</vt:lpstr>
      <vt:lpstr>out20</vt:lpstr>
      <vt:lpstr>out21</vt:lpstr>
      <vt:lpstr>out22</vt:lpstr>
      <vt:lpstr>out3</vt:lpstr>
      <vt:lpstr>out4</vt:lpstr>
      <vt:lpstr>out5</vt:lpstr>
      <vt:lpstr>out6</vt:lpstr>
      <vt:lpstr>out7</vt:lpstr>
      <vt:lpstr>out8</vt:lpstr>
      <vt:lpstr>out9</vt:lpstr>
      <vt:lpstr>School_Arrival</vt:lpstr>
      <vt:lpstr>TIMARRPD</vt:lpstr>
      <vt:lpstr>TIMDEPPD</vt:lpstr>
      <vt:lpstr>Work_Arrival</vt:lpstr>
      <vt:lpstr>Workbased_Arrival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2022-03-03T06:46:41Z</dcterms:modified>
</cp:coreProperties>
</file>