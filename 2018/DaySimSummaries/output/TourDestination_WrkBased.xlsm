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Phase2\Model\BaseYear\Development\TulareABM\daysim_summaries\output\"/>
    </mc:Choice>
  </mc:AlternateContent>
  <bookViews>
    <workbookView activeTab="6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WorkTourDestination" r:id="rId6" sheetId="7"/>
    <sheet name="Calibration" r:id="rId7" sheetId="6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I12"/>
  <c i="6" l="1" r="P34"/>
  <c i="6" r="O34"/>
  <c i="6" r="N34"/>
  <c i="6" r="P33"/>
  <c i="6" r="O33"/>
  <c i="6" r="N33"/>
  <c i="6" r="P32"/>
  <c i="6" r="O32"/>
  <c i="6" r="N32"/>
  <c i="6" r="P31"/>
  <c i="6" r="O31"/>
  <c i="6" r="N31"/>
  <c i="6" r="P30"/>
  <c i="6" r="O30"/>
  <c i="6" r="N30"/>
  <c i="6" r="P29"/>
  <c i="6" r="O29"/>
  <c i="6" r="N29"/>
  <c i="6" r="P28"/>
  <c i="6" r="O28"/>
  <c i="6" r="N28"/>
  <c i="6" r="P27"/>
  <c i="6" r="O27"/>
  <c i="6" r="N27"/>
  <c i="6" r="P26"/>
  <c i="6" r="O26"/>
  <c i="6" r="N26"/>
  <c i="6" r="P25"/>
  <c i="6" r="O25"/>
  <c i="6" r="N25"/>
  <c i="6" r="P24"/>
  <c i="6" r="O24"/>
  <c i="6" r="N24"/>
  <c i="6" r="P23"/>
  <c i="6" r="O23"/>
  <c i="6" r="N23"/>
  <c i="6" r="P22"/>
  <c i="6" r="O22"/>
  <c i="6" r="N22"/>
  <c i="6" r="P21"/>
  <c i="6" r="O21"/>
  <c i="6" r="N21"/>
  <c i="6" r="P20"/>
  <c i="6" r="O20"/>
  <c i="6" r="N20"/>
  <c i="6" r="P19"/>
  <c i="6" r="O19"/>
  <c i="6" r="N19"/>
  <c i="6" r="P18"/>
  <c i="6" r="O18"/>
  <c i="6" r="N18"/>
  <c i="6" r="P17"/>
  <c i="6" r="O17"/>
  <c i="6" r="N17"/>
  <c i="6" r="P16"/>
  <c i="6" r="O16"/>
  <c i="6" r="N16"/>
  <c i="6" r="P15"/>
  <c i="6" r="O15"/>
  <c i="6" r="N15"/>
  <c i="6" r="P14"/>
  <c i="6" r="O14"/>
  <c i="6" r="N14"/>
  <c i="6" r="P13"/>
  <c i="6" r="O13"/>
  <c i="6" r="N13"/>
  <c i="6" r="P12"/>
  <c i="6" r="O12"/>
  <c i="6" r="N12"/>
  <c i="6" r="P11"/>
  <c i="6" r="O11"/>
  <c i="6" r="N11"/>
  <c i="6" r="P10"/>
  <c i="6" r="O10"/>
  <c i="6" r="N10"/>
  <c i="6" r="P9"/>
  <c i="6" r="O9"/>
  <c i="6" r="N9"/>
  <c i="6" r="P8"/>
  <c i="6" r="O8"/>
  <c i="6" r="N8"/>
  <c i="6" r="P7"/>
  <c i="6" r="O7"/>
  <c i="6" r="N7"/>
  <c i="6" r="P6"/>
  <c i="6" r="O6"/>
  <c i="6" r="N6"/>
  <c i="6" r="P5"/>
  <c i="6" r="O5"/>
  <c i="6" r="N5"/>
  <c i="6" r="P4"/>
  <c i="6" r="O4"/>
  <c i="6" r="N4"/>
  <c i="6" r="P3"/>
  <c i="6" r="O3"/>
  <c i="6" r="N3"/>
  <c i="6" r="B33"/>
  <c i="6" r="B43" s="1"/>
  <c i="6" l="1" r="Q4"/>
  <c i="6" r="R4" s="1"/>
  <c i="6" r="Q11"/>
  <c i="6" r="R11" s="1"/>
  <c i="6" r="Q12"/>
  <c i="6" r="R12" s="1"/>
  <c i="6" r="Q28"/>
  <c i="6" r="R28" s="1"/>
  <c i="6" r="Q13"/>
  <c i="6" r="R13" s="1"/>
  <c i="6" r="Q14"/>
  <c i="6" r="R14" s="1"/>
  <c i="6" r="Q22"/>
  <c i="6" r="R22" s="1"/>
  <c i="6" r="Q17"/>
  <c i="6" r="R17" s="1"/>
  <c i="6" r="Q16"/>
  <c i="6" r="R16" s="1"/>
  <c i="6" r="Q18"/>
  <c i="6" r="R18" s="1"/>
  <c i="6" r="Q10"/>
  <c i="6" r="R10" s="1"/>
  <c i="6" r="Q6"/>
  <c i="6" r="R6" s="1"/>
  <c i="6" r="Q8"/>
  <c i="6" r="R8" s="1"/>
  <c i="6" r="Q7"/>
  <c i="6" r="R7" s="1"/>
  <c i="6" r="Q9"/>
  <c i="6" r="R9" s="1"/>
  <c i="6" r="Q29"/>
  <c i="6" r="R29" s="1"/>
  <c i="6" r="Q21"/>
  <c i="6" r="R21" s="1"/>
  <c i="6" r="Q26"/>
  <c i="6" r="R26" s="1"/>
  <c i="6" r="Q27"/>
  <c i="6" r="R27" s="1"/>
  <c i="6" r="Q20"/>
  <c i="6" r="R20" s="1"/>
  <c i="6" r="Q23"/>
  <c i="6" r="R23" s="1"/>
  <c i="6" r="Q30"/>
  <c i="6" r="R30" s="1"/>
  <c i="6" r="Q31"/>
  <c i="6" r="R31" s="1"/>
  <c i="6" r="Q19"/>
  <c i="6" r="R19" s="1"/>
  <c i="6" r="Q33"/>
  <c i="6" r="R33" s="1"/>
  <c i="6" r="Q25"/>
  <c i="6" r="R25" s="1"/>
  <c i="6" r="Q32"/>
  <c i="6" r="R32" s="1"/>
  <c i="6" r="Q34"/>
  <c i="6" r="R34" s="1"/>
  <c i="6" r="Q3"/>
  <c i="6" r="R3" s="1"/>
  <c i="6" r="Q24"/>
  <c i="6" r="R24" s="1"/>
  <c i="6" r="Q5"/>
  <c i="6" r="R5" s="1"/>
  <c i="6" r="D23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1" l="1" r="H15"/>
  <c i="1" r="J13"/>
  <c i="1" l="1" r="U13"/>
  <c i="1" r="S15"/>
  <c i="1" r="S28" s="1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l="1" r="U26"/>
  <c i="1" r="G26"/>
  <c i="1" r="C26"/>
  <c i="1" r="F26"/>
  <c i="1" r="B26"/>
  <c i="1" r="H26"/>
  <c i="1" r="D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1"/>
  <c i="1" r="H20"/>
  <c i="1" r="H22"/>
  <c i="1" r="J24"/>
  <c i="1" r="J23"/>
  <c i="1" r="U22"/>
  <c i="1" r="U20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6" r="G6" s="1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6" l="1" r="G5"/>
  <c i="1" r="E28"/>
  <c i="1" r="S36"/>
  <c i="1" r="S38"/>
  <c i="1" r="S35"/>
  <c i="1" r="M39"/>
  <c i="1" r="O39"/>
  <c i="1" r="S37"/>
  <c i="1" r="N39"/>
  <c i="1" r="P39"/>
  <c i="1" r="S34"/>
  <c i="1" r="R39"/>
  <c i="1" r="S33"/>
  <c i="1" r="S39"/>
  <c i="1" r="Q39"/>
  <c i="6" r="D7"/>
  <c i="6" r="D5"/>
  <c i="6" r="G7"/>
  <c i="6" r="G8" s="1"/>
  <c i="6" r="D6"/>
  <c i="1" r="H28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6" l="1" r="D8"/>
  <c i="6" r="G14"/>
  <c i="6" r="G12"/>
  <c i="6" r="D16"/>
  <c i="6" r="D15"/>
  <c i="6" r="D13"/>
  <c i="6" r="D12"/>
  <c i="6" r="J12" s="1"/>
  <c i="6" r="K12" s="1"/>
  <c i="6" r="D33" s="1"/>
  <c i="6" r="D43" s="1"/>
  <c i="6" r="Q15" s="1"/>
  <c i="6" r="R15" s="1"/>
  <c i="6" r="G13"/>
  <c i="6" r="D14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1" l="1" r="E39"/>
  <c i="1" r="AA39" s="1"/>
  <c i="1" r="H39"/>
  <c i="1" r="AD39" s="1"/>
  <c i="1" r="B39"/>
  <c i="1" r="X39" s="1"/>
  <c i="1" r="C39"/>
  <c i="1" r="Y39" s="1"/>
  <c i="1" r="D39"/>
  <c i="1" r="Z39" s="1"/>
  <c i="1" r="F39"/>
  <c i="1" r="AB39" s="1"/>
  <c i="1" r="G39"/>
  <c i="1" r="AC39" s="1"/>
  <c i="1" r="H37"/>
  <c i="1" r="AD37" s="1"/>
  <c i="1" r="H38"/>
  <c i="1" r="AD38" s="1"/>
  <c i="1" r="H36"/>
  <c i="1" r="AD36" s="1"/>
  <c i="1" r="H35"/>
  <c i="1" r="AD35" s="1"/>
  <c i="1" r="H33"/>
  <c i="1" r="AD33" s="1"/>
  <c i="1" r="H34"/>
  <c i="1" r="AD34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AE41" s="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</calcChain>
</file>

<file path=xl/sharedStrings.xml><?xml version="1.0" encoding="utf-8"?>
<sst xmlns="http://schemas.openxmlformats.org/spreadsheetml/2006/main" count="585" uniqueCount="300">
  <si>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</si>
  <si>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</si>
  <si>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</si>
  <si>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</si>
  <si>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</si>
  <si>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</si>
  <si>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</si>
  <si>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</si>
  <si>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</si>
  <si>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</si>
  <si>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</si>
  <si>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</si>
  <si>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</si>
  <si>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</si>
  <si>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</si>
  <si>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</si>
  <si>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</si>
  <si>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</si>
  <si>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</si>
  <si>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</si>
  <si>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</si>
  <si>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</si>
  <si>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</si>
  <si>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</si>
  <si>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</si>
  <si>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</si>
  <si>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</si>
  <si>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</si>
  <si>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</si>
  <si>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</si>
  <si>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</si>
  <si>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</si>
  <si>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</si>
  <si>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</si>
  <si>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</si>
  <si>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</si>
  <si>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</si>
  <si>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</si>
  <si>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</si>
  <si>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</si>
  <si>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</si>
  <si>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</si>
  <si>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</si>
  <si>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</si>
  <si>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</si>
  <si>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</si>
  <si>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</si>
  <si>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</si>
  <si>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</si>
  <si>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</si>
  <si>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</si>
  <si>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</si>
  <si>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</si>
  <si>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</si>
  <si>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</si>
  <si>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</si>
  <si>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</si>
  <si>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</si>
  <si>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</si>
  <si>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</si>
  <si>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</si>
  <si>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</si>
  <si>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</si>
  <si>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</si>
  <si>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</si>
  <si>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</si>
  <si>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</si>
  <si>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</si>
  <si>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</si>
  <si>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</si>
  <si>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</si>
  <si>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</si>
  <si>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</si>
  <si>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</si>
  <si>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</si>
  <si>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</si>
  <si>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</si>
  <si>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</si>
  <si>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</si>
  <si>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</si>
  <si>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</si>
  <si>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</si>
  <si>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</si>
  <si>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</si>
  <si>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</si>
  <si>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</si>
  <si>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</si>
  <si>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</si>
  <si>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</si>
  <si>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</si>
  <si>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</si>
  <si>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</si>
  <si>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</si>
  <si>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</si>
  <si>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</si>
  <si>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</si>
  <si>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</si>
  <si>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</si>
  <si>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</si>
  <si>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</si>
  <si>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</si>
  <si>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</si>
  <si>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</si>
  <si>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</si>
  <si>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</si>
  <si>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</si>
  <si>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</si>
  <si>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</si>
  <si>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</si>
  <si>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</si>
  <si>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</si>
  <si>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</si>
  <si>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</si>
  <si>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</si>
  <si>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</si>
  <si>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</si>
  <si>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</si>
  <si>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</si>
  <si>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</si>
  <si>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</si>
  <si>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</si>
  <si>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</si>
  <si>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</si>
  <si>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</si>
  <si>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</si>
  <si>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</si>
  <si>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</si>
  <si>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</si>
  <si>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</si>
  <si>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</si>
  <si>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</si>
  <si>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</si>
  <si>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</si>
  <si>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</si>
  <si>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</si>
  <si>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</si>
  <si>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</si>
  <si>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</si>
  <si>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</si>
  <si>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</si>
  <si>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</si>
  <si>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</si>
  <si>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</si>
  <si>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</si>
  <si>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</si>
  <si>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</si>
  <si>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</si>
  <si>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</si>
  <si>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</si>
  <si>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</si>
  <si>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</si>
  <si>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</si>
  <si>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</si>
  <si>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</si>
  <si>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</si>
  <si>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</si>
  <si>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</si>
  <si>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</si>
  <si>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</si>
  <si>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</si>
  <si>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</si>
  <si>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</si>
  <si>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</si>
  <si>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</si>
  <si>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</si>
  <si>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</si>
  <si>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</si>
  <si>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</si>
  <si>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</si>
  <si>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</si>
  <si>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</si>
  <si>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</si>
  <si>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</si>
  <si>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</si>
  <si>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</si>
  <si>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</si>
  <si>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</si>
  <si>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</si>
  <si>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</si>
  <si>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</si>
  <si>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</si>
  <si>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</si>
  <si>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</si>
  <si>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</si>
  <si>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</si>
  <si>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</si>
  <si>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</si>
  <si>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</si>
  <si>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</si>
  <si>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</si>
  <si>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</si>
  <si>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</si>
  <si>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</si>
  <si>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</si>
  <si>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</si>
  <si>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</si>
  <si>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</si>
  <si>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</si>
  <si>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</si>
  <si>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</si>
  <si>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</si>
  <si>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</si>
  <si>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</si>
  <si>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</si>
  <si>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</si>
  <si>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</si>
  <si>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</si>
  <si>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</si>
  <si>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</si>
  <si>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</si>
  <si>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</si>
  <si>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</si>
  <si>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</si>
  <si>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</si>
  <si>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</si>
  <si>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</si>
  <si>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</si>
  <si>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</si>
  <si>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</si>
  <si>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</si>
  <si>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</si>
  <si>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</si>
  <si>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</si>
  <si>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</si>
  <si>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</si>
  <si>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</si>
  <si>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</si>
  <si>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</si>
  <si>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</si>
  <si>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</si>
  <si>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</si>
  <si>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</si>
  <si>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</si>
  <si>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</si>
  <si>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</si>
  <si>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</si>
  <si>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</si>
  <si>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</si>
  <si>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</si>
  <si>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</si>
  <si>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</si>
  <si>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</si>
  <si>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</si>
  <si>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</si>
  <si>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</si>
  <si>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</si>
  <si>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</si>
  <si>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</si>
  <si>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</si>
  <si>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</si>
  <si>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</si>
  <si>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</si>
  <si>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</si>
  <si>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</si>
  <si>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</si>
  <si>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</si>
  <si>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</si>
  <si>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</si>
  <si>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</si>
  <si>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</si>
  <si>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</si>
  <si>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</si>
  <si>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</si>
  <si>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</si>
  <si>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</si>
  <si>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</si>
  <si>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</si>
  <si>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</si>
  <si>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</si>
  <si>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</si>
  <si>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</si>
  <si>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</si>
  <si>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</si>
  <si>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</si>
  <si>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</si>
  <si>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</si>
  <si>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</si>
  <si>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</si>
  <si>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</si>
  <si>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</si>
  <si>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</si>
  <si>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</si>
  <si>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</si>
  <si>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</si>
  <si>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Diff</t>
  </si>
  <si>
    <t>May</t>
  </si>
  <si>
    <t>LSM_0039</t>
  </si>
  <si>
    <t>Gamma040</t>
  </si>
  <si>
    <t>Gamma041</t>
  </si>
  <si>
    <t>Gamma042</t>
  </si>
  <si>
    <t>Gamma043</t>
  </si>
  <si>
    <t>Gamma044</t>
  </si>
  <si>
    <t>Gamma045</t>
  </si>
  <si>
    <t>Gamma046</t>
  </si>
  <si>
    <t>Gamma047</t>
  </si>
  <si>
    <t>Gamma048</t>
  </si>
  <si>
    <t>Gamma049</t>
  </si>
  <si>
    <t>Gamma050</t>
  </si>
  <si>
    <t>LSUvsN</t>
  </si>
  <si>
    <t>017:47:55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</si>
</sst>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56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applyNumberFormat="1" borderId="0" fillId="0" fontId="0" numFmtId="166" xfId="0"/>
    <xf applyFill="1" applyFont="1" applyNumberFormat="1" borderId="0" fillId="0" fontId="0" numFmtId="167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0.35032443757878068</c:v>
                </c:pt>
                <c:pt idx="1">
                  <c:v>0.27969831567127407</c:v>
                </c:pt>
                <c:pt idx="2">
                  <c:v>6.8044104141998241E-2</c:v>
                </c:pt>
                <c:pt idx="3">
                  <c:v>5.0602193286270199E-2</c:v>
                </c:pt>
                <c:pt idx="4">
                  <c:v>2.109484749653057E-2</c:v>
                </c:pt>
                <c:pt idx="5">
                  <c:v>0.16758204150501257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2.2179569630525559E-2</c:v>
                </c:pt>
                <c:pt idx="15">
                  <c:v>1.749661982332067E-2</c:v>
                </c:pt>
                <c:pt idx="16">
                  <c:v>0</c:v>
                </c:pt>
                <c:pt idx="17">
                  <c:v>0</c:v>
                </c:pt>
                <c:pt idx="18">
                  <c:v>2.2977870866287466E-2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0.27741315831599167</c:v>
                </c:pt>
                <c:pt idx="1">
                  <c:v>0.22955018408836247</c:v>
                </c:pt>
                <c:pt idx="2">
                  <c:v>0.10869217224267651</c:v>
                </c:pt>
                <c:pt idx="3">
                  <c:v>7.4275652313110299E-2</c:v>
                </c:pt>
                <c:pt idx="4">
                  <c:v>6.3710581078917888E-2</c:v>
                </c:pt>
                <c:pt idx="5">
                  <c:v>4.546182167440372E-2</c:v>
                </c:pt>
                <c:pt idx="6">
                  <c:v>3.5056827277093007E-2</c:v>
                </c:pt>
                <c:pt idx="7">
                  <c:v>3.1535136865695541E-2</c:v>
                </c:pt>
                <c:pt idx="8">
                  <c:v>2.3371218184728672E-2</c:v>
                </c:pt>
                <c:pt idx="9">
                  <c:v>1.7928605730750762E-2</c:v>
                </c:pt>
                <c:pt idx="10">
                  <c:v>1.9209220425804391E-2</c:v>
                </c:pt>
                <c:pt idx="11">
                  <c:v>1.5047222666880106E-2</c:v>
                </c:pt>
                <c:pt idx="12">
                  <c:v>8.0038418440851623E-3</c:v>
                </c:pt>
                <c:pt idx="13">
                  <c:v>6.5631503121498331E-3</c:v>
                </c:pt>
                <c:pt idx="14">
                  <c:v>6.0829198015047228E-3</c:v>
                </c:pt>
                <c:pt idx="15">
                  <c:v>6.8833039859132394E-3</c:v>
                </c:pt>
                <c:pt idx="16">
                  <c:v>5.122458780214504E-3</c:v>
                </c:pt>
                <c:pt idx="17">
                  <c:v>3.841844085160878E-3</c:v>
                </c:pt>
                <c:pt idx="18">
                  <c:v>3.3616135745157677E-3</c:v>
                </c:pt>
                <c:pt idx="19">
                  <c:v>2.7213062269889551E-3</c:v>
                </c:pt>
                <c:pt idx="20">
                  <c:v>1.4406915319353291E-3</c:v>
                </c:pt>
                <c:pt idx="21">
                  <c:v>2.4011525532255484E-3</c:v>
                </c:pt>
                <c:pt idx="22">
                  <c:v>9.604610212902195E-4</c:v>
                </c:pt>
                <c:pt idx="23">
                  <c:v>1.280614695053626E-3</c:v>
                </c:pt>
                <c:pt idx="24">
                  <c:v>8.0038418440851625E-4</c:v>
                </c:pt>
                <c:pt idx="25">
                  <c:v>9.604610212902195E-4</c:v>
                </c:pt>
                <c:pt idx="26">
                  <c:v>8.0038418440851625E-4</c:v>
                </c:pt>
                <c:pt idx="27">
                  <c:v>1.1205378581719226E-3</c:v>
                </c:pt>
                <c:pt idx="28">
                  <c:v>6.40307347526813E-4</c:v>
                </c:pt>
                <c:pt idx="29">
                  <c:v>6.40307347526813E-4</c:v>
                </c:pt>
                <c:pt idx="30">
                  <c:v>4.8023051064510975E-4</c:v>
                </c:pt>
                <c:pt idx="31">
                  <c:v>0</c:v>
                </c:pt>
                <c:pt idx="32">
                  <c:v>0</c:v>
                </c:pt>
                <c:pt idx="33">
                  <c:v>3.201536737634065E-4</c:v>
                </c:pt>
                <c:pt idx="34">
                  <c:v>3.201536737634065E-4</c:v>
                </c:pt>
                <c:pt idx="35">
                  <c:v>6.40307347526813E-4</c:v>
                </c:pt>
                <c:pt idx="36">
                  <c:v>1.6007683688170325E-4</c:v>
                </c:pt>
                <c:pt idx="37">
                  <c:v>3.201536737634065E-4</c:v>
                </c:pt>
                <c:pt idx="38">
                  <c:v>4.8023051064510975E-4</c:v>
                </c:pt>
                <c:pt idx="39">
                  <c:v>1.6007683688170325E-4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1.6007683688170325E-4</c:v>
                </c:pt>
                <c:pt idx="44">
                  <c:v>3.201536737634065E-4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1.6007683688170325E-4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layout/>
          <c:overlay val="0"/>
        </c:title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3.8303682802366464E-2</c:v>
                </c:pt>
                <c:pt idx="1">
                  <c:v>0.27366787514407198</c:v>
                </c:pt>
                <c:pt idx="2">
                  <c:v>7.6656562434708697E-2</c:v>
                </c:pt>
                <c:pt idx="3">
                  <c:v>0.13333849178713908</c:v>
                </c:pt>
                <c:pt idx="4">
                  <c:v>0.17610024522376674</c:v>
                </c:pt>
                <c:pt idx="5">
                  <c:v>2.2038707846407438E-2</c:v>
                </c:pt>
                <c:pt idx="6">
                  <c:v>2.8563485439862757E-2</c:v>
                </c:pt>
                <c:pt idx="7">
                  <c:v>0</c:v>
                </c:pt>
                <c:pt idx="8">
                  <c:v>2.109484749653057E-2</c:v>
                </c:pt>
                <c:pt idx="9">
                  <c:v>0.16758204150501257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2.2179569630525559E-2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1.749661982332067E-2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2.2977870866287466E-2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5.986873699375702E-2</c:v>
                </c:pt>
                <c:pt idx="1">
                  <c:v>0.11877701296622382</c:v>
                </c:pt>
                <c:pt idx="2">
                  <c:v>0.17016167760525056</c:v>
                </c:pt>
                <c:pt idx="3">
                  <c:v>0.1419881543140708</c:v>
                </c:pt>
                <c:pt idx="4">
                  <c:v>8.7081799263646578E-2</c:v>
                </c:pt>
                <c:pt idx="5">
                  <c:v>6.38706579157996E-2</c:v>
                </c:pt>
                <c:pt idx="6">
                  <c:v>5.298543300784378E-2</c:v>
                </c:pt>
                <c:pt idx="7">
                  <c:v>4.7382743716984164E-2</c:v>
                </c:pt>
                <c:pt idx="8">
                  <c:v>3.7778133504081969E-2</c:v>
                </c:pt>
                <c:pt idx="9">
                  <c:v>3.1855290539458951E-2</c:v>
                </c:pt>
                <c:pt idx="10">
                  <c:v>2.4331679206018895E-2</c:v>
                </c:pt>
                <c:pt idx="11">
                  <c:v>2.161037297902994E-2</c:v>
                </c:pt>
                <c:pt idx="12">
                  <c:v>2.1130142468384832E-2</c:v>
                </c:pt>
                <c:pt idx="13">
                  <c:v>1.6808067872578845E-2</c:v>
                </c:pt>
                <c:pt idx="14">
                  <c:v>1.1365455418600932E-2</c:v>
                </c:pt>
                <c:pt idx="15">
                  <c:v>1.280614695053626E-2</c:v>
                </c:pt>
                <c:pt idx="16">
                  <c:v>1.1045301744837525E-2</c:v>
                </c:pt>
                <c:pt idx="17">
                  <c:v>1.2165839603009449E-2</c:v>
                </c:pt>
                <c:pt idx="18">
                  <c:v>7.0433808227949434E-3</c:v>
                </c:pt>
                <c:pt idx="19">
                  <c:v>3.361613574515769E-3</c:v>
                </c:pt>
                <c:pt idx="20">
                  <c:v>4.9623819433328017E-3</c:v>
                </c:pt>
                <c:pt idx="21">
                  <c:v>4.1619977589242851E-3</c:v>
                </c:pt>
                <c:pt idx="22">
                  <c:v>2.8813830638706587E-3</c:v>
                </c:pt>
                <c:pt idx="23">
                  <c:v>3.6817672482791753E-3</c:v>
                </c:pt>
                <c:pt idx="24">
                  <c:v>3.5216904113974717E-3</c:v>
                </c:pt>
                <c:pt idx="25">
                  <c:v>4.001920922042582E-3</c:v>
                </c:pt>
                <c:pt idx="26">
                  <c:v>2.4011525532255489E-3</c:v>
                </c:pt>
                <c:pt idx="27">
                  <c:v>2.2410757163438457E-3</c:v>
                </c:pt>
                <c:pt idx="28">
                  <c:v>2.2410757163438457E-3</c:v>
                </c:pt>
                <c:pt idx="29">
                  <c:v>1.7608452056987359E-3</c:v>
                </c:pt>
                <c:pt idx="30">
                  <c:v>2.0809988794621426E-3</c:v>
                </c:pt>
                <c:pt idx="31">
                  <c:v>1.7608452056987359E-3</c:v>
                </c:pt>
                <c:pt idx="32">
                  <c:v>8.0038418440851636E-4</c:v>
                </c:pt>
                <c:pt idx="33">
                  <c:v>1.4406915319353294E-3</c:v>
                </c:pt>
                <c:pt idx="34">
                  <c:v>1.6007683688170328E-4</c:v>
                </c:pt>
                <c:pt idx="35">
                  <c:v>6.4030734752681311E-4</c:v>
                </c:pt>
                <c:pt idx="36">
                  <c:v>9.6046102129021961E-4</c:v>
                </c:pt>
                <c:pt idx="37">
                  <c:v>6.4030734752681311E-4</c:v>
                </c:pt>
                <c:pt idx="38">
                  <c:v>4.802305106451098E-4</c:v>
                </c:pt>
                <c:pt idx="39">
                  <c:v>3.2015367376340655E-4</c:v>
                </c:pt>
                <c:pt idx="40">
                  <c:v>0</c:v>
                </c:pt>
                <c:pt idx="41">
                  <c:v>6.4030734752681311E-4</c:v>
                </c:pt>
                <c:pt idx="42">
                  <c:v>1.6007683688170328E-4</c:v>
                </c:pt>
                <c:pt idx="43">
                  <c:v>1.6007683688170328E-4</c:v>
                </c:pt>
                <c:pt idx="44">
                  <c:v>4.802305106451098E-4</c:v>
                </c:pt>
                <c:pt idx="45">
                  <c:v>3.2015367376340655E-4</c:v>
                </c:pt>
                <c:pt idx="46">
                  <c:v>0</c:v>
                </c:pt>
                <c:pt idx="47">
                  <c:v>0</c:v>
                </c:pt>
                <c:pt idx="48">
                  <c:v>3.2015367376340655E-4</c:v>
                </c:pt>
                <c:pt idx="49">
                  <c:v>0</c:v>
                </c:pt>
                <c:pt idx="50">
                  <c:v>4.802305106451098E-4</c:v>
                </c:pt>
                <c:pt idx="51">
                  <c:v>1.6007683688170328E-4</c:v>
                </c:pt>
                <c:pt idx="52">
                  <c:v>0</c:v>
                </c:pt>
                <c:pt idx="53">
                  <c:v>1.6007683688170328E-4</c:v>
                </c:pt>
                <c:pt idx="54">
                  <c:v>1.6007683688170328E-4</c:v>
                </c:pt>
                <c:pt idx="55">
                  <c:v>1.6007683688170328E-4</c:v>
                </c:pt>
                <c:pt idx="56">
                  <c:v>1.6007683688170328E-4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2"/>
  <sheetViews>
    <sheetView workbookViewId="0">
      <selection activeCell="N18" sqref="N18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246</v>
      </c>
    </row>
    <row r="3" spans="1:18" x14ac:dyDescent="0.25">
      <c r="A3" t="s">
        <v>247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20" t="n">
        <v>29436.901958936003</v>
      </c>
      <c r="C11" s="520" t="n">
        <v>363.9016388881958</v>
      </c>
      <c r="D11" s="520" t="n">
        <v>73.2608696915141</v>
      </c>
      <c r="E11" s="520">
        <f>SUM(B11:D11)</f>
        <v>3954.4062505030238</v>
      </c>
      <c r="F11" s="21">
        <f>E11/$E$102</f>
        <v>0.35032443757878068</v>
      </c>
      <c r="H11" s="23">
        <v>0</v>
      </c>
      <c r="I11" s="522" t="n">
        <v>16658.0</v>
      </c>
      <c r="J11" s="522" t="n">
        <v>3322.0</v>
      </c>
      <c r="K11" s="522" t="n">
        <v>236.0</v>
      </c>
      <c r="L11" s="520">
        <f>SUM(I11:K11)</f>
        <v>2888.3333333304449</v>
      </c>
      <c r="M11" s="21">
        <f>L11/$L$102</f>
        <v>0.27741315831599167</v>
      </c>
      <c r="P11" t="s">
        <v>9</v>
      </c>
      <c r="Q11" s="8" t="n">
        <v>3.6347009194209847</v>
      </c>
      <c r="R11" s="8" t="n">
        <v>5.483234718689807</v>
      </c>
    </row>
    <row r="12" spans="1:18" x14ac:dyDescent="0.25">
      <c r="A12">
        <v>1</v>
      </c>
      <c r="B12" s="520" t="n">
        <v>26910.998505500156</v>
      </c>
      <c r="C12" s="520" t="n">
        <v>1385.3778490449795</v>
      </c>
      <c r="D12" s="520" t="n">
        <v>0.0</v>
      </c>
      <c r="E12" s="520">
        <f ref="E12:E75" si="0" t="shared">SUM(B12:D12)</f>
        <v>3157.1898763040999</v>
      </c>
      <c r="F12" s="21">
        <f ref="F12:F75" si="1" t="shared">E12/$E$102</f>
        <v>0.27969831567127407</v>
      </c>
      <c r="H12" s="24">
        <v>1</v>
      </c>
      <c r="I12" s="522" t="n">
        <v>13370.0</v>
      </c>
      <c r="J12" s="522" t="n">
        <v>2670.0</v>
      </c>
      <c r="K12" s="522" t="n">
        <v>195.0</v>
      </c>
      <c r="L12" s="520">
        <f ref="L12:L75" si="2" t="shared">SUM(I12:K12)</f>
        <v>2389.9999999976103</v>
      </c>
      <c r="M12" s="21">
        <f ref="M12:M75" si="3" t="shared">L12/$L$102</f>
        <v>0.22955018408836247</v>
      </c>
      <c r="P12" t="s">
        <v>10</v>
      </c>
      <c r="Q12" s="8" t="n">
        <v>4.408115602468581</v>
      </c>
      <c r="R12" s="8" t="n">
        <v>5.01806030790758</v>
      </c>
    </row>
    <row r="13" spans="1:18" x14ac:dyDescent="0.25">
      <c r="A13">
        <v>2</v>
      </c>
      <c r="B13" s="520" t="n">
        <v>18617.923954910984</v>
      </c>
      <c r="C13" s="520" t="n">
        <v>1188.2845749394853</v>
      </c>
      <c r="D13" s="520" t="n">
        <v>187.6175851240113</v>
      </c>
      <c r="E13" s="520">
        <f si="0" t="shared"/>
        <v>768.07097040864403</v>
      </c>
      <c r="F13" s="21">
        <f si="1" t="shared"/>
        <v>6.8044104141998241E-2</v>
      </c>
      <c r="H13" s="25">
        <v>2</v>
      </c>
      <c r="I13" s="522" t="n">
        <v>12085.0</v>
      </c>
      <c r="J13" s="522" t="n">
        <v>2318.0</v>
      </c>
      <c r="K13" s="522" t="n">
        <v>162.0</v>
      </c>
      <c r="L13" s="520">
        <f si="2" t="shared"/>
        <v>1131.6666666655351</v>
      </c>
      <c r="M13" s="21">
        <f si="3" t="shared"/>
        <v>0.10869217224267651</v>
      </c>
      <c r="P13" s="6" t="s">
        <v>11</v>
      </c>
      <c r="Q13" s="11" t="n">
        <v>2.072775859659851</v>
      </c>
      <c r="R13" s="11" t="n">
        <v>5.918805328487242</v>
      </c>
    </row>
    <row ht="15.75" r="14" spans="1:18" thickBot="1" x14ac:dyDescent="0.3">
      <c r="A14">
        <v>3</v>
      </c>
      <c r="B14" s="520" t="n">
        <v>6910.588161093052</v>
      </c>
      <c r="C14" s="520" t="n">
        <v>504.68527036196633</v>
      </c>
      <c r="D14" s="520" t="n">
        <v>26.8851286223669</v>
      </c>
      <c r="E14" s="520">
        <f si="0" t="shared"/>
        <v>571.18946883455806</v>
      </c>
      <c r="F14" s="21">
        <f si="1" t="shared"/>
        <v>5.0602193286270199E-2</v>
      </c>
      <c r="H14" s="26">
        <v>3</v>
      </c>
      <c r="I14" s="522" t="n">
        <v>11054.0</v>
      </c>
      <c r="J14" s="522" t="n">
        <v>2018.0</v>
      </c>
      <c r="K14" s="522" t="n">
        <v>153.0</v>
      </c>
      <c r="L14" s="520">
        <f si="2" t="shared"/>
        <v>773.33333333256007</v>
      </c>
      <c r="M14" s="21">
        <f si="3" t="shared"/>
        <v>7.4275652313110299E-2</v>
      </c>
      <c r="P14" s="1" t="s">
        <v>4</v>
      </c>
      <c r="Q14" s="9" t="n">
        <v>3.6672955589379055</v>
      </c>
      <c r="R14" s="9" t="n">
        <v>5.418011383426045</v>
      </c>
    </row>
    <row r="15" spans="1:18" x14ac:dyDescent="0.25">
      <c r="A15">
        <v>4</v>
      </c>
      <c r="B15" s="520" t="n">
        <v>4155.901382216477</v>
      </c>
      <c r="C15" s="520" t="n">
        <v>479.4699831803414</v>
      </c>
      <c r="D15" s="520" t="n">
        <v>0.0</v>
      </c>
      <c r="E15" s="520">
        <f si="0" t="shared"/>
        <v>238.1152664376423</v>
      </c>
      <c r="F15" s="21">
        <f si="1" t="shared"/>
        <v>2.109484749653057E-2</v>
      </c>
      <c r="H15" s="27">
        <v>4</v>
      </c>
      <c r="I15" s="522" t="n">
        <v>7049.0</v>
      </c>
      <c r="J15" s="522" t="n">
        <v>1266.0</v>
      </c>
      <c r="K15" s="522" t="n">
        <v>122.0</v>
      </c>
      <c r="L15" s="520">
        <f si="2" t="shared"/>
        <v>663.33333333267001</v>
      </c>
      <c r="M15" s="21">
        <f si="3" t="shared"/>
        <v>6.3710581078917888E-2</v>
      </c>
    </row>
    <row r="16" spans="1:18" x14ac:dyDescent="0.25">
      <c r="A16">
        <v>5</v>
      </c>
      <c r="B16" s="520" t="n">
        <v>3013.7777694986094</v>
      </c>
      <c r="C16" s="520" t="n">
        <v>238.01560864357458</v>
      </c>
      <c r="D16" s="520" t="n">
        <v>0.0</v>
      </c>
      <c r="E16" s="520">
        <f si="0" t="shared"/>
        <v>1891.6392957897899</v>
      </c>
      <c r="F16" s="21">
        <f si="1" t="shared"/>
        <v>0.16758204150501257</v>
      </c>
      <c r="H16" s="28">
        <v>5</v>
      </c>
      <c r="I16" s="522" t="n">
        <v>6209.0</v>
      </c>
      <c r="J16" s="522" t="n">
        <v>1076.0</v>
      </c>
      <c r="K16" s="522" t="n">
        <v>88.0</v>
      </c>
      <c r="L16" s="520">
        <f si="2" t="shared"/>
        <v>473.33333333286004</v>
      </c>
      <c r="M16" s="21">
        <f si="3" t="shared"/>
        <v>4.546182167440372E-2</v>
      </c>
    </row>
    <row r="17" spans="1:13" x14ac:dyDescent="0.25">
      <c r="A17">
        <v>6</v>
      </c>
      <c r="B17" s="520" t="n">
        <v>4074.0481332808117</v>
      </c>
      <c r="C17" s="520" t="n">
        <v>52.6028115251918</v>
      </c>
      <c r="D17" s="520" t="n">
        <v>0.0</v>
      </c>
      <c r="E17" s="520">
        <f si="0" t="shared"/>
        <v>0</v>
      </c>
      <c r="F17" s="21">
        <f si="1" t="shared"/>
        <v>0</v>
      </c>
      <c r="H17" s="29">
        <v>6</v>
      </c>
      <c r="I17" s="522" t="n">
        <v>4143.0</v>
      </c>
      <c r="J17" s="522" t="n">
        <v>712.0</v>
      </c>
      <c r="K17" s="522" t="n">
        <v>52.0</v>
      </c>
      <c r="L17" s="520">
        <f si="2" t="shared"/>
        <v>364.99999999963501</v>
      </c>
      <c r="M17" s="21">
        <f si="3" t="shared"/>
        <v>3.5056827277093007E-2</v>
      </c>
    </row>
    <row r="18" spans="1:13" x14ac:dyDescent="0.25">
      <c r="A18">
        <v>7</v>
      </c>
      <c r="B18" s="520" t="n">
        <v>4110.563903679989</v>
      </c>
      <c r="C18" s="520" t="n">
        <v>159.632061589006</v>
      </c>
      <c r="D18" s="520" t="n">
        <v>0.0</v>
      </c>
      <c r="E18" s="520">
        <f si="0" t="shared"/>
        <v>0</v>
      </c>
      <c r="F18" s="21">
        <f si="1" t="shared"/>
        <v>0</v>
      </c>
      <c r="H18" s="30">
        <v>7</v>
      </c>
      <c r="I18" s="522" t="n">
        <v>2890.0</v>
      </c>
      <c r="J18" s="522" t="n">
        <v>466.0</v>
      </c>
      <c r="K18" s="522" t="n">
        <v>36.0</v>
      </c>
      <c r="L18" s="520">
        <f si="2" t="shared"/>
        <v>328.33333333300504</v>
      </c>
      <c r="M18" s="21">
        <f si="3" t="shared"/>
        <v>3.1535136865695541E-2</v>
      </c>
    </row>
    <row r="19" spans="1:13" x14ac:dyDescent="0.25">
      <c r="A19">
        <v>8</v>
      </c>
      <c r="B19" s="520" t="n">
        <v>2663.042871018044</v>
      </c>
      <c r="C19" s="520" t="n">
        <v>458.419247192503</v>
      </c>
      <c r="D19" s="520" t="n">
        <v>0.0</v>
      </c>
      <c r="E19" s="520">
        <f si="0" t="shared"/>
        <v>0</v>
      </c>
      <c r="F19" s="21">
        <f si="1" t="shared"/>
        <v>0</v>
      </c>
      <c r="H19" s="31">
        <v>8</v>
      </c>
      <c r="I19" s="522" t="n">
        <v>2173.0</v>
      </c>
      <c r="J19" s="522" t="n">
        <v>344.0</v>
      </c>
      <c r="K19" s="522" t="n">
        <v>27.0</v>
      </c>
      <c r="L19" s="520">
        <f si="2" t="shared"/>
        <v>243.33333333309</v>
      </c>
      <c r="M19" s="21">
        <f si="3" t="shared"/>
        <v>2.3371218184728672E-2</v>
      </c>
    </row>
    <row r="20" spans="1:13" x14ac:dyDescent="0.25">
      <c r="A20">
        <v>9</v>
      </c>
      <c r="B20" s="520" t="n">
        <v>2024.4994278668707</v>
      </c>
      <c r="C20" s="520" t="n">
        <v>0.0</v>
      </c>
      <c r="D20" s="520" t="n">
        <v>0.0</v>
      </c>
      <c r="E20" s="520">
        <f si="0" t="shared"/>
        <v>0</v>
      </c>
      <c r="F20" s="21">
        <f si="1" t="shared"/>
        <v>0</v>
      </c>
      <c r="H20" s="32">
        <v>9</v>
      </c>
      <c r="I20" s="522" t="n">
        <v>1604.0</v>
      </c>
      <c r="J20" s="522" t="n">
        <v>223.0</v>
      </c>
      <c r="K20" s="522" t="n">
        <v>24.0</v>
      </c>
      <c r="L20" s="520">
        <f si="2" t="shared"/>
        <v>186.66666666648001</v>
      </c>
      <c r="M20" s="21">
        <f si="3" t="shared"/>
        <v>1.7928605730750762E-2</v>
      </c>
    </row>
    <row r="21" spans="1:13" x14ac:dyDescent="0.25">
      <c r="A21">
        <v>10</v>
      </c>
      <c r="B21" s="520" t="n">
        <v>2128.761248588827</v>
      </c>
      <c r="C21" s="520" t="n">
        <v>0.0</v>
      </c>
      <c r="D21" s="520" t="n">
        <v>0.0</v>
      </c>
      <c r="E21" s="520">
        <f si="0" t="shared"/>
        <v>0</v>
      </c>
      <c r="F21" s="21">
        <f si="1" t="shared"/>
        <v>0</v>
      </c>
      <c r="H21" s="33">
        <v>10</v>
      </c>
      <c r="I21" s="522" t="n">
        <v>1172.0</v>
      </c>
      <c r="J21" s="522" t="n">
        <v>151.0</v>
      </c>
      <c r="K21" s="522" t="n">
        <v>12.0</v>
      </c>
      <c r="L21" s="520">
        <f si="2" t="shared"/>
        <v>199.99999999980002</v>
      </c>
      <c r="M21" s="21">
        <f si="3" t="shared"/>
        <v>1.9209220425804391E-2</v>
      </c>
    </row>
    <row r="22" spans="1:13" x14ac:dyDescent="0.25">
      <c r="A22">
        <v>11</v>
      </c>
      <c r="B22" s="520" t="n">
        <v>910.2237079017865</v>
      </c>
      <c r="C22" s="520" t="n">
        <v>147.283593330704</v>
      </c>
      <c r="D22" s="520" t="n">
        <v>0.0</v>
      </c>
      <c r="E22" s="520">
        <f si="0" t="shared"/>
        <v>0</v>
      </c>
      <c r="F22" s="21">
        <f si="1" t="shared"/>
        <v>0</v>
      </c>
      <c r="H22" s="34">
        <v>11</v>
      </c>
      <c r="I22" s="522" t="n">
        <v>1249.0</v>
      </c>
      <c r="J22" s="522" t="n">
        <v>176.0</v>
      </c>
      <c r="K22" s="522" t="n">
        <v>11.0</v>
      </c>
      <c r="L22" s="520">
        <f si="2" t="shared"/>
        <v>156.66666666651003</v>
      </c>
      <c r="M22" s="21">
        <f si="3" t="shared"/>
        <v>1.5047222666880106E-2</v>
      </c>
    </row>
    <row r="23" spans="1:13" x14ac:dyDescent="0.25">
      <c r="A23">
        <v>12</v>
      </c>
      <c r="B23" s="520" t="n">
        <v>226.8411480733396</v>
      </c>
      <c r="C23" s="520" t="n">
        <v>409.058151574533</v>
      </c>
      <c r="D23" s="520" t="n">
        <v>0.0</v>
      </c>
      <c r="E23" s="520">
        <f si="0" t="shared"/>
        <v>0</v>
      </c>
      <c r="F23" s="21">
        <f si="1" t="shared"/>
        <v>0</v>
      </c>
      <c r="H23" s="35">
        <v>12</v>
      </c>
      <c r="I23" s="522" t="n">
        <v>924.0</v>
      </c>
      <c r="J23" s="522" t="n">
        <v>113.0</v>
      </c>
      <c r="K23" s="522" t="n">
        <v>8.0</v>
      </c>
      <c r="L23" s="520">
        <f si="2" t="shared"/>
        <v>83.33333333325001</v>
      </c>
      <c r="M23" s="21">
        <f si="3" t="shared"/>
        <v>8.0038418440851623E-3</v>
      </c>
    </row>
    <row r="24" spans="1:13" x14ac:dyDescent="0.25">
      <c r="A24">
        <v>13</v>
      </c>
      <c r="B24" s="520" t="n">
        <v>924.7175560751893</v>
      </c>
      <c r="C24" s="520" t="n">
        <v>0.0</v>
      </c>
      <c r="D24" s="520" t="n">
        <v>0.0</v>
      </c>
      <c r="E24" s="520">
        <f si="0" t="shared"/>
        <v>0</v>
      </c>
      <c r="F24" s="21">
        <f si="1" t="shared"/>
        <v>0</v>
      </c>
      <c r="H24" s="36">
        <v>13</v>
      </c>
      <c r="I24" s="522" t="n">
        <v>805.0</v>
      </c>
      <c r="J24" s="522" t="n">
        <v>112.0</v>
      </c>
      <c r="K24" s="522" t="n">
        <v>7.0</v>
      </c>
      <c r="L24" s="520">
        <f si="2" t="shared"/>
        <v>68.333333333265003</v>
      </c>
      <c r="M24" s="21">
        <f si="3" t="shared"/>
        <v>6.5631503121498331E-3</v>
      </c>
    </row>
    <row r="25" spans="1:13" x14ac:dyDescent="0.25">
      <c r="A25">
        <v>14</v>
      </c>
      <c r="B25" s="520" t="n">
        <v>1099.157664446045</v>
      </c>
      <c r="C25" s="520" t="n">
        <v>44.9692512868193</v>
      </c>
      <c r="D25" s="520" t="n">
        <v>0.0</v>
      </c>
      <c r="E25" s="520">
        <f si="0" t="shared"/>
        <v>250.359436488623</v>
      </c>
      <c r="F25" s="21">
        <f si="1" t="shared"/>
        <v>2.2179569630525559E-2</v>
      </c>
      <c r="H25" s="37">
        <v>14</v>
      </c>
      <c r="I25" s="522" t="n">
        <v>765.0</v>
      </c>
      <c r="J25" s="522" t="n">
        <v>109.0</v>
      </c>
      <c r="K25" s="522" t="n">
        <v>11.0</v>
      </c>
      <c r="L25" s="520">
        <f si="2" t="shared"/>
        <v>63.333333333270005</v>
      </c>
      <c r="M25" s="21">
        <f si="3" t="shared"/>
        <v>6.0829198015047228E-3</v>
      </c>
    </row>
    <row r="26" spans="1:13" x14ac:dyDescent="0.25">
      <c r="A26">
        <v>15</v>
      </c>
      <c r="B26" s="520" t="n">
        <v>96.9827452072539</v>
      </c>
      <c r="C26" s="520" t="n">
        <v>0.0</v>
      </c>
      <c r="D26" s="520" t="n">
        <v>0.0</v>
      </c>
      <c r="E26" s="520">
        <f si="0" t="shared"/>
        <v>197.499047654805</v>
      </c>
      <c r="F26" s="21">
        <f si="1" t="shared"/>
        <v>1.749661982332067E-2</v>
      </c>
      <c r="H26" s="38">
        <v>15</v>
      </c>
      <c r="I26" s="522" t="n">
        <v>751.0</v>
      </c>
      <c r="J26" s="522" t="n">
        <v>83.0</v>
      </c>
      <c r="K26" s="522" t="n">
        <v>11.0</v>
      </c>
      <c r="L26" s="520">
        <f si="2" t="shared"/>
        <v>71.666666666595006</v>
      </c>
      <c r="M26" s="21">
        <f si="3" t="shared"/>
        <v>6.8833039859132394E-3</v>
      </c>
    </row>
    <row r="27" spans="1:13" x14ac:dyDescent="0.25">
      <c r="A27">
        <v>16</v>
      </c>
      <c r="B27" s="520" t="n">
        <v>478.1195736003229</v>
      </c>
      <c r="C27" s="520" t="n">
        <v>0.0</v>
      </c>
      <c r="D27" s="520" t="n">
        <v>0.0</v>
      </c>
      <c r="E27" s="520">
        <f si="0" t="shared"/>
        <v>0</v>
      </c>
      <c r="F27" s="21">
        <f si="1" t="shared"/>
        <v>0</v>
      </c>
      <c r="H27" s="39">
        <v>16</v>
      </c>
      <c r="I27" s="522" t="n">
        <v>537.0</v>
      </c>
      <c r="J27" s="522" t="n">
        <v>56.0</v>
      </c>
      <c r="K27" s="522" t="n">
        <v>7.0</v>
      </c>
      <c r="L27" s="520">
        <f si="2" t="shared"/>
        <v>53.333333333280009</v>
      </c>
      <c r="M27" s="21">
        <f si="3" t="shared"/>
        <v>5.122458780214504E-3</v>
      </c>
    </row>
    <row r="28" spans="1:13" x14ac:dyDescent="0.25">
      <c r="A28">
        <v>17</v>
      </c>
      <c r="B28" s="520" t="n">
        <v>267.6494200242869</v>
      </c>
      <c r="C28" s="520" t="n">
        <v>0.0</v>
      </c>
      <c r="D28" s="520" t="n">
        <v>0.0</v>
      </c>
      <c r="E28" s="520">
        <f si="0" t="shared"/>
        <v>0</v>
      </c>
      <c r="F28" s="21">
        <f si="1" t="shared"/>
        <v>0</v>
      </c>
      <c r="H28" s="40">
        <v>17</v>
      </c>
      <c r="I28" s="522" t="n">
        <v>441.0</v>
      </c>
      <c r="J28" s="522" t="n">
        <v>51.0</v>
      </c>
      <c r="K28" s="522" t="n">
        <v>6.0</v>
      </c>
      <c r="L28" s="520">
        <f si="2" t="shared"/>
        <v>39.999999999960004</v>
      </c>
      <c r="M28" s="21">
        <f si="3" t="shared"/>
        <v>3.841844085160878E-3</v>
      </c>
    </row>
    <row r="29" spans="1:13" x14ac:dyDescent="0.25">
      <c r="A29">
        <v>18</v>
      </c>
      <c r="B29" s="520" t="n">
        <v>74.9344783071591</v>
      </c>
      <c r="C29" s="520" t="n">
        <v>0.0</v>
      </c>
      <c r="D29" s="520" t="n">
        <v>0.0</v>
      </c>
      <c r="E29" s="520">
        <f si="0" t="shared"/>
        <v>259.37053322597598</v>
      </c>
      <c r="F29" s="21">
        <f si="1" t="shared"/>
        <v>2.2977870866287466E-2</v>
      </c>
      <c r="H29" s="41">
        <v>18</v>
      </c>
      <c r="I29" s="522" t="n">
        <v>372.0</v>
      </c>
      <c r="J29" s="522" t="n">
        <v>23.0</v>
      </c>
      <c r="K29" s="522" t="n">
        <v>4.0</v>
      </c>
      <c r="L29" s="520">
        <f si="2" t="shared"/>
        <v>34.999999999964999</v>
      </c>
      <c r="M29" s="21">
        <f si="3" t="shared"/>
        <v>3.3616135745157677E-3</v>
      </c>
    </row>
    <row r="30" spans="1:13" x14ac:dyDescent="0.25">
      <c r="A30">
        <v>19</v>
      </c>
      <c r="B30" s="520" t="n">
        <v>0.0</v>
      </c>
      <c r="C30" s="520" t="n">
        <v>0.0</v>
      </c>
      <c r="D30" s="520" t="n">
        <v>0.0</v>
      </c>
      <c r="E30" s="520">
        <f si="0" t="shared"/>
        <v>0</v>
      </c>
      <c r="F30" s="21">
        <f si="1" t="shared"/>
        <v>0</v>
      </c>
      <c r="H30" s="42">
        <v>19</v>
      </c>
      <c r="I30" s="522" t="n">
        <v>262.0</v>
      </c>
      <c r="J30" s="522" t="n">
        <v>18.0</v>
      </c>
      <c r="K30" s="522" t="n">
        <v>3.0</v>
      </c>
      <c r="L30" s="520">
        <f si="2" t="shared"/>
        <v>28.333333333305003</v>
      </c>
      <c r="M30" s="21">
        <f si="3" t="shared"/>
        <v>2.7213062269889551E-3</v>
      </c>
    </row>
    <row r="31" spans="1:13" x14ac:dyDescent="0.25">
      <c r="A31">
        <v>20</v>
      </c>
      <c r="B31" s="520" t="n">
        <v>0.0</v>
      </c>
      <c r="C31" s="520" t="n">
        <v>0.0</v>
      </c>
      <c r="D31" s="520" t="n">
        <v>0.0</v>
      </c>
      <c r="E31" s="520">
        <f si="0" t="shared"/>
        <v>0</v>
      </c>
      <c r="F31" s="21">
        <f si="1" t="shared"/>
        <v>0</v>
      </c>
      <c r="H31" s="43">
        <v>20</v>
      </c>
      <c r="I31" s="522" t="n">
        <v>465.0</v>
      </c>
      <c r="J31" s="522" t="n">
        <v>100.0</v>
      </c>
      <c r="K31" s="522" t="n">
        <v>1.0</v>
      </c>
      <c r="L31" s="520">
        <f si="2" t="shared"/>
        <v>14.999999999985</v>
      </c>
      <c r="M31" s="21">
        <f si="3" t="shared"/>
        <v>1.4406915319353291E-3</v>
      </c>
    </row>
    <row r="32" spans="1:13" x14ac:dyDescent="0.25">
      <c r="A32">
        <v>21</v>
      </c>
      <c r="B32" s="520" t="n">
        <v>455.98446822817334</v>
      </c>
      <c r="C32" s="520" t="n">
        <v>0.0</v>
      </c>
      <c r="D32" s="520" t="n">
        <v>0.0</v>
      </c>
      <c r="E32" s="520">
        <f si="0" t="shared"/>
        <v>0</v>
      </c>
      <c r="F32" s="21">
        <f si="1" t="shared"/>
        <v>0</v>
      </c>
      <c r="H32" s="44">
        <v>21</v>
      </c>
      <c r="I32" s="522" t="n">
        <v>311.0</v>
      </c>
      <c r="J32" s="522" t="n">
        <v>56.0</v>
      </c>
      <c r="K32" s="522" t="n">
        <v>2.0</v>
      </c>
      <c r="L32" s="520">
        <f si="2" t="shared"/>
        <v>24.999999999975</v>
      </c>
      <c r="M32" s="21">
        <f si="3" t="shared"/>
        <v>2.4011525532255484E-3</v>
      </c>
    </row>
    <row r="33" spans="1:13" x14ac:dyDescent="0.25">
      <c r="A33">
        <v>22</v>
      </c>
      <c r="B33" s="520" t="n">
        <v>0.0</v>
      </c>
      <c r="C33" s="520" t="n">
        <v>44.0775617273077</v>
      </c>
      <c r="D33" s="520" t="n">
        <v>0.0</v>
      </c>
      <c r="E33" s="520">
        <f si="0" t="shared"/>
        <v>0</v>
      </c>
      <c r="F33" s="21">
        <f si="1" t="shared"/>
        <v>0</v>
      </c>
      <c r="H33" s="45">
        <v>22</v>
      </c>
      <c r="I33" s="522" t="n">
        <v>226.0</v>
      </c>
      <c r="J33" s="522" t="n">
        <v>22.0</v>
      </c>
      <c r="K33" s="522" t="n">
        <v>4.0</v>
      </c>
      <c r="L33" s="520">
        <f si="2" t="shared"/>
        <v>9.9999999999900009</v>
      </c>
      <c r="M33" s="21">
        <f si="3" t="shared"/>
        <v>9.604610212902195E-4</v>
      </c>
    </row>
    <row r="34" spans="1:13" x14ac:dyDescent="0.25">
      <c r="A34">
        <v>23</v>
      </c>
      <c r="B34" s="520" t="n">
        <v>0.0</v>
      </c>
      <c r="C34" s="520" t="n">
        <v>0.0</v>
      </c>
      <c r="D34" s="520" t="n">
        <v>0.0</v>
      </c>
      <c r="E34" s="520">
        <f si="0" t="shared"/>
        <v>0</v>
      </c>
      <c r="F34" s="21">
        <f si="1" t="shared"/>
        <v>0</v>
      </c>
      <c r="H34" s="46">
        <v>23</v>
      </c>
      <c r="I34" s="522" t="n">
        <v>169.0</v>
      </c>
      <c r="J34" s="522" t="n">
        <v>22.0</v>
      </c>
      <c r="K34" s="522" t="n">
        <v>4.0</v>
      </c>
      <c r="L34" s="520">
        <f si="2" t="shared"/>
        <v>13.333333333320001</v>
      </c>
      <c r="M34" s="21">
        <f si="3" t="shared"/>
        <v>1.280614695053626E-3</v>
      </c>
    </row>
    <row r="35" spans="1:13" x14ac:dyDescent="0.25">
      <c r="A35">
        <v>24</v>
      </c>
      <c r="B35" s="520" t="n">
        <v>0.0</v>
      </c>
      <c r="C35" s="520" t="n">
        <v>0.0</v>
      </c>
      <c r="D35" s="520" t="n">
        <v>0.0</v>
      </c>
      <c r="E35" s="520">
        <f si="0" t="shared"/>
        <v>0</v>
      </c>
      <c r="F35" s="21">
        <f si="1" t="shared"/>
        <v>0</v>
      </c>
      <c r="H35" s="47">
        <v>24</v>
      </c>
      <c r="I35" s="522" t="n">
        <v>170.0</v>
      </c>
      <c r="J35" s="522" t="n">
        <v>19.0</v>
      </c>
      <c r="K35" s="522" t="n">
        <v>3.0</v>
      </c>
      <c r="L35" s="520">
        <f si="2" t="shared"/>
        <v>8.333333333325001</v>
      </c>
      <c r="M35" s="21">
        <f si="3" t="shared"/>
        <v>8.0038418440851625E-4</v>
      </c>
    </row>
    <row r="36" spans="1:13" x14ac:dyDescent="0.25">
      <c r="A36">
        <v>25</v>
      </c>
      <c r="B36" s="520" t="n">
        <v>433.724511792881</v>
      </c>
      <c r="C36" s="520" t="n">
        <v>0.0</v>
      </c>
      <c r="D36" s="520" t="n">
        <v>0.0</v>
      </c>
      <c r="E36" s="520">
        <f si="0" t="shared"/>
        <v>0</v>
      </c>
      <c r="F36" s="21">
        <f si="1" t="shared"/>
        <v>0</v>
      </c>
      <c r="H36" s="48">
        <v>25</v>
      </c>
      <c r="I36" s="522" t="n">
        <v>151.0</v>
      </c>
      <c r="J36" s="522" t="n">
        <v>25.0</v>
      </c>
      <c r="K36" s="522" t="n">
        <v>1.0</v>
      </c>
      <c r="L36" s="520">
        <f si="2" t="shared"/>
        <v>9.9999999999900009</v>
      </c>
      <c r="M36" s="21">
        <f si="3" t="shared"/>
        <v>9.604610212902195E-4</v>
      </c>
    </row>
    <row r="37" spans="1:13" x14ac:dyDescent="0.25">
      <c r="A37">
        <v>26</v>
      </c>
      <c r="B37" s="520" t="n">
        <v>0.0</v>
      </c>
      <c r="C37" s="520" t="n">
        <v>0.0</v>
      </c>
      <c r="D37" s="520" t="n">
        <v>0.0</v>
      </c>
      <c r="E37" s="520">
        <f si="0" t="shared"/>
        <v>0</v>
      </c>
      <c r="F37" s="21">
        <f si="1" t="shared"/>
        <v>0</v>
      </c>
      <c r="H37" s="49">
        <v>26</v>
      </c>
      <c r="I37" s="522" t="n">
        <v>152.0</v>
      </c>
      <c r="J37" s="522" t="n">
        <v>18.0</v>
      </c>
      <c r="K37" s="522" t="n">
        <v>1.0</v>
      </c>
      <c r="L37" s="520">
        <f si="2" t="shared"/>
        <v>8.333333333325001</v>
      </c>
      <c r="M37" s="21">
        <f si="3" t="shared"/>
        <v>8.0038418440851625E-4</v>
      </c>
    </row>
    <row r="38" spans="1:13" x14ac:dyDescent="0.25">
      <c r="A38">
        <v>27</v>
      </c>
      <c r="B38" s="520" t="n">
        <v>72.2183278865173</v>
      </c>
      <c r="C38" s="520" t="n">
        <v>0.0</v>
      </c>
      <c r="D38" s="520" t="n">
        <v>0.0</v>
      </c>
      <c r="E38" s="520">
        <f si="0" t="shared"/>
        <v>0</v>
      </c>
      <c r="F38" s="21">
        <f si="1" t="shared"/>
        <v>0</v>
      </c>
      <c r="H38" s="50">
        <v>27</v>
      </c>
      <c r="I38" s="522" t="n">
        <v>148.0</v>
      </c>
      <c r="J38" s="522" t="n">
        <v>15.0</v>
      </c>
      <c r="K38" s="522" t="n">
        <v>1.0</v>
      </c>
      <c r="L38" s="520">
        <f si="2" t="shared"/>
        <v>11.666666666655001</v>
      </c>
      <c r="M38" s="21">
        <f si="3" t="shared"/>
        <v>1.1205378581719226E-3</v>
      </c>
    </row>
    <row r="39" spans="1:13" x14ac:dyDescent="0.25">
      <c r="A39">
        <v>28</v>
      </c>
      <c r="B39" s="520" t="n">
        <v>890.624192261987</v>
      </c>
      <c r="C39" s="520" t="n">
        <v>0.0</v>
      </c>
      <c r="D39" s="520" t="n">
        <v>0.0</v>
      </c>
      <c r="E39" s="520">
        <f si="0" t="shared"/>
        <v>0</v>
      </c>
      <c r="F39" s="21">
        <f si="1" t="shared"/>
        <v>0</v>
      </c>
      <c r="H39" s="51">
        <v>28</v>
      </c>
      <c r="I39" s="522" t="n">
        <v>156.0</v>
      </c>
      <c r="J39" s="522" t="n">
        <v>16.0</v>
      </c>
      <c r="K39" s="522" t="n">
        <v>1.0</v>
      </c>
      <c r="L39" s="520">
        <f si="2" t="shared"/>
        <v>6.6666666666600003</v>
      </c>
      <c r="M39" s="21">
        <f si="3" t="shared"/>
        <v>6.40307347526813E-4</v>
      </c>
    </row>
    <row r="40" spans="1:13" x14ac:dyDescent="0.25">
      <c r="A40">
        <v>29</v>
      </c>
      <c r="B40" s="520" t="n">
        <v>0.0</v>
      </c>
      <c r="C40" s="520" t="n">
        <v>0.0</v>
      </c>
      <c r="D40" s="520" t="n">
        <v>0.0</v>
      </c>
      <c r="E40" s="520">
        <f si="0" t="shared"/>
        <v>0</v>
      </c>
      <c r="F40" s="21">
        <f si="1" t="shared"/>
        <v>0</v>
      </c>
      <c r="H40" s="52">
        <v>29</v>
      </c>
      <c r="I40" s="522" t="n">
        <v>259.0</v>
      </c>
      <c r="J40" s="522" t="n">
        <v>54.0</v>
      </c>
      <c r="K40" s="522" t="n">
        <v>6.0</v>
      </c>
      <c r="L40" s="520">
        <f si="2" t="shared"/>
        <v>6.6666666666600003</v>
      </c>
      <c r="M40" s="21">
        <f si="3" t="shared"/>
        <v>6.40307347526813E-4</v>
      </c>
    </row>
    <row r="41" spans="1:13" x14ac:dyDescent="0.25">
      <c r="A41">
        <v>30</v>
      </c>
      <c r="B41" s="520" t="n">
        <v>0.0</v>
      </c>
      <c r="C41" s="520" t="n">
        <v>0.0</v>
      </c>
      <c r="D41" s="520" t="n">
        <v>0.0</v>
      </c>
      <c r="E41" s="520">
        <f si="0" t="shared"/>
        <v>0</v>
      </c>
      <c r="F41" s="21">
        <f si="1" t="shared"/>
        <v>0</v>
      </c>
      <c r="H41" s="53">
        <v>30</v>
      </c>
      <c r="I41" s="522" t="n">
        <v>306.0</v>
      </c>
      <c r="J41" s="522" t="n">
        <v>63.0</v>
      </c>
      <c r="K41" s="522" t="n">
        <v>4.0</v>
      </c>
      <c r="L41" s="520">
        <f si="2" t="shared"/>
        <v>4.9999999999950004</v>
      </c>
      <c r="M41" s="21">
        <f si="3" t="shared"/>
        <v>4.8023051064510975E-4</v>
      </c>
    </row>
    <row r="42" spans="1:13" x14ac:dyDescent="0.25">
      <c r="A42">
        <v>31</v>
      </c>
      <c r="B42" s="520" t="n">
        <v>0.0</v>
      </c>
      <c r="C42" s="520" t="n">
        <v>0.0</v>
      </c>
      <c r="D42" s="520" t="n">
        <v>0.0</v>
      </c>
      <c r="E42" s="520">
        <f si="0" t="shared"/>
        <v>0</v>
      </c>
      <c r="F42" s="21">
        <f si="1" t="shared"/>
        <v>0</v>
      </c>
      <c r="H42" s="54">
        <v>31</v>
      </c>
      <c r="I42" s="522" t="n">
        <v>93.0</v>
      </c>
      <c r="J42" s="522" t="n">
        <v>9.0</v>
      </c>
      <c r="K42" s="522" t="n">
        <v>0.0</v>
      </c>
      <c r="L42" s="520">
        <f si="2" t="shared"/>
        <v>0</v>
      </c>
      <c r="M42" s="21">
        <f si="3" t="shared"/>
        <v>0</v>
      </c>
    </row>
    <row r="43" spans="1:13" x14ac:dyDescent="0.25">
      <c r="A43">
        <v>32</v>
      </c>
      <c r="B43" s="520" t="n">
        <v>0.0</v>
      </c>
      <c r="C43" s="520" t="n">
        <v>0.0</v>
      </c>
      <c r="D43" s="520" t="n">
        <v>0.0</v>
      </c>
      <c r="E43" s="520">
        <f si="0" t="shared"/>
        <v>0</v>
      </c>
      <c r="F43" s="21">
        <f si="1" t="shared"/>
        <v>0</v>
      </c>
      <c r="H43" s="55">
        <v>32</v>
      </c>
      <c r="I43" s="522" t="n">
        <v>164.0</v>
      </c>
      <c r="J43" s="522" t="n">
        <v>30.0</v>
      </c>
      <c r="K43" s="522" t="n">
        <v>1.0</v>
      </c>
      <c r="L43" s="520">
        <f si="2" t="shared"/>
        <v>0</v>
      </c>
      <c r="M43" s="21">
        <f si="3" t="shared"/>
        <v>0</v>
      </c>
    </row>
    <row r="44" spans="1:13" x14ac:dyDescent="0.25">
      <c r="A44">
        <v>33</v>
      </c>
      <c r="B44" s="520" t="n">
        <v>70.5698212576042</v>
      </c>
      <c r="C44" s="520" t="n">
        <v>0.0</v>
      </c>
      <c r="D44" s="520" t="n">
        <v>0.0</v>
      </c>
      <c r="E44" s="520">
        <f si="0" t="shared"/>
        <v>0</v>
      </c>
      <c r="F44" s="21">
        <f si="1" t="shared"/>
        <v>0</v>
      </c>
      <c r="H44" s="56">
        <v>33</v>
      </c>
      <c r="I44" s="522" t="n">
        <v>86.0</v>
      </c>
      <c r="J44" s="522" t="n">
        <v>17.0</v>
      </c>
      <c r="K44" s="522" t="n">
        <v>5.0</v>
      </c>
      <c r="L44" s="520">
        <f si="2" t="shared"/>
        <v>3.3333333333300001</v>
      </c>
      <c r="M44" s="21">
        <f si="3" t="shared"/>
        <v>3.201536737634065E-4</v>
      </c>
    </row>
    <row r="45" spans="1:13" x14ac:dyDescent="0.25">
      <c r="A45">
        <v>34</v>
      </c>
      <c r="B45" s="520" t="n">
        <v>0.0</v>
      </c>
      <c r="C45" s="520" t="n">
        <v>0.0</v>
      </c>
      <c r="D45" s="520" t="n">
        <v>0.0</v>
      </c>
      <c r="E45" s="520">
        <f si="0" t="shared"/>
        <v>0</v>
      </c>
      <c r="F45" s="21">
        <f si="1" t="shared"/>
        <v>0</v>
      </c>
      <c r="H45" s="57">
        <v>34</v>
      </c>
      <c r="I45" s="522" t="n">
        <v>74.0</v>
      </c>
      <c r="J45" s="522" t="n">
        <v>9.0</v>
      </c>
      <c r="K45" s="522" t="n">
        <v>1.0</v>
      </c>
      <c r="L45" s="520">
        <f si="2" t="shared"/>
        <v>3.3333333333300001</v>
      </c>
      <c r="M45" s="21">
        <f si="3" t="shared"/>
        <v>3.201536737634065E-4</v>
      </c>
    </row>
    <row r="46" spans="1:13" x14ac:dyDescent="0.25">
      <c r="A46">
        <v>35</v>
      </c>
      <c r="B46" s="520" t="n">
        <v>117.458640720158</v>
      </c>
      <c r="C46" s="520" t="n">
        <v>0.0</v>
      </c>
      <c r="D46" s="520" t="n">
        <v>0.0</v>
      </c>
      <c r="E46" s="520">
        <f si="0" t="shared"/>
        <v>0</v>
      </c>
      <c r="F46" s="21">
        <f si="1" t="shared"/>
        <v>0</v>
      </c>
      <c r="H46" s="58">
        <v>35</v>
      </c>
      <c r="I46" s="522" t="n">
        <v>75.0</v>
      </c>
      <c r="J46" s="522" t="n">
        <v>18.0</v>
      </c>
      <c r="K46" s="522" t="n">
        <v>0.0</v>
      </c>
      <c r="L46" s="520">
        <f si="2" t="shared"/>
        <v>6.6666666666600003</v>
      </c>
      <c r="M46" s="21">
        <f si="3" t="shared"/>
        <v>6.40307347526813E-4</v>
      </c>
    </row>
    <row r="47" spans="1:13" x14ac:dyDescent="0.25">
      <c r="A47">
        <v>36</v>
      </c>
      <c r="B47" s="520" t="n">
        <v>0.0</v>
      </c>
      <c r="C47" s="520" t="n">
        <v>0.0</v>
      </c>
      <c r="D47" s="520" t="n">
        <v>0.0</v>
      </c>
      <c r="E47" s="520">
        <f si="0" t="shared"/>
        <v>0</v>
      </c>
      <c r="F47" s="21">
        <f si="1" t="shared"/>
        <v>0</v>
      </c>
      <c r="H47" s="59">
        <v>36</v>
      </c>
      <c r="I47" s="522" t="n">
        <v>64.0</v>
      </c>
      <c r="J47" s="522" t="n">
        <v>16.0</v>
      </c>
      <c r="K47" s="522" t="n">
        <v>2.0</v>
      </c>
      <c r="L47" s="520">
        <f si="2" t="shared"/>
        <v>1.6666666666650001</v>
      </c>
      <c r="M47" s="21">
        <f si="3" t="shared"/>
        <v>1.6007683688170325E-4</v>
      </c>
    </row>
    <row r="48" spans="1:13" x14ac:dyDescent="0.25">
      <c r="A48">
        <v>37</v>
      </c>
      <c r="B48" s="520" t="n">
        <v>49.2525146553204</v>
      </c>
      <c r="C48" s="520" t="n">
        <v>0.0</v>
      </c>
      <c r="D48" s="520" t="n">
        <v>0.0</v>
      </c>
      <c r="E48" s="520">
        <f si="0" t="shared"/>
        <v>0</v>
      </c>
      <c r="F48" s="21">
        <f si="1" t="shared"/>
        <v>0</v>
      </c>
      <c r="H48" s="60">
        <v>37</v>
      </c>
      <c r="I48" s="522" t="n">
        <v>884.0</v>
      </c>
      <c r="J48" s="522" t="n">
        <v>175.0</v>
      </c>
      <c r="K48" s="522" t="n">
        <v>32.0</v>
      </c>
      <c r="L48" s="520">
        <f si="2" t="shared"/>
        <v>3.3333333333300001</v>
      </c>
      <c r="M48" s="21">
        <f si="3" t="shared"/>
        <v>3.201536737634065E-4</v>
      </c>
    </row>
    <row r="49" spans="1:13" x14ac:dyDescent="0.25">
      <c r="A49">
        <v>38</v>
      </c>
      <c r="B49" s="520" t="n">
        <v>0.0</v>
      </c>
      <c r="C49" s="520" t="n">
        <v>0.0</v>
      </c>
      <c r="D49" s="520" t="n">
        <v>0.0</v>
      </c>
      <c r="E49" s="520">
        <f si="0" t="shared"/>
        <v>0</v>
      </c>
      <c r="F49" s="21">
        <f si="1" t="shared"/>
        <v>0</v>
      </c>
      <c r="H49" s="61">
        <v>38</v>
      </c>
      <c r="I49" s="522" t="n">
        <v>46.0</v>
      </c>
      <c r="J49" s="522" t="n">
        <v>4.0</v>
      </c>
      <c r="K49" s="522" t="n">
        <v>1.0</v>
      </c>
      <c r="L49" s="520">
        <f si="2" t="shared"/>
        <v>4.9999999999950004</v>
      </c>
      <c r="M49" s="21">
        <f si="3" t="shared"/>
        <v>4.8023051064510975E-4</v>
      </c>
    </row>
    <row r="50" spans="1:13" x14ac:dyDescent="0.25">
      <c r="A50">
        <v>39</v>
      </c>
      <c r="B50" s="520" t="n">
        <v>109.541105784721</v>
      </c>
      <c r="C50" s="520" t="n">
        <v>0.0</v>
      </c>
      <c r="D50" s="520" t="n">
        <v>0.0</v>
      </c>
      <c r="E50" s="520">
        <f si="0" t="shared"/>
        <v>0</v>
      </c>
      <c r="F50" s="21">
        <f si="1" t="shared"/>
        <v>0</v>
      </c>
      <c r="H50" s="62">
        <v>39</v>
      </c>
      <c r="I50" s="522" t="n">
        <v>32.0</v>
      </c>
      <c r="J50" s="522" t="n">
        <v>6.0</v>
      </c>
      <c r="K50" s="522" t="n">
        <v>2.0</v>
      </c>
      <c r="L50" s="520">
        <f si="2" t="shared"/>
        <v>1.6666666666650001</v>
      </c>
      <c r="M50" s="21">
        <f si="3" t="shared"/>
        <v>1.6007683688170325E-4</v>
      </c>
    </row>
    <row r="51" spans="1:13" x14ac:dyDescent="0.25">
      <c r="A51">
        <v>40</v>
      </c>
      <c r="B51" s="520" t="n">
        <v>0.0</v>
      </c>
      <c r="C51" s="520" t="n">
        <v>0.0</v>
      </c>
      <c r="D51" s="520" t="n">
        <v>0.0</v>
      </c>
      <c r="E51" s="520">
        <f si="0" t="shared"/>
        <v>0</v>
      </c>
      <c r="F51" s="21">
        <f si="1" t="shared"/>
        <v>0</v>
      </c>
      <c r="H51" s="63">
        <v>40</v>
      </c>
      <c r="I51" s="522" t="n">
        <v>128.0</v>
      </c>
      <c r="J51" s="522" t="n">
        <v>18.0</v>
      </c>
      <c r="K51" s="522" t="n">
        <v>1.0</v>
      </c>
      <c r="L51" s="520">
        <f si="2" t="shared"/>
        <v>0</v>
      </c>
      <c r="M51" s="21">
        <f si="3" t="shared"/>
        <v>0</v>
      </c>
    </row>
    <row r="52" spans="1:13" x14ac:dyDescent="0.25">
      <c r="A52">
        <v>41</v>
      </c>
      <c r="B52" s="520" t="n">
        <v>0.0</v>
      </c>
      <c r="C52" s="520" t="n">
        <v>0.0</v>
      </c>
      <c r="D52" s="520" t="n">
        <v>0.0</v>
      </c>
      <c r="E52" s="520">
        <f si="0" t="shared"/>
        <v>0</v>
      </c>
      <c r="F52" s="21">
        <f si="1" t="shared"/>
        <v>0</v>
      </c>
      <c r="H52" s="64">
        <v>41</v>
      </c>
      <c r="I52" s="522" t="n">
        <v>14.0</v>
      </c>
      <c r="J52" s="522" t="n">
        <v>4.0</v>
      </c>
      <c r="K52" s="522" t="n">
        <v>0.0</v>
      </c>
      <c r="L52" s="520">
        <f si="2" t="shared"/>
        <v>0</v>
      </c>
      <c r="M52" s="21">
        <f si="3" t="shared"/>
        <v>0</v>
      </c>
    </row>
    <row r="53" spans="1:13" x14ac:dyDescent="0.25">
      <c r="A53">
        <v>42</v>
      </c>
      <c r="B53" s="520" t="n">
        <v>0.0</v>
      </c>
      <c r="C53" s="520" t="n">
        <v>0.0</v>
      </c>
      <c r="D53" s="520" t="n">
        <v>0.0</v>
      </c>
      <c r="E53" s="520">
        <f si="0" t="shared"/>
        <v>0</v>
      </c>
      <c r="F53" s="21">
        <f si="1" t="shared"/>
        <v>0</v>
      </c>
      <c r="H53" s="65">
        <v>42</v>
      </c>
      <c r="I53" s="522" t="n">
        <v>217.0</v>
      </c>
      <c r="J53" s="522" t="n">
        <v>45.0</v>
      </c>
      <c r="K53" s="522" t="n">
        <v>8.0</v>
      </c>
      <c r="L53" s="520">
        <f si="2" t="shared"/>
        <v>0</v>
      </c>
      <c r="M53" s="21">
        <f si="3" t="shared"/>
        <v>0</v>
      </c>
    </row>
    <row r="54" spans="1:13" x14ac:dyDescent="0.25">
      <c r="A54">
        <v>43</v>
      </c>
      <c r="B54" s="520" t="n">
        <v>0.0</v>
      </c>
      <c r="C54" s="520" t="n">
        <v>0.0</v>
      </c>
      <c r="D54" s="520" t="n">
        <v>0.0</v>
      </c>
      <c r="E54" s="520">
        <f si="0" t="shared"/>
        <v>0</v>
      </c>
      <c r="F54" s="21">
        <f si="1" t="shared"/>
        <v>0</v>
      </c>
      <c r="H54" s="66">
        <v>43</v>
      </c>
      <c r="I54" s="522" t="n">
        <v>48.0</v>
      </c>
      <c r="J54" s="522" t="n">
        <v>5.0</v>
      </c>
      <c r="K54" s="522" t="n">
        <v>1.0</v>
      </c>
      <c r="L54" s="520">
        <f si="2" t="shared"/>
        <v>1.6666666666650001</v>
      </c>
      <c r="M54" s="21">
        <f si="3" t="shared"/>
        <v>1.6007683688170325E-4</v>
      </c>
    </row>
    <row r="55" spans="1:13" x14ac:dyDescent="0.25">
      <c r="A55">
        <v>44</v>
      </c>
      <c r="B55" s="520" t="n">
        <v>0.0</v>
      </c>
      <c r="C55" s="520" t="n">
        <v>0.0</v>
      </c>
      <c r="D55" s="520" t="n">
        <v>0.0</v>
      </c>
      <c r="E55" s="520">
        <f si="0" t="shared"/>
        <v>0</v>
      </c>
      <c r="F55" s="21">
        <f si="1" t="shared"/>
        <v>0</v>
      </c>
      <c r="H55" s="67">
        <v>44</v>
      </c>
      <c r="I55" s="522" t="n">
        <v>11.0</v>
      </c>
      <c r="J55" s="522" t="n">
        <v>2.0</v>
      </c>
      <c r="K55" s="522" t="n">
        <v>0.0</v>
      </c>
      <c r="L55" s="520">
        <f si="2" t="shared"/>
        <v>3.3333333333300001</v>
      </c>
      <c r="M55" s="21">
        <f si="3" t="shared"/>
        <v>3.201536737634065E-4</v>
      </c>
    </row>
    <row r="56" spans="1:13" x14ac:dyDescent="0.25">
      <c r="A56">
        <v>45</v>
      </c>
      <c r="B56" s="520" t="n">
        <v>0.0</v>
      </c>
      <c r="C56" s="520" t="n">
        <v>0.0</v>
      </c>
      <c r="D56" s="520" t="n">
        <v>0.0</v>
      </c>
      <c r="E56" s="520">
        <f si="0" t="shared"/>
        <v>0</v>
      </c>
      <c r="F56" s="21">
        <f si="1" t="shared"/>
        <v>0</v>
      </c>
      <c r="H56" s="68">
        <v>45</v>
      </c>
      <c r="I56" s="522" t="n">
        <v>12.0</v>
      </c>
      <c r="J56" s="522" t="n">
        <v>1.0</v>
      </c>
      <c r="K56" s="522" t="n">
        <v>1.0</v>
      </c>
      <c r="L56" s="520">
        <f si="2" t="shared"/>
        <v>0</v>
      </c>
      <c r="M56" s="21">
        <f si="3" t="shared"/>
        <v>0</v>
      </c>
    </row>
    <row r="57" spans="1:13" x14ac:dyDescent="0.25">
      <c r="A57">
        <v>46</v>
      </c>
      <c r="B57" s="520" t="n">
        <v>0.0</v>
      </c>
      <c r="C57" s="520" t="n">
        <v>0.0</v>
      </c>
      <c r="D57" s="520" t="n">
        <v>0.0</v>
      </c>
      <c r="E57" s="520">
        <f si="0" t="shared"/>
        <v>0</v>
      </c>
      <c r="F57" s="21">
        <f si="1" t="shared"/>
        <v>0</v>
      </c>
      <c r="H57" s="69">
        <v>46</v>
      </c>
      <c r="I57" s="522" t="n">
        <v>16.0</v>
      </c>
      <c r="J57" s="522" t="n">
        <v>3.0</v>
      </c>
      <c r="K57" s="522" t="n">
        <v>0.0</v>
      </c>
      <c r="L57" s="520">
        <f si="2" t="shared"/>
        <v>0</v>
      </c>
      <c r="M57" s="21">
        <f si="3" t="shared"/>
        <v>0</v>
      </c>
    </row>
    <row r="58" spans="1:13" x14ac:dyDescent="0.25">
      <c r="A58">
        <v>47</v>
      </c>
      <c r="B58" s="520" t="n">
        <v>0.0</v>
      </c>
      <c r="C58" s="520" t="n">
        <v>0.0</v>
      </c>
      <c r="D58" s="520" t="n">
        <v>0.0</v>
      </c>
      <c r="E58" s="520">
        <f si="0" t="shared"/>
        <v>0</v>
      </c>
      <c r="F58" s="21">
        <f si="1" t="shared"/>
        <v>0</v>
      </c>
      <c r="H58" s="70">
        <v>47</v>
      </c>
      <c r="I58" s="522" t="n">
        <v>8.0</v>
      </c>
      <c r="J58" s="522" t="n">
        <v>0.0</v>
      </c>
      <c r="K58" s="522" t="n">
        <v>0.0</v>
      </c>
      <c r="L58" s="520">
        <f si="2" t="shared"/>
        <v>0</v>
      </c>
      <c r="M58" s="21">
        <f si="3" t="shared"/>
        <v>0</v>
      </c>
    </row>
    <row r="59" spans="1:13" x14ac:dyDescent="0.25">
      <c r="A59">
        <v>48</v>
      </c>
      <c r="B59" s="520" t="n">
        <v>0.0</v>
      </c>
      <c r="C59" s="520" t="n">
        <v>0.0</v>
      </c>
      <c r="D59" s="520" t="n">
        <v>0.0</v>
      </c>
      <c r="E59" s="520">
        <f si="0" t="shared"/>
        <v>0</v>
      </c>
      <c r="F59" s="21">
        <f si="1" t="shared"/>
        <v>0</v>
      </c>
      <c r="H59" s="71">
        <v>48</v>
      </c>
      <c r="I59" s="522" t="n">
        <v>8.0</v>
      </c>
      <c r="J59" s="522" t="n">
        <v>1.0</v>
      </c>
      <c r="K59" s="522" t="n">
        <v>0.0</v>
      </c>
      <c r="L59" s="520">
        <f si="2" t="shared"/>
        <v>0</v>
      </c>
      <c r="M59" s="21">
        <f si="3" t="shared"/>
        <v>0</v>
      </c>
    </row>
    <row r="60" spans="1:13" x14ac:dyDescent="0.25">
      <c r="A60">
        <v>49</v>
      </c>
      <c r="B60" s="520" t="n">
        <v>0.0</v>
      </c>
      <c r="C60" s="520" t="n">
        <v>0.0</v>
      </c>
      <c r="D60" s="520" t="n">
        <v>0.0</v>
      </c>
      <c r="E60" s="520">
        <f si="0" t="shared"/>
        <v>0</v>
      </c>
      <c r="F60" s="21">
        <f si="1" t="shared"/>
        <v>0</v>
      </c>
      <c r="H60" s="72">
        <v>49</v>
      </c>
      <c r="I60" s="522" t="n">
        <v>5.0</v>
      </c>
      <c r="J60" s="522" t="n">
        <v>1.0</v>
      </c>
      <c r="K60" s="522" t="n">
        <v>0.0</v>
      </c>
      <c r="L60" s="520">
        <f si="2" t="shared"/>
        <v>0</v>
      </c>
      <c r="M60" s="21">
        <f si="3" t="shared"/>
        <v>0</v>
      </c>
    </row>
    <row r="61" spans="1:13" x14ac:dyDescent="0.25">
      <c r="A61">
        <v>50</v>
      </c>
      <c r="B61" s="520" t="n">
        <v>0.0</v>
      </c>
      <c r="C61" s="520" t="n">
        <v>0.0</v>
      </c>
      <c r="D61" s="520" t="n">
        <v>0.0</v>
      </c>
      <c r="E61" s="520">
        <f si="0" t="shared"/>
        <v>0</v>
      </c>
      <c r="F61" s="21">
        <f si="1" t="shared"/>
        <v>0</v>
      </c>
      <c r="H61" s="73">
        <v>50</v>
      </c>
      <c r="I61" s="522" t="n">
        <v>16.0</v>
      </c>
      <c r="J61" s="522" t="n">
        <v>3.0</v>
      </c>
      <c r="K61" s="522" t="n">
        <v>0.0</v>
      </c>
      <c r="L61" s="520">
        <f si="2" t="shared"/>
        <v>1.6666666666650001</v>
      </c>
      <c r="M61" s="21">
        <f si="3" t="shared"/>
        <v>1.6007683688170325E-4</v>
      </c>
    </row>
    <row r="62" spans="1:13" x14ac:dyDescent="0.25">
      <c r="A62">
        <v>51</v>
      </c>
      <c r="B62" s="520" t="n">
        <v>52.6853733324112</v>
      </c>
      <c r="C62" s="520" t="n">
        <v>0.0</v>
      </c>
      <c r="D62" s="520" t="n">
        <v>0.0</v>
      </c>
      <c r="E62" s="520">
        <f si="0" t="shared"/>
        <v>0</v>
      </c>
      <c r="F62" s="21">
        <f si="1" t="shared"/>
        <v>0</v>
      </c>
      <c r="H62" s="74">
        <v>51</v>
      </c>
      <c r="I62" s="522" t="n">
        <v>3.0</v>
      </c>
      <c r="J62" s="522" t="n">
        <v>0.0</v>
      </c>
      <c r="K62" s="522" t="n">
        <v>0.0</v>
      </c>
      <c r="L62" s="520">
        <f si="2" t="shared"/>
        <v>0</v>
      </c>
      <c r="M62" s="21">
        <f si="3" t="shared"/>
        <v>0</v>
      </c>
    </row>
    <row r="63" spans="1:13" x14ac:dyDescent="0.25">
      <c r="A63">
        <v>52</v>
      </c>
      <c r="B63" s="520" t="n">
        <v>0.0</v>
      </c>
      <c r="C63" s="520" t="n">
        <v>0.0</v>
      </c>
      <c r="D63" s="520" t="n">
        <v>0.0</v>
      </c>
      <c r="E63" s="520">
        <f si="0" t="shared"/>
        <v>0</v>
      </c>
      <c r="F63" s="21">
        <f si="1" t="shared"/>
        <v>0</v>
      </c>
      <c r="H63" s="75">
        <v>52</v>
      </c>
      <c r="I63" s="522" t="n">
        <v>1.0</v>
      </c>
      <c r="J63" s="522" t="n">
        <v>0.0</v>
      </c>
      <c r="K63" s="522" t="n">
        <v>0.0</v>
      </c>
      <c r="L63" s="520">
        <f si="2" t="shared"/>
        <v>0</v>
      </c>
      <c r="M63" s="21">
        <f si="3" t="shared"/>
        <v>0</v>
      </c>
    </row>
    <row r="64" spans="1:13" x14ac:dyDescent="0.25">
      <c r="A64">
        <v>53</v>
      </c>
      <c r="B64" s="520" t="n">
        <v>0.0</v>
      </c>
      <c r="C64" s="520" t="n">
        <v>0.0</v>
      </c>
      <c r="D64" s="520" t="n">
        <v>0.0</v>
      </c>
      <c r="E64" s="520">
        <f si="0" t="shared"/>
        <v>0</v>
      </c>
      <c r="F64" s="21">
        <f si="1" t="shared"/>
        <v>0</v>
      </c>
      <c r="H64" s="76">
        <v>53</v>
      </c>
      <c r="I64" s="522" t="n">
        <v>1.0</v>
      </c>
      <c r="J64" s="522" t="n">
        <v>3.0</v>
      </c>
      <c r="K64" s="522" t="n">
        <v>0.0</v>
      </c>
      <c r="L64" s="520">
        <f si="2" t="shared"/>
        <v>0</v>
      </c>
      <c r="M64" s="21">
        <f si="3" t="shared"/>
        <v>0</v>
      </c>
    </row>
    <row r="65" spans="1:13" x14ac:dyDescent="0.25">
      <c r="A65">
        <v>54</v>
      </c>
      <c r="B65" s="520" t="n">
        <v>0.0</v>
      </c>
      <c r="C65" s="520" t="n">
        <v>0.0</v>
      </c>
      <c r="D65" s="520" t="n">
        <v>0.0</v>
      </c>
      <c r="E65" s="520">
        <f si="0" t="shared"/>
        <v>0</v>
      </c>
      <c r="F65" s="21">
        <f si="1" t="shared"/>
        <v>0</v>
      </c>
      <c r="H65" s="77">
        <v>54</v>
      </c>
      <c r="I65" s="522" t="n">
        <v>2.0</v>
      </c>
      <c r="J65" s="522" t="n">
        <v>0.0</v>
      </c>
      <c r="K65" s="522" t="n">
        <v>0.0</v>
      </c>
      <c r="L65" s="520">
        <f si="2" t="shared"/>
        <v>0</v>
      </c>
      <c r="M65" s="21">
        <f si="3" t="shared"/>
        <v>0</v>
      </c>
    </row>
    <row r="66" spans="1:13" x14ac:dyDescent="0.25">
      <c r="A66">
        <v>55</v>
      </c>
      <c r="B66" s="520" t="n">
        <v>0.0</v>
      </c>
      <c r="C66" s="520" t="n">
        <v>0.0</v>
      </c>
      <c r="D66" s="520" t="n">
        <v>0.0</v>
      </c>
      <c r="E66" s="520">
        <f si="0" t="shared"/>
        <v>0</v>
      </c>
      <c r="F66" s="21">
        <f si="1" t="shared"/>
        <v>0</v>
      </c>
      <c r="H66" s="78">
        <v>55</v>
      </c>
      <c r="I66" s="522" t="n">
        <v>4.0</v>
      </c>
      <c r="J66" s="522" t="n">
        <v>0.0</v>
      </c>
      <c r="K66" s="522" t="n">
        <v>0.0</v>
      </c>
      <c r="L66" s="520">
        <f si="2" t="shared"/>
        <v>0</v>
      </c>
      <c r="M66" s="21">
        <f si="3" t="shared"/>
        <v>0</v>
      </c>
    </row>
    <row r="67" spans="1:13" x14ac:dyDescent="0.25">
      <c r="A67">
        <v>56</v>
      </c>
      <c r="B67" s="520" t="n">
        <v>0.0</v>
      </c>
      <c r="C67" s="520" t="n">
        <v>0.0</v>
      </c>
      <c r="D67" s="520" t="n">
        <v>0.0</v>
      </c>
      <c r="E67" s="520">
        <f si="0" t="shared"/>
        <v>0</v>
      </c>
      <c r="F67" s="21">
        <f si="1" t="shared"/>
        <v>0</v>
      </c>
      <c r="H67" s="79">
        <v>56</v>
      </c>
      <c r="I67" s="522" t="n">
        <v>0.0</v>
      </c>
      <c r="J67" s="522" t="n">
        <v>1.0</v>
      </c>
      <c r="K67" s="522" t="n">
        <v>0.0</v>
      </c>
      <c r="L67" s="520">
        <f si="2" t="shared"/>
        <v>0</v>
      </c>
      <c r="M67" s="21">
        <f si="3" t="shared"/>
        <v>0</v>
      </c>
    </row>
    <row r="68" spans="1:13" x14ac:dyDescent="0.25">
      <c r="A68">
        <v>57</v>
      </c>
      <c r="B68" s="520" t="n">
        <v>0.0</v>
      </c>
      <c r="C68" s="520" t="n">
        <v>0.0</v>
      </c>
      <c r="D68" s="520" t="n">
        <v>0.0</v>
      </c>
      <c r="E68" s="520">
        <f si="0" t="shared"/>
        <v>0</v>
      </c>
      <c r="F68" s="21">
        <f si="1" t="shared"/>
        <v>0</v>
      </c>
      <c r="H68" s="80">
        <v>57</v>
      </c>
      <c r="I68" s="522" t="n">
        <v>55.0</v>
      </c>
      <c r="J68" s="522" t="n">
        <v>8.0</v>
      </c>
      <c r="K68" s="522" t="n">
        <v>1.0</v>
      </c>
      <c r="L68" s="520">
        <f si="2" t="shared"/>
        <v>0</v>
      </c>
      <c r="M68" s="21">
        <f si="3" t="shared"/>
        <v>0</v>
      </c>
    </row>
    <row r="69" spans="1:13" x14ac:dyDescent="0.25">
      <c r="A69">
        <v>58</v>
      </c>
      <c r="B69" s="520" t="n">
        <v>0.0</v>
      </c>
      <c r="C69" s="520" t="n">
        <v>0.0</v>
      </c>
      <c r="D69" s="520" t="n">
        <v>0.0</v>
      </c>
      <c r="E69" s="520">
        <f si="0" t="shared"/>
        <v>0</v>
      </c>
      <c r="F69" s="21">
        <f si="1" t="shared"/>
        <v>0</v>
      </c>
      <c r="H69" s="81">
        <v>58</v>
      </c>
      <c r="I69" s="522" t="n">
        <v>0.0</v>
      </c>
      <c r="J69" s="522" t="n">
        <v>0.0</v>
      </c>
      <c r="K69" s="522" t="n">
        <v>0.0</v>
      </c>
      <c r="L69" s="520">
        <f si="2" t="shared"/>
        <v>0</v>
      </c>
      <c r="M69" s="21">
        <f si="3" t="shared"/>
        <v>0</v>
      </c>
    </row>
    <row r="70" spans="1:13" x14ac:dyDescent="0.25">
      <c r="A70">
        <v>59</v>
      </c>
      <c r="B70" s="520" t="n">
        <v>0.0</v>
      </c>
      <c r="C70" s="520" t="n">
        <v>0.0</v>
      </c>
      <c r="D70" s="520" t="n">
        <v>0.0</v>
      </c>
      <c r="E70" s="520">
        <f si="0" t="shared"/>
        <v>0</v>
      </c>
      <c r="F70" s="21">
        <f si="1" t="shared"/>
        <v>0</v>
      </c>
      <c r="H70" s="82">
        <v>59</v>
      </c>
      <c r="I70" s="522" t="n">
        <v>2.0</v>
      </c>
      <c r="J70" s="522" t="n">
        <v>0.0</v>
      </c>
      <c r="K70" s="522" t="n">
        <v>0.0</v>
      </c>
      <c r="L70" s="520">
        <f si="2" t="shared"/>
        <v>0</v>
      </c>
      <c r="M70" s="21">
        <f si="3" t="shared"/>
        <v>0</v>
      </c>
    </row>
    <row r="71" spans="1:13" x14ac:dyDescent="0.25">
      <c r="A71">
        <v>60</v>
      </c>
      <c r="B71" s="520" t="n">
        <v>0.0</v>
      </c>
      <c r="C71" s="520" t="n">
        <v>0.0</v>
      </c>
      <c r="D71" s="520" t="n">
        <v>0.0</v>
      </c>
      <c r="E71" s="520">
        <f si="0" t="shared"/>
        <v>0</v>
      </c>
      <c r="F71" s="21">
        <f si="1" t="shared"/>
        <v>0</v>
      </c>
      <c r="H71" s="83">
        <v>60</v>
      </c>
      <c r="I71" s="522" t="n">
        <v>0.0</v>
      </c>
      <c r="J71" s="522" t="n">
        <v>0.0</v>
      </c>
      <c r="K71" s="522" t="n">
        <v>0.0</v>
      </c>
      <c r="L71" s="520">
        <f si="2" t="shared"/>
        <v>0</v>
      </c>
      <c r="M71" s="21">
        <f si="3" t="shared"/>
        <v>0</v>
      </c>
    </row>
    <row r="72" spans="1:13" x14ac:dyDescent="0.25">
      <c r="A72">
        <v>61</v>
      </c>
      <c r="B72" s="520" t="n">
        <v>0.0</v>
      </c>
      <c r="C72" s="520" t="n">
        <v>0.0</v>
      </c>
      <c r="D72" s="520" t="n">
        <v>0.0</v>
      </c>
      <c r="E72" s="520">
        <f si="0" t="shared"/>
        <v>0</v>
      </c>
      <c r="F72" s="21">
        <f si="1" t="shared"/>
        <v>0</v>
      </c>
      <c r="H72" s="84">
        <v>61</v>
      </c>
      <c r="I72" s="522" t="n">
        <v>3.0</v>
      </c>
      <c r="J72" s="522" t="n">
        <v>7.0</v>
      </c>
      <c r="K72" s="522" t="n">
        <v>0.0</v>
      </c>
      <c r="L72" s="520">
        <f si="2" t="shared"/>
        <v>0</v>
      </c>
      <c r="M72" s="21">
        <f si="3" t="shared"/>
        <v>0</v>
      </c>
    </row>
    <row r="73" spans="1:13" x14ac:dyDescent="0.25">
      <c r="A73">
        <v>62</v>
      </c>
      <c r="B73" s="520" t="n">
        <v>0.0</v>
      </c>
      <c r="C73" s="520" t="n">
        <v>0.0</v>
      </c>
      <c r="D73" s="520" t="n">
        <v>0.0</v>
      </c>
      <c r="E73" s="520">
        <f si="0" t="shared"/>
        <v>0</v>
      </c>
      <c r="F73" s="21">
        <f si="1" t="shared"/>
        <v>0</v>
      </c>
      <c r="H73" s="85">
        <v>62</v>
      </c>
      <c r="I73" s="522" t="n">
        <v>1.0</v>
      </c>
      <c r="J73" s="522" t="n">
        <v>0.0</v>
      </c>
      <c r="K73" s="522" t="n">
        <v>0.0</v>
      </c>
      <c r="L73" s="520">
        <f si="2" t="shared"/>
        <v>0</v>
      </c>
      <c r="M73" s="21">
        <f si="3" t="shared"/>
        <v>0</v>
      </c>
    </row>
    <row r="74" spans="1:13" x14ac:dyDescent="0.25">
      <c r="A74">
        <v>63</v>
      </c>
      <c r="B74" s="520" t="n">
        <v>0.0</v>
      </c>
      <c r="C74" s="520" t="n">
        <v>0.0</v>
      </c>
      <c r="D74" s="520" t="n">
        <v>0.0</v>
      </c>
      <c r="E74" s="520">
        <f si="0" t="shared"/>
        <v>0</v>
      </c>
      <c r="F74" s="21">
        <f si="1" t="shared"/>
        <v>0</v>
      </c>
      <c r="H74" s="86">
        <v>63</v>
      </c>
      <c r="I74" s="522" t="n">
        <v>2.0</v>
      </c>
      <c r="J74" s="522" t="n">
        <v>0.0</v>
      </c>
      <c r="K74" s="522" t="n">
        <v>0.0</v>
      </c>
      <c r="L74" s="520">
        <f si="2" t="shared"/>
        <v>0</v>
      </c>
      <c r="M74" s="21">
        <f si="3" t="shared"/>
        <v>0</v>
      </c>
    </row>
    <row r="75" spans="1:13" x14ac:dyDescent="0.25">
      <c r="A75">
        <v>64</v>
      </c>
      <c r="B75" s="520" t="n">
        <v>0.0</v>
      </c>
      <c r="C75" s="520" t="n">
        <v>0.0</v>
      </c>
      <c r="D75" s="520" t="n">
        <v>0.0</v>
      </c>
      <c r="E75" s="520">
        <f si="0" t="shared"/>
        <v>0</v>
      </c>
      <c r="F75" s="21">
        <f si="1" t="shared"/>
        <v>0</v>
      </c>
      <c r="H75" s="87">
        <v>64</v>
      </c>
      <c r="I75" s="522" t="n">
        <v>0.0</v>
      </c>
      <c r="J75" s="522" t="n">
        <v>0.0</v>
      </c>
      <c r="K75" s="522" t="n">
        <v>0.0</v>
      </c>
      <c r="L75" s="520">
        <f si="2" t="shared"/>
        <v>0</v>
      </c>
      <c r="M75" s="21">
        <f si="3" t="shared"/>
        <v>0</v>
      </c>
    </row>
    <row r="76" spans="1:13" x14ac:dyDescent="0.25">
      <c r="A76">
        <v>65</v>
      </c>
      <c r="B76" s="520" t="n">
        <v>0.0</v>
      </c>
      <c r="C76" s="520" t="n">
        <v>0.0</v>
      </c>
      <c r="D76" s="520" t="n">
        <v>0.0</v>
      </c>
      <c r="E76" s="520">
        <f ref="E76:E101" si="4" t="shared">SUM(B76:D76)</f>
        <v>0</v>
      </c>
      <c r="F76" s="21">
        <f ref="F76:F102" si="5" t="shared">E76/$E$102</f>
        <v>0</v>
      </c>
      <c r="H76" s="88">
        <v>65</v>
      </c>
      <c r="I76" s="522" t="n">
        <v>1.0</v>
      </c>
      <c r="J76" s="522" t="n">
        <v>0.0</v>
      </c>
      <c r="K76" s="522" t="n">
        <v>0.0</v>
      </c>
      <c r="L76" s="520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520" t="n">
        <v>0.0</v>
      </c>
      <c r="C77" s="520" t="n">
        <v>0.0</v>
      </c>
      <c r="D77" s="520" t="n">
        <v>0.0</v>
      </c>
      <c r="E77" s="520">
        <f si="4" t="shared"/>
        <v>0</v>
      </c>
      <c r="F77" s="21">
        <f si="5" t="shared"/>
        <v>0</v>
      </c>
      <c r="H77" s="89">
        <v>66</v>
      </c>
      <c r="I77" s="522" t="n">
        <v>0.0</v>
      </c>
      <c r="J77" s="522" t="n">
        <v>0.0</v>
      </c>
      <c r="K77" s="522" t="n">
        <v>0.0</v>
      </c>
      <c r="L77" s="520">
        <f si="6" t="shared"/>
        <v>0</v>
      </c>
      <c r="M77" s="21">
        <f si="7" t="shared"/>
        <v>0</v>
      </c>
    </row>
    <row r="78" spans="1:13" x14ac:dyDescent="0.25">
      <c r="A78">
        <v>67</v>
      </c>
      <c r="B78" s="520" t="n">
        <v>0.0</v>
      </c>
      <c r="C78" s="520" t="n">
        <v>0.0</v>
      </c>
      <c r="D78" s="520" t="n">
        <v>0.0</v>
      </c>
      <c r="E78" s="520">
        <f si="4" t="shared"/>
        <v>0</v>
      </c>
      <c r="F78" s="21">
        <f si="5" t="shared"/>
        <v>0</v>
      </c>
      <c r="H78" s="90">
        <v>67</v>
      </c>
      <c r="I78" s="522" t="n">
        <v>1.0</v>
      </c>
      <c r="J78" s="522" t="n">
        <v>0.0</v>
      </c>
      <c r="K78" s="522" t="n">
        <v>0.0</v>
      </c>
      <c r="L78" s="520">
        <f si="6" t="shared"/>
        <v>0</v>
      </c>
      <c r="M78" s="21">
        <f si="7" t="shared"/>
        <v>0</v>
      </c>
    </row>
    <row r="79" spans="1:13" x14ac:dyDescent="0.25">
      <c r="A79">
        <v>68</v>
      </c>
      <c r="B79" s="520" t="n">
        <v>0.0</v>
      </c>
      <c r="C79" s="520" t="n">
        <v>0.0</v>
      </c>
      <c r="D79" s="520" t="n">
        <v>0.0</v>
      </c>
      <c r="E79" s="520">
        <f si="4" t="shared"/>
        <v>0</v>
      </c>
      <c r="F79" s="21">
        <f si="5" t="shared"/>
        <v>0</v>
      </c>
      <c r="H79" s="91">
        <v>68</v>
      </c>
      <c r="I79" s="522" t="n">
        <v>0.0</v>
      </c>
      <c r="J79" s="522" t="n">
        <v>0.0</v>
      </c>
      <c r="K79" s="522" t="n">
        <v>0.0</v>
      </c>
      <c r="L79" s="520">
        <f si="6" t="shared"/>
        <v>0</v>
      </c>
      <c r="M79" s="21">
        <f si="7" t="shared"/>
        <v>0</v>
      </c>
    </row>
    <row r="80" spans="1:13" x14ac:dyDescent="0.25">
      <c r="A80">
        <v>69</v>
      </c>
      <c r="B80" s="520" t="n">
        <v>0.0</v>
      </c>
      <c r="C80" s="520" t="n">
        <v>0.0</v>
      </c>
      <c r="D80" s="520" t="n">
        <v>0.0</v>
      </c>
      <c r="E80" s="520">
        <f si="4" t="shared"/>
        <v>0</v>
      </c>
      <c r="F80" s="21">
        <f si="5" t="shared"/>
        <v>0</v>
      </c>
      <c r="H80" s="92">
        <v>69</v>
      </c>
      <c r="I80" s="522" t="n">
        <v>0.0</v>
      </c>
      <c r="J80" s="522" t="n">
        <v>0.0</v>
      </c>
      <c r="K80" s="522" t="n">
        <v>0.0</v>
      </c>
      <c r="L80" s="520">
        <f si="6" t="shared"/>
        <v>0</v>
      </c>
      <c r="M80" s="21">
        <f si="7" t="shared"/>
        <v>0</v>
      </c>
    </row>
    <row r="81" spans="1:13" x14ac:dyDescent="0.25">
      <c r="A81">
        <v>70</v>
      </c>
      <c r="B81" s="520" t="n">
        <v>0.0</v>
      </c>
      <c r="C81" s="520" t="n">
        <v>0.0</v>
      </c>
      <c r="D81" s="520" t="n">
        <v>0.0</v>
      </c>
      <c r="E81" s="520">
        <f si="4" t="shared"/>
        <v>0</v>
      </c>
      <c r="F81" s="21">
        <f si="5" t="shared"/>
        <v>0</v>
      </c>
      <c r="H81" s="93">
        <v>70</v>
      </c>
      <c r="I81" s="522" t="n">
        <v>3.0</v>
      </c>
      <c r="J81" s="522" t="n">
        <v>0.0</v>
      </c>
      <c r="K81" s="522" t="n">
        <v>0.0</v>
      </c>
      <c r="L81" s="520">
        <f si="6" t="shared"/>
        <v>0</v>
      </c>
      <c r="M81" s="21">
        <f si="7" t="shared"/>
        <v>0</v>
      </c>
    </row>
    <row r="82" spans="1:13" x14ac:dyDescent="0.25">
      <c r="A82">
        <v>71</v>
      </c>
      <c r="B82" s="520" t="n">
        <v>0.0</v>
      </c>
      <c r="C82" s="520" t="n">
        <v>0.0</v>
      </c>
      <c r="D82" s="520" t="n">
        <v>0.0</v>
      </c>
      <c r="E82" s="520">
        <f si="4" t="shared"/>
        <v>0</v>
      </c>
      <c r="F82" s="21">
        <f si="5" t="shared"/>
        <v>0</v>
      </c>
      <c r="H82" s="94">
        <v>71</v>
      </c>
      <c r="I82" s="522" t="n">
        <v>1.0</v>
      </c>
      <c r="J82" s="522" t="n">
        <v>0.0</v>
      </c>
      <c r="K82" s="522" t="n">
        <v>0.0</v>
      </c>
      <c r="L82" s="520">
        <f si="6" t="shared"/>
        <v>0</v>
      </c>
      <c r="M82" s="21">
        <f si="7" t="shared"/>
        <v>0</v>
      </c>
    </row>
    <row r="83" spans="1:13" x14ac:dyDescent="0.25">
      <c r="A83">
        <v>72</v>
      </c>
      <c r="B83" s="520" t="n">
        <v>0.0</v>
      </c>
      <c r="C83" s="520" t="n">
        <v>0.0</v>
      </c>
      <c r="D83" s="520" t="n">
        <v>0.0</v>
      </c>
      <c r="E83" s="520">
        <f si="4" t="shared"/>
        <v>0</v>
      </c>
      <c r="F83" s="21">
        <f si="5" t="shared"/>
        <v>0</v>
      </c>
      <c r="H83" s="95">
        <v>72</v>
      </c>
      <c r="I83" s="522" t="n">
        <v>0.0</v>
      </c>
      <c r="J83" s="522" t="n">
        <v>0.0</v>
      </c>
      <c r="K83" s="522" t="n">
        <v>0.0</v>
      </c>
      <c r="L83" s="520">
        <f si="6" t="shared"/>
        <v>0</v>
      </c>
      <c r="M83" s="21">
        <f si="7" t="shared"/>
        <v>0</v>
      </c>
    </row>
    <row r="84" spans="1:13" x14ac:dyDescent="0.25">
      <c r="A84">
        <v>73</v>
      </c>
      <c r="B84" s="520" t="n">
        <v>0.0</v>
      </c>
      <c r="C84" s="520" t="n">
        <v>0.0</v>
      </c>
      <c r="D84" s="520" t="n">
        <v>0.0</v>
      </c>
      <c r="E84" s="520">
        <f si="4" t="shared"/>
        <v>0</v>
      </c>
      <c r="F84" s="21">
        <f si="5" t="shared"/>
        <v>0</v>
      </c>
      <c r="H84" s="96">
        <v>73</v>
      </c>
      <c r="I84" s="522" t="n">
        <v>0.0</v>
      </c>
      <c r="J84" s="522" t="n">
        <v>0.0</v>
      </c>
      <c r="K84" s="522" t="n">
        <v>0.0</v>
      </c>
      <c r="L84" s="520">
        <f si="6" t="shared"/>
        <v>3.3333333333300001</v>
      </c>
      <c r="M84" s="21">
        <f si="7" t="shared"/>
        <v>3.201536737634065E-4</v>
      </c>
    </row>
    <row r="85" spans="1:13" x14ac:dyDescent="0.25">
      <c r="A85">
        <v>74</v>
      </c>
      <c r="B85" s="520" t="n">
        <v>0.0</v>
      </c>
      <c r="C85" s="520" t="n">
        <v>0.0</v>
      </c>
      <c r="D85" s="520" t="n">
        <v>0.0</v>
      </c>
      <c r="E85" s="520">
        <f si="4" t="shared"/>
        <v>0</v>
      </c>
      <c r="F85" s="21">
        <f si="5" t="shared"/>
        <v>0</v>
      </c>
      <c r="H85" s="97">
        <v>74</v>
      </c>
      <c r="I85" s="522" t="n">
        <v>0.0</v>
      </c>
      <c r="J85" s="522" t="n">
        <v>0.0</v>
      </c>
      <c r="K85" s="522" t="n">
        <v>0.0</v>
      </c>
      <c r="L85" s="520">
        <f si="6" t="shared"/>
        <v>0</v>
      </c>
      <c r="M85" s="21">
        <f si="7" t="shared"/>
        <v>0</v>
      </c>
    </row>
    <row r="86" spans="1:13" x14ac:dyDescent="0.25">
      <c r="A86">
        <v>75</v>
      </c>
      <c r="B86" s="520" t="n">
        <v>0.0</v>
      </c>
      <c r="C86" s="520" t="n">
        <v>0.0</v>
      </c>
      <c r="D86" s="520" t="n">
        <v>0.0</v>
      </c>
      <c r="E86" s="520">
        <f si="4" t="shared"/>
        <v>0</v>
      </c>
      <c r="F86" s="21">
        <f si="5" t="shared"/>
        <v>0</v>
      </c>
      <c r="H86" s="98">
        <v>75</v>
      </c>
      <c r="I86" s="522" t="n">
        <v>0.0</v>
      </c>
      <c r="J86" s="522" t="n">
        <v>0.0</v>
      </c>
      <c r="K86" s="522" t="n">
        <v>0.0</v>
      </c>
      <c r="L86" s="520">
        <f si="6" t="shared"/>
        <v>0</v>
      </c>
      <c r="M86" s="21">
        <f si="7" t="shared"/>
        <v>0</v>
      </c>
    </row>
    <row r="87" spans="1:13" x14ac:dyDescent="0.25">
      <c r="A87">
        <v>76</v>
      </c>
      <c r="B87" s="520" t="n">
        <v>0.0</v>
      </c>
      <c r="C87" s="520" t="n">
        <v>0.0</v>
      </c>
      <c r="D87" s="520" t="n">
        <v>0.0</v>
      </c>
      <c r="E87" s="520">
        <f si="4" t="shared"/>
        <v>0</v>
      </c>
      <c r="F87" s="21">
        <f si="5" t="shared"/>
        <v>0</v>
      </c>
      <c r="H87" s="99">
        <v>76</v>
      </c>
      <c r="I87" s="522" t="n">
        <v>4.0</v>
      </c>
      <c r="J87" s="522" t="n">
        <v>4.0</v>
      </c>
      <c r="K87" s="522" t="n">
        <v>0.0</v>
      </c>
      <c r="L87" s="520">
        <f si="6" t="shared"/>
        <v>0</v>
      </c>
      <c r="M87" s="21">
        <f si="7" t="shared"/>
        <v>0</v>
      </c>
    </row>
    <row r="88" spans="1:13" x14ac:dyDescent="0.25">
      <c r="A88">
        <v>77</v>
      </c>
      <c r="B88" s="520" t="n">
        <v>0.0</v>
      </c>
      <c r="C88" s="520" t="n">
        <v>0.0</v>
      </c>
      <c r="D88" s="520" t="n">
        <v>0.0</v>
      </c>
      <c r="E88" s="520">
        <f si="4" t="shared"/>
        <v>0</v>
      </c>
      <c r="F88" s="21">
        <f si="5" t="shared"/>
        <v>0</v>
      </c>
      <c r="H88" s="100">
        <v>77</v>
      </c>
      <c r="I88" s="522" t="n">
        <v>0.0</v>
      </c>
      <c r="J88" s="522" t="n">
        <v>0.0</v>
      </c>
      <c r="K88" s="522" t="n">
        <v>0.0</v>
      </c>
      <c r="L88" s="520">
        <f si="6" t="shared"/>
        <v>0</v>
      </c>
      <c r="M88" s="21">
        <f si="7" t="shared"/>
        <v>0</v>
      </c>
    </row>
    <row r="89" spans="1:13" x14ac:dyDescent="0.25">
      <c r="A89">
        <v>78</v>
      </c>
      <c r="B89" s="520" t="n">
        <v>0.0</v>
      </c>
      <c r="C89" s="520" t="n">
        <v>0.0</v>
      </c>
      <c r="D89" s="520" t="n">
        <v>0.0</v>
      </c>
      <c r="E89" s="520">
        <f si="4" t="shared"/>
        <v>0</v>
      </c>
      <c r="F89" s="21">
        <f si="5" t="shared"/>
        <v>0</v>
      </c>
      <c r="H89" s="101">
        <v>78</v>
      </c>
      <c r="I89" s="522" t="n">
        <v>0.0</v>
      </c>
      <c r="J89" s="522" t="n">
        <v>0.0</v>
      </c>
      <c r="K89" s="522" t="n">
        <v>0.0</v>
      </c>
      <c r="L89" s="520">
        <f si="6" t="shared"/>
        <v>0</v>
      </c>
      <c r="M89" s="21">
        <f si="7" t="shared"/>
        <v>0</v>
      </c>
    </row>
    <row r="90" spans="1:13" x14ac:dyDescent="0.25">
      <c r="A90">
        <v>79</v>
      </c>
      <c r="B90" s="520" t="n">
        <v>0.0</v>
      </c>
      <c r="C90" s="520" t="n">
        <v>0.0</v>
      </c>
      <c r="D90" s="520" t="n">
        <v>0.0</v>
      </c>
      <c r="E90" s="520">
        <f si="4" t="shared"/>
        <v>0</v>
      </c>
      <c r="F90" s="21">
        <f si="5" t="shared"/>
        <v>0</v>
      </c>
      <c r="H90" s="102">
        <v>79</v>
      </c>
      <c r="I90" s="522" t="n">
        <v>0.0</v>
      </c>
      <c r="J90" s="522" t="n">
        <v>0.0</v>
      </c>
      <c r="K90" s="522" t="n">
        <v>0.0</v>
      </c>
      <c r="L90" s="520">
        <f si="6" t="shared"/>
        <v>0</v>
      </c>
      <c r="M90" s="21">
        <f si="7" t="shared"/>
        <v>0</v>
      </c>
    </row>
    <row r="91" spans="1:13" x14ac:dyDescent="0.25">
      <c r="A91">
        <v>80</v>
      </c>
      <c r="B91" s="520" t="n">
        <v>0.0</v>
      </c>
      <c r="C91" s="520" t="n">
        <v>0.0</v>
      </c>
      <c r="D91" s="520" t="n">
        <v>0.0</v>
      </c>
      <c r="E91" s="520">
        <f si="4" t="shared"/>
        <v>0</v>
      </c>
      <c r="F91" s="21">
        <f si="5" t="shared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si="6" t="shared"/>
        <v>0</v>
      </c>
      <c r="M91" s="21">
        <f si="7" t="shared"/>
        <v>0</v>
      </c>
    </row>
    <row r="92" spans="1:13" x14ac:dyDescent="0.25">
      <c r="A92">
        <v>81</v>
      </c>
      <c r="B92" s="520" t="n">
        <v>0.0</v>
      </c>
      <c r="C92" s="520" t="n">
        <v>0.0</v>
      </c>
      <c r="D92" s="520" t="n">
        <v>0.0</v>
      </c>
      <c r="E92" s="520">
        <f si="4" t="shared"/>
        <v>0</v>
      </c>
      <c r="F92" s="21">
        <f si="5" t="shared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si="6" t="shared"/>
        <v>0</v>
      </c>
      <c r="M92" s="21">
        <f si="7" t="shared"/>
        <v>0</v>
      </c>
    </row>
    <row r="93" spans="1:13" x14ac:dyDescent="0.25">
      <c r="A93">
        <v>82</v>
      </c>
      <c r="B93" s="520" t="n">
        <v>0.0</v>
      </c>
      <c r="C93" s="520" t="n">
        <v>0.0</v>
      </c>
      <c r="D93" s="520" t="n">
        <v>0.0</v>
      </c>
      <c r="E93" s="520">
        <f si="4" t="shared"/>
        <v>0</v>
      </c>
      <c r="F93" s="21">
        <f si="5" t="shared"/>
        <v>0</v>
      </c>
      <c r="H93" s="105">
        <v>82</v>
      </c>
      <c r="I93" s="522" t="n">
        <v>0.0</v>
      </c>
      <c r="J93" s="522" t="n">
        <v>0.0</v>
      </c>
      <c r="K93" s="522" t="n">
        <v>0.0</v>
      </c>
      <c r="L93" s="520">
        <f si="6" t="shared"/>
        <v>0</v>
      </c>
      <c r="M93" s="21">
        <f si="7" t="shared"/>
        <v>0</v>
      </c>
    </row>
    <row r="94" spans="1:13" x14ac:dyDescent="0.25">
      <c r="A94">
        <v>83</v>
      </c>
      <c r="B94" s="520" t="n">
        <v>0.0</v>
      </c>
      <c r="C94" s="520" t="n">
        <v>0.0</v>
      </c>
      <c r="D94" s="520" t="n">
        <v>0.0</v>
      </c>
      <c r="E94" s="520">
        <f si="4" t="shared"/>
        <v>0</v>
      </c>
      <c r="F94" s="21">
        <f si="5" t="shared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si="6" t="shared"/>
        <v>0</v>
      </c>
      <c r="M94" s="21">
        <f si="7" t="shared"/>
        <v>0</v>
      </c>
    </row>
    <row r="95" spans="1:13" x14ac:dyDescent="0.25">
      <c r="A95">
        <v>84</v>
      </c>
      <c r="B95" s="520" t="n">
        <v>0.0</v>
      </c>
      <c r="C95" s="520" t="n">
        <v>0.0</v>
      </c>
      <c r="D95" s="520" t="n">
        <v>0.0</v>
      </c>
      <c r="E95" s="520">
        <f si="4" t="shared"/>
        <v>0</v>
      </c>
      <c r="F95" s="21">
        <f si="5" t="shared"/>
        <v>0</v>
      </c>
      <c r="H95" s="107">
        <v>84</v>
      </c>
      <c r="I95" s="522" t="n">
        <v>0.0</v>
      </c>
      <c r="J95" s="522" t="n">
        <v>0.0</v>
      </c>
      <c r="K95" s="522" t="n">
        <v>0.0</v>
      </c>
      <c r="L95" s="520">
        <f si="6" t="shared"/>
        <v>0</v>
      </c>
      <c r="M95" s="21">
        <f si="7" t="shared"/>
        <v>0</v>
      </c>
    </row>
    <row r="96" spans="1:13" x14ac:dyDescent="0.25">
      <c r="A96">
        <v>85</v>
      </c>
      <c r="B96" s="520" t="n">
        <v>0.0</v>
      </c>
      <c r="C96" s="520" t="n">
        <v>0.0</v>
      </c>
      <c r="D96" s="520" t="n">
        <v>0.0</v>
      </c>
      <c r="E96" s="520">
        <f si="4" t="shared"/>
        <v>0</v>
      </c>
      <c r="F96" s="21">
        <f si="5" t="shared"/>
        <v>0</v>
      </c>
      <c r="H96" s="108">
        <v>85</v>
      </c>
      <c r="I96" s="522" t="n">
        <v>0.0</v>
      </c>
      <c r="J96" s="522" t="n">
        <v>0.0</v>
      </c>
      <c r="K96" s="522" t="n">
        <v>0.0</v>
      </c>
      <c r="L96" s="520">
        <f si="6" t="shared"/>
        <v>0</v>
      </c>
      <c r="M96" s="21">
        <f si="7" t="shared"/>
        <v>0</v>
      </c>
    </row>
    <row r="97" spans="1:13" x14ac:dyDescent="0.25">
      <c r="A97">
        <v>86</v>
      </c>
      <c r="B97" s="520" t="n">
        <v>0.0</v>
      </c>
      <c r="C97" s="520" t="n">
        <v>0.0</v>
      </c>
      <c r="D97" s="520" t="n">
        <v>0.0</v>
      </c>
      <c r="E97" s="520">
        <f si="4" t="shared"/>
        <v>0</v>
      </c>
      <c r="F97" s="21">
        <f si="5" t="shared"/>
        <v>0</v>
      </c>
      <c r="H97" s="109">
        <v>86</v>
      </c>
      <c r="I97" s="522" t="n">
        <v>0.0</v>
      </c>
      <c r="J97" s="522" t="n">
        <v>0.0</v>
      </c>
      <c r="K97" s="522" t="n">
        <v>0.0</v>
      </c>
      <c r="L97" s="520">
        <f si="6" t="shared"/>
        <v>0</v>
      </c>
      <c r="M97" s="21">
        <f si="7" t="shared"/>
        <v>0</v>
      </c>
    </row>
    <row r="98" spans="1:13" x14ac:dyDescent="0.25">
      <c r="A98">
        <v>87</v>
      </c>
      <c r="B98" s="520" t="n">
        <v>0.0</v>
      </c>
      <c r="C98" s="520" t="n">
        <v>0.0</v>
      </c>
      <c r="D98" s="520" t="n">
        <v>0.0</v>
      </c>
      <c r="E98" s="520">
        <f si="4" t="shared"/>
        <v>0</v>
      </c>
      <c r="F98" s="21">
        <f si="5" t="shared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si="6" t="shared"/>
        <v>0</v>
      </c>
      <c r="M98" s="21">
        <f si="7" t="shared"/>
        <v>0</v>
      </c>
    </row>
    <row r="99" spans="1:13" x14ac:dyDescent="0.25">
      <c r="A99">
        <v>88</v>
      </c>
      <c r="B99" s="520" t="n">
        <v>0.0</v>
      </c>
      <c r="C99" s="520" t="n">
        <v>0.0</v>
      </c>
      <c r="D99" s="520" t="n">
        <v>0.0</v>
      </c>
      <c r="E99" s="520">
        <f si="4" t="shared"/>
        <v>0</v>
      </c>
      <c r="F99" s="21">
        <f si="5" t="shared"/>
        <v>0</v>
      </c>
      <c r="H99" s="111">
        <v>88</v>
      </c>
      <c r="I99" s="522" t="n">
        <v>0.0</v>
      </c>
      <c r="J99" s="522" t="n">
        <v>1.0</v>
      </c>
      <c r="K99" s="522" t="n">
        <v>0.0</v>
      </c>
      <c r="L99" s="520">
        <f si="6" t="shared"/>
        <v>6.6666666666600003</v>
      </c>
      <c r="M99" s="21">
        <f si="7" t="shared"/>
        <v>6.40307347526813E-4</v>
      </c>
    </row>
    <row r="100" spans="1:13" x14ac:dyDescent="0.25">
      <c r="A100">
        <v>89</v>
      </c>
      <c r="B100" s="520" t="n">
        <v>0.0</v>
      </c>
      <c r="C100" s="520" t="n">
        <v>0.0</v>
      </c>
      <c r="D100" s="520" t="n">
        <v>0.0</v>
      </c>
      <c r="E100" s="520">
        <f si="4" t="shared"/>
        <v>0</v>
      </c>
      <c r="F100" s="21">
        <f si="5" t="shared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si="6" t="shared"/>
        <v>1.6666666666650001</v>
      </c>
      <c r="M100" s="21">
        <f si="7" t="shared"/>
        <v>1.6007683688170325E-4</v>
      </c>
    </row>
    <row ht="15.75" r="101" spans="1:13" thickBot="1" x14ac:dyDescent="0.3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si="4" t="shared"/>
        <v>0</v>
      </c>
      <c r="F101" s="21">
        <f si="5" t="shared"/>
        <v>0</v>
      </c>
      <c r="H101" s="474">
        <v>90</v>
      </c>
      <c r="I101" s="521" t="n">
        <v>3.0</v>
      </c>
      <c r="J101" s="521" t="n">
        <v>1.0</v>
      </c>
      <c r="K101" s="521" t="n">
        <v>0.0</v>
      </c>
      <c r="L101" s="521">
        <f si="6" t="shared"/>
        <v>4.9999999999950004</v>
      </c>
      <c r="M101" s="21">
        <f si="7" t="shared"/>
        <v>4.8023051064510975E-4</v>
      </c>
    </row>
    <row r="102" spans="1:13" x14ac:dyDescent="0.25">
      <c r="B102" s="520"/>
      <c r="C102" s="520"/>
      <c r="D102" s="520"/>
      <c r="E102" s="520">
        <f>SUM(E11:E101)</f>
        <v>11287.840145647162</v>
      </c>
      <c r="F102" s="21">
        <f si="5" t="shared"/>
        <v>1</v>
      </c>
      <c r="I102" s="520"/>
      <c r="J102" s="520"/>
      <c r="K102" s="520"/>
      <c r="L102" s="520">
        <f>SUM(L11:L101)</f>
        <v>10411.666666656254</v>
      </c>
      <c r="M102" s="21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02"/>
  <sheetViews>
    <sheetView workbookViewId="0">
      <selection activeCell="T11" sqref="T11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246</v>
      </c>
    </row>
    <row r="3" spans="1:18" x14ac:dyDescent="0.25">
      <c r="A3" t="s">
        <v>248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432.36584846268698</v>
      </c>
      <c r="F11" s="21">
        <f>E11/$E$102</f>
        <v>3.8303682802366464E-2</v>
      </c>
      <c r="H11" s="113">
        <v>0</v>
      </c>
      <c r="I11" s="203" t="n">
        <v>1998.0</v>
      </c>
      <c r="J11" s="293" t="n">
        <v>465.0</v>
      </c>
      <c r="K11" s="383" t="n">
        <v>32.0</v>
      </c>
      <c r="L11">
        <f>SUM(I11:K11)</f>
        <v>623.33333333271003</v>
      </c>
      <c r="M11" s="21">
        <f>L11/$L$102</f>
        <v>5.986873699375702E-2</v>
      </c>
      <c r="P11" t="s">
        <v>9</v>
      </c>
      <c r="Q11" s="8" t="n">
        <v>10.2401702804279</v>
      </c>
      <c r="R11" s="8" t="n">
        <v>15.556561768160918</v>
      </c>
    </row>
    <row r="12" spans="1:18" x14ac:dyDescent="0.25">
      <c r="A12">
        <v>1</v>
      </c>
      <c r="B12" s="8" t="n">
        <v>0.0</v>
      </c>
      <c r="C12" s="8" t="n">
        <v>0.0</v>
      </c>
      <c r="D12" s="8" t="n">
        <v>0.0</v>
      </c>
      <c r="E12" s="8">
        <f ref="E12:E75" si="0" t="shared">SUM(B12:D12)</f>
        <v>3089.1192276252109</v>
      </c>
      <c r="F12" s="21">
        <f ref="F12:F75" si="1" t="shared">E12/$E$102</f>
        <v>0.27366787514407198</v>
      </c>
      <c r="H12" s="114">
        <v>1</v>
      </c>
      <c r="I12" s="204" t="n">
        <v>1457.0</v>
      </c>
      <c r="J12" s="294" t="n">
        <v>332.0</v>
      </c>
      <c r="K12" s="384" t="n">
        <v>25.0</v>
      </c>
      <c r="L12">
        <f ref="L12:L75" si="2" t="shared">SUM(I12:K12)</f>
        <v>1236.6666666654301</v>
      </c>
      <c r="M12" s="21">
        <f ref="M12:M75" si="3" t="shared">L12/$L$102</f>
        <v>0.11877701296622382</v>
      </c>
      <c r="P12" t="s">
        <v>10</v>
      </c>
      <c r="Q12" s="8" t="n">
        <v>11.869976358939068</v>
      </c>
      <c r="R12" s="8" t="n">
        <v>15.258859431645513</v>
      </c>
    </row>
    <row r="13" spans="1:18" x14ac:dyDescent="0.25">
      <c r="A13">
        <v>2</v>
      </c>
      <c r="B13" s="8" t="n">
        <v>384.4554277414518</v>
      </c>
      <c r="C13" s="8" t="n">
        <v>0.0</v>
      </c>
      <c r="D13" s="8" t="n">
        <v>73.2608696915141</v>
      </c>
      <c r="E13" s="8">
        <f si="0" t="shared"/>
        <v>865.287022877813</v>
      </c>
      <c r="F13" s="21">
        <f si="1" t="shared"/>
        <v>7.6656562434708697E-2</v>
      </c>
      <c r="H13" s="115">
        <v>2</v>
      </c>
      <c r="I13" s="205" t="n">
        <v>2485.0</v>
      </c>
      <c r="J13" s="295" t="n">
        <v>531.0</v>
      </c>
      <c r="K13" s="385" t="n">
        <v>36.0</v>
      </c>
      <c r="L13">
        <f si="2" t="shared"/>
        <v>1771.666666664895</v>
      </c>
      <c r="M13" s="21">
        <f si="3" t="shared"/>
        <v>0.17016167760525056</v>
      </c>
      <c r="P13" s="6" t="s">
        <v>11</v>
      </c>
      <c r="Q13" s="11" t="n">
        <v>6.566761071290835</v>
      </c>
      <c r="R13" s="8" t="n">
        <v>17.073836242680667</v>
      </c>
    </row>
    <row ht="15.75" r="14" spans="1:18" thickBot="1" x14ac:dyDescent="0.3">
      <c r="A14">
        <v>3</v>
      </c>
      <c r="B14" s="8" t="n">
        <v>9052.759207034904</v>
      </c>
      <c r="C14" s="8" t="n">
        <v>215.75063149419688</v>
      </c>
      <c r="D14" s="8" t="n">
        <v>0.0</v>
      </c>
      <c r="E14" s="8">
        <f si="0" t="shared"/>
        <v>1505.1035805549129</v>
      </c>
      <c r="F14" s="21">
        <f si="1" t="shared"/>
        <v>0.13333849178713908</v>
      </c>
      <c r="H14" s="116">
        <v>3</v>
      </c>
      <c r="I14" s="206" t="n">
        <v>3339.0</v>
      </c>
      <c r="J14" s="296" t="n">
        <v>745.0</v>
      </c>
      <c r="K14" s="386" t="n">
        <v>46.0</v>
      </c>
      <c r="L14">
        <f si="2" t="shared"/>
        <v>1478.3333333318551</v>
      </c>
      <c r="M14" s="21">
        <f si="3" t="shared"/>
        <v>0.1419881543140708</v>
      </c>
      <c r="P14" s="1" t="s">
        <v>4</v>
      </c>
      <c r="Q14" s="12" t="n">
        <v>10.30791006560785</v>
      </c>
      <c r="R14" s="12" t="n">
        <v>15.529463870154624</v>
      </c>
    </row>
    <row r="15" spans="1:18" x14ac:dyDescent="0.25">
      <c r="A15">
        <v>4</v>
      </c>
      <c r="B15" s="8" t="n">
        <v>7005.437424325563</v>
      </c>
      <c r="C15" s="8" t="n">
        <v>159.632061589006</v>
      </c>
      <c r="D15" s="8" t="n">
        <v>0.0</v>
      </c>
      <c r="E15" s="8">
        <f si="0" t="shared"/>
        <v>1987.791417695144</v>
      </c>
      <c r="F15" s="21">
        <f si="1" t="shared"/>
        <v>0.17610024522376674</v>
      </c>
      <c r="H15" s="117">
        <v>4</v>
      </c>
      <c r="I15" s="207" t="n">
        <v>4405.0</v>
      </c>
      <c r="J15" s="297" t="n">
        <v>912.0</v>
      </c>
      <c r="K15" s="387" t="n">
        <v>61.0</v>
      </c>
      <c r="L15">
        <f si="2" t="shared"/>
        <v>906.66666666576009</v>
      </c>
      <c r="M15" s="21">
        <f si="3" t="shared"/>
        <v>8.7081799263646578E-2</v>
      </c>
    </row>
    <row r="16" spans="1:18" x14ac:dyDescent="0.25">
      <c r="A16">
        <v>5</v>
      </c>
      <c r="B16" s="8" t="n">
        <v>21060.81244359985</v>
      </c>
      <c r="C16" s="8" t="n">
        <v>845.5784656595812</v>
      </c>
      <c r="D16" s="8" t="n">
        <v>0.0</v>
      </c>
      <c r="E16" s="8">
        <f si="0" t="shared"/>
        <v>248.76941118686699</v>
      </c>
      <c r="F16" s="21">
        <f si="1" t="shared"/>
        <v>2.2038707846407438E-2</v>
      </c>
      <c r="H16" s="118">
        <v>5</v>
      </c>
      <c r="I16" s="208" t="n">
        <v>4848.0</v>
      </c>
      <c r="J16" s="298" t="n">
        <v>924.0</v>
      </c>
      <c r="K16" s="388" t="n">
        <v>69.0</v>
      </c>
      <c r="L16">
        <f si="2" t="shared"/>
        <v>664.99999999933505</v>
      </c>
      <c r="M16" s="21">
        <f si="3" t="shared"/>
        <v>6.38706579157996E-2</v>
      </c>
    </row>
    <row r="17" spans="1:13" x14ac:dyDescent="0.25">
      <c r="A17">
        <v>6</v>
      </c>
      <c r="B17" s="8" t="n">
        <v>16803.860788670583</v>
      </c>
      <c r="C17" s="8" t="n">
        <v>881.4638803949592</v>
      </c>
      <c r="D17" s="8" t="n">
        <v>0.0</v>
      </c>
      <c r="E17" s="8">
        <f si="0" t="shared"/>
        <v>322.42005764769101</v>
      </c>
      <c r="F17" s="21">
        <f si="1" t="shared"/>
        <v>2.8563485439862757E-2</v>
      </c>
      <c r="H17" s="119">
        <v>6</v>
      </c>
      <c r="I17" s="209" t="n">
        <v>5523.0</v>
      </c>
      <c r="J17" s="299" t="n">
        <v>1126.0</v>
      </c>
      <c r="K17" s="389" t="n">
        <v>88.0</v>
      </c>
      <c r="L17">
        <f si="2" t="shared"/>
        <v>551.66666666611502</v>
      </c>
      <c r="M17" s="21">
        <f si="3" t="shared"/>
        <v>5.298543300784378E-2</v>
      </c>
    </row>
    <row r="18" spans="1:13" x14ac:dyDescent="0.25">
      <c r="A18">
        <v>7</v>
      </c>
      <c r="B18" s="8" t="n">
        <v>9286.893944247533</v>
      </c>
      <c r="C18" s="8" t="n">
        <v>511.6562671160105</v>
      </c>
      <c r="D18" s="8" t="n">
        <v>128.4315048343223</v>
      </c>
      <c r="E18" s="8">
        <f si="0" t="shared"/>
        <v>0</v>
      </c>
      <c r="F18" s="21">
        <f si="1" t="shared"/>
        <v>0</v>
      </c>
      <c r="H18" s="120">
        <v>7</v>
      </c>
      <c r="I18" s="210" t="n">
        <v>5877.0</v>
      </c>
      <c r="J18" s="300" t="n">
        <v>1137.0</v>
      </c>
      <c r="K18" s="390" t="n">
        <v>80.0</v>
      </c>
      <c r="L18">
        <f si="2" t="shared"/>
        <v>493.33333333283997</v>
      </c>
      <c r="M18" s="21">
        <f si="3" t="shared"/>
        <v>4.7382743716984164E-2</v>
      </c>
    </row>
    <row r="19" spans="1:13" x14ac:dyDescent="0.25">
      <c r="A19">
        <v>8</v>
      </c>
      <c r="B19" s="8" t="n">
        <v>9219.735332360327</v>
      </c>
      <c r="C19" s="8" t="n">
        <v>289.511564061635</v>
      </c>
      <c r="D19" s="8" t="n">
        <v>59.186080289689</v>
      </c>
      <c r="E19" s="8">
        <f si="0" t="shared"/>
        <v>238.1152664376423</v>
      </c>
      <c r="F19" s="21">
        <f si="1" t="shared"/>
        <v>2.109484749653057E-2</v>
      </c>
      <c r="H19" s="121">
        <v>8</v>
      </c>
      <c r="I19" s="211" t="n">
        <v>5740.0</v>
      </c>
      <c r="J19" s="301" t="n">
        <v>1113.0</v>
      </c>
      <c r="K19" s="391" t="n">
        <v>87.0</v>
      </c>
      <c r="L19">
        <f si="2" t="shared"/>
        <v>393.33333333294001</v>
      </c>
      <c r="M19" s="21">
        <f si="3" t="shared"/>
        <v>3.7778133504081969E-2</v>
      </c>
    </row>
    <row r="20" spans="1:13" x14ac:dyDescent="0.25">
      <c r="A20">
        <v>9</v>
      </c>
      <c r="B20" s="8" t="n">
        <v>3891.3998689382124</v>
      </c>
      <c r="C20" s="8" t="n">
        <v>202.51364626908878</v>
      </c>
      <c r="D20" s="8" t="n">
        <v>26.8851286223669</v>
      </c>
      <c r="E20" s="8">
        <f si="0" t="shared"/>
        <v>1891.6392957897899</v>
      </c>
      <c r="F20" s="21">
        <f si="1" t="shared"/>
        <v>0.16758204150501257</v>
      </c>
      <c r="H20" s="122">
        <v>9</v>
      </c>
      <c r="I20" s="212" t="n">
        <v>4748.0</v>
      </c>
      <c r="J20" s="302" t="n">
        <v>906.0</v>
      </c>
      <c r="K20" s="392" t="n">
        <v>60.0</v>
      </c>
      <c r="L20">
        <f si="2" t="shared"/>
        <v>331.66666666633506</v>
      </c>
      <c r="M20" s="21">
        <f si="3" t="shared"/>
        <v>3.1855290539458951E-2</v>
      </c>
    </row>
    <row r="21" spans="1:13" x14ac:dyDescent="0.25">
      <c r="A21">
        <v>10</v>
      </c>
      <c r="B21" s="8" t="n">
        <v>3579.376347385392</v>
      </c>
      <c r="C21" s="8" t="n">
        <v>221.760488224218</v>
      </c>
      <c r="D21" s="8" t="n">
        <v>0.0</v>
      </c>
      <c r="E21" s="8">
        <f si="0" t="shared"/>
        <v>0</v>
      </c>
      <c r="F21" s="21">
        <f si="1" t="shared"/>
        <v>0</v>
      </c>
      <c r="H21" s="123">
        <v>10</v>
      </c>
      <c r="I21" s="213" t="n">
        <v>4701.0</v>
      </c>
      <c r="J21" s="303" t="n">
        <v>826.0</v>
      </c>
      <c r="K21" s="393" t="n">
        <v>71.0</v>
      </c>
      <c r="L21">
        <f si="2" t="shared"/>
        <v>253.33333333307999</v>
      </c>
      <c r="M21" s="21">
        <f si="3" t="shared"/>
        <v>2.4331679206018895E-2</v>
      </c>
    </row>
    <row r="22" spans="1:13" x14ac:dyDescent="0.25">
      <c r="A22">
        <v>11</v>
      </c>
      <c r="B22" s="8" t="n">
        <v>2699.8002450913546</v>
      </c>
      <c r="C22" s="8" t="n">
        <v>430.552245338963</v>
      </c>
      <c r="D22" s="8" t="n">
        <v>0.0</v>
      </c>
      <c r="E22" s="8">
        <f si="0" t="shared"/>
        <v>0</v>
      </c>
      <c r="F22" s="21">
        <f si="1" t="shared"/>
        <v>0</v>
      </c>
      <c r="H22" s="124">
        <v>11</v>
      </c>
      <c r="I22" s="214" t="n">
        <v>4241.0</v>
      </c>
      <c r="J22" s="304" t="n">
        <v>798.0</v>
      </c>
      <c r="K22" s="394" t="n">
        <v>48.0</v>
      </c>
      <c r="L22">
        <f si="2" t="shared"/>
        <v>224.99999999977501</v>
      </c>
      <c r="M22" s="21">
        <f si="3" t="shared"/>
        <v>2.161037297902994E-2</v>
      </c>
    </row>
    <row r="23" spans="1:13" x14ac:dyDescent="0.25">
      <c r="A23">
        <v>12</v>
      </c>
      <c r="B23" s="8" t="n">
        <v>1491.2993252859726</v>
      </c>
      <c r="C23" s="8" t="n">
        <v>196.7500005081498</v>
      </c>
      <c r="D23" s="8" t="n">
        <v>0.0</v>
      </c>
      <c r="E23" s="8">
        <f si="0" t="shared"/>
        <v>0</v>
      </c>
      <c r="F23" s="21">
        <f si="1" t="shared"/>
        <v>0</v>
      </c>
      <c r="H23" s="125">
        <v>12</v>
      </c>
      <c r="I23" s="215" t="n">
        <v>5015.0</v>
      </c>
      <c r="J23" s="305" t="n">
        <v>786.0</v>
      </c>
      <c r="K23" s="395" t="n">
        <v>55.0</v>
      </c>
      <c r="L23">
        <f si="2" t="shared"/>
        <v>219.99999999978002</v>
      </c>
      <c r="M23" s="21">
        <f si="3" t="shared"/>
        <v>2.1130142468384832E-2</v>
      </c>
    </row>
    <row r="24" spans="1:13" x14ac:dyDescent="0.25">
      <c r="A24">
        <v>13</v>
      </c>
      <c r="B24" s="8" t="n">
        <v>3672.449131444976</v>
      </c>
      <c r="C24" s="8" t="n">
        <v>102.6829064829788</v>
      </c>
      <c r="D24" s="8" t="n">
        <v>0.0</v>
      </c>
      <c r="E24" s="8">
        <f si="0" t="shared"/>
        <v>0</v>
      </c>
      <c r="F24" s="21">
        <f si="1" t="shared"/>
        <v>0</v>
      </c>
      <c r="H24" s="126">
        <v>13</v>
      </c>
      <c r="I24" s="216" t="n">
        <v>3996.0</v>
      </c>
      <c r="J24" s="306" t="n">
        <v>662.0</v>
      </c>
      <c r="K24" s="396" t="n">
        <v>63.0</v>
      </c>
      <c r="L24">
        <f si="2" t="shared"/>
        <v>174.99999999982504</v>
      </c>
      <c r="M24" s="21">
        <f si="3" t="shared"/>
        <v>1.6808067872578845E-2</v>
      </c>
    </row>
    <row r="25" spans="1:13" x14ac:dyDescent="0.25">
      <c r="A25">
        <v>14</v>
      </c>
      <c r="B25" s="8" t="n">
        <v>1992.498388956278</v>
      </c>
      <c r="C25" s="8" t="n">
        <v>154.48557944494752</v>
      </c>
      <c r="D25" s="8" t="n">
        <v>0.0</v>
      </c>
      <c r="E25" s="8">
        <f si="0" t="shared"/>
        <v>0</v>
      </c>
      <c r="F25" s="21">
        <f si="1" t="shared"/>
        <v>0</v>
      </c>
      <c r="H25" s="127">
        <v>14</v>
      </c>
      <c r="I25" s="217" t="n">
        <v>3766.0</v>
      </c>
      <c r="J25" s="307" t="n">
        <v>640.0</v>
      </c>
      <c r="K25" s="397" t="n">
        <v>57.0</v>
      </c>
      <c r="L25">
        <f si="2" t="shared"/>
        <v>118.33333333321501</v>
      </c>
      <c r="M25" s="21">
        <f si="3" t="shared"/>
        <v>1.1365455418600932E-2</v>
      </c>
    </row>
    <row r="26" spans="1:13" x14ac:dyDescent="0.25">
      <c r="A26">
        <v>15</v>
      </c>
      <c r="B26" s="8" t="n">
        <v>2421.3955888026944</v>
      </c>
      <c r="C26" s="8" t="n">
        <v>0.0</v>
      </c>
      <c r="D26" s="8" t="n">
        <v>0.0</v>
      </c>
      <c r="E26" s="8">
        <f si="0" t="shared"/>
        <v>0</v>
      </c>
      <c r="F26" s="21">
        <f si="1" t="shared"/>
        <v>0</v>
      </c>
      <c r="H26" s="128">
        <v>15</v>
      </c>
      <c r="I26" s="218" t="n">
        <v>2988.0</v>
      </c>
      <c r="J26" s="308" t="n">
        <v>483.0</v>
      </c>
      <c r="K26" s="398" t="n">
        <v>38.0</v>
      </c>
      <c r="L26">
        <f si="2" t="shared"/>
        <v>133.33333333319999</v>
      </c>
      <c r="M26" s="21">
        <f si="3" t="shared"/>
        <v>1.280614695053626E-2</v>
      </c>
    </row>
    <row r="27" spans="1:13" x14ac:dyDescent="0.25">
      <c r="A27">
        <v>16</v>
      </c>
      <c r="B27" s="8" t="n">
        <v>1083.0096939978907</v>
      </c>
      <c r="C27" s="8" t="n">
        <v>0.0</v>
      </c>
      <c r="D27" s="8" t="n">
        <v>0.0</v>
      </c>
      <c r="E27" s="8">
        <f si="0" t="shared"/>
        <v>0</v>
      </c>
      <c r="F27" s="21">
        <f si="1" t="shared"/>
        <v>0</v>
      </c>
      <c r="H27" s="129">
        <v>16</v>
      </c>
      <c r="I27" s="219" t="n">
        <v>2742.0</v>
      </c>
      <c r="J27" s="309" t="n">
        <v>482.0</v>
      </c>
      <c r="K27" s="399" t="n">
        <v>43.0</v>
      </c>
      <c r="L27">
        <f si="2" t="shared"/>
        <v>114.99999999988501</v>
      </c>
      <c r="M27" s="21">
        <f si="3" t="shared"/>
        <v>1.1045301744837525E-2</v>
      </c>
    </row>
    <row r="28" spans="1:13" x14ac:dyDescent="0.25">
      <c r="A28">
        <v>17</v>
      </c>
      <c r="B28" s="8" t="n">
        <v>2318.3057635878995</v>
      </c>
      <c r="C28" s="8" t="n">
        <v>159.632061589006</v>
      </c>
      <c r="D28" s="8" t="n">
        <v>0.0</v>
      </c>
      <c r="E28" s="8">
        <f si="0" t="shared"/>
        <v>0</v>
      </c>
      <c r="F28" s="21">
        <f si="1" t="shared"/>
        <v>0</v>
      </c>
      <c r="H28" s="130">
        <v>17</v>
      </c>
      <c r="I28" s="220" t="n">
        <v>2091.0</v>
      </c>
      <c r="J28" s="310" t="n">
        <v>349.0</v>
      </c>
      <c r="K28" s="400" t="n">
        <v>30.0</v>
      </c>
      <c r="L28">
        <f si="2" t="shared"/>
        <v>126.66666666654001</v>
      </c>
      <c r="M28" s="21">
        <f si="3" t="shared"/>
        <v>1.2165839603009449E-2</v>
      </c>
    </row>
    <row r="29" spans="1:13" x14ac:dyDescent="0.25">
      <c r="A29">
        <v>18</v>
      </c>
      <c r="B29" s="8" t="n">
        <v>1380.6930375436666</v>
      </c>
      <c r="C29" s="8" t="n">
        <v>0.0</v>
      </c>
      <c r="D29" s="8" t="n">
        <v>0.0</v>
      </c>
      <c r="E29" s="8">
        <f si="0" t="shared"/>
        <v>0</v>
      </c>
      <c r="F29" s="21">
        <f si="1" t="shared"/>
        <v>0</v>
      </c>
      <c r="H29" s="131">
        <v>18</v>
      </c>
      <c r="I29" s="221" t="n">
        <v>1548.0</v>
      </c>
      <c r="J29" s="311" t="n">
        <v>243.0</v>
      </c>
      <c r="K29" s="401" t="n">
        <v>19.0</v>
      </c>
      <c r="L29">
        <f si="2" t="shared"/>
        <v>73.333333333260001</v>
      </c>
      <c r="M29" s="21">
        <f si="3" t="shared"/>
        <v>7.0433808227949434E-3</v>
      </c>
    </row>
    <row r="30" spans="1:13" x14ac:dyDescent="0.25">
      <c r="A30">
        <v>19</v>
      </c>
      <c r="B30" s="8" t="n">
        <v>2589.737441678817</v>
      </c>
      <c r="C30" s="8" t="n">
        <v>64.435030887656</v>
      </c>
      <c r="D30" s="8" t="n">
        <v>0.0</v>
      </c>
      <c r="E30" s="8">
        <f si="0" t="shared"/>
        <v>250.359436488623</v>
      </c>
      <c r="F30" s="21">
        <f si="1" t="shared"/>
        <v>2.2179569630525559E-2</v>
      </c>
      <c r="H30" s="132">
        <v>19</v>
      </c>
      <c r="I30" s="222" t="n">
        <v>1370.0</v>
      </c>
      <c r="J30" s="312" t="n">
        <v>200.0</v>
      </c>
      <c r="K30" s="402" t="n">
        <v>13.0</v>
      </c>
      <c r="L30">
        <f si="2" t="shared"/>
        <v>34.999999999965006</v>
      </c>
      <c r="M30" s="21">
        <f si="3" t="shared"/>
        <v>3.361613574515769E-3</v>
      </c>
    </row>
    <row r="31" spans="1:13" x14ac:dyDescent="0.25">
      <c r="A31">
        <v>20</v>
      </c>
      <c r="B31" s="8" t="n">
        <v>664.1882409748561</v>
      </c>
      <c r="C31" s="8" t="n">
        <v>0.0</v>
      </c>
      <c r="D31" s="8" t="n">
        <v>0.0</v>
      </c>
      <c r="E31" s="8">
        <f si="0" t="shared"/>
        <v>0</v>
      </c>
      <c r="F31" s="21">
        <f si="1" t="shared"/>
        <v>0</v>
      </c>
      <c r="H31" s="133">
        <v>20</v>
      </c>
      <c r="I31" s="223" t="n">
        <v>1614.0</v>
      </c>
      <c r="J31" s="313" t="n">
        <v>250.0</v>
      </c>
      <c r="K31" s="403" t="n">
        <v>20.0</v>
      </c>
      <c r="L31">
        <f si="2" t="shared"/>
        <v>51.666666666615008</v>
      </c>
      <c r="M31" s="21">
        <f si="3" t="shared"/>
        <v>4.9623819433328017E-3</v>
      </c>
    </row>
    <row r="32" spans="1:13" x14ac:dyDescent="0.25">
      <c r="A32">
        <v>21</v>
      </c>
      <c r="B32" s="8" t="n">
        <v>2448.1277962202116</v>
      </c>
      <c r="C32" s="8" t="n">
        <v>0.0</v>
      </c>
      <c r="D32" s="8" t="n">
        <v>0.0</v>
      </c>
      <c r="E32" s="8">
        <f si="0" t="shared"/>
        <v>0</v>
      </c>
      <c r="F32" s="21">
        <f si="1" t="shared"/>
        <v>0</v>
      </c>
      <c r="H32" s="134">
        <v>21</v>
      </c>
      <c r="I32" s="224" t="n">
        <v>1115.0</v>
      </c>
      <c r="J32" s="314" t="n">
        <v>148.0</v>
      </c>
      <c r="K32" s="404" t="n">
        <v>15.0</v>
      </c>
      <c r="L32">
        <f si="2" t="shared"/>
        <v>43.333333333290007</v>
      </c>
      <c r="M32" s="21">
        <f si="3" t="shared"/>
        <v>4.1619977589242851E-3</v>
      </c>
    </row>
    <row r="33" spans="1:13" x14ac:dyDescent="0.25">
      <c r="A33">
        <v>22</v>
      </c>
      <c r="B33" s="8" t="n">
        <v>671.009206112978</v>
      </c>
      <c r="C33" s="8" t="n">
        <v>393.984216304847</v>
      </c>
      <c r="D33" s="8" t="n">
        <v>0.0</v>
      </c>
      <c r="E33" s="8">
        <f si="0" t="shared"/>
        <v>0</v>
      </c>
      <c r="F33" s="21">
        <f si="1" t="shared"/>
        <v>0</v>
      </c>
      <c r="H33" s="135">
        <v>22</v>
      </c>
      <c r="I33" s="225" t="n">
        <v>1028.0</v>
      </c>
      <c r="J33" s="315" t="n">
        <v>136.0</v>
      </c>
      <c r="K33" s="405" t="n">
        <v>15.0</v>
      </c>
      <c r="L33">
        <f si="2" t="shared"/>
        <v>29.999999999970001</v>
      </c>
      <c r="M33" s="21">
        <f si="3" t="shared"/>
        <v>2.8813830638706587E-3</v>
      </c>
    </row>
    <row r="34" spans="1:13" x14ac:dyDescent="0.25">
      <c r="A34">
        <v>23</v>
      </c>
      <c r="B34" s="8" t="n">
        <v>476.7573082438733</v>
      </c>
      <c r="C34" s="8" t="n">
        <v>0.0</v>
      </c>
      <c r="D34" s="8" t="n">
        <v>0.0</v>
      </c>
      <c r="E34" s="8">
        <f si="0" t="shared"/>
        <v>197.499047654805</v>
      </c>
      <c r="F34" s="21">
        <f si="1" t="shared"/>
        <v>1.749661982332067E-2</v>
      </c>
      <c r="H34" s="136">
        <v>23</v>
      </c>
      <c r="I34" s="226" t="n">
        <v>1046.0</v>
      </c>
      <c r="J34" s="316" t="n">
        <v>151.0</v>
      </c>
      <c r="K34" s="406" t="n">
        <v>16.0</v>
      </c>
      <c r="L34">
        <f si="2" t="shared"/>
        <v>38.333333333295002</v>
      </c>
      <c r="M34" s="21">
        <f si="3" t="shared"/>
        <v>3.6817672482791753E-3</v>
      </c>
    </row>
    <row r="35" spans="1:13" x14ac:dyDescent="0.25">
      <c r="A35">
        <v>24</v>
      </c>
      <c r="B35" s="8" t="n">
        <v>792.6370288655573</v>
      </c>
      <c r="C35" s="8" t="n">
        <v>0.0</v>
      </c>
      <c r="D35" s="8" t="n">
        <v>0.0</v>
      </c>
      <c r="E35" s="8">
        <f si="0" t="shared"/>
        <v>0</v>
      </c>
      <c r="F35" s="21">
        <f si="1" t="shared"/>
        <v>0</v>
      </c>
      <c r="H35" s="137">
        <v>24</v>
      </c>
      <c r="I35" s="227" t="n">
        <v>997.0</v>
      </c>
      <c r="J35" s="317" t="n">
        <v>136.0</v>
      </c>
      <c r="K35" s="407" t="n">
        <v>18.0</v>
      </c>
      <c r="L35">
        <f si="2" t="shared"/>
        <v>36.66666666663</v>
      </c>
      <c r="M35" s="21">
        <f si="3" t="shared"/>
        <v>3.5216904113974717E-3</v>
      </c>
    </row>
    <row r="36" spans="1:13" x14ac:dyDescent="0.25">
      <c r="A36">
        <v>25</v>
      </c>
      <c r="B36" s="8" t="n">
        <v>1052.3710918257132</v>
      </c>
      <c r="C36" s="8" t="n">
        <v>0.0</v>
      </c>
      <c r="D36" s="8" t="n">
        <v>0.0</v>
      </c>
      <c r="E36" s="8">
        <f si="0" t="shared"/>
        <v>0</v>
      </c>
      <c r="F36" s="21">
        <f si="1" t="shared"/>
        <v>0</v>
      </c>
      <c r="H36" s="138">
        <v>25</v>
      </c>
      <c r="I36" s="228" t="n">
        <v>882.0</v>
      </c>
      <c r="J36" s="318" t="n">
        <v>115.0</v>
      </c>
      <c r="K36" s="408" t="n">
        <v>7.0</v>
      </c>
      <c r="L36">
        <f si="2" t="shared"/>
        <v>41.666666666625005</v>
      </c>
      <c r="M36" s="21">
        <f si="3" t="shared"/>
        <v>4.001920922042582E-3</v>
      </c>
    </row>
    <row r="37" spans="1:13" x14ac:dyDescent="0.25">
      <c r="A37">
        <v>26</v>
      </c>
      <c r="B37" s="8" t="n">
        <v>502.2593880996924</v>
      </c>
      <c r="C37" s="8" t="n">
        <v>409.058151574533</v>
      </c>
      <c r="D37" s="8" t="n">
        <v>0.0</v>
      </c>
      <c r="E37" s="8">
        <f si="0" t="shared"/>
        <v>0</v>
      </c>
      <c r="F37" s="21">
        <f si="1" t="shared"/>
        <v>0</v>
      </c>
      <c r="H37" s="139">
        <v>26</v>
      </c>
      <c r="I37" s="229" t="n">
        <v>580.0</v>
      </c>
      <c r="J37" s="319" t="n">
        <v>82.0</v>
      </c>
      <c r="K37" s="409" t="n">
        <v>6.0</v>
      </c>
      <c r="L37">
        <f si="2" t="shared"/>
        <v>24.999999999975</v>
      </c>
      <c r="M37" s="21">
        <f si="3" t="shared"/>
        <v>2.4011525532255489E-3</v>
      </c>
    </row>
    <row r="38" spans="1:13" x14ac:dyDescent="0.25">
      <c r="A38">
        <v>27</v>
      </c>
      <c r="B38" s="8" t="n">
        <v>38.581100217278</v>
      </c>
      <c r="C38" s="8" t="n">
        <v>147.283593330704</v>
      </c>
      <c r="D38" s="8" t="n">
        <v>0.0</v>
      </c>
      <c r="E38" s="8">
        <f si="0" t="shared"/>
        <v>0</v>
      </c>
      <c r="F38" s="21">
        <f si="1" t="shared"/>
        <v>0</v>
      </c>
      <c r="H38" s="140">
        <v>27</v>
      </c>
      <c r="I38" s="230" t="n">
        <v>660.0</v>
      </c>
      <c r="J38" s="320" t="n">
        <v>77.0</v>
      </c>
      <c r="K38" s="410" t="n">
        <v>5.0</v>
      </c>
      <c r="L38">
        <f si="2" t="shared"/>
        <v>23.333333333310001</v>
      </c>
      <c r="M38" s="21">
        <f si="3" t="shared"/>
        <v>2.2410757163438457E-3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0.0</v>
      </c>
      <c r="E39" s="8">
        <f si="0" t="shared"/>
        <v>0</v>
      </c>
      <c r="F39" s="21">
        <f si="1" t="shared"/>
        <v>0</v>
      </c>
      <c r="H39" s="141">
        <v>28</v>
      </c>
      <c r="I39" s="231" t="n">
        <v>600.0</v>
      </c>
      <c r="J39" s="321" t="n">
        <v>77.0</v>
      </c>
      <c r="K39" s="411" t="n">
        <v>12.0</v>
      </c>
      <c r="L39">
        <f si="2" t="shared"/>
        <v>23.333333333310001</v>
      </c>
      <c r="M39" s="21">
        <f si="3" t="shared"/>
        <v>2.2410757163438457E-3</v>
      </c>
    </row>
    <row r="40" spans="1:13" x14ac:dyDescent="0.25">
      <c r="A40">
        <v>29</v>
      </c>
      <c r="B40" s="8" t="n">
        <v>104.343243648933</v>
      </c>
      <c r="C40" s="8" t="n">
        <v>0.0</v>
      </c>
      <c r="D40" s="8" t="n">
        <v>0.0</v>
      </c>
      <c r="E40" s="8">
        <f si="0" t="shared"/>
        <v>259.37053322597598</v>
      </c>
      <c r="F40" s="21">
        <f si="1" t="shared"/>
        <v>2.2977870866287466E-2</v>
      </c>
      <c r="H40" s="142">
        <v>29</v>
      </c>
      <c r="I40" s="232" t="n">
        <v>472.0</v>
      </c>
      <c r="J40" s="322" t="n">
        <v>56.0</v>
      </c>
      <c r="K40" s="412" t="n">
        <v>7.0</v>
      </c>
      <c r="L40">
        <f si="2" t="shared"/>
        <v>18.333333333315</v>
      </c>
      <c r="M40" s="21">
        <f si="3" t="shared"/>
        <v>1.7608452056987359E-3</v>
      </c>
    </row>
    <row r="41" spans="1:13" x14ac:dyDescent="0.25">
      <c r="A41">
        <v>30</v>
      </c>
      <c r="B41" s="8" t="n">
        <v>254.9378709208206</v>
      </c>
      <c r="C41" s="8" t="n">
        <v>0.0</v>
      </c>
      <c r="D41" s="8" t="n">
        <v>0.0</v>
      </c>
      <c r="E41" s="8">
        <f si="0" t="shared"/>
        <v>0</v>
      </c>
      <c r="F41" s="21">
        <f si="1" t="shared"/>
        <v>0</v>
      </c>
      <c r="H41" s="143">
        <v>30</v>
      </c>
      <c r="I41" s="233" t="n">
        <v>407.0</v>
      </c>
      <c r="J41" s="323" t="n">
        <v>45.0</v>
      </c>
      <c r="K41" s="413" t="n">
        <v>3.0</v>
      </c>
      <c r="L41">
        <f si="2" t="shared"/>
        <v>21.666666666645003</v>
      </c>
      <c r="M41" s="21">
        <f si="3" t="shared"/>
        <v>2.0809988794621426E-3</v>
      </c>
    </row>
    <row r="42" spans="1:13" x14ac:dyDescent="0.25">
      <c r="A42">
        <v>31</v>
      </c>
      <c r="B42" s="8" t="n">
        <v>45.8663714539534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420.0</v>
      </c>
      <c r="J42" s="324" t="n">
        <v>55.0</v>
      </c>
      <c r="K42" s="414" t="n">
        <v>4.0</v>
      </c>
      <c r="L42">
        <f si="2" t="shared"/>
        <v>18.333333333315</v>
      </c>
      <c r="M42" s="21">
        <f si="3" t="shared"/>
        <v>1.7608452056987359E-3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336.0</v>
      </c>
      <c r="J43" s="325" t="n">
        <v>35.0</v>
      </c>
      <c r="K43" s="415" t="n">
        <v>0.0</v>
      </c>
      <c r="L43">
        <f si="2" t="shared"/>
        <v>8.333333333325001</v>
      </c>
      <c r="M43" s="21">
        <f si="3" t="shared"/>
        <v>8.0038418440851636E-4</v>
      </c>
    </row>
    <row r="44" spans="1:13" x14ac:dyDescent="0.25">
      <c r="A44">
        <v>33</v>
      </c>
      <c r="B44" s="8" t="n">
        <v>505.7522443618184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279.0</v>
      </c>
      <c r="J44" s="326" t="n">
        <v>36.0</v>
      </c>
      <c r="K44" s="416" t="n">
        <v>4.0</v>
      </c>
      <c r="L44">
        <f si="2" t="shared"/>
        <v>14.999999999985</v>
      </c>
      <c r="M44" s="21">
        <f si="3" t="shared"/>
        <v>1.4406915319353294E-3</v>
      </c>
    </row>
    <row r="45" spans="1:13" x14ac:dyDescent="0.25">
      <c r="A45">
        <v>34</v>
      </c>
      <c r="B45" s="8" t="n">
        <v>429.6487652498409</v>
      </c>
      <c r="C45" s="8" t="n">
        <v>0.0</v>
      </c>
      <c r="D45" s="8" t="n">
        <v>0.0</v>
      </c>
      <c r="E45" s="8">
        <f si="0" t="shared"/>
        <v>0</v>
      </c>
      <c r="F45" s="21">
        <f si="1" t="shared"/>
        <v>0</v>
      </c>
      <c r="H45" s="147">
        <v>34</v>
      </c>
      <c r="I45" s="237" t="n">
        <v>284.0</v>
      </c>
      <c r="J45" s="327" t="n">
        <v>31.0</v>
      </c>
      <c r="K45" s="417" t="n">
        <v>5.0</v>
      </c>
      <c r="L45">
        <f si="2" t="shared"/>
        <v>1.6666666666650001</v>
      </c>
      <c r="M45" s="21">
        <f si="3" t="shared"/>
        <v>1.6007683688170328E-4</v>
      </c>
    </row>
    <row r="46" spans="1:13" x14ac:dyDescent="0.25">
      <c r="A46">
        <v>35</v>
      </c>
      <c r="B46" s="8" t="n">
        <v>119.907178229892</v>
      </c>
      <c r="C46" s="8" t="n">
        <v>0.0</v>
      </c>
      <c r="D46" s="8" t="n">
        <v>0.0</v>
      </c>
      <c r="E46" s="8">
        <f si="0" t="shared"/>
        <v>0</v>
      </c>
      <c r="F46" s="21">
        <f si="1" t="shared"/>
        <v>0</v>
      </c>
      <c r="H46" s="148">
        <v>35</v>
      </c>
      <c r="I46" s="238" t="n">
        <v>245.0</v>
      </c>
      <c r="J46" s="328" t="n">
        <v>30.0</v>
      </c>
      <c r="K46" s="418" t="n">
        <v>2.0</v>
      </c>
      <c r="L46">
        <f si="2" t="shared"/>
        <v>6.6666666666600003</v>
      </c>
      <c r="M46" s="21">
        <f si="3" t="shared"/>
        <v>6.4030734752681311E-4</v>
      </c>
    </row>
    <row r="47" spans="1:13" x14ac:dyDescent="0.25">
      <c r="A47">
        <v>36</v>
      </c>
      <c r="B47" s="8" t="n">
        <v>360.97049197088404</v>
      </c>
      <c r="C47" s="8" t="n">
        <v>44.9692512868193</v>
      </c>
      <c r="D47" s="8" t="n">
        <v>0.0</v>
      </c>
      <c r="E47" s="8">
        <f si="0" t="shared"/>
        <v>0</v>
      </c>
      <c r="F47" s="21">
        <f si="1" t="shared"/>
        <v>0</v>
      </c>
      <c r="H47" s="149">
        <v>36</v>
      </c>
      <c r="I47" s="239" t="n">
        <v>222.0</v>
      </c>
      <c r="J47" s="329" t="n">
        <v>22.0</v>
      </c>
      <c r="K47" s="419" t="n">
        <v>3.0</v>
      </c>
      <c r="L47">
        <f si="2" t="shared"/>
        <v>9.9999999999900009</v>
      </c>
      <c r="M47" s="21">
        <f si="3" t="shared"/>
        <v>9.6046102129021961E-4</v>
      </c>
    </row>
    <row r="48" spans="1:13" x14ac:dyDescent="0.25">
      <c r="A48">
        <v>37</v>
      </c>
      <c r="B48" s="8" t="n">
        <v>0.0</v>
      </c>
      <c r="C48" s="8" t="n">
        <v>0.0</v>
      </c>
      <c r="D48" s="8" t="n">
        <v>0.0</v>
      </c>
      <c r="E48" s="8">
        <f si="0" t="shared"/>
        <v>0</v>
      </c>
      <c r="F48" s="21">
        <f si="1" t="shared"/>
        <v>0</v>
      </c>
      <c r="H48" s="150">
        <v>37</v>
      </c>
      <c r="I48" s="240" t="n">
        <v>179.0</v>
      </c>
      <c r="J48" s="330" t="n">
        <v>25.0</v>
      </c>
      <c r="K48" s="420" t="n">
        <v>0.0</v>
      </c>
      <c r="L48">
        <f si="2" t="shared"/>
        <v>6.6666666666600003</v>
      </c>
      <c r="M48" s="21">
        <f si="3" t="shared"/>
        <v>6.4030734752681311E-4</v>
      </c>
    </row>
    <row r="49" spans="1:13" x14ac:dyDescent="0.25">
      <c r="A49">
        <v>38</v>
      </c>
      <c r="B49" s="8" t="n">
        <v>43.5673503463966</v>
      </c>
      <c r="C49" s="8" t="n">
        <v>0.0</v>
      </c>
      <c r="D49" s="8" t="n">
        <v>0.0</v>
      </c>
      <c r="E49" s="8">
        <f si="0" t="shared"/>
        <v>0</v>
      </c>
      <c r="F49" s="21">
        <f si="1" t="shared"/>
        <v>0</v>
      </c>
      <c r="H49" s="151">
        <v>38</v>
      </c>
      <c r="I49" s="241" t="n">
        <v>157.0</v>
      </c>
      <c r="J49" s="331" t="n">
        <v>15.0</v>
      </c>
      <c r="K49" s="421" t="n">
        <v>1.0</v>
      </c>
      <c r="L49">
        <f si="2" t="shared"/>
        <v>4.9999999999950004</v>
      </c>
      <c r="M49" s="21">
        <f si="3" t="shared"/>
        <v>4.802305106451098E-4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165.0</v>
      </c>
      <c r="J50" s="332" t="n">
        <v>18.0</v>
      </c>
      <c r="K50" s="422" t="n">
        <v>2.0</v>
      </c>
      <c r="L50">
        <f si="2" t="shared"/>
        <v>3.3333333333300001</v>
      </c>
      <c r="M50" s="21">
        <f si="3" t="shared"/>
        <v>3.2015367376340655E-4</v>
      </c>
    </row>
    <row r="51" spans="1:13" x14ac:dyDescent="0.25">
      <c r="A51">
        <v>40</v>
      </c>
      <c r="B51" s="8" t="n">
        <v>132.420142461624</v>
      </c>
      <c r="C51" s="8" t="n">
        <v>0.0</v>
      </c>
      <c r="D51" s="8" t="n">
        <v>0.0</v>
      </c>
      <c r="E51" s="8">
        <f si="0" t="shared"/>
        <v>0</v>
      </c>
      <c r="F51" s="21">
        <f si="1" t="shared"/>
        <v>0</v>
      </c>
      <c r="H51" s="153">
        <v>40</v>
      </c>
      <c r="I51" s="243" t="n">
        <v>170.0</v>
      </c>
      <c r="J51" s="333" t="n">
        <v>17.0</v>
      </c>
      <c r="K51" s="423" t="n">
        <v>5.0</v>
      </c>
      <c r="L51">
        <f si="2" t="shared"/>
        <v>0</v>
      </c>
      <c r="M51" s="21">
        <f si="3" t="shared"/>
        <v>0</v>
      </c>
    </row>
    <row r="52" spans="1:13" x14ac:dyDescent="0.25">
      <c r="A52">
        <v>41</v>
      </c>
      <c r="B52" s="8" t="n">
        <v>648.2296753380728</v>
      </c>
      <c r="C52" s="8" t="n">
        <v>0.0</v>
      </c>
      <c r="D52" s="8" t="n">
        <v>0.0</v>
      </c>
      <c r="E52" s="8">
        <f si="0" t="shared"/>
        <v>0</v>
      </c>
      <c r="F52" s="21">
        <f si="1" t="shared"/>
        <v>0</v>
      </c>
      <c r="H52" s="154">
        <v>41</v>
      </c>
      <c r="I52" s="244" t="n">
        <v>138.0</v>
      </c>
      <c r="J52" s="334" t="n">
        <v>17.0</v>
      </c>
      <c r="K52" s="424" t="n">
        <v>3.0</v>
      </c>
      <c r="L52">
        <f si="2" t="shared"/>
        <v>6.6666666666600003</v>
      </c>
      <c r="M52" s="21">
        <f si="3" t="shared"/>
        <v>6.4030734752681311E-4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133.0</v>
      </c>
      <c r="J53" s="335" t="n">
        <v>16.0</v>
      </c>
      <c r="K53" s="425" t="n">
        <v>2.0</v>
      </c>
      <c r="L53">
        <f si="2" t="shared"/>
        <v>1.6666666666650001</v>
      </c>
      <c r="M53" s="21">
        <f si="3" t="shared"/>
        <v>1.6007683688170328E-4</v>
      </c>
    </row>
    <row r="54" spans="1:13" x14ac:dyDescent="0.25">
      <c r="A54">
        <v>43</v>
      </c>
      <c r="B54" s="8" t="n">
        <v>0.0</v>
      </c>
      <c r="C54" s="8" t="n">
        <v>0.0</v>
      </c>
      <c r="D54" s="8" t="n">
        <v>0.0</v>
      </c>
      <c r="E54" s="8">
        <f si="0" t="shared"/>
        <v>0</v>
      </c>
      <c r="F54" s="21">
        <f si="1" t="shared"/>
        <v>0</v>
      </c>
      <c r="H54" s="156">
        <v>43</v>
      </c>
      <c r="I54" s="246" t="n">
        <v>95.0</v>
      </c>
      <c r="J54" s="336" t="n">
        <v>10.0</v>
      </c>
      <c r="K54" s="426" t="n">
        <v>2.0</v>
      </c>
      <c r="L54">
        <f si="2" t="shared"/>
        <v>1.6666666666650001</v>
      </c>
      <c r="M54" s="21">
        <f si="3" t="shared"/>
        <v>1.6007683688170328E-4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102.0</v>
      </c>
      <c r="J55" s="337" t="n">
        <v>10.0</v>
      </c>
      <c r="K55" s="427" t="n">
        <v>1.0</v>
      </c>
      <c r="L55">
        <f si="2" t="shared"/>
        <v>4.9999999999950004</v>
      </c>
      <c r="M55" s="21">
        <f si="3" t="shared"/>
        <v>4.802305106451098E-4</v>
      </c>
    </row>
    <row r="56" spans="1:13" x14ac:dyDescent="0.25">
      <c r="A56">
        <v>45</v>
      </c>
      <c r="B56" s="8" t="n">
        <v>74.9344783071591</v>
      </c>
      <c r="C56" s="8" t="n">
        <v>44.0775617273077</v>
      </c>
      <c r="D56" s="8" t="n">
        <v>0.0</v>
      </c>
      <c r="E56" s="8">
        <f si="0" t="shared"/>
        <v>0</v>
      </c>
      <c r="F56" s="21">
        <f si="1" t="shared"/>
        <v>0</v>
      </c>
      <c r="H56" s="158">
        <v>45</v>
      </c>
      <c r="I56" s="248" t="n">
        <v>102.0</v>
      </c>
      <c r="J56" s="338" t="n">
        <v>19.0</v>
      </c>
      <c r="K56" s="428" t="n">
        <v>2.0</v>
      </c>
      <c r="L56">
        <f si="2" t="shared"/>
        <v>3.3333333333300001</v>
      </c>
      <c r="M56" s="21">
        <f si="3" t="shared"/>
        <v>3.2015367376340655E-4</v>
      </c>
    </row>
    <row r="57" spans="1:13" x14ac:dyDescent="0.25">
      <c r="A57">
        <v>46</v>
      </c>
      <c r="B57" s="8" t="n">
        <v>0.0</v>
      </c>
      <c r="C57" s="8" t="n">
        <v>0.0</v>
      </c>
      <c r="D57" s="8" t="n">
        <v>0.0</v>
      </c>
      <c r="E57" s="8">
        <f si="0" t="shared"/>
        <v>0</v>
      </c>
      <c r="F57" s="21">
        <f si="1" t="shared"/>
        <v>0</v>
      </c>
      <c r="H57" s="159">
        <v>46</v>
      </c>
      <c r="I57" s="249" t="n">
        <v>96.0</v>
      </c>
      <c r="J57" s="339" t="n">
        <v>10.0</v>
      </c>
      <c r="K57" s="429" t="n">
        <v>1.0</v>
      </c>
      <c r="L57">
        <f si="2" t="shared"/>
        <v>0</v>
      </c>
      <c r="M57" s="21">
        <f si="3" t="shared"/>
        <v>0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80.0</v>
      </c>
      <c r="J58" s="340" t="n">
        <v>10.0</v>
      </c>
      <c r="K58" s="430" t="n">
        <v>2.0</v>
      </c>
      <c r="L58">
        <f si="2" t="shared"/>
        <v>0</v>
      </c>
      <c r="M58" s="21">
        <f si="3" t="shared"/>
        <v>0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65.0</v>
      </c>
      <c r="J59" s="341" t="n">
        <v>7.0</v>
      </c>
      <c r="K59" s="431" t="n">
        <v>0.0</v>
      </c>
      <c r="L59">
        <f si="2" t="shared"/>
        <v>3.3333333333300001</v>
      </c>
      <c r="M59" s="21">
        <f si="3" t="shared"/>
        <v>3.2015367376340655E-4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84.0</v>
      </c>
      <c r="J60" s="342" t="n">
        <v>13.0</v>
      </c>
      <c r="K60" s="432" t="n">
        <v>1.0</v>
      </c>
      <c r="L60">
        <f si="2" t="shared"/>
        <v>0</v>
      </c>
      <c r="M60" s="21">
        <f si="3" t="shared"/>
        <v>0</v>
      </c>
    </row>
    <row r="61" spans="1:13" x14ac:dyDescent="0.25">
      <c r="A61">
        <v>50</v>
      </c>
      <c r="B61" s="8" t="n">
        <v>72.2183278865173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77.0</v>
      </c>
      <c r="J61" s="343" t="n">
        <v>8.0</v>
      </c>
      <c r="K61" s="433" t="n">
        <v>1.0</v>
      </c>
      <c r="L61">
        <f si="2" t="shared"/>
        <v>4.9999999999950004</v>
      </c>
      <c r="M61" s="21">
        <f si="3" t="shared"/>
        <v>4.802305106451098E-4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43.0</v>
      </c>
      <c r="J62" s="344" t="n">
        <v>11.0</v>
      </c>
      <c r="K62" s="434" t="n">
        <v>0.0</v>
      </c>
      <c r="L62">
        <f si="2" t="shared"/>
        <v>1.6666666666650001</v>
      </c>
      <c r="M62" s="21">
        <f si="3" t="shared"/>
        <v>1.6007683688170328E-4</v>
      </c>
    </row>
    <row r="63" spans="1:13" x14ac:dyDescent="0.25">
      <c r="A63">
        <v>52</v>
      </c>
      <c r="B63" s="8" t="n">
        <v>0.0</v>
      </c>
      <c r="C63" s="8" t="n">
        <v>0.0</v>
      </c>
      <c r="D63" s="8" t="n">
        <v>0.0</v>
      </c>
      <c r="E63" s="8">
        <f si="0" t="shared"/>
        <v>0</v>
      </c>
      <c r="F63" s="21">
        <f si="1" t="shared"/>
        <v>0</v>
      </c>
      <c r="H63" s="165">
        <v>52</v>
      </c>
      <c r="I63" s="255" t="n">
        <v>46.0</v>
      </c>
      <c r="J63" s="345" t="n">
        <v>6.0</v>
      </c>
      <c r="K63" s="435" t="n">
        <v>0.0</v>
      </c>
      <c r="L63">
        <f si="2" t="shared"/>
        <v>0</v>
      </c>
      <c r="M63" s="21">
        <f si="3" t="shared"/>
        <v>0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46.0</v>
      </c>
      <c r="J64" s="346" t="n">
        <v>8.0</v>
      </c>
      <c r="K64" s="436" t="n">
        <v>0.0</v>
      </c>
      <c r="L64">
        <f si="2" t="shared"/>
        <v>1.6666666666650001</v>
      </c>
      <c r="M64" s="21">
        <f si="3" t="shared"/>
        <v>1.6007683688170328E-4</v>
      </c>
    </row>
    <row r="65" spans="1:13" x14ac:dyDescent="0.2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0</v>
      </c>
      <c r="F65" s="21">
        <f si="1" t="shared"/>
        <v>0</v>
      </c>
      <c r="H65" s="167">
        <v>54</v>
      </c>
      <c r="I65" s="257" t="n">
        <v>72.0</v>
      </c>
      <c r="J65" s="347" t="n">
        <v>17.0</v>
      </c>
      <c r="K65" s="437" t="n">
        <v>1.0</v>
      </c>
      <c r="L65">
        <f si="2" t="shared"/>
        <v>1.6666666666650001</v>
      </c>
      <c r="M65" s="21">
        <f si="3" t="shared"/>
        <v>1.6007683688170328E-4</v>
      </c>
    </row>
    <row r="66" spans="1:13" x14ac:dyDescent="0.25">
      <c r="A66">
        <v>55</v>
      </c>
      <c r="B66" s="8" t="n">
        <v>188.02846197776222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38.0</v>
      </c>
      <c r="J66" s="348" t="n">
        <v>8.0</v>
      </c>
      <c r="K66" s="438" t="n">
        <v>0.0</v>
      </c>
      <c r="L66">
        <f si="2" t="shared"/>
        <v>1.6666666666650001</v>
      </c>
      <c r="M66" s="21">
        <f si="3" t="shared"/>
        <v>1.6007683688170328E-4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46.0</v>
      </c>
      <c r="J67" s="349" t="n">
        <v>7.0</v>
      </c>
      <c r="K67" s="439" t="n">
        <v>0.0</v>
      </c>
      <c r="L67">
        <f si="2" t="shared"/>
        <v>1.6666666666650001</v>
      </c>
      <c r="M67" s="21">
        <f si="3" t="shared"/>
        <v>1.6007683688170328E-4</v>
      </c>
    </row>
    <row r="68" spans="1:13" x14ac:dyDescent="0.25">
      <c r="A68">
        <v>57</v>
      </c>
      <c r="B68" s="8" t="n">
        <v>304.234039634074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30.0</v>
      </c>
      <c r="J68" s="350" t="n">
        <v>9.0</v>
      </c>
      <c r="K68" s="440" t="n">
        <v>0.0</v>
      </c>
      <c r="L68">
        <f si="2" t="shared"/>
        <v>0</v>
      </c>
      <c r="M68" s="21">
        <f si="3" t="shared"/>
        <v>0</v>
      </c>
    </row>
    <row r="69" spans="1:13" x14ac:dyDescent="0.2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0</v>
      </c>
      <c r="F69" s="21">
        <f si="1" t="shared"/>
        <v>0</v>
      </c>
      <c r="H69" s="171">
        <v>58</v>
      </c>
      <c r="I69" s="261" t="n">
        <v>32.0</v>
      </c>
      <c r="J69" s="351" t="n">
        <v>5.0</v>
      </c>
      <c r="K69" s="441" t="n">
        <v>1.0</v>
      </c>
      <c r="L69">
        <f si="2" t="shared"/>
        <v>0</v>
      </c>
      <c r="M69" s="21">
        <f si="3" t="shared"/>
        <v>0</v>
      </c>
    </row>
    <row r="70" spans="1:13" x14ac:dyDescent="0.25">
      <c r="A70">
        <v>59</v>
      </c>
      <c r="B70" s="8" t="n">
        <v>301.304369331257</v>
      </c>
      <c r="C70" s="8" t="n">
        <v>0.0</v>
      </c>
      <c r="D70" s="8" t="n">
        <v>0.0</v>
      </c>
      <c r="E70" s="8">
        <f si="0" t="shared"/>
        <v>0</v>
      </c>
      <c r="F70" s="21">
        <f si="1" t="shared"/>
        <v>0</v>
      </c>
      <c r="H70" s="172">
        <v>59</v>
      </c>
      <c r="I70" s="262" t="n">
        <v>29.0</v>
      </c>
      <c r="J70" s="352" t="n">
        <v>5.0</v>
      </c>
      <c r="K70" s="442" t="n">
        <v>1.0</v>
      </c>
      <c r="L70">
        <f si="2" t="shared"/>
        <v>0</v>
      </c>
      <c r="M70" s="21">
        <f si="3" t="shared"/>
        <v>0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42.0</v>
      </c>
      <c r="J71" s="353" t="n">
        <v>5.0</v>
      </c>
      <c r="K71" s="443" t="n">
        <v>0.0</v>
      </c>
      <c r="L71">
        <f si="2" t="shared"/>
        <v>0</v>
      </c>
      <c r="M71" s="21">
        <f si="3" t="shared"/>
        <v>0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25.0</v>
      </c>
      <c r="J72" s="354" t="n">
        <v>2.0</v>
      </c>
      <c r="K72" s="444" t="n">
        <v>1.0</v>
      </c>
      <c r="L72">
        <f si="2" t="shared"/>
        <v>0</v>
      </c>
      <c r="M72" s="21">
        <f si="3" t="shared"/>
        <v>0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9.0</v>
      </c>
      <c r="J73" s="355" t="n">
        <v>3.0</v>
      </c>
      <c r="K73" s="445" t="n">
        <v>0.0</v>
      </c>
      <c r="L73">
        <f si="2" t="shared"/>
        <v>0</v>
      </c>
      <c r="M73" s="21">
        <f si="3" t="shared"/>
        <v>0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18.0</v>
      </c>
      <c r="J74" s="356" t="n">
        <v>2.0</v>
      </c>
      <c r="K74" s="446" t="n">
        <v>0.0</v>
      </c>
      <c r="L74">
        <f si="2" t="shared"/>
        <v>1.6666666666650001</v>
      </c>
      <c r="M74" s="21">
        <f si="3" t="shared"/>
        <v>1.6007683688170328E-4</v>
      </c>
    </row>
    <row r="75" spans="1:13" x14ac:dyDescent="0.25">
      <c r="A75">
        <v>64</v>
      </c>
      <c r="B75" s="8" t="n">
        <v>49.2525146553204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17.0</v>
      </c>
      <c r="J75" s="357" t="n">
        <v>5.0</v>
      </c>
      <c r="K75" s="447" t="n">
        <v>1.0</v>
      </c>
      <c r="L75">
        <f si="2" t="shared"/>
        <v>0</v>
      </c>
      <c r="M75" s="21">
        <f si="3" t="shared"/>
        <v>0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16.0</v>
      </c>
      <c r="J76" s="358" t="n">
        <v>6.0</v>
      </c>
      <c r="K76" s="448" t="n">
        <v>0.0</v>
      </c>
      <c r="L76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17.0</v>
      </c>
      <c r="J77" s="359" t="n">
        <v>1.0</v>
      </c>
      <c r="K77" s="449" t="n">
        <v>0.0</v>
      </c>
      <c r="L77">
        <f si="6" t="shared"/>
        <v>0</v>
      </c>
      <c r="M77" s="21">
        <f si="7" t="shared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15.0</v>
      </c>
      <c r="J78" s="360" t="n">
        <v>2.0</v>
      </c>
      <c r="K78" s="450" t="n">
        <v>1.0</v>
      </c>
      <c r="L78">
        <f si="6" t="shared"/>
        <v>0</v>
      </c>
      <c r="M78" s="21">
        <f si="7" t="shared"/>
        <v>0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23.0</v>
      </c>
      <c r="J79" s="361" t="n">
        <v>5.0</v>
      </c>
      <c r="K79" s="451" t="n">
        <v>1.0</v>
      </c>
      <c r="L79">
        <f si="6" t="shared"/>
        <v>0</v>
      </c>
      <c r="M79" s="21">
        <f si="7" t="shared"/>
        <v>0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6.0</v>
      </c>
      <c r="J80" s="362" t="n">
        <v>4.0</v>
      </c>
      <c r="K80" s="452" t="n">
        <v>0.0</v>
      </c>
      <c r="L80">
        <f si="6" t="shared"/>
        <v>1.6666666666650001</v>
      </c>
      <c r="M80" s="21">
        <f si="7" t="shared"/>
        <v>1.6007683688170328E-4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18.0</v>
      </c>
      <c r="J81" s="363" t="n">
        <v>4.0</v>
      </c>
      <c r="K81" s="453" t="n">
        <v>0.0</v>
      </c>
      <c r="L81">
        <f si="6" t="shared"/>
        <v>0</v>
      </c>
      <c r="M81" s="21">
        <f si="7" t="shared"/>
        <v>0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184">
        <v>71</v>
      </c>
      <c r="I82" s="274" t="n">
        <v>14.0</v>
      </c>
      <c r="J82" s="364" t="n">
        <v>2.0</v>
      </c>
      <c r="K82" s="454" t="n">
        <v>0.0</v>
      </c>
      <c r="L82">
        <f si="6" t="shared"/>
        <v>1.6666666666650001</v>
      </c>
      <c r="M82" s="21">
        <f si="7" t="shared"/>
        <v>1.6007683688170328E-4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185">
        <v>72</v>
      </c>
      <c r="I83" s="275" t="n">
        <v>13.0</v>
      </c>
      <c r="J83" s="365" t="n">
        <v>1.0</v>
      </c>
      <c r="K83" s="455" t="n">
        <v>2.0</v>
      </c>
      <c r="L83">
        <f si="6" t="shared"/>
        <v>0</v>
      </c>
      <c r="M83" s="21">
        <f si="7" t="shared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184.0</v>
      </c>
      <c r="J84" s="366" t="n">
        <v>43.0</v>
      </c>
      <c r="K84" s="456" t="n">
        <v>1.0</v>
      </c>
      <c r="L84">
        <f si="6" t="shared"/>
        <v>0</v>
      </c>
      <c r="M84" s="21">
        <f si="7" t="shared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9.0</v>
      </c>
      <c r="J85" s="367" t="n">
        <v>2.0</v>
      </c>
      <c r="K85" s="457" t="n">
        <v>0.0</v>
      </c>
      <c r="L85">
        <f si="6" t="shared"/>
        <v>0</v>
      </c>
      <c r="M85" s="21">
        <f si="7" t="shared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14.0</v>
      </c>
      <c r="J86" s="368" t="n">
        <v>0.0</v>
      </c>
      <c r="K86" s="458" t="n">
        <v>0.0</v>
      </c>
      <c r="L86">
        <f si="6" t="shared"/>
        <v>0</v>
      </c>
      <c r="M86" s="21">
        <f si="7" t="shared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9.0</v>
      </c>
      <c r="J87" s="369" t="n">
        <v>2.0</v>
      </c>
      <c r="K87" s="459" t="n">
        <v>0.0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16.0</v>
      </c>
      <c r="J88" s="370" t="n">
        <v>7.0</v>
      </c>
      <c r="K88" s="460" t="n">
        <v>0.0</v>
      </c>
      <c r="L88">
        <f si="6" t="shared"/>
        <v>0</v>
      </c>
      <c r="M88" s="21">
        <f si="7" t="shared"/>
        <v>0</v>
      </c>
    </row>
    <row r="89" spans="1:13" x14ac:dyDescent="0.25">
      <c r="A89">
        <v>78</v>
      </c>
      <c r="B89" s="8" t="n">
        <v>109.541105784721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14.0</v>
      </c>
      <c r="J89" s="371" t="n">
        <v>5.0</v>
      </c>
      <c r="K89" s="461" t="n">
        <v>0.0</v>
      </c>
      <c r="L89">
        <f si="6" t="shared"/>
        <v>0</v>
      </c>
      <c r="M89" s="21">
        <f si="7" t="shared"/>
        <v>0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36.0</v>
      </c>
      <c r="J90" s="372" t="n">
        <v>10.0</v>
      </c>
      <c r="K90" s="462" t="n">
        <v>0.0</v>
      </c>
      <c r="L90">
        <f si="6" t="shared"/>
        <v>0</v>
      </c>
      <c r="M90" s="21">
        <f si="7" t="shared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107.0</v>
      </c>
      <c r="J91" s="373" t="n">
        <v>29.0</v>
      </c>
      <c r="K91" s="463" t="n">
        <v>2.0</v>
      </c>
      <c r="L91">
        <f si="6" t="shared"/>
        <v>0</v>
      </c>
      <c r="M91" s="21">
        <f si="7" t="shared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28.0</v>
      </c>
      <c r="J92" s="374" t="n">
        <v>14.0</v>
      </c>
      <c r="K92" s="464" t="n">
        <v>1.0</v>
      </c>
      <c r="L92">
        <f si="6" t="shared"/>
        <v>0</v>
      </c>
      <c r="M92" s="21">
        <f si="7" t="shared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10.0</v>
      </c>
      <c r="J93" s="375" t="n">
        <v>2.0</v>
      </c>
      <c r="K93" s="465" t="n">
        <v>0.0</v>
      </c>
      <c r="L93">
        <f si="6" t="shared"/>
        <v>0</v>
      </c>
      <c r="M93" s="21">
        <f si="7" t="shared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13.0</v>
      </c>
      <c r="J94" s="376" t="n">
        <v>10.0</v>
      </c>
      <c r="K94" s="466" t="n">
        <v>2.0</v>
      </c>
      <c r="L94">
        <f si="6" t="shared"/>
        <v>0</v>
      </c>
      <c r="M94" s="21">
        <f si="7" t="shared"/>
        <v>0</v>
      </c>
    </row>
    <row r="95" spans="1:13" x14ac:dyDescent="0.25">
      <c r="A95">
        <v>84</v>
      </c>
      <c r="B95" s="8" t="n">
        <v>52.6853733324112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6.0</v>
      </c>
      <c r="J95" s="377" t="n">
        <v>1.0</v>
      </c>
      <c r="K95" s="467" t="n">
        <v>0.0</v>
      </c>
      <c r="L95">
        <f si="6" t="shared"/>
        <v>0</v>
      </c>
      <c r="M95" s="21">
        <f si="7" t="shared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13.0</v>
      </c>
      <c r="J96" s="378" t="n">
        <v>2.0</v>
      </c>
      <c r="K96" s="468" t="n">
        <v>0.0</v>
      </c>
      <c r="L96">
        <f si="6" t="shared"/>
        <v>0</v>
      </c>
      <c r="M96" s="21">
        <f si="7" t="shared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27.0</v>
      </c>
      <c r="J97" s="379" t="n">
        <v>7.0</v>
      </c>
      <c r="K97" s="469" t="n">
        <v>1.0</v>
      </c>
      <c r="L97">
        <f si="6" t="shared"/>
        <v>0</v>
      </c>
      <c r="M97" s="21">
        <f si="7" t="shared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4.0</v>
      </c>
      <c r="J98" s="380" t="n">
        <v>3.0</v>
      </c>
      <c r="K98" s="470" t="n">
        <v>0.0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5.0</v>
      </c>
      <c r="J99" s="381" t="n">
        <v>1.0</v>
      </c>
      <c r="K99" s="471" t="n">
        <v>0.0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30.0</v>
      </c>
      <c r="J100" s="382" t="n">
        <v>1.0</v>
      </c>
      <c r="K100" s="472" t="n">
        <v>1.0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2266.0</v>
      </c>
      <c r="J101" s="475" t="n">
        <v>515.0</v>
      </c>
      <c r="K101" s="475" t="n">
        <v>56.0</v>
      </c>
      <c r="L101" s="1">
        <f si="6" t="shared"/>
        <v>16.666666666650002</v>
      </c>
      <c r="M101" s="21">
        <f si="7" t="shared"/>
        <v>1.6007683688170327E-3</v>
      </c>
    </row>
    <row r="102" spans="1:13" x14ac:dyDescent="0.25">
      <c r="E102" s="8">
        <f>SUM(E11:E101)</f>
        <v>11287.840145647162</v>
      </c>
      <c r="F102" s="21">
        <f si="5" t="shared"/>
        <v>1</v>
      </c>
      <c r="L102" s="22">
        <f>SUM(L11:L101)</f>
        <v>10411.666666656252</v>
      </c>
      <c r="M102" s="21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>
      <selection activeCell="N10" sqref="N10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246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25">
      <c r="A7" s="477" t="s">
        <v>251</v>
      </c>
      <c r="B7" s="13" t="n">
        <v>64187.506485466336</v>
      </c>
      <c r="C7" s="13" t="n">
        <v>0.0</v>
      </c>
      <c r="D7" s="13" t="n">
        <v>479.6279728321372</v>
      </c>
      <c r="E7" s="13" t="n">
        <v>1109.9479525730792</v>
      </c>
      <c r="F7" s="13" t="n">
        <v>1247.6380280545281</v>
      </c>
      <c r="G7" s="13" t="n">
        <v>2327.816271759701</v>
      </c>
      <c r="H7" s="13" t="n">
        <v>451.51763296477804</v>
      </c>
      <c r="I7" s="13"/>
      <c r="J7" s="13">
        <f>SUM(B7:I7)</f>
        <v>4282.5815722701791</v>
      </c>
      <c r="K7" s="13"/>
      <c r="L7" t="str">
        <f>$A$7</f>
        <v>Bellevue</v>
      </c>
      <c r="M7" s="522" t="n">
        <v>53482.0</v>
      </c>
      <c r="N7" s="522" t="n">
        <v>6.0</v>
      </c>
      <c r="O7" s="522" t="n">
        <v>127.0</v>
      </c>
      <c r="P7" s="522" t="n">
        <v>497.0</v>
      </c>
      <c r="Q7" s="522" t="n">
        <v>515.0</v>
      </c>
      <c r="R7" s="522" t="n">
        <v>2015.0</v>
      </c>
      <c r="S7" s="522" t="n">
        <v>343.0</v>
      </c>
      <c r="T7" s="473"/>
      <c r="U7" s="13">
        <f>SUM(M7:T7)</f>
        <v>4103.3333333292303</v>
      </c>
    </row>
    <row r="8" spans="1:21" x14ac:dyDescent="0.25">
      <c r="A8" t="s">
        <v>252</v>
      </c>
      <c r="B8" s="13" t="n">
        <v>0.0</v>
      </c>
      <c r="C8" s="13" t="n">
        <v>2996.633951830779</v>
      </c>
      <c r="D8" s="13" t="n">
        <v>0.0</v>
      </c>
      <c r="E8" s="13" t="n">
        <v>0.0</v>
      </c>
      <c r="F8" s="13" t="n">
        <v>0.0</v>
      </c>
      <c r="G8" s="13" t="n">
        <v>168.542453711817</v>
      </c>
      <c r="H8" s="13" t="n">
        <v>0.0</v>
      </c>
      <c r="I8" s="13"/>
      <c r="J8" s="13">
        <f ref="J8:J14" si="0" t="shared">SUM(B8:I8)</f>
        <v>1096.498565741919</v>
      </c>
      <c r="K8" s="13"/>
      <c r="L8" t="str">
        <f>$A$8</f>
        <v>Bellevue Downtown</v>
      </c>
      <c r="M8" s="522" t="n">
        <v>38.0</v>
      </c>
      <c r="N8" s="522" t="n">
        <v>3133.0</v>
      </c>
      <c r="O8" s="522" t="n">
        <v>0.0</v>
      </c>
      <c r="P8" s="522" t="n">
        <v>19.0</v>
      </c>
      <c r="Q8" s="522" t="n">
        <v>0.0</v>
      </c>
      <c r="R8" s="522" t="n">
        <v>394.0</v>
      </c>
      <c r="S8" s="522" t="n">
        <v>0.0</v>
      </c>
      <c r="T8" s="473"/>
      <c r="U8" s="13">
        <f ref="U8:U14" si="1" t="shared">SUM(M8:T8)</f>
        <v>1173.33333333216</v>
      </c>
    </row>
    <row r="9" spans="1:21" x14ac:dyDescent="0.25">
      <c r="A9" t="s">
        <v>253</v>
      </c>
      <c r="B9" s="13" t="n">
        <v>87.4765598727696</v>
      </c>
      <c r="C9" s="13" t="n">
        <v>0.0</v>
      </c>
      <c r="D9" s="13" t="n">
        <v>2083.076559529392</v>
      </c>
      <c r="E9" s="13" t="n">
        <v>0.0</v>
      </c>
      <c r="F9" s="13" t="n">
        <v>386.249767104379</v>
      </c>
      <c r="G9" s="13" t="n">
        <v>0.0</v>
      </c>
      <c r="H9" s="13" t="n">
        <v>0.0</v>
      </c>
      <c r="I9" s="13"/>
      <c r="J9" s="13">
        <f si="0" t="shared"/>
        <v>929.03967281443897</v>
      </c>
      <c r="K9" s="14"/>
      <c r="L9" t="str">
        <f>$A$9</f>
        <v>Kirkland</v>
      </c>
      <c r="M9" s="522" t="n">
        <v>118.0</v>
      </c>
      <c r="N9" s="522" t="n">
        <v>0.0</v>
      </c>
      <c r="O9" s="522" t="n">
        <v>1110.0</v>
      </c>
      <c r="P9" s="522" t="n">
        <v>2.0</v>
      </c>
      <c r="Q9" s="522" t="n">
        <v>75.0</v>
      </c>
      <c r="R9" s="522" t="n">
        <v>4.0</v>
      </c>
      <c r="S9" s="522" t="n">
        <v>2.0</v>
      </c>
      <c r="T9" s="473"/>
      <c r="U9" s="13">
        <f si="1" t="shared"/>
        <v>1561.6666666651049</v>
      </c>
    </row>
    <row r="10" spans="1:21" x14ac:dyDescent="0.25">
      <c r="A10" t="s">
        <v>254</v>
      </c>
      <c r="B10" s="13" t="n">
        <v>459.682979895851</v>
      </c>
      <c r="C10" s="13" t="n">
        <v>0.0</v>
      </c>
      <c r="D10" s="13" t="n">
        <v>0.0</v>
      </c>
      <c r="E10" s="13" t="n">
        <v>12610.739307051283</v>
      </c>
      <c r="F10" s="13" t="n">
        <v>0.0</v>
      </c>
      <c r="G10" s="13" t="n">
        <v>0.0</v>
      </c>
      <c r="H10" s="13" t="n">
        <v>132.420142461624</v>
      </c>
      <c r="I10" s="13"/>
      <c r="J10" s="13">
        <f si="0" t="shared"/>
        <v>1877.9596579829608</v>
      </c>
      <c r="K10" s="14"/>
      <c r="L10" t="str">
        <f>$A$10</f>
        <v>Redmond</v>
      </c>
      <c r="M10" s="522" t="n">
        <v>1509.0</v>
      </c>
      <c r="N10" s="522" t="n">
        <v>12.0</v>
      </c>
      <c r="O10" s="522" t="n">
        <v>3.0</v>
      </c>
      <c r="P10" s="522" t="n">
        <v>17916.0</v>
      </c>
      <c r="Q10" s="522" t="n">
        <v>19.0</v>
      </c>
      <c r="R10" s="522" t="n">
        <v>189.0</v>
      </c>
      <c r="S10" s="522" t="n">
        <v>97.0</v>
      </c>
      <c r="T10" s="473"/>
      <c r="U10" s="13">
        <f si="1" t="shared"/>
        <v>1176.6666666654901</v>
      </c>
    </row>
    <row r="11" spans="1:21" x14ac:dyDescent="0.25">
      <c r="A11" t="s">
        <v>250</v>
      </c>
      <c r="B11" s="13" t="n">
        <v>501.8508396821268</v>
      </c>
      <c r="C11" s="13" t="n">
        <v>0.0</v>
      </c>
      <c r="D11" s="13" t="n">
        <v>377.454813908283</v>
      </c>
      <c r="E11" s="13" t="n">
        <v>0.0</v>
      </c>
      <c r="F11" s="13" t="n">
        <v>2455.991292490235</v>
      </c>
      <c r="G11" s="13" t="n">
        <v>0.0</v>
      </c>
      <c r="H11" s="13" t="n">
        <v>0.0</v>
      </c>
      <c r="I11" s="13"/>
      <c r="J11" s="13">
        <f si="0" t="shared"/>
        <v>1174.8112121817608</v>
      </c>
      <c r="K11" s="14"/>
      <c r="L11" t="str">
        <f>$A$11</f>
        <v>Seattle</v>
      </c>
      <c r="M11" s="522" t="n">
        <v>834.0</v>
      </c>
      <c r="N11" s="522" t="n">
        <v>0.0</v>
      </c>
      <c r="O11" s="522" t="n">
        <v>127.0</v>
      </c>
      <c r="P11" s="522" t="n">
        <v>15.0</v>
      </c>
      <c r="Q11" s="522" t="n">
        <v>5881.0</v>
      </c>
      <c r="R11" s="522" t="n">
        <v>13.0</v>
      </c>
      <c r="S11" s="522" t="n">
        <v>99.0</v>
      </c>
      <c r="T11" s="473"/>
      <c r="U11" s="13">
        <f si="1" t="shared"/>
        <v>466.6666666662</v>
      </c>
    </row>
    <row r="12" spans="1:21" x14ac:dyDescent="0.25">
      <c r="A12" t="s">
        <v>255</v>
      </c>
      <c r="B12" s="13" t="n">
        <v>4099.136275015566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17914.40639580597</v>
      </c>
      <c r="H12" s="13" t="n">
        <v>170.14401405256922</v>
      </c>
      <c r="I12" s="13"/>
      <c r="J12" s="13">
        <f si="0" t="shared"/>
        <v>1479.0909805124761</v>
      </c>
      <c r="K12" s="14"/>
      <c r="L12" t="str">
        <f>$A$12</f>
        <v>Seattle Downtown</v>
      </c>
      <c r="M12" s="522" t="n">
        <v>1384.0</v>
      </c>
      <c r="N12" s="522" t="n">
        <v>465.0</v>
      </c>
      <c r="O12" s="522" t="n">
        <v>2.0</v>
      </c>
      <c r="P12" s="522" t="n">
        <v>108.0</v>
      </c>
      <c r="Q12" s="522" t="n">
        <v>11.0</v>
      </c>
      <c r="R12" s="522" t="n">
        <v>10261.0</v>
      </c>
      <c r="S12" s="522" t="n">
        <v>17.0</v>
      </c>
      <c r="T12" s="473"/>
      <c r="U12" s="13">
        <f si="1" t="shared"/>
        <v>864.99999999913496</v>
      </c>
    </row>
    <row r="13" spans="1:21" x14ac:dyDescent="0.25">
      <c r="A13" t="s">
        <v>256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1893.3740568042795</v>
      </c>
      <c r="I13" s="13"/>
      <c r="J13" s="13">
        <f si="0" t="shared"/>
        <v>0</v>
      </c>
      <c r="K13" s="14"/>
      <c r="L13" t="str">
        <f>$A$13</f>
        <v>Rest</v>
      </c>
      <c r="M13" s="522" t="n">
        <v>437.0</v>
      </c>
      <c r="N13" s="522" t="n">
        <v>0.0</v>
      </c>
      <c r="O13" s="522" t="n">
        <v>1.0</v>
      </c>
      <c r="P13" s="522" t="n">
        <v>103.0</v>
      </c>
      <c r="Q13" s="522" t="n">
        <v>17.0</v>
      </c>
      <c r="R13" s="522" t="n">
        <v>29.0</v>
      </c>
      <c r="S13" s="522" t="n">
        <v>5053.0</v>
      </c>
      <c r="T13" s="473"/>
      <c r="U13" s="13">
        <f si="1" t="shared"/>
        <v>171.66666666649502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4978.9990646533561</v>
      </c>
      <c r="C15" s="16">
        <f si="2" t="shared"/>
        <v>1096.498565741919</v>
      </c>
      <c r="D15" s="16">
        <f si="2" t="shared"/>
        <v>929.03967281443897</v>
      </c>
      <c r="E15" s="16">
        <f si="2" t="shared"/>
        <v>1440.9126988257599</v>
      </c>
      <c r="F15" s="16">
        <f si="2" t="shared"/>
        <v>1174.8112121817608</v>
      </c>
      <c r="G15" s="16">
        <f si="2" t="shared"/>
        <v>1219.7204472865001</v>
      </c>
      <c r="H15" s="16">
        <f si="2" t="shared"/>
        <v>0</v>
      </c>
      <c r="I15" s="16">
        <f si="2" t="shared"/>
        <v>0</v>
      </c>
      <c r="J15" s="16">
        <f si="2" t="shared"/>
        <v>10839.981661503734</v>
      </c>
      <c r="K15" s="13"/>
      <c r="L15" s="16" t="s">
        <v>4</v>
      </c>
      <c r="M15" s="16">
        <f ref="M15:U15" si="3" t="shared">SUM(M7:M14)</f>
        <v>4491.666666662175</v>
      </c>
      <c r="N15" s="16">
        <f si="3" t="shared"/>
        <v>1334.9999999986649</v>
      </c>
      <c r="O15" s="16">
        <f si="3" t="shared"/>
        <v>1776.66666666489</v>
      </c>
      <c r="P15" s="16">
        <f si="3" t="shared"/>
        <v>984.99999999901513</v>
      </c>
      <c r="Q15" s="16">
        <f si="3" t="shared"/>
        <v>398.33333333293507</v>
      </c>
      <c r="R15" s="16">
        <f si="3" t="shared"/>
        <v>381.66666666628498</v>
      </c>
      <c r="S15" s="16">
        <f si="3" t="shared"/>
        <v>149.99999999985002</v>
      </c>
      <c r="T15" s="16">
        <f si="3" t="shared"/>
        <v>0</v>
      </c>
      <c r="U15" s="16">
        <f si="3" t="shared"/>
        <v>9518.3333333238133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25">
      <c r="A20" t="str">
        <f>$A$7</f>
        <v>Bellevue</v>
      </c>
      <c r="B20" s="13">
        <f ref="B20:G20" si="4" t="shared">($U7/$J7)*B7</f>
        <v>4103.3333333292303</v>
      </c>
      <c r="C20" s="13">
        <f si="4" t="shared"/>
        <v>0</v>
      </c>
      <c r="D20" s="13">
        <f si="4" t="shared"/>
        <v>0</v>
      </c>
      <c r="E20" s="13">
        <f si="4" t="shared"/>
        <v>0</v>
      </c>
      <c r="F20" s="13">
        <f si="4" t="shared"/>
        <v>0</v>
      </c>
      <c r="G20" s="13">
        <f si="4" t="shared"/>
        <v>0</v>
      </c>
      <c r="H20" s="13">
        <f ref="H20" si="5" t="shared">($U7/$J7)*H7</f>
        <v>0</v>
      </c>
      <c r="I20" s="13"/>
      <c r="J20" s="13">
        <f>SUM(B20:I20)</f>
        <v>4103.3333333292303</v>
      </c>
      <c r="K20" s="13"/>
      <c r="L20" t="str">
        <f>$A$7</f>
        <v>Bellevue</v>
      </c>
      <c r="M20" s="13">
        <f ref="M20:M26" si="6" t="shared">M7</f>
        <v>3868.3333333294649</v>
      </c>
      <c r="N20" s="13">
        <f ref="N20:U20" si="7" t="shared">N7</f>
        <v>96.666666666570009</v>
      </c>
      <c r="O20" s="13">
        <f si="7" t="shared"/>
        <v>3.3333333333300001</v>
      </c>
      <c r="P20" s="13">
        <f si="7" t="shared"/>
        <v>49.999999999949999</v>
      </c>
      <c r="Q20" s="13">
        <f si="7" t="shared"/>
        <v>74.999999999925009</v>
      </c>
      <c r="R20" s="13">
        <f si="7" t="shared"/>
        <v>8.333333333325001</v>
      </c>
      <c r="S20" s="13">
        <f ref="S20" si="8" t="shared">S7</f>
        <v>1.6666666666650001</v>
      </c>
      <c r="T20" s="13"/>
      <c r="U20" s="13">
        <f si="7" t="shared"/>
        <v>4103.3333333292303</v>
      </c>
    </row>
    <row r="21" spans="1:32" x14ac:dyDescent="0.25">
      <c r="A21" t="str">
        <f>$A$8</f>
        <v>Bellevue Downtown</v>
      </c>
      <c r="B21" s="13">
        <f ref="B21:G26" si="9" t="shared">($U8/$J8)*B8</f>
        <v>0</v>
      </c>
      <c r="C21" s="13">
        <f si="9" t="shared"/>
        <v>1173.33333333216</v>
      </c>
      <c r="D21" s="13">
        <f si="9" t="shared"/>
        <v>0</v>
      </c>
      <c r="E21" s="13">
        <f si="9" t="shared"/>
        <v>0</v>
      </c>
      <c r="F21" s="13">
        <f si="9" t="shared"/>
        <v>0</v>
      </c>
      <c r="G21" s="13">
        <f si="9" t="shared"/>
        <v>0</v>
      </c>
      <c r="H21" s="13">
        <f ref="H21" si="10" t="shared">($U8/$J8)*H8</f>
        <v>0</v>
      </c>
      <c r="I21" s="13"/>
      <c r="J21" s="13">
        <f ref="J21:J27" si="11" t="shared">SUM(B21:I21)</f>
        <v>1173.33333333216</v>
      </c>
      <c r="K21" s="13"/>
      <c r="L21" t="str">
        <f>$A$8</f>
        <v>Bellevue Downtown</v>
      </c>
      <c r="M21" s="13">
        <f si="6" t="shared"/>
        <v>173.33333333316</v>
      </c>
      <c r="N21" s="13">
        <f ref="N21:R26" si="12" t="shared">N8</f>
        <v>963.33333333236999</v>
      </c>
      <c r="O21" s="13">
        <f si="12" t="shared"/>
        <v>4.9999999999950004</v>
      </c>
      <c r="P21" s="13">
        <f si="12" t="shared"/>
        <v>6.6666666666600003</v>
      </c>
      <c r="Q21" s="13">
        <f si="12" t="shared"/>
        <v>13.333333333320001</v>
      </c>
      <c r="R21" s="13">
        <f si="12" t="shared"/>
        <v>9.9999999999900009</v>
      </c>
      <c r="S21" s="13">
        <f ref="S21" si="13" t="shared">S8</f>
        <v>1.6666666666650001</v>
      </c>
      <c r="T21" s="13"/>
      <c r="U21" s="13">
        <f ref="U21:U26" si="14" t="shared">U8</f>
        <v>1173.33333333216</v>
      </c>
    </row>
    <row r="22" spans="1:32" x14ac:dyDescent="0.25">
      <c r="A22" t="str">
        <f>$A$9</f>
        <v>Kirkland</v>
      </c>
      <c r="B22" s="13">
        <f si="9" t="shared"/>
        <v>0</v>
      </c>
      <c r="C22" s="13">
        <f si="9" t="shared"/>
        <v>0</v>
      </c>
      <c r="D22" s="13">
        <f si="9" t="shared"/>
        <v>1561.6666666651049</v>
      </c>
      <c r="E22" s="13">
        <f si="9" t="shared"/>
        <v>0</v>
      </c>
      <c r="F22" s="13">
        <f si="9" t="shared"/>
        <v>0</v>
      </c>
      <c r="G22" s="13">
        <f si="9" t="shared"/>
        <v>0</v>
      </c>
      <c r="H22" s="13">
        <f ref="H22" si="15" t="shared">($U9/$J9)*H9</f>
        <v>0</v>
      </c>
      <c r="I22" s="13"/>
      <c r="J22" s="13">
        <f si="11" t="shared"/>
        <v>1561.6666666651049</v>
      </c>
      <c r="K22" s="14"/>
      <c r="L22" t="str">
        <f>$A$9</f>
        <v>Kirkland</v>
      </c>
      <c r="M22" s="13">
        <f si="6" t="shared"/>
        <v>6.6666666666600003</v>
      </c>
      <c r="N22" s="13">
        <f si="12" t="shared"/>
        <v>6.6666666666600003</v>
      </c>
      <c r="O22" s="13">
        <f si="12" t="shared"/>
        <v>1519.99999999848</v>
      </c>
      <c r="P22" s="13">
        <f si="12" t="shared"/>
        <v>1.6666666666650001</v>
      </c>
      <c r="Q22" s="13">
        <f si="12" t="shared"/>
        <v>3.3333333333300001</v>
      </c>
      <c r="R22" s="13">
        <f si="12" t="shared"/>
        <v>21.666666666645</v>
      </c>
      <c r="S22" s="13">
        <f ref="S22" si="16" t="shared">S9</f>
        <v>1.6666666666650001</v>
      </c>
      <c r="T22" s="13"/>
      <c r="U22" s="13">
        <f si="14" t="shared"/>
        <v>1561.6666666651049</v>
      </c>
    </row>
    <row r="23" spans="1:32" x14ac:dyDescent="0.25">
      <c r="A23" t="str">
        <f>$A$10</f>
        <v>Redmond</v>
      </c>
      <c r="B23" s="13">
        <f si="9" t="shared"/>
        <v>273.83899671206797</v>
      </c>
      <c r="C23" s="13">
        <f si="9" t="shared"/>
        <v>0</v>
      </c>
      <c r="D23" s="13">
        <f si="9" t="shared"/>
        <v>0</v>
      </c>
      <c r="E23" s="13">
        <f si="9" t="shared"/>
        <v>902.82766995342217</v>
      </c>
      <c r="F23" s="13">
        <f si="9" t="shared"/>
        <v>0</v>
      </c>
      <c r="G23" s="13">
        <f si="9" t="shared"/>
        <v>0</v>
      </c>
      <c r="H23" s="13">
        <f ref="H23" si="17" t="shared">($U10/$J10)*H10</f>
        <v>0</v>
      </c>
      <c r="I23" s="13"/>
      <c r="J23" s="13">
        <f>SUM(B23:I23)</f>
        <v>1176.6666666654901</v>
      </c>
      <c r="K23" s="14"/>
      <c r="L23" t="str">
        <f>$A$10</f>
        <v>Redmond</v>
      </c>
      <c r="M23" s="13">
        <f si="6" t="shared"/>
        <v>231.66666666643502</v>
      </c>
      <c r="N23" s="13">
        <f si="12" t="shared"/>
        <v>6.6666666666600003</v>
      </c>
      <c r="O23" s="13">
        <f si="12" t="shared"/>
        <v>1.6666666666650001</v>
      </c>
      <c r="P23" s="13">
        <f si="12" t="shared"/>
        <v>913.33333333242001</v>
      </c>
      <c r="Q23" s="13">
        <f si="12" t="shared"/>
        <v>19.999999999980002</v>
      </c>
      <c r="R23" s="13">
        <f si="12" t="shared"/>
        <v>3.3333333333300001</v>
      </c>
      <c r="S23" s="13">
        <f ref="S23" si="18" t="shared">S10</f>
        <v>0</v>
      </c>
      <c r="T23" s="13"/>
      <c r="U23" s="13">
        <f si="14" t="shared"/>
        <v>1176.6666666654901</v>
      </c>
    </row>
    <row r="24" spans="1:32" x14ac:dyDescent="0.25">
      <c r="A24" t="str">
        <f>$A$11</f>
        <v>Seattle</v>
      </c>
      <c r="B24" s="13">
        <f si="9" t="shared"/>
        <v>0</v>
      </c>
      <c r="C24" s="13">
        <f si="9" t="shared"/>
        <v>0</v>
      </c>
      <c r="D24" s="13">
        <f si="9" t="shared"/>
        <v>0</v>
      </c>
      <c r="E24" s="13">
        <f si="9" t="shared"/>
        <v>0</v>
      </c>
      <c r="F24" s="13">
        <f si="9" t="shared"/>
        <v>466.6666666662</v>
      </c>
      <c r="G24" s="13">
        <f si="9" t="shared"/>
        <v>0</v>
      </c>
      <c r="H24" s="13">
        <f ref="H24" si="19" t="shared">($U11/$J11)*H11</f>
        <v>0</v>
      </c>
      <c r="I24" s="13"/>
      <c r="J24" s="13">
        <f si="11" t="shared"/>
        <v>466.6666666662</v>
      </c>
      <c r="K24" s="14"/>
      <c r="L24" t="str">
        <f>$A$11</f>
        <v>Seattle</v>
      </c>
      <c r="M24" s="13">
        <f si="6" t="shared"/>
        <v>148.33333333318501</v>
      </c>
      <c r="N24" s="13">
        <f si="12" t="shared"/>
        <v>29.999999999970001</v>
      </c>
      <c r="O24" s="13">
        <f si="12" t="shared"/>
        <v>0</v>
      </c>
      <c r="P24" s="13">
        <f si="12" t="shared"/>
        <v>6.6666666666600003</v>
      </c>
      <c r="Q24" s="13">
        <f si="12" t="shared"/>
        <v>273.33333333306001</v>
      </c>
      <c r="R24" s="13">
        <f si="12" t="shared"/>
        <v>8.333333333325001</v>
      </c>
      <c r="S24" s="13">
        <f ref="S24" si="20" t="shared">S11</f>
        <v>0</v>
      </c>
      <c r="T24" s="13"/>
      <c r="U24" s="13">
        <f si="14" t="shared"/>
        <v>466.6666666662</v>
      </c>
    </row>
    <row r="25" spans="1:32" x14ac:dyDescent="0.25">
      <c r="A25" t="str">
        <f>$A$12</f>
        <v>Seattle Downtown</v>
      </c>
      <c r="B25" s="13">
        <f si="9" t="shared"/>
        <v>151.68472676542862</v>
      </c>
      <c r="C25" s="13">
        <f si="9" t="shared"/>
        <v>0</v>
      </c>
      <c r="D25" s="13">
        <f si="9" t="shared"/>
        <v>0</v>
      </c>
      <c r="E25" s="13">
        <f si="9" t="shared"/>
        <v>0</v>
      </c>
      <c r="F25" s="13">
        <f si="9" t="shared"/>
        <v>0</v>
      </c>
      <c r="G25" s="13">
        <f si="9" t="shared"/>
        <v>713.31527323370631</v>
      </c>
      <c r="H25" s="13">
        <f ref="H25" si="21" t="shared">($U12/$J12)*H12</f>
        <v>0</v>
      </c>
      <c r="I25" s="13"/>
      <c r="J25" s="13">
        <f si="11" t="shared"/>
        <v>864.99999999913496</v>
      </c>
      <c r="K25" s="14"/>
      <c r="L25" t="str">
        <f>$A$12</f>
        <v>Seattle Downtown</v>
      </c>
      <c r="M25" s="13">
        <f si="6" t="shared"/>
        <v>59.999999999940002</v>
      </c>
      <c r="N25" s="13">
        <f si="12" t="shared"/>
        <v>223.33333333311001</v>
      </c>
      <c r="O25" s="13">
        <f si="12" t="shared"/>
        <v>226.66666666644002</v>
      </c>
      <c r="P25" s="13">
        <f si="12" t="shared"/>
        <v>4.9999999999950004</v>
      </c>
      <c r="Q25" s="13">
        <f si="12" t="shared"/>
        <v>13.333333333320001</v>
      </c>
      <c r="R25" s="13">
        <f si="12" t="shared"/>
        <v>328.33333333300499</v>
      </c>
      <c r="S25" s="13">
        <f ref="S25:S26" si="22" t="shared">S12</f>
        <v>8.333333333325001</v>
      </c>
      <c r="T25" s="13"/>
      <c r="U25" s="13">
        <f si="14" t="shared"/>
        <v>864.99999999913496</v>
      </c>
    </row>
    <row r="26" spans="1:32" x14ac:dyDescent="0.25">
      <c r="A26" t="str">
        <f>$A$13</f>
        <v>Rest</v>
      </c>
      <c r="B26" s="13" t="e">
        <f si="9" t="shared"/>
        <v>#DIV/0!</v>
      </c>
      <c r="C26" s="13" t="e">
        <f si="9" t="shared"/>
        <v>#DIV/0!</v>
      </c>
      <c r="D26" s="13" t="e">
        <f si="9" t="shared"/>
        <v>#DIV/0!</v>
      </c>
      <c r="E26" s="13" t="e">
        <f si="9" t="shared"/>
        <v>#DIV/0!</v>
      </c>
      <c r="F26" s="13" t="e">
        <f si="9" t="shared"/>
        <v>#DIV/0!</v>
      </c>
      <c r="G26" s="13" t="e">
        <f si="9" t="shared"/>
        <v>#DIV/0!</v>
      </c>
      <c r="H26" s="13" t="e">
        <f ref="H26" si="23" t="shared">($U13/$J13)*H13</f>
        <v>#DIV/0!</v>
      </c>
      <c r="I26" s="13"/>
      <c r="J26" s="13" t="e">
        <f si="11" t="shared"/>
        <v>#DIV/0!</v>
      </c>
      <c r="K26" s="14"/>
      <c r="L26" t="str">
        <f>$A$13</f>
        <v>Rest</v>
      </c>
      <c r="M26" s="13">
        <f si="6" t="shared"/>
        <v>3.3333333333300001</v>
      </c>
      <c r="N26" s="13">
        <f si="12" t="shared"/>
        <v>8.333333333325001</v>
      </c>
      <c r="O26" s="13">
        <f si="12" t="shared"/>
        <v>19.999999999980002</v>
      </c>
      <c r="P26" s="13">
        <f si="12" t="shared"/>
        <v>1.6666666666650001</v>
      </c>
      <c r="Q26" s="13">
        <f si="12" t="shared"/>
        <v>0</v>
      </c>
      <c r="R26" s="13">
        <f si="12" t="shared"/>
        <v>1.6666666666650001</v>
      </c>
      <c r="S26" s="13">
        <f si="22" t="shared"/>
        <v>136.66666666653001</v>
      </c>
      <c r="T26" s="13"/>
      <c r="U26" s="13">
        <f si="14" t="shared"/>
        <v>171.66666666649502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si="11" t="shared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ht="15.75" r="28" spans="1:32" thickBot="1" x14ac:dyDescent="0.3">
      <c r="A28" s="1" t="s">
        <v>4</v>
      </c>
      <c r="B28" s="16" t="e">
        <f ref="B28:J28" si="24" t="shared">SUM(B20:B27)</f>
        <v>#DIV/0!</v>
      </c>
      <c r="C28" s="16" t="e">
        <f si="24" t="shared"/>
        <v>#DIV/0!</v>
      </c>
      <c r="D28" s="16" t="e">
        <f si="24" t="shared"/>
        <v>#DIV/0!</v>
      </c>
      <c r="E28" s="16" t="e">
        <f si="24" t="shared"/>
        <v>#DIV/0!</v>
      </c>
      <c r="F28" s="16" t="e">
        <f si="24" t="shared"/>
        <v>#DIV/0!</v>
      </c>
      <c r="G28" s="16" t="e">
        <f si="24" t="shared"/>
        <v>#DIV/0!</v>
      </c>
      <c r="H28" s="16" t="e">
        <f si="24" t="shared"/>
        <v>#DIV/0!</v>
      </c>
      <c r="I28" s="16">
        <f si="24" t="shared"/>
        <v>0</v>
      </c>
      <c r="J28" s="16" t="e">
        <f si="24" t="shared"/>
        <v>#DIV/0!</v>
      </c>
      <c r="K28" s="13"/>
      <c r="L28" s="16" t="s">
        <v>4</v>
      </c>
      <c r="M28" s="16">
        <f ref="M28:U28" si="25" t="shared">M15</f>
        <v>4491.666666662175</v>
      </c>
      <c r="N28" s="16">
        <f si="25" t="shared"/>
        <v>1334.9999999986649</v>
      </c>
      <c r="O28" s="16">
        <f si="25" t="shared"/>
        <v>1776.66666666489</v>
      </c>
      <c r="P28" s="16">
        <f si="25" t="shared"/>
        <v>984.99999999901513</v>
      </c>
      <c r="Q28" s="16">
        <f si="25" t="shared"/>
        <v>398.33333333293507</v>
      </c>
      <c r="R28" s="16">
        <f si="25" t="shared"/>
        <v>381.66666666628498</v>
      </c>
      <c r="S28" s="16">
        <f si="25" t="shared"/>
        <v>149.99999999985002</v>
      </c>
      <c r="T28" s="16"/>
      <c r="U28" s="16">
        <f si="25" t="shared"/>
        <v>9518.3333333238133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25">
      <c r="A33" t="str">
        <f>$A$7</f>
        <v>Bellevue</v>
      </c>
      <c r="B33" s="17" t="e">
        <f ref="B33:G33" si="26" t="shared">B20/$J$28</f>
        <v>#DIV/0!</v>
      </c>
      <c r="C33" s="17" t="e">
        <f si="26" t="shared"/>
        <v>#DIV/0!</v>
      </c>
      <c r="D33" s="17" t="e">
        <f si="26" t="shared"/>
        <v>#DIV/0!</v>
      </c>
      <c r="E33" s="17" t="e">
        <f si="26" t="shared"/>
        <v>#DIV/0!</v>
      </c>
      <c r="F33" s="17" t="e">
        <f si="26" t="shared"/>
        <v>#DIV/0!</v>
      </c>
      <c r="G33" s="17" t="e">
        <f si="26" t="shared"/>
        <v>#DIV/0!</v>
      </c>
      <c r="H33" s="17" t="e">
        <f ref="H33" si="27" t="shared">H20/$J$28</f>
        <v>#DIV/0!</v>
      </c>
      <c r="I33" s="13"/>
      <c r="J33" s="17" t="e">
        <f ref="J33:J39" si="28" t="shared">J20/$J$28</f>
        <v>#DIV/0!</v>
      </c>
      <c r="K33" s="13"/>
      <c r="L33" t="str">
        <f>$A$7</f>
        <v>Bellevue</v>
      </c>
      <c r="M33" s="17">
        <f ref="M33:R33" si="29" t="shared">M20/$U$28</f>
        <v>0.40640868499387156</v>
      </c>
      <c r="N33" s="17">
        <f si="29" t="shared"/>
        <v>1.0155839607774473E-2</v>
      </c>
      <c r="O33" s="17">
        <f si="29" t="shared"/>
        <v>3.5020136578532663E-4</v>
      </c>
      <c r="P33" s="17">
        <f si="29" t="shared"/>
        <v>5.2530204867798991E-3</v>
      </c>
      <c r="Q33" s="17">
        <f si="29" t="shared"/>
        <v>7.8795307301698508E-3</v>
      </c>
      <c r="R33" s="17">
        <f si="29" t="shared"/>
        <v>8.7550341446331666E-4</v>
      </c>
      <c r="S33" s="17">
        <f ref="S33" si="30" t="shared">S20/$U$28</f>
        <v>1.7510068289266332E-4</v>
      </c>
      <c r="T33" s="17"/>
      <c r="U33" s="17">
        <f ref="U33:U39" si="31" t="shared">U20/$U$28</f>
        <v>0.43109788128173709</v>
      </c>
      <c r="W33" t="str">
        <f>$A$7</f>
        <v>Bellevue</v>
      </c>
      <c r="X33" s="17" t="e">
        <f ref="X33:AD33" si="32" t="shared">M33-B33</f>
        <v>#DIV/0!</v>
      </c>
      <c r="Y33" s="17" t="e">
        <f si="32" t="shared"/>
        <v>#DIV/0!</v>
      </c>
      <c r="Z33" s="17" t="e">
        <f si="32" t="shared"/>
        <v>#DIV/0!</v>
      </c>
      <c r="AA33" s="17" t="e">
        <f si="32" t="shared"/>
        <v>#DIV/0!</v>
      </c>
      <c r="AB33" s="17" t="e">
        <f si="32" t="shared"/>
        <v>#DIV/0!</v>
      </c>
      <c r="AC33" s="17" t="e">
        <f si="32" t="shared"/>
        <v>#DIV/0!</v>
      </c>
      <c r="AD33" s="17" t="e">
        <f si="32" t="shared"/>
        <v>#DIV/0!</v>
      </c>
      <c r="AE33" s="17"/>
      <c r="AF33" s="17" t="e">
        <f ref="AF33:AF39" si="33" t="shared">U33-J33</f>
        <v>#DIV/0!</v>
      </c>
    </row>
    <row r="34" spans="1:32" x14ac:dyDescent="0.25">
      <c r="A34" t="str">
        <f>$A$8</f>
        <v>Bellevue Downtown</v>
      </c>
      <c r="B34" s="17" t="e">
        <f ref="B34:G39" si="34" t="shared">B21/$J$28</f>
        <v>#DIV/0!</v>
      </c>
      <c r="C34" s="17" t="e">
        <f si="34" t="shared"/>
        <v>#DIV/0!</v>
      </c>
      <c r="D34" s="17" t="e">
        <f si="34" t="shared"/>
        <v>#DIV/0!</v>
      </c>
      <c r="E34" s="17" t="e">
        <f si="34" t="shared"/>
        <v>#DIV/0!</v>
      </c>
      <c r="F34" s="17" t="e">
        <f si="34" t="shared"/>
        <v>#DIV/0!</v>
      </c>
      <c r="G34" s="17" t="e">
        <f si="34" t="shared"/>
        <v>#DIV/0!</v>
      </c>
      <c r="H34" s="17" t="e">
        <f ref="H34" si="35" t="shared">H21/$J$28</f>
        <v>#DIV/0!</v>
      </c>
      <c r="I34" s="13"/>
      <c r="J34" s="17" t="e">
        <f si="28" t="shared"/>
        <v>#DIV/0!</v>
      </c>
      <c r="K34" s="13"/>
      <c r="L34" t="str">
        <f>$A$8</f>
        <v>Bellevue Downtown</v>
      </c>
      <c r="M34" s="17">
        <f ref="M34:R39" si="36" t="shared">M21/$U$28</f>
        <v>1.8210471020836984E-2</v>
      </c>
      <c r="N34" s="17">
        <f si="36" t="shared"/>
        <v>0.1012081947119594</v>
      </c>
      <c r="O34" s="17">
        <f si="36" t="shared"/>
        <v>5.2530204867798998E-4</v>
      </c>
      <c r="P34" s="17">
        <f si="36" t="shared"/>
        <v>7.0040273157065327E-4</v>
      </c>
      <c r="Q34" s="17">
        <f si="36" t="shared"/>
        <v>1.4008054631413065E-3</v>
      </c>
      <c r="R34" s="17">
        <f si="36" t="shared"/>
        <v>1.05060409735598E-3</v>
      </c>
      <c r="S34" s="17">
        <f ref="S34" si="37" t="shared">S21/$U$28</f>
        <v>1.7510068289266332E-4</v>
      </c>
      <c r="T34" s="17"/>
      <c r="U34" s="17">
        <f si="31" t="shared"/>
        <v>0.12327088075643497</v>
      </c>
      <c r="W34" t="str">
        <f>$A$8</f>
        <v>Bellevue Downtown</v>
      </c>
      <c r="X34" s="17" t="e">
        <f ref="X34:X38" si="38" t="shared">M34-B34</f>
        <v>#DIV/0!</v>
      </c>
      <c r="Y34" s="17" t="e">
        <f ref="Y34:AD38" si="39" t="shared">N34-C34</f>
        <v>#DIV/0!</v>
      </c>
      <c r="Z34" s="17" t="e">
        <f si="39" t="shared"/>
        <v>#DIV/0!</v>
      </c>
      <c r="AA34" s="17" t="e">
        <f si="39" t="shared"/>
        <v>#DIV/0!</v>
      </c>
      <c r="AB34" s="17" t="e">
        <f si="39" t="shared"/>
        <v>#DIV/0!</v>
      </c>
      <c r="AC34" s="17" t="e">
        <f si="39" t="shared"/>
        <v>#DIV/0!</v>
      </c>
      <c r="AD34" s="17" t="e">
        <f si="39" t="shared"/>
        <v>#DIV/0!</v>
      </c>
      <c r="AE34" s="17"/>
      <c r="AF34" s="17" t="e">
        <f si="33" t="shared"/>
        <v>#DIV/0!</v>
      </c>
    </row>
    <row r="35" spans="1:32" x14ac:dyDescent="0.25">
      <c r="A35" t="str">
        <f>$A$9</f>
        <v>Kirkland</v>
      </c>
      <c r="B35" s="17" t="e">
        <f si="34" t="shared"/>
        <v>#DIV/0!</v>
      </c>
      <c r="C35" s="17" t="e">
        <f si="34" t="shared"/>
        <v>#DIV/0!</v>
      </c>
      <c r="D35" s="17" t="e">
        <f si="34" t="shared"/>
        <v>#DIV/0!</v>
      </c>
      <c r="E35" s="17" t="e">
        <f si="34" t="shared"/>
        <v>#DIV/0!</v>
      </c>
      <c r="F35" s="17" t="e">
        <f si="34" t="shared"/>
        <v>#DIV/0!</v>
      </c>
      <c r="G35" s="17" t="e">
        <f si="34" t="shared"/>
        <v>#DIV/0!</v>
      </c>
      <c r="H35" s="17" t="e">
        <f ref="H35" si="40" t="shared">H22/$J$28</f>
        <v>#DIV/0!</v>
      </c>
      <c r="I35" s="13"/>
      <c r="J35" s="17" t="e">
        <f si="28" t="shared"/>
        <v>#DIV/0!</v>
      </c>
      <c r="K35" s="14"/>
      <c r="L35" t="str">
        <f>$A$9</f>
        <v>Kirkland</v>
      </c>
      <c r="M35" s="17">
        <f si="36" t="shared"/>
        <v>7.0040273157065327E-4</v>
      </c>
      <c r="N35" s="17">
        <f si="36" t="shared"/>
        <v>7.0040273157065327E-4</v>
      </c>
      <c r="O35" s="17">
        <f si="36" t="shared"/>
        <v>0.15969182279810895</v>
      </c>
      <c r="P35" s="17">
        <f si="36" t="shared"/>
        <v>1.7510068289266332E-4</v>
      </c>
      <c r="Q35" s="17">
        <f si="36" t="shared"/>
        <v>3.5020136578532663E-4</v>
      </c>
      <c r="R35" s="17">
        <f si="36" t="shared"/>
        <v>2.276308877604623E-3</v>
      </c>
      <c r="S35" s="17">
        <f ref="S35" si="41" t="shared">S22/$U$28</f>
        <v>1.7510068289266332E-4</v>
      </c>
      <c r="T35" s="17"/>
      <c r="U35" s="17">
        <f si="31" t="shared"/>
        <v>0.16406933987042552</v>
      </c>
      <c r="W35" t="str">
        <f>$A$9</f>
        <v>Kirkland</v>
      </c>
      <c r="X35" s="17" t="e">
        <f si="38" t="shared"/>
        <v>#DIV/0!</v>
      </c>
      <c r="Y35" s="17" t="e">
        <f si="39" t="shared"/>
        <v>#DIV/0!</v>
      </c>
      <c r="Z35" s="17" t="e">
        <f si="39" t="shared"/>
        <v>#DIV/0!</v>
      </c>
      <c r="AA35" s="17" t="e">
        <f si="39" t="shared"/>
        <v>#DIV/0!</v>
      </c>
      <c r="AB35" s="17" t="e">
        <f si="39" t="shared"/>
        <v>#DIV/0!</v>
      </c>
      <c r="AC35" s="17" t="e">
        <f si="39" t="shared"/>
        <v>#DIV/0!</v>
      </c>
      <c r="AD35" s="17" t="e">
        <f si="39" t="shared"/>
        <v>#DIV/0!</v>
      </c>
      <c r="AE35" s="17"/>
      <c r="AF35" s="17" t="e">
        <f si="33" t="shared"/>
        <v>#DIV/0!</v>
      </c>
    </row>
    <row r="36" spans="1:32" x14ac:dyDescent="0.25">
      <c r="A36" t="str">
        <f>$A$10</f>
        <v>Redmond</v>
      </c>
      <c r="B36" s="17" t="e">
        <f si="34" t="shared"/>
        <v>#DIV/0!</v>
      </c>
      <c r="C36" s="17" t="e">
        <f si="34" t="shared"/>
        <v>#DIV/0!</v>
      </c>
      <c r="D36" s="17" t="e">
        <f si="34" t="shared"/>
        <v>#DIV/0!</v>
      </c>
      <c r="E36" s="17" t="e">
        <f si="34" t="shared"/>
        <v>#DIV/0!</v>
      </c>
      <c r="F36" s="17" t="e">
        <f si="34" t="shared"/>
        <v>#DIV/0!</v>
      </c>
      <c r="G36" s="17" t="e">
        <f si="34" t="shared"/>
        <v>#DIV/0!</v>
      </c>
      <c r="H36" s="17" t="e">
        <f ref="H36" si="42" t="shared">H23/$J$28</f>
        <v>#DIV/0!</v>
      </c>
      <c r="I36" s="13"/>
      <c r="J36" s="17" t="e">
        <f si="28" t="shared"/>
        <v>#DIV/0!</v>
      </c>
      <c r="K36" s="14"/>
      <c r="L36" t="str">
        <f>$A$10</f>
        <v>Redmond</v>
      </c>
      <c r="M36" s="17">
        <f si="36" t="shared"/>
        <v>2.4338994922080203E-2</v>
      </c>
      <c r="N36" s="17">
        <f si="36" t="shared"/>
        <v>7.0040273157065327E-4</v>
      </c>
      <c r="O36" s="17">
        <f si="36" t="shared"/>
        <v>1.7510068289266332E-4</v>
      </c>
      <c r="P36" s="17">
        <f si="36" t="shared"/>
        <v>9.595517422517949E-2</v>
      </c>
      <c r="Q36" s="17">
        <f si="36" t="shared"/>
        <v>2.1012081947119599E-3</v>
      </c>
      <c r="R36" s="17">
        <f si="36" t="shared"/>
        <v>3.5020136578532663E-4</v>
      </c>
      <c r="S36" s="17">
        <f ref="S36" si="43" t="shared">S23/$U$28</f>
        <v>0</v>
      </c>
      <c r="T36" s="17"/>
      <c r="U36" s="17">
        <f si="31" t="shared"/>
        <v>0.12362108212222031</v>
      </c>
      <c r="W36" t="str">
        <f>$A$10</f>
        <v>Redmond</v>
      </c>
      <c r="X36" s="17" t="e">
        <f si="38" t="shared"/>
        <v>#DIV/0!</v>
      </c>
      <c r="Y36" s="17" t="e">
        <f si="39" t="shared"/>
        <v>#DIV/0!</v>
      </c>
      <c r="Z36" s="17" t="e">
        <f si="39" t="shared"/>
        <v>#DIV/0!</v>
      </c>
      <c r="AA36" s="17" t="e">
        <f si="39" t="shared"/>
        <v>#DIV/0!</v>
      </c>
      <c r="AB36" s="17" t="e">
        <f si="39" t="shared"/>
        <v>#DIV/0!</v>
      </c>
      <c r="AC36" s="17" t="e">
        <f si="39" t="shared"/>
        <v>#DIV/0!</v>
      </c>
      <c r="AD36" s="17" t="e">
        <f si="39" t="shared"/>
        <v>#DIV/0!</v>
      </c>
      <c r="AE36" s="17"/>
      <c r="AF36" s="17" t="e">
        <f si="33" t="shared"/>
        <v>#DIV/0!</v>
      </c>
    </row>
    <row r="37" spans="1:32" x14ac:dyDescent="0.25">
      <c r="A37" t="str">
        <f>$A$11</f>
        <v>Seattle</v>
      </c>
      <c r="B37" s="17" t="e">
        <f si="34" t="shared"/>
        <v>#DIV/0!</v>
      </c>
      <c r="C37" s="17" t="e">
        <f si="34" t="shared"/>
        <v>#DIV/0!</v>
      </c>
      <c r="D37" s="17" t="e">
        <f si="34" t="shared"/>
        <v>#DIV/0!</v>
      </c>
      <c r="E37" s="17" t="e">
        <f si="34" t="shared"/>
        <v>#DIV/0!</v>
      </c>
      <c r="F37" s="17" t="e">
        <f si="34" t="shared"/>
        <v>#DIV/0!</v>
      </c>
      <c r="G37" s="17" t="e">
        <f si="34" t="shared"/>
        <v>#DIV/0!</v>
      </c>
      <c r="H37" s="17" t="e">
        <f ref="H37" si="44" t="shared">H24/$J$28</f>
        <v>#DIV/0!</v>
      </c>
      <c r="I37" s="13"/>
      <c r="J37" s="17" t="e">
        <f si="28" t="shared"/>
        <v>#DIV/0!</v>
      </c>
      <c r="K37" s="14"/>
      <c r="L37" t="str">
        <f>$A$11</f>
        <v>Seattle</v>
      </c>
      <c r="M37" s="17">
        <f si="36" t="shared"/>
        <v>1.5583960777447036E-2</v>
      </c>
      <c r="N37" s="17">
        <f si="36" t="shared"/>
        <v>3.1518122920679396E-3</v>
      </c>
      <c r="O37" s="17">
        <f si="36" t="shared"/>
        <v>0</v>
      </c>
      <c r="P37" s="17">
        <f si="36" t="shared"/>
        <v>7.0040273157065327E-4</v>
      </c>
      <c r="Q37" s="17">
        <f si="36" t="shared"/>
        <v>2.8716511994396784E-2</v>
      </c>
      <c r="R37" s="17">
        <f si="36" t="shared"/>
        <v>8.7550341446331666E-4</v>
      </c>
      <c r="S37" s="17">
        <f ref="S37" si="45" t="shared">S24/$U$28</f>
        <v>0</v>
      </c>
      <c r="T37" s="17"/>
      <c r="U37" s="17">
        <f si="31" t="shared"/>
        <v>4.9028191209945726E-2</v>
      </c>
      <c r="W37" t="str">
        <f>$A$11</f>
        <v>Seattle</v>
      </c>
      <c r="X37" s="17" t="e">
        <f si="38" t="shared"/>
        <v>#DIV/0!</v>
      </c>
      <c r="Y37" s="17" t="e">
        <f si="39" t="shared"/>
        <v>#DIV/0!</v>
      </c>
      <c r="Z37" s="17" t="e">
        <f si="39" t="shared"/>
        <v>#DIV/0!</v>
      </c>
      <c r="AA37" s="17" t="e">
        <f si="39" t="shared"/>
        <v>#DIV/0!</v>
      </c>
      <c r="AB37" s="17" t="e">
        <f si="39" t="shared"/>
        <v>#DIV/0!</v>
      </c>
      <c r="AC37" s="17" t="e">
        <f si="39" t="shared"/>
        <v>#DIV/0!</v>
      </c>
      <c r="AD37" s="17" t="e">
        <f si="39" t="shared"/>
        <v>#DIV/0!</v>
      </c>
      <c r="AE37" s="17"/>
      <c r="AF37" s="17" t="e">
        <f si="33" t="shared"/>
        <v>#DIV/0!</v>
      </c>
    </row>
    <row r="38" spans="1:32" x14ac:dyDescent="0.25">
      <c r="A38" t="str">
        <f>$A$12</f>
        <v>Seattle Downtown</v>
      </c>
      <c r="B38" s="17" t="e">
        <f si="34" t="shared"/>
        <v>#DIV/0!</v>
      </c>
      <c r="C38" s="17" t="e">
        <f si="34" t="shared"/>
        <v>#DIV/0!</v>
      </c>
      <c r="D38" s="17" t="e">
        <f si="34" t="shared"/>
        <v>#DIV/0!</v>
      </c>
      <c r="E38" s="17" t="e">
        <f si="34" t="shared"/>
        <v>#DIV/0!</v>
      </c>
      <c r="F38" s="17" t="e">
        <f si="34" t="shared"/>
        <v>#DIV/0!</v>
      </c>
      <c r="G38" s="17" t="e">
        <f si="34" t="shared"/>
        <v>#DIV/0!</v>
      </c>
      <c r="H38" s="17" t="e">
        <f ref="H38:H39" si="46" t="shared">H25/$J$28</f>
        <v>#DIV/0!</v>
      </c>
      <c r="I38" s="13"/>
      <c r="J38" s="17" t="e">
        <f si="28" t="shared"/>
        <v>#DIV/0!</v>
      </c>
      <c r="K38" s="14"/>
      <c r="L38" t="str">
        <f>$A$12</f>
        <v>Seattle Downtown</v>
      </c>
      <c r="M38" s="17">
        <f si="36" t="shared"/>
        <v>6.3036245841358793E-3</v>
      </c>
      <c r="N38" s="17">
        <f si="36" t="shared"/>
        <v>2.3463491507616886E-2</v>
      </c>
      <c r="O38" s="17">
        <f si="36" t="shared"/>
        <v>2.3813692873402213E-2</v>
      </c>
      <c r="P38" s="17">
        <f si="36" t="shared"/>
        <v>5.2530204867798998E-4</v>
      </c>
      <c r="Q38" s="17">
        <f si="36" t="shared"/>
        <v>1.4008054631413065E-3</v>
      </c>
      <c r="R38" s="17">
        <f si="36" t="shared"/>
        <v>3.4494834529854669E-2</v>
      </c>
      <c r="S38" s="17">
        <f ref="S38" si="47" t="shared">S25/$U$28</f>
        <v>8.7550341446331666E-4</v>
      </c>
      <c r="T38" s="17"/>
      <c r="U38" s="17">
        <f si="31" t="shared"/>
        <v>9.0877254421292256E-2</v>
      </c>
      <c r="W38" t="str">
        <f>$A$12</f>
        <v>Seattle Downtown</v>
      </c>
      <c r="X38" s="17" t="e">
        <f si="38" t="shared"/>
        <v>#DIV/0!</v>
      </c>
      <c r="Y38" s="17" t="e">
        <f si="39" t="shared"/>
        <v>#DIV/0!</v>
      </c>
      <c r="Z38" s="17" t="e">
        <f si="39" t="shared"/>
        <v>#DIV/0!</v>
      </c>
      <c r="AA38" s="17" t="e">
        <f si="39" t="shared"/>
        <v>#DIV/0!</v>
      </c>
      <c r="AB38" s="17" t="e">
        <f si="39" t="shared"/>
        <v>#DIV/0!</v>
      </c>
      <c r="AC38" s="17" t="e">
        <f si="39" t="shared"/>
        <v>#DIV/0!</v>
      </c>
      <c r="AD38" s="17" t="e">
        <f si="39" t="shared"/>
        <v>#DIV/0!</v>
      </c>
      <c r="AE38" s="17"/>
      <c r="AF38" s="17" t="e">
        <f si="33" t="shared"/>
        <v>#DIV/0!</v>
      </c>
    </row>
    <row r="39" spans="1:32" x14ac:dyDescent="0.25">
      <c r="A39" t="str">
        <f>$A$13</f>
        <v>Rest</v>
      </c>
      <c r="B39" s="17" t="e">
        <f si="34" t="shared"/>
        <v>#DIV/0!</v>
      </c>
      <c r="C39" s="17" t="e">
        <f si="34" t="shared"/>
        <v>#DIV/0!</v>
      </c>
      <c r="D39" s="17" t="e">
        <f si="34" t="shared"/>
        <v>#DIV/0!</v>
      </c>
      <c r="E39" s="17" t="e">
        <f si="34" t="shared"/>
        <v>#DIV/0!</v>
      </c>
      <c r="F39" s="17" t="e">
        <f si="34" t="shared"/>
        <v>#DIV/0!</v>
      </c>
      <c r="G39" s="17" t="e">
        <f si="34" t="shared"/>
        <v>#DIV/0!</v>
      </c>
      <c r="H39" s="17" t="e">
        <f si="46" t="shared"/>
        <v>#DIV/0!</v>
      </c>
      <c r="I39" s="13"/>
      <c r="J39" s="17" t="e">
        <f si="28" t="shared"/>
        <v>#DIV/0!</v>
      </c>
      <c r="K39" s="14"/>
      <c r="L39" t="str">
        <f>$A$13</f>
        <v>Rest</v>
      </c>
      <c r="M39" s="17">
        <f si="36" t="shared"/>
        <v>3.5020136578532663E-4</v>
      </c>
      <c r="N39" s="17">
        <f si="36" t="shared"/>
        <v>8.7550341446331666E-4</v>
      </c>
      <c r="O39" s="17">
        <f si="36" t="shared"/>
        <v>2.1012081947119599E-3</v>
      </c>
      <c r="P39" s="17">
        <f si="36" t="shared"/>
        <v>1.7510068289266332E-4</v>
      </c>
      <c r="Q39" s="17">
        <f si="36" t="shared"/>
        <v>0</v>
      </c>
      <c r="R39" s="17">
        <f si="36" t="shared"/>
        <v>1.7510068289266332E-4</v>
      </c>
      <c r="S39" s="17">
        <f ref="S39" si="48" t="shared">S26/$U$28</f>
        <v>1.4358255997198392E-2</v>
      </c>
      <c r="T39" s="17"/>
      <c r="U39" s="17">
        <f si="31" t="shared"/>
        <v>1.8035370337944324E-2</v>
      </c>
      <c r="W39" t="str">
        <f>$A$13</f>
        <v>Rest</v>
      </c>
      <c r="X39" s="17" t="e">
        <f ref="X39" si="49" t="shared">M39-B39</f>
        <v>#DIV/0!</v>
      </c>
      <c r="Y39" s="17" t="e">
        <f ref="Y39" si="50" t="shared">N39-C39</f>
        <v>#DIV/0!</v>
      </c>
      <c r="Z39" s="17" t="e">
        <f ref="Z39" si="51" t="shared">O39-D39</f>
        <v>#DIV/0!</v>
      </c>
      <c r="AA39" s="17" t="e">
        <f ref="AA39" si="52" t="shared">P39-E39</f>
        <v>#DIV/0!</v>
      </c>
      <c r="AB39" s="17" t="e">
        <f ref="AB39" si="53" t="shared">Q39-F39</f>
        <v>#DIV/0!</v>
      </c>
      <c r="AC39" s="17" t="e">
        <f ref="AC39" si="54" t="shared">R39-G39</f>
        <v>#DIV/0!</v>
      </c>
      <c r="AD39" s="17" t="e">
        <f ref="AD39" si="55" t="shared">S39-H39</f>
        <v>#DIV/0!</v>
      </c>
      <c r="AE39" s="17"/>
      <c r="AF39" s="17" t="e">
        <f si="33" t="shared"/>
        <v>#DIV/0!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 t="e">
        <f ref="B41:G41" si="56" t="shared">B28/$J$28</f>
        <v>#DIV/0!</v>
      </c>
      <c r="C41" s="19" t="e">
        <f si="56" t="shared"/>
        <v>#DIV/0!</v>
      </c>
      <c r="D41" s="19" t="e">
        <f si="56" t="shared"/>
        <v>#DIV/0!</v>
      </c>
      <c r="E41" s="19" t="e">
        <f si="56" t="shared"/>
        <v>#DIV/0!</v>
      </c>
      <c r="F41" s="19" t="e">
        <f si="56" t="shared"/>
        <v>#DIV/0!</v>
      </c>
      <c r="G41" s="19" t="e">
        <f si="56" t="shared"/>
        <v>#DIV/0!</v>
      </c>
      <c r="H41" s="19"/>
      <c r="I41" s="19" t="e">
        <f>I28/$J$28</f>
        <v>#DIV/0!</v>
      </c>
      <c r="J41" s="19" t="e">
        <f>J28/$J$28</f>
        <v>#DIV/0!</v>
      </c>
      <c r="K41" s="13"/>
      <c r="L41" s="16" t="s">
        <v>4</v>
      </c>
      <c r="M41" s="19">
        <f>M28/$U$28</f>
        <v>0.47189634039572764</v>
      </c>
      <c r="N41" s="19">
        <f>N28/$U$28</f>
        <v>0.14025564699702331</v>
      </c>
      <c r="O41" s="19">
        <f>O28/$U$28</f>
        <v>0.18665732796357909</v>
      </c>
      <c r="P41" s="19">
        <f>P28/$U$28</f>
        <v>0.10348450358956403</v>
      </c>
      <c r="Q41" s="19">
        <f ref="Q41:S41" si="57" t="shared">Q28/$U$28</f>
        <v>4.1849063211346536E-2</v>
      </c>
      <c r="R41" s="19">
        <f si="57" t="shared"/>
        <v>4.0098056382419894E-2</v>
      </c>
      <c r="S41" s="19">
        <f si="57" t="shared"/>
        <v>1.5759061460339702E-2</v>
      </c>
      <c r="T41" s="19">
        <f>T28/$U$28</f>
        <v>0</v>
      </c>
      <c r="U41" s="19">
        <f>U28/$U$28</f>
        <v>1</v>
      </c>
      <c r="W41" s="16" t="s">
        <v>4</v>
      </c>
      <c r="X41" s="19" t="e">
        <f ref="X41:AD41" si="58" t="shared">M41-B41</f>
        <v>#DIV/0!</v>
      </c>
      <c r="Y41" s="19" t="e">
        <f si="58" t="shared"/>
        <v>#DIV/0!</v>
      </c>
      <c r="Z41" s="19" t="e">
        <f si="58" t="shared"/>
        <v>#DIV/0!</v>
      </c>
      <c r="AA41" s="19" t="e">
        <f si="58" t="shared"/>
        <v>#DIV/0!</v>
      </c>
      <c r="AB41" s="19" t="e">
        <f si="58" t="shared"/>
        <v>#DIV/0!</v>
      </c>
      <c r="AC41" s="19" t="e">
        <f si="58" t="shared"/>
        <v>#DIV/0!</v>
      </c>
      <c r="AD41" s="19">
        <f si="58" t="shared"/>
        <v>1.5759061460339702E-2</v>
      </c>
      <c r="AE41" s="19" t="e">
        <f>T41-I41</f>
        <v>#DIV/0!</v>
      </c>
      <c r="AF41" s="19" t="e">
        <f>U41-J41</f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249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J50" sqref="J50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46</v>
      </c>
    </row>
    <row r="2" spans="1:4" x14ac:dyDescent="0.25">
      <c r="A2" t="s">
        <v>257</v>
      </c>
      <c r="B2" t="s">
        <v>258</v>
      </c>
      <c r="C2" t="s">
        <v>95</v>
      </c>
      <c r="D2" t="s">
        <v>259</v>
      </c>
    </row>
    <row r="3" spans="1:4" x14ac:dyDescent="0.25">
      <c r="A3">
        <v>1</v>
      </c>
      <c r="B3" t="s">
        <v>49</v>
      </c>
      <c r="C3" t="s">
        <v>260</v>
      </c>
      <c r="D3" t="s">
        <v>50</v>
      </c>
    </row>
    <row r="4" spans="1:4" x14ac:dyDescent="0.25">
      <c r="A4">
        <v>2</v>
      </c>
      <c r="B4" t="s">
        <v>52</v>
      </c>
      <c r="C4" t="s">
        <v>260</v>
      </c>
      <c r="D4" t="s">
        <v>53</v>
      </c>
    </row>
    <row r="5" spans="1:4" x14ac:dyDescent="0.25">
      <c r="A5">
        <v>3</v>
      </c>
      <c r="B5" t="s">
        <v>55</v>
      </c>
      <c r="C5" t="s">
        <v>260</v>
      </c>
      <c r="D5" t="s">
        <v>56</v>
      </c>
    </row>
    <row r="6" spans="1:4" x14ac:dyDescent="0.25">
      <c r="A6">
        <v>4</v>
      </c>
      <c r="B6" t="s">
        <v>58</v>
      </c>
      <c r="C6" t="s">
        <v>260</v>
      </c>
      <c r="D6" t="s">
        <v>59</v>
      </c>
    </row>
    <row r="7" spans="1:4" x14ac:dyDescent="0.25">
      <c r="A7">
        <v>5</v>
      </c>
      <c r="B7" t="s">
        <v>61</v>
      </c>
      <c r="C7" t="s">
        <v>260</v>
      </c>
      <c r="D7" t="s">
        <v>62</v>
      </c>
    </row>
    <row r="8" spans="1:4" x14ac:dyDescent="0.25">
      <c r="A8">
        <v>6</v>
      </c>
      <c r="B8" t="s">
        <v>63</v>
      </c>
      <c r="C8" t="s">
        <v>260</v>
      </c>
      <c r="D8" t="s">
        <v>64</v>
      </c>
    </row>
    <row r="9" spans="1:4" x14ac:dyDescent="0.25">
      <c r="A9">
        <v>7</v>
      </c>
      <c r="B9" t="s">
        <v>65</v>
      </c>
      <c r="C9" t="s">
        <v>260</v>
      </c>
      <c r="D9" t="s">
        <v>66</v>
      </c>
    </row>
    <row r="10" spans="1:4" x14ac:dyDescent="0.25">
      <c r="A10">
        <v>8</v>
      </c>
      <c r="B10" t="s">
        <v>68</v>
      </c>
      <c r="C10" t="s">
        <v>260</v>
      </c>
      <c r="D10" t="s">
        <v>69</v>
      </c>
    </row>
    <row r="11" spans="1:4" x14ac:dyDescent="0.25">
      <c r="A11">
        <v>9</v>
      </c>
      <c r="B11" t="s">
        <v>70</v>
      </c>
      <c r="C11" t="s">
        <v>260</v>
      </c>
      <c r="D11" t="s">
        <v>71</v>
      </c>
    </row>
    <row r="12" spans="1:4" x14ac:dyDescent="0.25">
      <c r="A12">
        <v>10</v>
      </c>
      <c r="B12" t="s">
        <v>72</v>
      </c>
      <c r="C12" t="s">
        <v>260</v>
      </c>
      <c r="D12" t="s">
        <v>73</v>
      </c>
    </row>
    <row r="13" spans="1:4" x14ac:dyDescent="0.25">
      <c r="A13">
        <v>11</v>
      </c>
      <c r="B13" t="s">
        <v>74</v>
      </c>
      <c r="C13" t="s">
        <v>260</v>
      </c>
      <c r="D13" t="s">
        <v>75</v>
      </c>
    </row>
    <row r="14" spans="1:4" x14ac:dyDescent="0.25">
      <c r="A14">
        <v>12</v>
      </c>
      <c r="B14" t="s">
        <v>76</v>
      </c>
      <c r="C14" t="s">
        <v>260</v>
      </c>
      <c r="D14" t="s">
        <v>77</v>
      </c>
    </row>
    <row r="15" spans="1:4" x14ac:dyDescent="0.25">
      <c r="A15">
        <v>13</v>
      </c>
      <c r="B15" t="s">
        <v>78</v>
      </c>
      <c r="C15" t="s">
        <v>260</v>
      </c>
      <c r="D15" t="s">
        <v>79</v>
      </c>
    </row>
    <row r="16" spans="1:4" x14ac:dyDescent="0.25">
      <c r="A16">
        <v>14</v>
      </c>
      <c r="B16" t="s">
        <v>80</v>
      </c>
      <c r="C16" t="s">
        <v>260</v>
      </c>
      <c r="D16" t="s">
        <v>81</v>
      </c>
    </row>
    <row r="17" spans="1:4" x14ac:dyDescent="0.25">
      <c r="A17">
        <v>15</v>
      </c>
      <c r="B17" t="s">
        <v>82</v>
      </c>
      <c r="C17" t="s">
        <v>260</v>
      </c>
      <c r="D17" t="s">
        <v>83</v>
      </c>
    </row>
    <row r="18" spans="1:4" x14ac:dyDescent="0.25">
      <c r="A18">
        <v>16</v>
      </c>
      <c r="B18" t="s">
        <v>84</v>
      </c>
      <c r="C18" t="s">
        <v>260</v>
      </c>
      <c r="D18" t="s">
        <v>85</v>
      </c>
    </row>
    <row r="19" spans="1:4" x14ac:dyDescent="0.25">
      <c r="A19">
        <v>17</v>
      </c>
      <c r="B19" t="s">
        <v>87</v>
      </c>
      <c r="C19" t="s">
        <v>260</v>
      </c>
      <c r="D19" t="s">
        <v>88</v>
      </c>
    </row>
    <row r="20" spans="1:4" x14ac:dyDescent="0.25">
      <c r="A20">
        <v>18</v>
      </c>
      <c r="B20" t="s">
        <v>90</v>
      </c>
      <c r="C20" t="s">
        <v>260</v>
      </c>
      <c r="D20" t="s">
        <v>91</v>
      </c>
    </row>
    <row r="21" spans="1:4" x14ac:dyDescent="0.25">
      <c r="A21">
        <v>19</v>
      </c>
      <c r="B21" t="s">
        <v>93</v>
      </c>
      <c r="C21" t="s">
        <v>260</v>
      </c>
      <c r="D21" t="s">
        <v>94</v>
      </c>
    </row>
    <row r="22" spans="1:4" x14ac:dyDescent="0.25">
      <c r="A22">
        <v>20</v>
      </c>
      <c r="B22" t="s">
        <v>96</v>
      </c>
      <c r="C22" t="s">
        <v>92</v>
      </c>
      <c r="D22" t="s">
        <v>97</v>
      </c>
    </row>
    <row r="23" spans="1:4" x14ac:dyDescent="0.25">
      <c r="A23">
        <v>21</v>
      </c>
      <c r="B23" t="s">
        <v>98</v>
      </c>
      <c r="C23" t="s">
        <v>92</v>
      </c>
      <c r="D23" t="s">
        <v>99</v>
      </c>
    </row>
    <row r="24" spans="1:4" x14ac:dyDescent="0.25">
      <c r="A24">
        <v>22</v>
      </c>
      <c r="B24" t="s">
        <v>100</v>
      </c>
      <c r="C24" t="s">
        <v>92</v>
      </c>
      <c r="D24" t="s">
        <v>101</v>
      </c>
    </row>
    <row r="25" spans="1:4" x14ac:dyDescent="0.25">
      <c r="A25">
        <v>23</v>
      </c>
      <c r="B25" t="s">
        <v>102</v>
      </c>
      <c r="C25" t="s">
        <v>92</v>
      </c>
      <c r="D25" t="s">
        <v>103</v>
      </c>
    </row>
    <row r="26" spans="1:4" x14ac:dyDescent="0.25">
      <c r="A26">
        <v>24</v>
      </c>
      <c r="B26" t="s">
        <v>104</v>
      </c>
      <c r="C26" t="s">
        <v>92</v>
      </c>
      <c r="D26" t="s">
        <v>105</v>
      </c>
    </row>
    <row r="27" spans="1:4" x14ac:dyDescent="0.25">
      <c r="A27">
        <v>25</v>
      </c>
      <c r="B27" t="s">
        <v>107</v>
      </c>
      <c r="C27" t="s">
        <v>92</v>
      </c>
      <c r="D27" t="s">
        <v>108</v>
      </c>
    </row>
    <row r="28" spans="1:4" x14ac:dyDescent="0.25">
      <c r="A28">
        <v>26</v>
      </c>
      <c r="B28" t="s">
        <v>109</v>
      </c>
      <c r="C28" t="s">
        <v>106</v>
      </c>
      <c r="D28" t="s">
        <v>97</v>
      </c>
    </row>
    <row r="29" spans="1:4" x14ac:dyDescent="0.25">
      <c r="A29">
        <v>27</v>
      </c>
      <c r="B29" t="s">
        <v>110</v>
      </c>
      <c r="C29" t="s">
        <v>106</v>
      </c>
      <c r="D29" t="s">
        <v>99</v>
      </c>
    </row>
    <row r="30" spans="1:4" x14ac:dyDescent="0.25">
      <c r="A30">
        <v>28</v>
      </c>
      <c r="B30" t="s">
        <v>112</v>
      </c>
      <c r="C30" t="s">
        <v>106</v>
      </c>
      <c r="D30" t="s">
        <v>101</v>
      </c>
    </row>
    <row r="31" spans="1:4" x14ac:dyDescent="0.25">
      <c r="A31">
        <v>29</v>
      </c>
      <c r="B31" t="s">
        <v>113</v>
      </c>
      <c r="C31" t="s">
        <v>106</v>
      </c>
      <c r="D31" t="s">
        <v>103</v>
      </c>
    </row>
    <row r="32" spans="1:4" x14ac:dyDescent="0.25">
      <c r="A32">
        <v>30</v>
      </c>
      <c r="B32" t="s">
        <v>114</v>
      </c>
      <c r="C32" t="s">
        <v>106</v>
      </c>
      <c r="D32" t="s">
        <v>115</v>
      </c>
    </row>
    <row r="33" spans="1:4" x14ac:dyDescent="0.25">
      <c r="A33">
        <v>31</v>
      </c>
      <c r="B33" t="s">
        <v>116</v>
      </c>
      <c r="C33" t="s">
        <v>106</v>
      </c>
      <c r="D33" t="s">
        <v>117</v>
      </c>
    </row>
    <row r="34" spans="1:4" x14ac:dyDescent="0.25">
      <c r="A34">
        <v>32</v>
      </c>
      <c r="B34" t="s">
        <v>118</v>
      </c>
      <c r="C34" t="s">
        <v>106</v>
      </c>
      <c r="D34" t="s">
        <v>119</v>
      </c>
    </row>
    <row r="35" spans="1:4" x14ac:dyDescent="0.25">
      <c r="A35">
        <v>33</v>
      </c>
      <c r="B35" t="s">
        <v>120</v>
      </c>
      <c r="C35" t="s">
        <v>106</v>
      </c>
      <c r="D35" t="s">
        <v>121</v>
      </c>
    </row>
    <row r="36" spans="1:4" x14ac:dyDescent="0.25">
      <c r="A36">
        <v>34</v>
      </c>
      <c r="B36" t="s">
        <v>122</v>
      </c>
      <c r="C36" t="s">
        <v>106</v>
      </c>
      <c r="D36" t="s">
        <v>123</v>
      </c>
    </row>
    <row r="37" spans="1:4" x14ac:dyDescent="0.25">
      <c r="A37">
        <v>35</v>
      </c>
      <c r="B37" t="s">
        <v>125</v>
      </c>
      <c r="C37" t="s">
        <v>106</v>
      </c>
      <c r="D37" t="s">
        <v>126</v>
      </c>
    </row>
    <row r="38" spans="1:4" x14ac:dyDescent="0.25">
      <c r="A38">
        <v>36</v>
      </c>
      <c r="B38" t="s">
        <v>127</v>
      </c>
      <c r="C38" t="s">
        <v>124</v>
      </c>
      <c r="D38" t="s">
        <v>97</v>
      </c>
    </row>
    <row r="39" spans="1:4" x14ac:dyDescent="0.25">
      <c r="A39">
        <v>37</v>
      </c>
      <c r="B39" t="s">
        <v>128</v>
      </c>
      <c r="C39" t="s">
        <v>124</v>
      </c>
      <c r="D39" t="s">
        <v>99</v>
      </c>
    </row>
    <row r="40" spans="1:4" x14ac:dyDescent="0.25">
      <c r="A40">
        <v>38</v>
      </c>
      <c r="B40" t="s">
        <v>130</v>
      </c>
      <c r="C40" t="s">
        <v>124</v>
      </c>
      <c r="D40" t="s">
        <v>101</v>
      </c>
    </row>
    <row r="41" spans="1:4" x14ac:dyDescent="0.25">
      <c r="A41">
        <v>39</v>
      </c>
      <c r="B41" t="s">
        <v>131</v>
      </c>
      <c r="C41" t="s">
        <v>124</v>
      </c>
      <c r="D41" t="s">
        <v>103</v>
      </c>
    </row>
    <row r="42" spans="1:4" x14ac:dyDescent="0.25">
      <c r="A42">
        <v>40</v>
      </c>
      <c r="B42" t="s">
        <v>132</v>
      </c>
      <c r="C42" t="s">
        <v>124</v>
      </c>
      <c r="D42" t="s">
        <v>115</v>
      </c>
    </row>
    <row r="43" spans="1:4" x14ac:dyDescent="0.25">
      <c r="A43">
        <v>41</v>
      </c>
      <c r="B43" t="s">
        <v>133</v>
      </c>
      <c r="C43" t="s">
        <v>124</v>
      </c>
      <c r="D43" t="s">
        <v>117</v>
      </c>
    </row>
    <row r="44" spans="1:4" x14ac:dyDescent="0.25">
      <c r="A44">
        <v>42</v>
      </c>
      <c r="B44" t="s">
        <v>135</v>
      </c>
      <c r="C44" t="s">
        <v>124</v>
      </c>
      <c r="D44" t="s">
        <v>136</v>
      </c>
    </row>
    <row r="45" spans="1:4" x14ac:dyDescent="0.25">
      <c r="A45">
        <v>43</v>
      </c>
      <c r="B45" t="s">
        <v>137</v>
      </c>
      <c r="C45" t="s">
        <v>134</v>
      </c>
      <c r="D45" t="s">
        <v>97</v>
      </c>
    </row>
    <row r="46" spans="1:4" x14ac:dyDescent="0.25">
      <c r="A46">
        <v>44</v>
      </c>
      <c r="B46" t="s">
        <v>138</v>
      </c>
      <c r="C46" t="s">
        <v>134</v>
      </c>
      <c r="D46" t="s">
        <v>139</v>
      </c>
    </row>
    <row r="47" spans="1:4" x14ac:dyDescent="0.25">
      <c r="A47">
        <v>45</v>
      </c>
      <c r="B47" t="s">
        <v>140</v>
      </c>
      <c r="C47" t="s">
        <v>134</v>
      </c>
      <c r="D47" t="s">
        <v>141</v>
      </c>
    </row>
    <row r="48" spans="1:4" x14ac:dyDescent="0.25">
      <c r="A48">
        <v>46</v>
      </c>
      <c r="B48" t="s">
        <v>142</v>
      </c>
      <c r="C48" t="s">
        <v>134</v>
      </c>
      <c r="D48" t="s">
        <v>143</v>
      </c>
    </row>
    <row r="49" spans="1:4" x14ac:dyDescent="0.25">
      <c r="A49">
        <v>47</v>
      </c>
      <c r="B49" t="s">
        <v>144</v>
      </c>
      <c r="C49" t="s">
        <v>134</v>
      </c>
      <c r="D49" t="s">
        <v>145</v>
      </c>
    </row>
    <row r="50" spans="1:4" x14ac:dyDescent="0.25">
      <c r="A50">
        <v>48</v>
      </c>
      <c r="B50" t="s">
        <v>147</v>
      </c>
      <c r="C50" t="s">
        <v>134</v>
      </c>
      <c r="D50" t="s">
        <v>148</v>
      </c>
    </row>
    <row r="51" spans="1:4" x14ac:dyDescent="0.25">
      <c r="A51">
        <v>49</v>
      </c>
      <c r="B51" t="s">
        <v>149</v>
      </c>
      <c r="C51" t="s">
        <v>146</v>
      </c>
      <c r="D51" t="s">
        <v>97</v>
      </c>
    </row>
    <row r="52" spans="1:4" x14ac:dyDescent="0.25">
      <c r="A52">
        <v>50</v>
      </c>
      <c r="B52" t="s">
        <v>150</v>
      </c>
      <c r="C52" t="s">
        <v>146</v>
      </c>
      <c r="D52" t="s">
        <v>99</v>
      </c>
    </row>
    <row r="53" spans="1:4" x14ac:dyDescent="0.25">
      <c r="A53">
        <v>51</v>
      </c>
      <c r="B53" t="s">
        <v>151</v>
      </c>
      <c r="C53" t="s">
        <v>146</v>
      </c>
      <c r="D53" t="s">
        <v>101</v>
      </c>
    </row>
    <row r="54" spans="1:4" x14ac:dyDescent="0.25">
      <c r="A54">
        <v>52</v>
      </c>
      <c r="B54" t="s">
        <v>152</v>
      </c>
      <c r="C54" t="s">
        <v>146</v>
      </c>
      <c r="D54" t="s">
        <v>103</v>
      </c>
    </row>
    <row r="55" spans="1:4" x14ac:dyDescent="0.25">
      <c r="A55">
        <v>53</v>
      </c>
      <c r="B55" t="s">
        <v>153</v>
      </c>
      <c r="C55" t="s">
        <v>146</v>
      </c>
      <c r="D55" t="s">
        <v>115</v>
      </c>
    </row>
    <row r="56" spans="1:4" x14ac:dyDescent="0.25">
      <c r="A56">
        <v>54</v>
      </c>
      <c r="B56" t="s">
        <v>154</v>
      </c>
      <c r="C56" t="s">
        <v>146</v>
      </c>
      <c r="D56" t="s">
        <v>155</v>
      </c>
    </row>
    <row r="57" spans="1:4" x14ac:dyDescent="0.25">
      <c r="A57">
        <v>55</v>
      </c>
      <c r="B57" t="s">
        <v>156</v>
      </c>
      <c r="C57" t="s">
        <v>146</v>
      </c>
      <c r="D57" t="s">
        <v>119</v>
      </c>
    </row>
    <row r="58" spans="1:4" x14ac:dyDescent="0.25">
      <c r="A58">
        <v>56</v>
      </c>
      <c r="B58" t="s">
        <v>157</v>
      </c>
      <c r="C58" t="s">
        <v>146</v>
      </c>
      <c r="D58" t="s">
        <v>123</v>
      </c>
    </row>
    <row r="59" spans="1:4" x14ac:dyDescent="0.25">
      <c r="A59">
        <v>57</v>
      </c>
      <c r="B59" t="s">
        <v>158</v>
      </c>
      <c r="C59" t="s">
        <v>146</v>
      </c>
      <c r="D59" t="s">
        <v>126</v>
      </c>
    </row>
    <row r="60" spans="1:4" x14ac:dyDescent="0.25">
      <c r="A60">
        <v>118</v>
      </c>
      <c r="B60" t="s">
        <v>261</v>
      </c>
    </row>
    <row r="61" spans="1:4" x14ac:dyDescent="0.25">
      <c r="A61">
        <v>70</v>
      </c>
      <c r="B61" t="s">
        <v>159</v>
      </c>
      <c r="C61" t="s">
        <v>92</v>
      </c>
    </row>
    <row r="62" spans="1:4" x14ac:dyDescent="0.25">
      <c r="A62">
        <v>71</v>
      </c>
      <c r="B62" t="s">
        <v>160</v>
      </c>
      <c r="C62" t="s">
        <v>92</v>
      </c>
      <c r="D62" t="s">
        <v>161</v>
      </c>
    </row>
    <row r="63" spans="1:4" x14ac:dyDescent="0.25">
      <c r="A63">
        <v>72</v>
      </c>
      <c r="B63" t="s">
        <v>162</v>
      </c>
      <c r="C63" t="s">
        <v>92</v>
      </c>
      <c r="D63" t="s">
        <v>163</v>
      </c>
    </row>
    <row r="64" spans="1:4" x14ac:dyDescent="0.25">
      <c r="A64">
        <v>73</v>
      </c>
      <c r="B64" t="s">
        <v>164</v>
      </c>
      <c r="C64" t="s">
        <v>92</v>
      </c>
      <c r="D64" t="s">
        <v>165</v>
      </c>
    </row>
    <row r="65" spans="1:4" x14ac:dyDescent="0.25">
      <c r="A65">
        <v>74</v>
      </c>
      <c r="B65" t="s">
        <v>166</v>
      </c>
      <c r="C65" t="s">
        <v>92</v>
      </c>
      <c r="D65" t="s">
        <v>167</v>
      </c>
    </row>
    <row r="66" spans="1:4" x14ac:dyDescent="0.25">
      <c r="A66">
        <v>75</v>
      </c>
      <c r="B66" t="s">
        <v>168</v>
      </c>
      <c r="C66" t="s">
        <v>92</v>
      </c>
      <c r="D66" t="s">
        <v>169</v>
      </c>
    </row>
    <row r="67" spans="1:4" x14ac:dyDescent="0.25">
      <c r="A67">
        <v>76</v>
      </c>
      <c r="B67" t="s">
        <v>170</v>
      </c>
      <c r="C67" t="s">
        <v>92</v>
      </c>
      <c r="D67" t="s">
        <v>171</v>
      </c>
    </row>
    <row r="68" spans="1:4" x14ac:dyDescent="0.25">
      <c r="A68">
        <v>77</v>
      </c>
      <c r="B68" t="s">
        <v>172</v>
      </c>
      <c r="C68" t="s">
        <v>92</v>
      </c>
      <c r="D68" t="s">
        <v>173</v>
      </c>
    </row>
    <row r="69" spans="1:4" x14ac:dyDescent="0.25">
      <c r="A69">
        <v>78</v>
      </c>
      <c r="B69" t="s">
        <v>174</v>
      </c>
      <c r="C69" t="s">
        <v>92</v>
      </c>
      <c r="D69" t="s">
        <v>175</v>
      </c>
    </row>
    <row r="70" spans="1:4" x14ac:dyDescent="0.25">
      <c r="A70">
        <v>79</v>
      </c>
      <c r="B70" t="s">
        <v>176</v>
      </c>
      <c r="C70" t="s">
        <v>92</v>
      </c>
      <c r="D70" t="s">
        <v>177</v>
      </c>
    </row>
    <row r="71" spans="1:4" x14ac:dyDescent="0.25">
      <c r="A71">
        <v>80</v>
      </c>
      <c r="B71" t="s">
        <v>178</v>
      </c>
      <c r="C71" t="s">
        <v>92</v>
      </c>
      <c r="D71" t="s">
        <v>179</v>
      </c>
    </row>
    <row r="72" spans="1:4" x14ac:dyDescent="0.25">
      <c r="A72">
        <v>81</v>
      </c>
      <c r="B72" t="s">
        <v>180</v>
      </c>
      <c r="C72" t="s">
        <v>92</v>
      </c>
      <c r="D72" t="s">
        <v>181</v>
      </c>
    </row>
    <row r="73" spans="1:4" x14ac:dyDescent="0.25">
      <c r="A73">
        <v>82</v>
      </c>
      <c r="B73" t="s">
        <v>182</v>
      </c>
      <c r="C73" t="s">
        <v>92</v>
      </c>
      <c r="D73" t="s">
        <v>181</v>
      </c>
    </row>
    <row r="74" spans="1:4" x14ac:dyDescent="0.25">
      <c r="A74">
        <v>83</v>
      </c>
      <c r="B74" t="s">
        <v>183</v>
      </c>
      <c r="C74" t="s">
        <v>92</v>
      </c>
      <c r="D74" t="s">
        <v>184</v>
      </c>
    </row>
    <row r="75" spans="1:4" x14ac:dyDescent="0.25">
      <c r="A75">
        <v>84</v>
      </c>
      <c r="B75" t="s">
        <v>185</v>
      </c>
      <c r="C75" t="s">
        <v>92</v>
      </c>
      <c r="D75" t="s">
        <v>186</v>
      </c>
    </row>
    <row r="76" spans="1:4" x14ac:dyDescent="0.25">
      <c r="A76">
        <v>85</v>
      </c>
      <c r="B76" t="s">
        <v>187</v>
      </c>
      <c r="C76" t="s">
        <v>92</v>
      </c>
      <c r="D76" t="s">
        <v>188</v>
      </c>
    </row>
    <row r="77" spans="1:4" x14ac:dyDescent="0.25">
      <c r="A77">
        <v>86</v>
      </c>
      <c r="B77" t="s">
        <v>189</v>
      </c>
      <c r="C77" t="s">
        <v>92</v>
      </c>
      <c r="D77" t="s">
        <v>190</v>
      </c>
    </row>
    <row r="78" spans="1:4" x14ac:dyDescent="0.25">
      <c r="A78">
        <v>87</v>
      </c>
      <c r="B78" t="s">
        <v>191</v>
      </c>
      <c r="C78" t="s">
        <v>92</v>
      </c>
      <c r="D78" t="s">
        <v>192</v>
      </c>
    </row>
    <row r="79" spans="1:4" x14ac:dyDescent="0.25">
      <c r="A79">
        <v>88</v>
      </c>
      <c r="B79" t="s">
        <v>193</v>
      </c>
      <c r="C79" t="s">
        <v>92</v>
      </c>
      <c r="D79" t="s">
        <v>194</v>
      </c>
    </row>
    <row r="80" spans="1:4" x14ac:dyDescent="0.25">
      <c r="A80">
        <v>89</v>
      </c>
      <c r="B80" t="s">
        <v>195</v>
      </c>
      <c r="C80" t="s">
        <v>106</v>
      </c>
      <c r="D80" t="s">
        <v>196</v>
      </c>
    </row>
    <row r="81" spans="1:4" x14ac:dyDescent="0.25">
      <c r="A81">
        <v>90</v>
      </c>
      <c r="B81" t="s">
        <v>197</v>
      </c>
      <c r="C81" t="s">
        <v>106</v>
      </c>
      <c r="D81" t="s">
        <v>198</v>
      </c>
    </row>
    <row r="82" spans="1:4" x14ac:dyDescent="0.25">
      <c r="A82">
        <v>91</v>
      </c>
      <c r="B82" t="s">
        <v>199</v>
      </c>
      <c r="C82" t="s">
        <v>106</v>
      </c>
      <c r="D82" t="s">
        <v>200</v>
      </c>
    </row>
    <row r="83" spans="1:4" x14ac:dyDescent="0.25">
      <c r="A83">
        <v>92</v>
      </c>
      <c r="B83" t="s">
        <v>201</v>
      </c>
      <c r="C83" t="s">
        <v>106</v>
      </c>
      <c r="D83" t="s">
        <v>202</v>
      </c>
    </row>
    <row r="84" spans="1:4" x14ac:dyDescent="0.25">
      <c r="A84">
        <v>93</v>
      </c>
      <c r="B84" t="s">
        <v>203</v>
      </c>
      <c r="C84" t="s">
        <v>106</v>
      </c>
      <c r="D84" t="s">
        <v>204</v>
      </c>
    </row>
    <row r="85" spans="1:4" x14ac:dyDescent="0.25">
      <c r="A85">
        <v>94</v>
      </c>
      <c r="B85" t="s">
        <v>205</v>
      </c>
      <c r="C85" t="s">
        <v>106</v>
      </c>
      <c r="D85" t="s">
        <v>206</v>
      </c>
    </row>
    <row r="86" spans="1:4" x14ac:dyDescent="0.25">
      <c r="A86">
        <v>95</v>
      </c>
      <c r="B86" t="s">
        <v>207</v>
      </c>
      <c r="C86" t="s">
        <v>106</v>
      </c>
      <c r="D86" t="s">
        <v>208</v>
      </c>
    </row>
    <row r="87" spans="1:4" x14ac:dyDescent="0.25">
      <c r="A87">
        <v>96</v>
      </c>
      <c r="B87" t="s">
        <v>209</v>
      </c>
      <c r="C87" t="s">
        <v>106</v>
      </c>
      <c r="D87" t="s">
        <v>210</v>
      </c>
    </row>
    <row r="88" spans="1:4" x14ac:dyDescent="0.25">
      <c r="A88">
        <v>97</v>
      </c>
      <c r="B88" t="s">
        <v>211</v>
      </c>
      <c r="C88" t="s">
        <v>106</v>
      </c>
      <c r="D88" t="s">
        <v>212</v>
      </c>
    </row>
    <row r="89" spans="1:4" x14ac:dyDescent="0.25">
      <c r="A89">
        <v>98</v>
      </c>
      <c r="B89" t="s">
        <v>213</v>
      </c>
      <c r="C89" t="s">
        <v>124</v>
      </c>
      <c r="D89" t="s">
        <v>198</v>
      </c>
    </row>
    <row r="90" spans="1:4" x14ac:dyDescent="0.25">
      <c r="A90">
        <v>99</v>
      </c>
      <c r="B90" t="s">
        <v>214</v>
      </c>
      <c r="C90" t="s">
        <v>124</v>
      </c>
      <c r="D90" t="s">
        <v>200</v>
      </c>
    </row>
    <row r="91" spans="1:4" x14ac:dyDescent="0.25">
      <c r="A91">
        <v>100</v>
      </c>
      <c r="B91" t="s">
        <v>215</v>
      </c>
      <c r="C91" t="s">
        <v>124</v>
      </c>
      <c r="D91" t="s">
        <v>202</v>
      </c>
    </row>
    <row r="92" spans="1:4" x14ac:dyDescent="0.25">
      <c r="A92">
        <v>101</v>
      </c>
      <c r="B92" t="s">
        <v>216</v>
      </c>
      <c r="C92" t="s">
        <v>124</v>
      </c>
      <c r="D92" t="s">
        <v>204</v>
      </c>
    </row>
    <row r="93" spans="1:4" x14ac:dyDescent="0.25">
      <c r="A93">
        <v>102</v>
      </c>
      <c r="B93" t="s">
        <v>217</v>
      </c>
      <c r="C93" t="s">
        <v>134</v>
      </c>
      <c r="D93" t="s">
        <v>198</v>
      </c>
    </row>
    <row r="94" spans="1:4" x14ac:dyDescent="0.25">
      <c r="A94">
        <v>103</v>
      </c>
      <c r="B94" t="s">
        <v>218</v>
      </c>
      <c r="C94" t="s">
        <v>134</v>
      </c>
      <c r="D94" t="s">
        <v>200</v>
      </c>
    </row>
    <row r="95" spans="1:4" x14ac:dyDescent="0.25">
      <c r="A95">
        <v>104</v>
      </c>
      <c r="B95" t="s">
        <v>219</v>
      </c>
      <c r="C95" t="s">
        <v>134</v>
      </c>
      <c r="D95" t="s">
        <v>202</v>
      </c>
    </row>
    <row r="96" spans="1:4" x14ac:dyDescent="0.25">
      <c r="A96">
        <v>105</v>
      </c>
      <c r="B96" t="s">
        <v>220</v>
      </c>
      <c r="C96" t="s">
        <v>134</v>
      </c>
      <c r="D96" t="s">
        <v>204</v>
      </c>
    </row>
    <row r="97" spans="1:4" x14ac:dyDescent="0.25">
      <c r="A97">
        <v>106</v>
      </c>
      <c r="B97" t="s">
        <v>221</v>
      </c>
      <c r="C97" t="s">
        <v>146</v>
      </c>
      <c r="D97" t="s">
        <v>198</v>
      </c>
    </row>
    <row r="98" spans="1:4" x14ac:dyDescent="0.25">
      <c r="A98">
        <v>107</v>
      </c>
      <c r="B98" t="s">
        <v>222</v>
      </c>
      <c r="C98" t="s">
        <v>146</v>
      </c>
      <c r="D98" t="s">
        <v>223</v>
      </c>
    </row>
    <row r="99" spans="1:4" x14ac:dyDescent="0.25">
      <c r="A99">
        <v>108</v>
      </c>
      <c r="B99" t="s">
        <v>224</v>
      </c>
      <c r="C99" t="s">
        <v>146</v>
      </c>
      <c r="D99" t="s">
        <v>200</v>
      </c>
    </row>
    <row r="100" spans="1:4" x14ac:dyDescent="0.25">
      <c r="A100">
        <v>109</v>
      </c>
      <c r="B100" t="s">
        <v>225</v>
      </c>
      <c r="C100" t="s">
        <v>146</v>
      </c>
      <c r="D100" t="s">
        <v>202</v>
      </c>
    </row>
    <row r="101" spans="1:4" x14ac:dyDescent="0.25">
      <c r="A101">
        <v>110</v>
      </c>
      <c r="B101" t="s">
        <v>226</v>
      </c>
      <c r="C101" t="s">
        <v>146</v>
      </c>
      <c r="D101" t="s">
        <v>204</v>
      </c>
    </row>
    <row r="102" spans="1:4" x14ac:dyDescent="0.25">
      <c r="A102">
        <v>111</v>
      </c>
      <c r="B102" t="s">
        <v>227</v>
      </c>
      <c r="C102" t="s">
        <v>146</v>
      </c>
      <c r="D102" t="s">
        <v>210</v>
      </c>
    </row>
    <row r="103" spans="1:4" x14ac:dyDescent="0.25">
      <c r="A103">
        <v>112</v>
      </c>
      <c r="B103" t="s">
        <v>228</v>
      </c>
      <c r="C103" t="s">
        <v>146</v>
      </c>
      <c r="D103" t="s">
        <v>229</v>
      </c>
    </row>
    <row r="104" spans="1:4" x14ac:dyDescent="0.25">
      <c r="A104">
        <v>113</v>
      </c>
      <c r="B104" t="s">
        <v>230</v>
      </c>
      <c r="C104" t="s">
        <v>146</v>
      </c>
      <c r="D104" t="s">
        <v>212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14"/>
  <sheetViews>
    <sheetView workbookViewId="0">
      <selection activeCell="A8" sqref="A8:K95"/>
    </sheetView>
  </sheetViews>
  <sheetFormatPr defaultRowHeight="15" x14ac:dyDescent="0.25"/>
  <sheetData>
    <row r="1" spans="1:11" x14ac:dyDescent="0.2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25">
      <c r="A2" s="526">
        <v>1</v>
      </c>
      <c r="B2" s="527" t="s">
        <v>262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2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2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2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25">
      <c r="B8" t="s">
        <v>236</v>
      </c>
      <c r="C8" t="s">
        <v>237</v>
      </c>
    </row>
    <row r="9" spans="1:11" x14ac:dyDescent="0.25">
      <c r="A9" t="s">
        <v>238</v>
      </c>
      <c r="B9" t="s">
        <v>239</v>
      </c>
      <c r="C9" t="s">
        <v>240</v>
      </c>
      <c r="D9" t="s">
        <v>241</v>
      </c>
      <c r="E9">
        <v>4</v>
      </c>
      <c r="F9" s="518">
        <v>0.74160879629629628</v>
      </c>
      <c r="G9" t="s">
        <v>242</v>
      </c>
      <c r="H9">
        <v>24</v>
      </c>
      <c r="I9" t="s">
        <v>285</v>
      </c>
      <c r="J9">
        <v>12</v>
      </c>
    </row>
    <row r="10" spans="1:11" x14ac:dyDescent="0.25">
      <c r="A10" t="s">
        <v>243</v>
      </c>
    </row>
    <row r="11" spans="1:11" x14ac:dyDescent="0.25">
      <c r="B11">
        <v>1</v>
      </c>
      <c r="C11" t="s">
        <v>49</v>
      </c>
      <c r="D11" t="s">
        <v>245</v>
      </c>
      <c r="E11">
        <v>50.6135333884</v>
      </c>
    </row>
    <row r="12" spans="1:11" x14ac:dyDescent="0.25">
      <c r="B12">
        <v>2</v>
      </c>
      <c r="C12" t="s">
        <v>52</v>
      </c>
      <c r="D12" t="s">
        <v>245</v>
      </c>
      <c r="E12">
        <v>-9.1355871541399996</v>
      </c>
    </row>
    <row r="13" spans="1:11" x14ac:dyDescent="0.25">
      <c r="B13">
        <v>3</v>
      </c>
      <c r="C13" t="s">
        <v>55</v>
      </c>
      <c r="D13" t="s">
        <v>245</v>
      </c>
      <c r="E13" s="519">
        <v>-10.2481134968</v>
      </c>
    </row>
    <row r="14" spans="1:11" x14ac:dyDescent="0.25">
      <c r="B14">
        <v>4</v>
      </c>
      <c r="C14" t="s">
        <v>58</v>
      </c>
      <c r="D14" t="s">
        <v>245</v>
      </c>
      <c r="E14" s="519">
        <v>-6.5331469249699996</v>
      </c>
    </row>
    <row r="15" spans="1:11" x14ac:dyDescent="0.25">
      <c r="B15">
        <v>5</v>
      </c>
      <c r="C15" t="s">
        <v>61</v>
      </c>
      <c r="D15" t="s">
        <v>245</v>
      </c>
      <c r="E15" s="519">
        <v>-28.327910272099999</v>
      </c>
    </row>
    <row r="16" spans="1:11" x14ac:dyDescent="0.25">
      <c r="B16">
        <v>6</v>
      </c>
      <c r="C16" t="s">
        <v>63</v>
      </c>
      <c r="D16" t="s">
        <v>245</v>
      </c>
      <c r="E16" s="519">
        <v>-12.9207166605</v>
      </c>
      <c r="F16" s="519"/>
    </row>
    <row r="17" spans="2:6" x14ac:dyDescent="0.25">
      <c r="B17">
        <v>11</v>
      </c>
      <c r="C17" t="s">
        <v>74</v>
      </c>
      <c r="D17" t="s">
        <v>244</v>
      </c>
      <c r="E17">
        <v>1</v>
      </c>
    </row>
    <row r="18" spans="2:6" x14ac:dyDescent="0.25">
      <c r="B18">
        <v>12</v>
      </c>
      <c r="C18" t="s">
        <v>76</v>
      </c>
      <c r="D18" t="s">
        <v>244</v>
      </c>
      <c r="E18" s="519">
        <v>25.5851730473</v>
      </c>
    </row>
    <row r="19" spans="2:6" x14ac:dyDescent="0.25">
      <c r="B19">
        <v>13</v>
      </c>
      <c r="C19" t="s">
        <v>78</v>
      </c>
      <c r="D19" t="s">
        <v>244</v>
      </c>
      <c r="E19" s="519">
        <v>0.62661796638099998</v>
      </c>
    </row>
    <row r="20" spans="2:6" x14ac:dyDescent="0.25">
      <c r="B20">
        <v>14</v>
      </c>
      <c r="C20" t="s">
        <v>80</v>
      </c>
      <c r="D20" t="s">
        <v>244</v>
      </c>
      <c r="E20">
        <v>1.20261129454</v>
      </c>
    </row>
    <row r="21" spans="2:6" x14ac:dyDescent="0.25">
      <c r="B21">
        <v>15</v>
      </c>
      <c r="C21" t="s">
        <v>82</v>
      </c>
      <c r="D21" t="s">
        <v>244</v>
      </c>
      <c r="E21">
        <v>1.7752110558500001</v>
      </c>
    </row>
    <row r="22" spans="2:6" x14ac:dyDescent="0.25">
      <c r="B22">
        <v>16</v>
      </c>
      <c r="C22" t="s">
        <v>84</v>
      </c>
      <c r="D22" t="s">
        <v>244</v>
      </c>
      <c r="E22">
        <v>-3.8876923697499999</v>
      </c>
    </row>
    <row r="23" spans="2:6" x14ac:dyDescent="0.25">
      <c r="B23">
        <v>17</v>
      </c>
      <c r="C23" t="s">
        <v>87</v>
      </c>
      <c r="D23" t="s">
        <v>244</v>
      </c>
      <c r="E23">
        <v>-2.0840829429199998</v>
      </c>
    </row>
    <row r="24" spans="2:6" x14ac:dyDescent="0.25">
      <c r="B24">
        <v>18</v>
      </c>
      <c r="C24" t="s">
        <v>90</v>
      </c>
      <c r="D24" t="s">
        <v>244</v>
      </c>
      <c r="E24">
        <v>-2.1522976888600001</v>
      </c>
      <c r="F24" s="519"/>
    </row>
    <row r="25" spans="2:6" x14ac:dyDescent="0.25">
      <c r="B25">
        <v>19</v>
      </c>
      <c r="C25" t="s">
        <v>93</v>
      </c>
      <c r="D25" t="s">
        <v>244</v>
      </c>
      <c r="E25">
        <v>0.88930552872000002</v>
      </c>
    </row>
    <row r="26" spans="2:6" x14ac:dyDescent="0.25">
      <c r="B26">
        <v>31</v>
      </c>
      <c r="C26" t="s">
        <v>116</v>
      </c>
      <c r="D26" t="s">
        <v>244</v>
      </c>
      <c r="E26">
        <v>0.15404102534</v>
      </c>
    </row>
    <row r="27" spans="2:6" x14ac:dyDescent="0.25">
      <c r="B27">
        <v>32</v>
      </c>
      <c r="C27" t="s">
        <v>118</v>
      </c>
      <c r="D27" t="s">
        <v>244</v>
      </c>
      <c r="E27" s="519">
        <v>7.8505405766500003E-2</v>
      </c>
    </row>
    <row r="28" spans="2:6" x14ac:dyDescent="0.25">
      <c r="B28">
        <v>33</v>
      </c>
      <c r="C28" t="s">
        <v>120</v>
      </c>
      <c r="D28" t="s">
        <v>244</v>
      </c>
      <c r="E28">
        <v>-0.124122638562</v>
      </c>
    </row>
    <row r="29" spans="2:6" x14ac:dyDescent="0.25">
      <c r="B29">
        <v>34</v>
      </c>
      <c r="C29" t="s">
        <v>122</v>
      </c>
      <c r="D29" t="s">
        <v>244</v>
      </c>
      <c r="E29" s="519">
        <v>-8.8006887167800002E-2</v>
      </c>
    </row>
    <row r="30" spans="2:6" x14ac:dyDescent="0.25">
      <c r="B30">
        <v>39</v>
      </c>
      <c r="C30" t="s">
        <v>286</v>
      </c>
      <c r="D30" t="s">
        <v>244</v>
      </c>
      <c r="E30">
        <v>0.21805149517</v>
      </c>
      <c r="F30" s="519"/>
    </row>
    <row r="31" spans="2:6" x14ac:dyDescent="0.25">
      <c r="B31">
        <v>40</v>
      </c>
      <c r="C31" t="s">
        <v>287</v>
      </c>
      <c r="D31" t="s">
        <v>244</v>
      </c>
      <c r="E31">
        <v>-1.2010802918900001</v>
      </c>
    </row>
    <row r="32" spans="2:6" x14ac:dyDescent="0.25">
      <c r="B32">
        <v>41</v>
      </c>
      <c r="C32" t="s">
        <v>288</v>
      </c>
      <c r="D32" t="s">
        <v>244</v>
      </c>
      <c r="E32">
        <v>-4.2061803481000002</v>
      </c>
    </row>
    <row r="33" spans="2:11" x14ac:dyDescent="0.25">
      <c r="B33">
        <v>42</v>
      </c>
      <c r="C33" t="s">
        <v>289</v>
      </c>
      <c r="D33" t="s">
        <v>244</v>
      </c>
      <c r="E33">
        <v>0</v>
      </c>
    </row>
    <row r="34" spans="2:11" x14ac:dyDescent="0.25">
      <c r="B34">
        <v>43</v>
      </c>
      <c r="C34" t="s">
        <v>290</v>
      </c>
      <c r="D34" t="s">
        <v>244</v>
      </c>
      <c r="E34">
        <v>-3.6496161888600001</v>
      </c>
      <c r="F34" s="519"/>
    </row>
    <row r="35" spans="2:11" x14ac:dyDescent="0.25">
      <c r="B35">
        <v>44</v>
      </c>
      <c r="C35" t="s">
        <v>291</v>
      </c>
      <c r="D35" t="s">
        <v>244</v>
      </c>
      <c r="E35">
        <v>-3.9802023989799999</v>
      </c>
      <c r="F35" s="519"/>
    </row>
    <row r="36" spans="2:11" x14ac:dyDescent="0.25">
      <c r="B36">
        <v>45</v>
      </c>
      <c r="C36" t="s">
        <v>292</v>
      </c>
      <c r="D36" t="s">
        <v>244</v>
      </c>
      <c r="E36">
        <v>-4.4159067408599997</v>
      </c>
      <c r="F36" s="519"/>
    </row>
    <row r="37" spans="2:11" x14ac:dyDescent="0.25">
      <c r="B37">
        <v>46</v>
      </c>
      <c r="C37" t="s">
        <v>293</v>
      </c>
      <c r="D37" t="s">
        <v>244</v>
      </c>
      <c r="E37">
        <v>-4.7397273603999999</v>
      </c>
    </row>
    <row r="38" spans="2:11" x14ac:dyDescent="0.25">
      <c r="B38">
        <v>47</v>
      </c>
      <c r="C38" t="s">
        <v>294</v>
      </c>
      <c r="D38" t="s">
        <v>244</v>
      </c>
      <c r="E38">
        <v>-4.5913043025100002</v>
      </c>
    </row>
    <row r="39" spans="2:11" x14ac:dyDescent="0.25">
      <c r="B39">
        <v>48</v>
      </c>
      <c r="C39" t="s">
        <v>295</v>
      </c>
      <c r="D39" t="s">
        <v>244</v>
      </c>
      <c r="E39">
        <v>-80</v>
      </c>
    </row>
    <row r="40" spans="2:11" x14ac:dyDescent="0.25">
      <c r="B40">
        <v>49</v>
      </c>
      <c r="C40" t="s">
        <v>296</v>
      </c>
      <c r="D40" t="s">
        <v>244</v>
      </c>
      <c r="E40">
        <v>2.4007960989599999</v>
      </c>
      <c r="F40" s="519"/>
    </row>
    <row r="41" spans="2:11" x14ac:dyDescent="0.25">
      <c r="B41">
        <v>50</v>
      </c>
      <c r="C41" t="s">
        <v>297</v>
      </c>
      <c r="D41" t="s">
        <v>244</v>
      </c>
      <c r="E41" s="519">
        <v>0</v>
      </c>
      <c r="F41" s="519"/>
    </row>
    <row r="42" spans="2:11" x14ac:dyDescent="0.25">
      <c r="B42">
        <v>60</v>
      </c>
      <c r="C42" t="s">
        <v>298</v>
      </c>
      <c r="D42" t="s">
        <v>245</v>
      </c>
      <c r="E42" s="519">
        <v>9.3479808750599996E-2</v>
      </c>
      <c r="F42" s="519"/>
    </row>
    <row r="43" spans="2:11" x14ac:dyDescent="0.25">
      <c r="B43">
        <v>-1</v>
      </c>
      <c r="E43" s="519"/>
      <c r="F43" s="519"/>
    </row>
    <row r="44" spans="2:11" x14ac:dyDescent="0.25">
      <c r="B44">
        <v>3339</v>
      </c>
      <c r="C44" s="519">
        <v>-1469.0867639099999</v>
      </c>
      <c r="D44" s="519">
        <v>-12999.790514800001</v>
      </c>
      <c r="E44" s="519">
        <v>-1828.88959914</v>
      </c>
      <c r="F44" s="519"/>
    </row>
    <row r="45" spans="2:11" x14ac:dyDescent="0.25">
      <c r="B45">
        <v>31</v>
      </c>
      <c r="C45" t="s">
        <v>299</v>
      </c>
      <c r="D45" t="s">
        <v>242</v>
      </c>
      <c r="E45" s="519">
        <v>24</v>
      </c>
      <c r="F45" s="519" t="s">
        <v>285</v>
      </c>
      <c r="G45">
        <v>12</v>
      </c>
    </row>
    <row r="46" spans="2:11" x14ac:dyDescent="0.25">
      <c r="B46">
        <v>-96370</v>
      </c>
      <c r="C46">
        <v>-91747</v>
      </c>
      <c r="D46">
        <v>89560</v>
      </c>
      <c r="E46" s="519">
        <v>-86830</v>
      </c>
      <c r="F46" s="519">
        <v>83470</v>
      </c>
      <c r="G46">
        <v>79444</v>
      </c>
      <c r="H46">
        <v>-99748</v>
      </c>
      <c r="I46">
        <v>95771</v>
      </c>
      <c r="J46">
        <v>91214</v>
      </c>
      <c r="K46">
        <v>85851</v>
      </c>
    </row>
    <row r="47" spans="2:11" x14ac:dyDescent="0.25">
      <c r="B47">
        <v>-95306</v>
      </c>
      <c r="C47">
        <v>92890</v>
      </c>
      <c r="D47">
        <v>88293</v>
      </c>
      <c r="E47">
        <v>84193</v>
      </c>
      <c r="F47">
        <v>94495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2:11" x14ac:dyDescent="0.25"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2:11" x14ac:dyDescent="0.25"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2:11" x14ac:dyDescent="0.25"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2:11" x14ac:dyDescent="0.25">
      <c r="B51">
        <v>0</v>
      </c>
      <c r="C51">
        <v>0</v>
      </c>
      <c r="D51">
        <v>0</v>
      </c>
      <c r="E51">
        <v>0</v>
      </c>
      <c r="F51" s="519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2:11" x14ac:dyDescent="0.25">
      <c r="B52">
        <v>0</v>
      </c>
      <c r="C52">
        <v>0</v>
      </c>
      <c r="D52">
        <v>0</v>
      </c>
      <c r="E52">
        <v>0</v>
      </c>
      <c r="F52" s="519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2:11" x14ac:dyDescent="0.25">
      <c r="B53">
        <v>0</v>
      </c>
      <c r="C53">
        <v>0</v>
      </c>
      <c r="D53">
        <v>0</v>
      </c>
      <c r="E53">
        <v>0</v>
      </c>
      <c r="F53" s="519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2:11" x14ac:dyDescent="0.25"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2:11" x14ac:dyDescent="0.25"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2:11" x14ac:dyDescent="0.2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2:11" x14ac:dyDescent="0.25"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2:11" x14ac:dyDescent="0.25">
      <c r="B58">
        <v>0</v>
      </c>
      <c r="C58">
        <v>0</v>
      </c>
      <c r="D58">
        <v>0</v>
      </c>
      <c r="E58">
        <v>0</v>
      </c>
      <c r="F58" s="519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2:11" x14ac:dyDescent="0.25">
      <c r="B59">
        <v>0</v>
      </c>
      <c r="C59">
        <v>0</v>
      </c>
      <c r="D59">
        <v>0</v>
      </c>
      <c r="E59">
        <v>0</v>
      </c>
      <c r="F59" s="519">
        <v>0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2:11" x14ac:dyDescent="0.25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2:11" x14ac:dyDescent="0.25"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2:11" x14ac:dyDescent="0.25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2:11" x14ac:dyDescent="0.25"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2:11" x14ac:dyDescent="0.25">
      <c r="B64">
        <v>0</v>
      </c>
      <c r="C64">
        <v>0</v>
      </c>
      <c r="D64">
        <v>0</v>
      </c>
      <c r="E64">
        <v>0</v>
      </c>
      <c r="F64" s="519">
        <v>0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2:11" x14ac:dyDescent="0.25">
      <c r="B65">
        <v>0</v>
      </c>
      <c r="C65">
        <v>0</v>
      </c>
      <c r="D65">
        <v>0</v>
      </c>
      <c r="E65">
        <v>0</v>
      </c>
      <c r="F65" s="519">
        <v>0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2:11" x14ac:dyDescent="0.25">
      <c r="B66">
        <v>0</v>
      </c>
      <c r="C66">
        <v>0</v>
      </c>
      <c r="D66">
        <v>0</v>
      </c>
      <c r="E66" s="519">
        <v>0</v>
      </c>
      <c r="F66" s="519">
        <v>0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2:11" x14ac:dyDescent="0.25">
      <c r="B67">
        <v>0</v>
      </c>
      <c r="C67">
        <v>0</v>
      </c>
      <c r="D67">
        <v>0</v>
      </c>
      <c r="E67" s="519">
        <v>0</v>
      </c>
      <c r="F67" s="519">
        <v>0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 s="519">
        <v>0</v>
      </c>
      <c r="F68" s="519">
        <v>0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2:11" x14ac:dyDescent="0.25">
      <c r="B69">
        <v>0</v>
      </c>
      <c r="C69">
        <v>0</v>
      </c>
      <c r="D69">
        <v>0</v>
      </c>
      <c r="E69">
        <v>0</v>
      </c>
      <c r="F69" s="51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2:11" x14ac:dyDescent="0.25"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2:11" x14ac:dyDescent="0.25"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2:11" x14ac:dyDescent="0.25"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2:11" x14ac:dyDescent="0.25"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-99871</v>
      </c>
      <c r="H92">
        <v>95738</v>
      </c>
      <c r="I92">
        <v>91223</v>
      </c>
      <c r="J92">
        <v>86268</v>
      </c>
      <c r="K92">
        <v>99610</v>
      </c>
    </row>
    <row r="93" spans="2:11" x14ac:dyDescent="0.25">
      <c r="B93">
        <v>94875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113" spans="3:5" x14ac:dyDescent="0.25">
      <c r="C113" s="519"/>
      <c r="D113" s="519"/>
      <c r="E113" s="519"/>
    </row>
    <row r="114" spans="3:5" x14ac:dyDescent="0.25">
      <c r="C114" s="519"/>
      <c r="D114" s="519"/>
      <c r="E114" s="519"/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6"/>
  <sheetViews>
    <sheetView tabSelected="1" workbookViewId="0">
      <selection activeCell="P33" sqref="P33"/>
    </sheetView>
  </sheetViews>
  <sheetFormatPr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8" customWidth="true" style="478" width="18.85546875" collapsed="true"/>
    <col min="9" max="9" customWidth="true" style="478" width="6.5703125" collapsed="true"/>
    <col min="10" max="10" customWidth="true" style="478" width="10.140625" collapsed="true"/>
    <col min="11" max="11" customWidth="true" style="478" width="9.85546875" collapsed="true"/>
    <col min="12" max="14" style="479" width="9.140625" collapsed="true"/>
    <col min="15" max="15" customWidth="true" style="479" width="13.0" collapsed="true"/>
    <col min="16" max="16" customWidth="true" style="481" width="19.5703125" collapsed="true"/>
    <col min="17" max="17" customWidth="true" style="556" width="19.5703125" collapsed="true"/>
    <col min="18" max="16384" style="479" width="9.140625" collapsed="true"/>
  </cols>
  <sheetData>
    <row r="1" spans="3:23" x14ac:dyDescent="0.25">
      <c r="C1" s="10" t="s">
        <v>44</v>
      </c>
      <c r="F1" s="10" t="s">
        <v>45</v>
      </c>
      <c r="N1" s="480" t="s">
        <v>268</v>
      </c>
      <c r="S1" s="480"/>
      <c r="T1" s="480" t="s">
        <v>268</v>
      </c>
      <c r="U1" s="505"/>
    </row>
    <row ht="15.75" r="2" spans="3:23" thickBot="1" x14ac:dyDescent="0.3">
      <c r="C2" s="480" t="s">
        <v>47</v>
      </c>
      <c r="M2" s="10"/>
      <c r="N2" s="10" t="s">
        <v>257</v>
      </c>
      <c r="O2" s="10" t="s">
        <v>258</v>
      </c>
      <c r="P2" s="557" t="s">
        <v>269</v>
      </c>
      <c r="Q2" s="558" t="s">
        <v>270</v>
      </c>
      <c r="R2" s="482" t="s">
        <v>284</v>
      </c>
      <c r="T2" s="505"/>
      <c r="U2" s="480" t="s">
        <v>271</v>
      </c>
      <c r="V2" s="482"/>
      <c r="W2" s="482"/>
    </row>
    <row r="3" spans="3:23" x14ac:dyDescent="0.2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N3" s="479">
        <f>WorkTourDestination!B11</f>
        <v>1</v>
      </c>
      <c r="O3" s="479" t="str">
        <f>WorkTourDestination!C11</f>
        <v>Beta00001</v>
      </c>
      <c r="P3" s="481">
        <f>WorkTourDestination!E11</f>
        <v>50.6135333884</v>
      </c>
      <c r="Q3" s="559">
        <f>_xlfn.IFNA(VLOOKUP(N3,$B$43:$D$46,3,FALSE),P3)</f>
        <v>50.6135333884</v>
      </c>
      <c r="R3" s="479">
        <f>IF(P3=Q3,0,1)</f>
        <v>0</v>
      </c>
      <c r="T3">
        <v>1</v>
      </c>
      <c r="U3" s="477" t="s">
        <v>272</v>
      </c>
    </row>
    <row r="4" spans="3:23" x14ac:dyDescent="0.25">
      <c r="C4" s="486" t="s">
        <v>51</v>
      </c>
      <c r="D4" s="487">
        <f>TLFD!E11</f>
        <v>3954.4062505030238</v>
      </c>
      <c r="F4" s="486" t="s">
        <v>51</v>
      </c>
      <c r="G4" s="487">
        <f>TLFD!L11</f>
        <v>2888.3333333304449</v>
      </c>
      <c r="H4" s="487"/>
      <c r="I4" s="487"/>
      <c r="J4" s="487"/>
      <c r="K4" s="487"/>
      <c r="L4" s="488"/>
      <c r="N4" s="479">
        <f>WorkTourDestination!B12</f>
        <v>2</v>
      </c>
      <c r="O4" s="479" t="str">
        <f>WorkTourDestination!C12</f>
        <v>Beta00002</v>
      </c>
      <c r="P4" s="481">
        <f>WorkTourDestination!E12</f>
        <v>-9.1355871541399996</v>
      </c>
      <c r="Q4" s="559">
        <f>_xlfn.IFNA(VLOOKUP(N4,$B$43:$D$46,3,FALSE),P4)</f>
        <v>-9.1355871541399996</v>
      </c>
      <c r="R4" s="479">
        <f ref="R4:R67" si="0" t="shared">IF(P4=Q4,0,1)</f>
        <v>0</v>
      </c>
      <c r="T4">
        <v>2</v>
      </c>
      <c r="U4" s="477" t="s">
        <v>273</v>
      </c>
    </row>
    <row r="5" spans="3:23" x14ac:dyDescent="0.25">
      <c r="C5" s="489" t="s">
        <v>54</v>
      </c>
      <c r="D5" s="490">
        <f>TLFD!E12+TLFD!E13+(TLFD!E14/2)</f>
        <v>4210.855581130023</v>
      </c>
      <c r="F5" s="489" t="s">
        <v>54</v>
      </c>
      <c r="G5" s="490">
        <f>TLFD!L12+TLFD!L13+(TLFD!L14/2)</f>
        <v>3908.3333333294254</v>
      </c>
      <c r="H5" s="490"/>
      <c r="I5" s="490"/>
      <c r="J5" s="490"/>
      <c r="K5" s="490"/>
      <c r="L5" s="488"/>
      <c r="N5" s="479">
        <f>WorkTourDestination!B13</f>
        <v>3</v>
      </c>
      <c r="O5" s="479" t="str">
        <f>WorkTourDestination!C13</f>
        <v>Beta00003</v>
      </c>
      <c r="P5" s="481">
        <f>WorkTourDestination!E13</f>
        <v>-10.2481134968</v>
      </c>
      <c r="Q5" s="559">
        <f ref="Q5:Q68" si="1" t="shared">_xlfn.IFNA(VLOOKUP(N5,$B$43:$D$46,3,FALSE),P5)</f>
        <v>-10.2481134968</v>
      </c>
      <c r="R5" s="479">
        <f si="0" t="shared"/>
        <v>0</v>
      </c>
      <c r="T5">
        <v>3</v>
      </c>
      <c r="U5" s="505" t="s">
        <v>274</v>
      </c>
    </row>
    <row r="6" spans="3:23" x14ac:dyDescent="0.25">
      <c r="C6" s="489" t="s">
        <v>57</v>
      </c>
      <c r="D6" s="490">
        <f>(TLFD!E14/2)+SUM(TLFD!E15:E20)</f>
        <v>2415.3492966447116</v>
      </c>
      <c r="F6" s="489" t="s">
        <v>57</v>
      </c>
      <c r="G6" s="490">
        <f>(TLFD!L14/2)+SUM(TLFD!L15:L20)</f>
        <v>2646.6666666640203</v>
      </c>
      <c r="H6" s="490"/>
      <c r="I6" s="490"/>
      <c r="J6" s="490"/>
      <c r="K6" s="490"/>
      <c r="L6" s="491"/>
      <c r="N6" s="479">
        <f>WorkTourDestination!B14</f>
        <v>4</v>
      </c>
      <c r="O6" s="479" t="str">
        <f>WorkTourDestination!C14</f>
        <v>Beta00004</v>
      </c>
      <c r="P6" s="481">
        <f>WorkTourDestination!E14</f>
        <v>-6.5331469249699996</v>
      </c>
      <c r="Q6" s="559">
        <f si="1" t="shared"/>
        <v>-6.5331469249699996</v>
      </c>
      <c r="R6" s="479">
        <f si="0" t="shared"/>
        <v>0</v>
      </c>
      <c r="T6">
        <v>4</v>
      </c>
      <c r="U6" s="505" t="s">
        <v>275</v>
      </c>
    </row>
    <row r="7" spans="3:23" x14ac:dyDescent="0.25">
      <c r="C7" s="492" t="s">
        <v>60</v>
      </c>
      <c r="D7" s="493">
        <f>SUM(TLFD!E21:E101)</f>
        <v>707.22901736940389</v>
      </c>
      <c r="F7" s="492" t="s">
        <v>60</v>
      </c>
      <c r="G7" s="493">
        <f>SUM(TLFD!L21:L101)</f>
        <v>968.33333333236499</v>
      </c>
      <c r="H7" s="533"/>
      <c r="I7" s="533"/>
      <c r="J7" s="533"/>
      <c r="K7" s="533"/>
      <c r="L7" s="494"/>
      <c r="N7" s="479">
        <f>WorkTourDestination!B15</f>
        <v>5</v>
      </c>
      <c r="O7" s="479" t="str">
        <f>WorkTourDestination!C15</f>
        <v>Beta00005</v>
      </c>
      <c r="P7" s="481">
        <f>WorkTourDestination!E15</f>
        <v>-28.327910272099999</v>
      </c>
      <c r="Q7" s="559">
        <f si="1" t="shared"/>
        <v>-28.327910272099999</v>
      </c>
      <c r="R7" s="479">
        <f si="0" t="shared"/>
        <v>0</v>
      </c>
      <c r="T7" s="505">
        <v>5</v>
      </c>
      <c r="U7" s="505" t="s">
        <v>276</v>
      </c>
    </row>
    <row ht="15.75" r="8" spans="3:23" thickBot="1" x14ac:dyDescent="0.3">
      <c r="C8" s="495" t="s">
        <v>4</v>
      </c>
      <c r="D8" s="496">
        <f>SUM(D4:D7)</f>
        <v>11287.840145647162</v>
      </c>
      <c r="E8" s="497"/>
      <c r="F8" s="495" t="s">
        <v>4</v>
      </c>
      <c r="G8" s="496">
        <f>SUM(G4:G7)</f>
        <v>10411.666666656256</v>
      </c>
      <c r="H8" s="534"/>
      <c r="I8" s="534"/>
      <c r="J8" s="534" t="s">
        <v>263</v>
      </c>
      <c r="K8" s="541">
        <v>1</v>
      </c>
      <c r="N8" s="479">
        <f>WorkTourDestination!B16</f>
        <v>6</v>
      </c>
      <c r="O8" s="479" t="str">
        <f>WorkTourDestination!C16</f>
        <v>Beta00006</v>
      </c>
      <c r="P8" s="481">
        <f>WorkTourDestination!E16</f>
        <v>-12.9207166605</v>
      </c>
      <c r="Q8" s="559">
        <f si="1" t="shared"/>
        <v>-12.9207166605</v>
      </c>
      <c r="R8" s="479">
        <f si="0" t="shared"/>
        <v>0</v>
      </c>
      <c r="T8" s="505"/>
      <c r="U8" s="505"/>
    </row>
    <row r="9" spans="3:23" x14ac:dyDescent="0.25">
      <c r="N9" s="479">
        <f>WorkTourDestination!B17</f>
        <v>11</v>
      </c>
      <c r="O9" s="479" t="str">
        <f>WorkTourDestination!C17</f>
        <v>Beta00011</v>
      </c>
      <c r="P9" s="481">
        <f>WorkTourDestination!E17</f>
        <v>1</v>
      </c>
      <c r="Q9" s="559">
        <f si="1" t="shared"/>
        <v>1</v>
      </c>
      <c r="R9" s="479">
        <f si="0" t="shared"/>
        <v>0</v>
      </c>
      <c r="T9" s="505"/>
      <c r="U9" s="560" t="s">
        <v>277</v>
      </c>
    </row>
    <row ht="15.75" r="10" spans="3:23" thickBot="1" x14ac:dyDescent="0.3">
      <c r="C10" s="498" t="s">
        <v>67</v>
      </c>
      <c r="I10" s="542" t="s">
        <v>264</v>
      </c>
      <c r="J10" s="543"/>
      <c r="K10" s="543"/>
      <c r="L10" s="485"/>
      <c r="N10" s="479">
        <f>WorkTourDestination!B18</f>
        <v>12</v>
      </c>
      <c r="O10" s="479" t="str">
        <f>WorkTourDestination!C18</f>
        <v>Beta00012</v>
      </c>
      <c r="P10" s="481">
        <f>WorkTourDestination!E18</f>
        <v>25.5851730473</v>
      </c>
      <c r="Q10" s="559">
        <f si="1" t="shared"/>
        <v>25.5851730473</v>
      </c>
      <c r="R10" s="479">
        <f si="0" t="shared"/>
        <v>0</v>
      </c>
      <c r="T10" s="505">
        <v>1</v>
      </c>
      <c r="U10" s="477" t="s">
        <v>272</v>
      </c>
    </row>
    <row r="11" spans="3:23" x14ac:dyDescent="0.2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265</v>
      </c>
      <c r="J11" s="484" t="s">
        <v>266</v>
      </c>
      <c r="K11" s="484" t="s">
        <v>267</v>
      </c>
      <c r="L11" s="499"/>
      <c r="N11" s="479">
        <f>WorkTourDestination!B19</f>
        <v>13</v>
      </c>
      <c r="O11" s="479" t="str">
        <f>WorkTourDestination!C19</f>
        <v>Beta00013</v>
      </c>
      <c r="P11" s="481">
        <f>WorkTourDestination!E19</f>
        <v>0.62661796638099998</v>
      </c>
      <c r="Q11" s="559">
        <f si="1" t="shared"/>
        <v>0.62661796638099998</v>
      </c>
      <c r="R11" s="479">
        <f si="0" t="shared"/>
        <v>0</v>
      </c>
      <c r="T11" s="505">
        <v>2</v>
      </c>
      <c r="U11" s="505" t="s">
        <v>278</v>
      </c>
    </row>
    <row r="12" spans="3:23" x14ac:dyDescent="0.25">
      <c r="C12" s="486" t="s">
        <v>51</v>
      </c>
      <c r="D12" s="500">
        <f>D4/D$8</f>
        <v>0.35032443757878068</v>
      </c>
      <c r="F12" s="486" t="s">
        <v>51</v>
      </c>
      <c r="G12" s="500">
        <f>G4/G$8</f>
        <v>0.27741315831599167</v>
      </c>
      <c r="H12" s="500"/>
      <c r="I12" s="544">
        <f>TLFD!Q14/TLFD!R14</f>
        <v>0.73727185900380487</v>
      </c>
      <c r="J12" s="545">
        <f>LN(I12)</f>
        <v>-0.30479858234845592</v>
      </c>
      <c r="K12" s="545">
        <f>K8*J12</f>
        <v>-0.30479858234845592</v>
      </c>
      <c r="L12" s="499"/>
      <c r="N12" s="479">
        <f>WorkTourDestination!B20</f>
        <v>14</v>
      </c>
      <c r="O12" s="479" t="str">
        <f>WorkTourDestination!C20</f>
        <v>Beta00014</v>
      </c>
      <c r="P12" s="481">
        <f>WorkTourDestination!E20</f>
        <v>1.20261129454</v>
      </c>
      <c r="Q12" s="559">
        <f si="1" t="shared"/>
        <v>1.20261129454</v>
      </c>
      <c r="R12" s="479">
        <f si="0" t="shared"/>
        <v>0</v>
      </c>
      <c r="T12" s="505">
        <v>3</v>
      </c>
      <c r="U12" s="505" t="s">
        <v>279</v>
      </c>
    </row>
    <row r="13" spans="3:23" x14ac:dyDescent="0.25">
      <c r="C13" s="489" t="s">
        <v>54</v>
      </c>
      <c r="D13" s="501">
        <f ref="D13:D16" si="2" t="shared">D5/D$8</f>
        <v>0.37304351645640738</v>
      </c>
      <c r="F13" s="489" t="s">
        <v>54</v>
      </c>
      <c r="G13" s="501">
        <f ref="G13:G16" si="3" t="shared">G5/G$8</f>
        <v>0.37538018248759403</v>
      </c>
      <c r="H13" s="501"/>
      <c r="I13" s="544"/>
      <c r="J13" s="545"/>
      <c r="K13" s="545"/>
      <c r="L13" s="499"/>
      <c r="N13" s="479">
        <f>WorkTourDestination!B21</f>
        <v>15</v>
      </c>
      <c r="O13" s="479" t="str">
        <f>WorkTourDestination!C21</f>
        <v>Beta00015</v>
      </c>
      <c r="P13" s="481">
        <f>WorkTourDestination!E21</f>
        <v>1.7752110558500001</v>
      </c>
      <c r="Q13" s="559">
        <f si="1" t="shared"/>
        <v>1.7752110558500001</v>
      </c>
      <c r="R13" s="479">
        <f si="0" t="shared"/>
        <v>0</v>
      </c>
      <c r="T13" s="505">
        <v>4</v>
      </c>
      <c r="U13" s="505" t="s">
        <v>280</v>
      </c>
    </row>
    <row r="14" spans="3:23" x14ac:dyDescent="0.25">
      <c r="C14" s="489" t="s">
        <v>57</v>
      </c>
      <c r="D14" s="501">
        <f si="2" t="shared"/>
        <v>0.21397798564467826</v>
      </c>
      <c r="F14" s="489" t="s">
        <v>57</v>
      </c>
      <c r="G14" s="501">
        <f si="3" t="shared"/>
        <v>0.25420201696814471</v>
      </c>
      <c r="H14" s="501"/>
      <c r="I14" s="544"/>
      <c r="J14" s="545"/>
      <c r="K14" s="545"/>
      <c r="L14" s="502"/>
      <c r="N14" s="479">
        <f>WorkTourDestination!B22</f>
        <v>16</v>
      </c>
      <c r="O14" s="479" t="str">
        <f>WorkTourDestination!C22</f>
        <v>Beta00016</v>
      </c>
      <c r="P14" s="481">
        <f>WorkTourDestination!E22</f>
        <v>-3.8876923697499999</v>
      </c>
      <c r="Q14" s="559">
        <f si="1" t="shared"/>
        <v>-3.8876923697499999</v>
      </c>
      <c r="R14" s="479">
        <f si="0" t="shared"/>
        <v>0</v>
      </c>
      <c r="T14" s="505">
        <v>5</v>
      </c>
      <c r="U14" s="477" t="s">
        <v>281</v>
      </c>
    </row>
    <row ht="15.75" r="15" spans="3:23" thickBot="1" x14ac:dyDescent="0.3">
      <c r="C15" s="492" t="s">
        <v>60</v>
      </c>
      <c r="D15" s="501">
        <f si="2" t="shared"/>
        <v>6.2654060320133681E-2</v>
      </c>
      <c r="F15" s="492" t="s">
        <v>60</v>
      </c>
      <c r="G15" s="501">
        <f si="3" t="shared"/>
        <v>9.3004642228269555E-2</v>
      </c>
      <c r="H15" s="501"/>
      <c r="I15" s="546"/>
      <c r="J15" s="547"/>
      <c r="K15" s="547"/>
      <c r="N15" s="479">
        <f>WorkTourDestination!B23</f>
        <v>17</v>
      </c>
      <c r="O15" s="479" t="str">
        <f>WorkTourDestination!C23</f>
        <v>Beta00017</v>
      </c>
      <c r="P15" s="481">
        <f>WorkTourDestination!E23</f>
        <v>-2.0840829429199998</v>
      </c>
      <c r="Q15" s="559">
        <f si="1" t="shared"/>
        <v>-2.3888815252684559</v>
      </c>
      <c r="R15" s="479">
        <f si="0" t="shared"/>
        <v>1</v>
      </c>
      <c r="T15" s="505">
        <v>6</v>
      </c>
      <c r="U15" s="505" t="s">
        <v>282</v>
      </c>
    </row>
    <row ht="15.75" r="16" spans="3:23" thickBot="1" x14ac:dyDescent="0.3">
      <c r="C16" s="495" t="s">
        <v>4</v>
      </c>
      <c r="D16" s="503">
        <f si="2" t="shared"/>
        <v>1</v>
      </c>
      <c r="E16" s="497"/>
      <c r="F16" s="495" t="s">
        <v>4</v>
      </c>
      <c r="G16" s="503">
        <f si="3" t="shared"/>
        <v>1</v>
      </c>
      <c r="H16" s="535"/>
      <c r="I16" s="544"/>
      <c r="J16" s="544"/>
      <c r="K16" s="544"/>
      <c r="N16" s="479">
        <f>WorkTourDestination!B24</f>
        <v>18</v>
      </c>
      <c r="O16" s="479" t="str">
        <f>WorkTourDestination!C24</f>
        <v>Beta00018</v>
      </c>
      <c r="P16" s="481">
        <f>WorkTourDestination!E24</f>
        <v>-2.1522976888600001</v>
      </c>
      <c r="Q16" s="559">
        <f si="1" t="shared"/>
        <v>-2.1522976888600001</v>
      </c>
      <c r="R16" s="479">
        <f si="0" t="shared"/>
        <v>0</v>
      </c>
      <c r="T16" s="505">
        <v>7</v>
      </c>
      <c r="U16" s="505" t="s">
        <v>275</v>
      </c>
    </row>
    <row r="17" spans="2:21" x14ac:dyDescent="0.25">
      <c r="N17" s="479">
        <f>WorkTourDestination!B25</f>
        <v>19</v>
      </c>
      <c r="O17" s="479" t="str">
        <f>WorkTourDestination!C25</f>
        <v>Beta00019</v>
      </c>
      <c r="P17" s="481">
        <f>WorkTourDestination!E25</f>
        <v>0.88930552872000002</v>
      </c>
      <c r="Q17" s="559">
        <f si="1" t="shared"/>
        <v>0.88930552872000002</v>
      </c>
      <c r="R17" s="479">
        <f si="0" t="shared"/>
        <v>0</v>
      </c>
      <c r="T17" s="505">
        <v>8</v>
      </c>
      <c r="U17" s="505" t="s">
        <v>283</v>
      </c>
    </row>
    <row r="18" spans="2:21" x14ac:dyDescent="0.25">
      <c r="I18" s="548"/>
      <c r="J18" s="548"/>
      <c r="K18" s="545"/>
      <c r="N18" s="479">
        <f>WorkTourDestination!B26</f>
        <v>31</v>
      </c>
      <c r="O18" s="479" t="str">
        <f>WorkTourDestination!C26</f>
        <v>Beta00031</v>
      </c>
      <c r="P18" s="481">
        <f>WorkTourDestination!E26</f>
        <v>0.15404102534</v>
      </c>
      <c r="Q18" s="559">
        <f si="1" t="shared"/>
        <v>0.15404102534</v>
      </c>
      <c r="R18" s="479">
        <f si="0" t="shared"/>
        <v>0</v>
      </c>
    </row>
    <row r="19" spans="2:21" x14ac:dyDescent="0.25">
      <c r="C19" s="504" t="s">
        <v>86</v>
      </c>
      <c r="I19" s="548"/>
      <c r="J19" s="548"/>
      <c r="K19" s="545"/>
      <c r="N19" s="479">
        <f>WorkTourDestination!B27</f>
        <v>32</v>
      </c>
      <c r="O19" s="479" t="str">
        <f>WorkTourDestination!C27</f>
        <v>Beta00032</v>
      </c>
      <c r="P19" s="481">
        <f>WorkTourDestination!E27</f>
        <v>7.8505405766500003E-2</v>
      </c>
      <c r="Q19" s="559">
        <f si="1" t="shared"/>
        <v>7.8505405766500003E-2</v>
      </c>
      <c r="R19" s="479">
        <f si="0" t="shared"/>
        <v>0</v>
      </c>
    </row>
    <row r="20" spans="2:21" x14ac:dyDescent="0.25">
      <c r="C20" s="504" t="s">
        <v>89</v>
      </c>
      <c r="I20" s="548"/>
      <c r="J20" s="548"/>
      <c r="K20" s="545"/>
      <c r="N20" s="479">
        <f>WorkTourDestination!B28</f>
        <v>33</v>
      </c>
      <c r="O20" s="479" t="str">
        <f>WorkTourDestination!C28</f>
        <v>Beta00033</v>
      </c>
      <c r="P20" s="481">
        <f>WorkTourDestination!E28</f>
        <v>-0.124122638562</v>
      </c>
      <c r="Q20" s="559">
        <f si="1" t="shared"/>
        <v>-0.124122638562</v>
      </c>
      <c r="R20" s="479">
        <f si="0" t="shared"/>
        <v>0</v>
      </c>
    </row>
    <row ht="15.75" r="21" spans="2:21" thickBot="1" x14ac:dyDescent="0.3">
      <c r="C21" s="505"/>
      <c r="I21" s="548"/>
      <c r="J21" s="548"/>
      <c r="K21" s="545"/>
      <c r="N21" s="479">
        <f>WorkTourDestination!B29</f>
        <v>34</v>
      </c>
      <c r="O21" s="479" t="str">
        <f>WorkTourDestination!C29</f>
        <v>Beta00034</v>
      </c>
      <c r="P21" s="481">
        <f>WorkTourDestination!E29</f>
        <v>-8.8006887167800002E-2</v>
      </c>
      <c r="Q21" s="559">
        <f si="1" t="shared"/>
        <v>-8.8006887167800002E-2</v>
      </c>
      <c r="R21" s="479">
        <f si="0" t="shared"/>
        <v>0</v>
      </c>
    </row>
    <row r="22" spans="2:21" x14ac:dyDescent="0.25">
      <c r="B22" s="536" t="s">
        <v>257</v>
      </c>
      <c r="C22" s="506" t="s">
        <v>95</v>
      </c>
      <c r="D22" s="507"/>
      <c r="N22" s="479">
        <f>WorkTourDestination!B30</f>
        <v>39</v>
      </c>
      <c r="O22" s="479" t="str">
        <f>WorkTourDestination!C30</f>
        <v>LSM_0039</v>
      </c>
      <c r="P22" s="481">
        <f>WorkTourDestination!E30</f>
        <v>0.21805149517</v>
      </c>
      <c r="Q22" s="559">
        <f si="1" t="shared"/>
        <v>0.21805149517</v>
      </c>
      <c r="R22" s="479">
        <f si="0" t="shared"/>
        <v>0</v>
      </c>
    </row>
    <row r="23" spans="2:21" x14ac:dyDescent="0.25">
      <c r="B23" s="537">
        <v>17</v>
      </c>
      <c r="C23" s="486" t="s">
        <v>51</v>
      </c>
      <c r="D23" s="550">
        <f>VLOOKUP($B23,$N:$P,3,FALSE)</f>
        <v>-2.0840829429199998</v>
      </c>
      <c r="I23" s="549"/>
      <c r="J23" s="549"/>
      <c r="K23" s="549"/>
      <c r="N23" s="479">
        <f>WorkTourDestination!B31</f>
        <v>40</v>
      </c>
      <c r="O23" s="479" t="str">
        <f>WorkTourDestination!C31</f>
        <v>Gamma040</v>
      </c>
      <c r="P23" s="481">
        <f>WorkTourDestination!E31</f>
        <v>-1.2010802918900001</v>
      </c>
      <c r="Q23" s="559">
        <f si="1" t="shared"/>
        <v>-1.2010802918900001</v>
      </c>
      <c r="R23" s="479">
        <f si="0" t="shared"/>
        <v>0</v>
      </c>
    </row>
    <row r="24" spans="2:21" x14ac:dyDescent="0.25">
      <c r="B24" s="537"/>
      <c r="C24" s="489"/>
      <c r="D24" s="550"/>
      <c r="N24" s="479">
        <f>WorkTourDestination!B32</f>
        <v>41</v>
      </c>
      <c r="O24" s="479" t="str">
        <f>WorkTourDestination!C32</f>
        <v>Gamma041</v>
      </c>
      <c r="P24" s="481">
        <f>WorkTourDestination!E32</f>
        <v>-4.2061803481000002</v>
      </c>
      <c r="Q24" s="559">
        <f si="1" t="shared"/>
        <v>-4.2061803481000002</v>
      </c>
      <c r="R24" s="479">
        <f si="0" t="shared"/>
        <v>0</v>
      </c>
    </row>
    <row r="25" spans="2:21" x14ac:dyDescent="0.25">
      <c r="B25" s="537"/>
      <c r="C25" s="489"/>
      <c r="D25" s="550"/>
      <c r="N25" s="479">
        <f>WorkTourDestination!B33</f>
        <v>42</v>
      </c>
      <c r="O25" s="479" t="str">
        <f>WorkTourDestination!C33</f>
        <v>Gamma042</v>
      </c>
      <c r="P25" s="481">
        <f>WorkTourDestination!E33</f>
        <v>0</v>
      </c>
      <c r="Q25" s="559">
        <f si="1" t="shared"/>
        <v>0</v>
      </c>
      <c r="R25" s="479">
        <f si="0" t="shared"/>
        <v>0</v>
      </c>
    </row>
    <row ht="15.75" r="26" spans="2:21" thickBot="1" x14ac:dyDescent="0.3">
      <c r="B26" s="538"/>
      <c r="C26" s="509"/>
      <c r="D26" s="551"/>
      <c r="N26" s="479">
        <f>WorkTourDestination!B34</f>
        <v>43</v>
      </c>
      <c r="O26" s="479" t="str">
        <f>WorkTourDestination!C34</f>
        <v>Gamma043</v>
      </c>
      <c r="P26" s="481">
        <f>WorkTourDestination!E34</f>
        <v>-3.6496161888600001</v>
      </c>
      <c r="Q26" s="559">
        <f si="1" t="shared"/>
        <v>-3.6496161888600001</v>
      </c>
      <c r="R26" s="479">
        <f si="0" t="shared"/>
        <v>0</v>
      </c>
    </row>
    <row r="27" spans="2:21" x14ac:dyDescent="0.25">
      <c r="C27" s="505"/>
      <c r="D27" s="511"/>
      <c r="N27" s="479">
        <f>WorkTourDestination!B35</f>
        <v>44</v>
      </c>
      <c r="O27" s="479" t="str">
        <f>WorkTourDestination!C35</f>
        <v>Gamma044</v>
      </c>
      <c r="P27" s="481">
        <f>WorkTourDestination!E35</f>
        <v>-3.9802023989799999</v>
      </c>
      <c r="Q27" s="559">
        <f si="1" t="shared"/>
        <v>-3.9802023989799999</v>
      </c>
      <c r="R27" s="479">
        <f si="0" t="shared"/>
        <v>0</v>
      </c>
    </row>
    <row r="28" spans="2:21" x14ac:dyDescent="0.25">
      <c r="C28" s="505"/>
      <c r="D28" s="511"/>
      <c r="N28" s="479">
        <f>WorkTourDestination!B36</f>
        <v>45</v>
      </c>
      <c r="O28" s="479" t="str">
        <f>WorkTourDestination!C36</f>
        <v>Gamma045</v>
      </c>
      <c r="P28" s="481">
        <f>WorkTourDestination!E36</f>
        <v>-4.4159067408599997</v>
      </c>
      <c r="Q28" s="559">
        <f si="1" t="shared"/>
        <v>-4.4159067408599997</v>
      </c>
      <c r="R28" s="479">
        <f si="0" t="shared"/>
        <v>0</v>
      </c>
    </row>
    <row r="29" spans="2:21" x14ac:dyDescent="0.25">
      <c r="C29" s="504" t="s">
        <v>86</v>
      </c>
      <c r="D29" s="512"/>
      <c r="N29" s="479">
        <f>WorkTourDestination!B37</f>
        <v>46</v>
      </c>
      <c r="O29" s="479" t="str">
        <f>WorkTourDestination!C37</f>
        <v>Gamma046</v>
      </c>
      <c r="P29" s="481">
        <f>WorkTourDestination!E37</f>
        <v>-4.7397273603999999</v>
      </c>
      <c r="Q29" s="559">
        <f si="1" t="shared"/>
        <v>-4.7397273603999999</v>
      </c>
      <c r="R29" s="479">
        <f si="0" t="shared"/>
        <v>0</v>
      </c>
    </row>
    <row r="30" spans="2:21" x14ac:dyDescent="0.25">
      <c r="C30" s="504" t="s">
        <v>111</v>
      </c>
      <c r="D30" s="512"/>
      <c r="N30" s="479">
        <f>WorkTourDestination!B38</f>
        <v>47</v>
      </c>
      <c r="O30" s="479" t="str">
        <f>WorkTourDestination!C38</f>
        <v>Gamma047</v>
      </c>
      <c r="P30" s="481">
        <f>WorkTourDestination!E38</f>
        <v>-4.5913043025100002</v>
      </c>
      <c r="Q30" s="559">
        <f si="1" t="shared"/>
        <v>-4.5913043025100002</v>
      </c>
      <c r="R30" s="479">
        <f si="0" t="shared"/>
        <v>0</v>
      </c>
    </row>
    <row ht="15.75" r="31" spans="2:21" thickBot="1" x14ac:dyDescent="0.3">
      <c r="C31" s="505"/>
      <c r="D31" s="511"/>
      <c r="N31" s="479">
        <f>WorkTourDestination!B39</f>
        <v>48</v>
      </c>
      <c r="O31" s="479" t="str">
        <f>WorkTourDestination!C39</f>
        <v>Gamma048</v>
      </c>
      <c r="P31" s="481">
        <f>WorkTourDestination!E39</f>
        <v>-80</v>
      </c>
      <c r="Q31" s="559">
        <f si="1" t="shared"/>
        <v>-80</v>
      </c>
      <c r="R31" s="479">
        <f si="0" t="shared"/>
        <v>0</v>
      </c>
    </row>
    <row r="32" spans="2:21" x14ac:dyDescent="0.25">
      <c r="B32" s="536" t="s">
        <v>257</v>
      </c>
      <c r="C32" s="506" t="s">
        <v>95</v>
      </c>
      <c r="D32" s="507"/>
      <c r="N32" s="479">
        <f>WorkTourDestination!B40</f>
        <v>49</v>
      </c>
      <c r="O32" s="479" t="str">
        <f>WorkTourDestination!C40</f>
        <v>Gamma049</v>
      </c>
      <c r="P32" s="481">
        <f>WorkTourDestination!E40</f>
        <v>2.4007960989599999</v>
      </c>
      <c r="Q32" s="559">
        <f si="1" t="shared"/>
        <v>2.4007960989599999</v>
      </c>
      <c r="R32" s="479">
        <f si="0" t="shared"/>
        <v>0</v>
      </c>
    </row>
    <row r="33" spans="2:18" x14ac:dyDescent="0.25">
      <c r="B33" s="537">
        <f>B23</f>
        <v>17</v>
      </c>
      <c r="C33" s="486" t="s">
        <v>51</v>
      </c>
      <c r="D33" s="552">
        <f>K12</f>
        <v>-0.30479858234845592</v>
      </c>
      <c r="N33" s="479">
        <f>WorkTourDestination!B41</f>
        <v>50</v>
      </c>
      <c r="O33" s="479" t="str">
        <f>WorkTourDestination!C41</f>
        <v>Gamma050</v>
      </c>
      <c r="P33" s="481">
        <f>WorkTourDestination!E41</f>
        <v>0</v>
      </c>
      <c r="Q33" s="559">
        <f si="1" t="shared"/>
        <v>0</v>
      </c>
      <c r="R33" s="479">
        <f si="0" t="shared"/>
        <v>0</v>
      </c>
    </row>
    <row r="34" spans="2:18" x14ac:dyDescent="0.25">
      <c r="B34" s="537"/>
      <c r="C34" s="489"/>
      <c r="D34" s="553"/>
      <c r="N34" s="479">
        <f>WorkTourDestination!B42</f>
        <v>60</v>
      </c>
      <c r="O34" s="479" t="str">
        <f>WorkTourDestination!C42</f>
        <v>LSUvsN</v>
      </c>
      <c r="P34" s="481">
        <f>WorkTourDestination!E42</f>
        <v>9.3479808750599996E-2</v>
      </c>
      <c r="Q34" s="559">
        <f si="1" t="shared"/>
        <v>9.3479808750599996E-2</v>
      </c>
      <c r="R34" s="479">
        <f si="0" t="shared"/>
        <v>0</v>
      </c>
    </row>
    <row r="35" spans="2:18" x14ac:dyDescent="0.25">
      <c r="B35" s="537"/>
      <c r="C35" s="489"/>
      <c r="D35" s="553"/>
      <c r="G35" s="513"/>
      <c r="H35" s="513"/>
      <c r="I35" s="513"/>
      <c r="J35" s="513"/>
      <c r="K35" s="513"/>
      <c r="M35" s="517"/>
      <c r="N35" s="517"/>
      <c r="O35" s="517"/>
      <c r="P35" s="561"/>
      <c r="Q35" s="562"/>
      <c r="R35" s="517"/>
    </row>
    <row ht="15.75" r="36" spans="2:18" thickBot="1" x14ac:dyDescent="0.3">
      <c r="B36" s="539"/>
      <c r="C36" s="509"/>
      <c r="D36" s="510"/>
      <c r="G36" s="514"/>
      <c r="H36" s="514"/>
      <c r="I36" s="514"/>
      <c r="J36" s="514"/>
      <c r="K36" s="514"/>
      <c r="M36" s="517"/>
      <c r="N36" s="517"/>
      <c r="O36" s="517"/>
      <c r="P36" s="561"/>
      <c r="Q36" s="562"/>
      <c r="R36" s="517"/>
    </row>
    <row ht="15.75" r="37" spans="2:18" thickTop="1" x14ac:dyDescent="0.25">
      <c r="C37" s="505"/>
      <c r="D37" s="508"/>
      <c r="M37" s="517"/>
      <c r="N37" s="517"/>
      <c r="O37" s="517"/>
      <c r="P37" s="561"/>
      <c r="Q37" s="562"/>
      <c r="R37" s="517"/>
    </row>
    <row r="38" spans="2:18" x14ac:dyDescent="0.25">
      <c r="C38" s="505"/>
      <c r="D38" s="508"/>
      <c r="M38" s="517"/>
      <c r="N38" s="517"/>
      <c r="O38" s="517"/>
      <c r="P38" s="561"/>
      <c r="Q38" s="562"/>
      <c r="R38" s="517"/>
    </row>
    <row r="39" spans="2:18" x14ac:dyDescent="0.25">
      <c r="C39" s="504" t="s">
        <v>86</v>
      </c>
      <c r="D39" s="515"/>
      <c r="M39" s="517"/>
      <c r="N39" s="517"/>
      <c r="O39" s="517"/>
      <c r="P39" s="561"/>
      <c r="Q39" s="562"/>
      <c r="R39" s="517"/>
    </row>
    <row r="40" spans="2:18" x14ac:dyDescent="0.25">
      <c r="C40" s="504" t="s">
        <v>129</v>
      </c>
      <c r="D40" s="515"/>
      <c r="M40" s="517"/>
      <c r="N40" s="517"/>
      <c r="O40" s="517"/>
      <c r="P40" s="561"/>
      <c r="Q40" s="562"/>
      <c r="R40" s="517"/>
    </row>
    <row ht="15.75" r="41" spans="2:18" thickBot="1" x14ac:dyDescent="0.3">
      <c r="B41" s="540"/>
      <c r="C41" s="505"/>
      <c r="D41" s="508"/>
      <c r="M41" s="517"/>
      <c r="N41" s="517"/>
      <c r="O41" s="517"/>
      <c r="P41" s="561"/>
      <c r="Q41" s="562"/>
      <c r="R41" s="517"/>
    </row>
    <row r="42" spans="2:18" x14ac:dyDescent="0.25">
      <c r="B42" s="536" t="s">
        <v>257</v>
      </c>
      <c r="C42" s="506" t="s">
        <v>95</v>
      </c>
      <c r="D42" s="516"/>
      <c r="M42" s="517"/>
      <c r="N42" s="517"/>
      <c r="O42" s="517"/>
      <c r="P42" s="561"/>
      <c r="Q42" s="562"/>
      <c r="R42" s="517"/>
    </row>
    <row r="43" spans="2:18" x14ac:dyDescent="0.25">
      <c r="B43" s="537">
        <f>B33</f>
        <v>17</v>
      </c>
      <c r="C43" s="486" t="s">
        <v>51</v>
      </c>
      <c r="D43" s="554">
        <f>D23+D33</f>
        <v>-2.3888815252684559</v>
      </c>
      <c r="M43" s="517"/>
      <c r="N43" s="517"/>
      <c r="O43" s="517"/>
      <c r="P43" s="561"/>
      <c r="Q43" s="562"/>
      <c r="R43" s="517"/>
    </row>
    <row r="44" spans="2:18" x14ac:dyDescent="0.25">
      <c r="B44" s="537"/>
      <c r="C44" s="489"/>
      <c r="D44" s="554"/>
      <c r="M44" s="517"/>
      <c r="N44" s="517"/>
      <c r="O44" s="517"/>
      <c r="P44" s="561"/>
      <c r="Q44" s="562"/>
      <c r="R44" s="517"/>
    </row>
    <row r="45" spans="2:18" x14ac:dyDescent="0.25">
      <c r="B45" s="537"/>
      <c r="C45" s="489"/>
      <c r="D45" s="554"/>
      <c r="M45" s="517"/>
      <c r="N45" s="517"/>
      <c r="O45" s="517"/>
      <c r="P45" s="561"/>
      <c r="Q45" s="562"/>
      <c r="R45" s="517"/>
    </row>
    <row ht="15.75" r="46" spans="2:18" thickBot="1" x14ac:dyDescent="0.3">
      <c r="B46" s="539"/>
      <c r="C46" s="509"/>
      <c r="D46" s="555"/>
      <c r="M46" s="517"/>
      <c r="N46" s="517"/>
      <c r="O46" s="517"/>
      <c r="P46" s="561"/>
      <c r="Q46" s="562"/>
      <c r="R46" s="517"/>
    </row>
    <row ht="15.75" r="47" spans="2:18" thickTop="1" x14ac:dyDescent="0.25">
      <c r="M47" s="517"/>
      <c r="N47" s="517"/>
      <c r="O47" s="517"/>
      <c r="P47" s="561"/>
      <c r="Q47" s="562"/>
      <c r="R47" s="517"/>
    </row>
    <row r="48" spans="2:18" x14ac:dyDescent="0.25">
      <c r="M48" s="517"/>
      <c r="N48" s="517"/>
      <c r="O48" s="517"/>
      <c r="P48" s="561"/>
      <c r="Q48" s="562"/>
      <c r="R48" s="517"/>
    </row>
    <row r="49" spans="13:18" x14ac:dyDescent="0.25">
      <c r="M49" s="517"/>
      <c r="N49" s="517"/>
      <c r="O49" s="517"/>
      <c r="P49" s="561"/>
      <c r="Q49" s="562"/>
      <c r="R49" s="517"/>
    </row>
    <row r="50" spans="13:18" x14ac:dyDescent="0.25">
      <c r="M50" s="517"/>
      <c r="N50" s="517"/>
      <c r="O50" s="517"/>
      <c r="P50" s="561"/>
      <c r="Q50" s="562"/>
      <c r="R50" s="517"/>
    </row>
    <row r="51" spans="13:18" x14ac:dyDescent="0.25">
      <c r="M51" s="517"/>
      <c r="N51" s="517"/>
      <c r="O51" s="517"/>
      <c r="P51" s="561"/>
      <c r="Q51" s="562"/>
      <c r="R51" s="517"/>
    </row>
    <row r="52" spans="13:18" x14ac:dyDescent="0.25">
      <c r="M52" s="517"/>
      <c r="N52" s="517"/>
      <c r="O52" s="517"/>
      <c r="P52" s="561"/>
      <c r="Q52" s="562"/>
      <c r="R52" s="517"/>
    </row>
    <row r="53" spans="13:18" x14ac:dyDescent="0.25">
      <c r="M53" s="517"/>
      <c r="N53" s="517"/>
      <c r="O53" s="517"/>
      <c r="P53" s="561"/>
      <c r="Q53" s="562"/>
      <c r="R53" s="517"/>
    </row>
    <row r="54" spans="13:18" x14ac:dyDescent="0.25">
      <c r="M54" s="517"/>
      <c r="N54" s="517"/>
      <c r="O54" s="517"/>
      <c r="P54" s="561"/>
      <c r="Q54" s="562"/>
      <c r="R54" s="517"/>
    </row>
    <row r="55" spans="13:18" x14ac:dyDescent="0.25">
      <c r="M55" s="517"/>
      <c r="N55" s="517"/>
      <c r="O55" s="517"/>
      <c r="P55" s="561"/>
      <c r="Q55" s="562"/>
      <c r="R55" s="517"/>
    </row>
    <row r="56" spans="13:18" x14ac:dyDescent="0.25">
      <c r="M56" s="517"/>
      <c r="N56" s="517"/>
      <c r="O56" s="517"/>
      <c r="P56" s="561"/>
      <c r="Q56" s="562"/>
      <c r="R56" s="517"/>
    </row>
    <row r="57" spans="13:18" x14ac:dyDescent="0.25">
      <c r="M57" s="517"/>
      <c r="N57" s="517"/>
      <c r="O57" s="517"/>
      <c r="P57" s="561"/>
      <c r="Q57" s="562"/>
      <c r="R57" s="517"/>
    </row>
    <row r="58" spans="13:18" x14ac:dyDescent="0.25">
      <c r="M58" s="517"/>
      <c r="N58" s="517"/>
      <c r="O58" s="517"/>
      <c r="P58" s="561"/>
      <c r="Q58" s="562"/>
      <c r="R58" s="517"/>
    </row>
    <row r="59" spans="13:18" x14ac:dyDescent="0.25">
      <c r="M59" s="517"/>
      <c r="N59" s="517"/>
      <c r="O59" s="517"/>
      <c r="P59" s="561"/>
      <c r="Q59" s="562"/>
      <c r="R59" s="517"/>
    </row>
    <row r="60" spans="13:18" x14ac:dyDescent="0.25">
      <c r="M60" s="517"/>
      <c r="N60" s="517"/>
      <c r="O60" s="517"/>
      <c r="P60" s="561"/>
      <c r="Q60" s="562"/>
      <c r="R60" s="517"/>
    </row>
    <row r="61" spans="13:18" x14ac:dyDescent="0.25">
      <c r="M61" s="517"/>
      <c r="N61" s="517"/>
      <c r="O61" s="517"/>
      <c r="P61" s="561"/>
      <c r="Q61" s="562"/>
      <c r="R61" s="517"/>
    </row>
    <row r="62" spans="13:18" x14ac:dyDescent="0.25">
      <c r="M62" s="517"/>
      <c r="N62" s="517"/>
      <c r="O62" s="517"/>
      <c r="P62" s="561"/>
      <c r="Q62" s="562"/>
      <c r="R62" s="517"/>
    </row>
    <row r="63" spans="13:18" x14ac:dyDescent="0.25">
      <c r="M63" s="517"/>
      <c r="N63" s="517"/>
      <c r="O63" s="517"/>
      <c r="P63" s="561"/>
      <c r="Q63" s="562"/>
      <c r="R63" s="517"/>
    </row>
    <row r="64" spans="13:18" x14ac:dyDescent="0.25">
      <c r="M64" s="517"/>
      <c r="N64" s="517"/>
      <c r="O64" s="517"/>
      <c r="P64" s="561"/>
      <c r="Q64" s="562"/>
      <c r="R64" s="517"/>
    </row>
    <row r="65" spans="13:18" x14ac:dyDescent="0.25">
      <c r="M65" s="517"/>
      <c r="N65" s="517"/>
      <c r="O65" s="517"/>
      <c r="P65" s="561"/>
      <c r="Q65" s="562"/>
      <c r="R65" s="517"/>
    </row>
    <row r="66" spans="13:18" x14ac:dyDescent="0.25">
      <c r="M66" s="517"/>
      <c r="N66" s="517"/>
      <c r="O66" s="517"/>
      <c r="P66" s="561"/>
      <c r="Q66" s="562"/>
      <c r="R66" s="517"/>
    </row>
    <row r="67" spans="13:18" x14ac:dyDescent="0.25">
      <c r="M67" s="517"/>
      <c r="N67" s="517"/>
      <c r="O67" s="517"/>
      <c r="P67" s="561"/>
      <c r="Q67" s="562"/>
      <c r="R67" s="517"/>
    </row>
    <row r="68" spans="13:18" x14ac:dyDescent="0.25">
      <c r="M68" s="517"/>
      <c r="N68" s="517"/>
      <c r="O68" s="517"/>
      <c r="P68" s="561"/>
      <c r="Q68" s="562"/>
      <c r="R68" s="517"/>
    </row>
    <row r="69" spans="13:18" x14ac:dyDescent="0.25">
      <c r="M69" s="517"/>
      <c r="N69" s="517"/>
      <c r="O69" s="517"/>
      <c r="P69" s="561"/>
      <c r="Q69" s="562"/>
      <c r="R69" s="517"/>
    </row>
    <row r="70" spans="13:18" x14ac:dyDescent="0.25">
      <c r="M70" s="517"/>
      <c r="N70" s="517"/>
      <c r="O70" s="517"/>
      <c r="P70" s="561"/>
      <c r="Q70" s="562"/>
      <c r="R70" s="517"/>
    </row>
    <row r="71" spans="13:18" x14ac:dyDescent="0.25">
      <c r="M71" s="517"/>
      <c r="N71" s="517"/>
      <c r="O71" s="517"/>
      <c r="P71" s="561"/>
      <c r="Q71" s="562"/>
      <c r="R71" s="517"/>
    </row>
    <row r="72" spans="13:18" x14ac:dyDescent="0.25">
      <c r="M72" s="517"/>
      <c r="N72" s="517"/>
      <c r="O72" s="517"/>
      <c r="P72" s="561"/>
      <c r="Q72" s="562"/>
      <c r="R72" s="517"/>
    </row>
    <row r="73" spans="13:18" x14ac:dyDescent="0.25">
      <c r="M73" s="517"/>
      <c r="N73" s="517"/>
      <c r="O73" s="517"/>
      <c r="P73" s="561"/>
      <c r="Q73" s="562"/>
      <c r="R73" s="517"/>
    </row>
    <row r="74" spans="13:18" x14ac:dyDescent="0.25">
      <c r="M74" s="517"/>
      <c r="N74" s="517"/>
      <c r="O74" s="517"/>
      <c r="P74" s="561"/>
      <c r="Q74" s="562"/>
      <c r="R74" s="517"/>
    </row>
    <row r="75" spans="13:18" x14ac:dyDescent="0.25">
      <c r="M75" s="517"/>
      <c r="N75" s="517"/>
      <c r="O75" s="517"/>
      <c r="P75" s="561"/>
      <c r="Q75" s="562"/>
      <c r="R75" s="517"/>
    </row>
    <row r="76" spans="13:18" x14ac:dyDescent="0.25">
      <c r="M76" s="517"/>
      <c r="N76" s="517"/>
      <c r="O76" s="517"/>
      <c r="P76" s="561"/>
      <c r="Q76" s="562"/>
      <c r="R76" s="517"/>
    </row>
    <row r="77" spans="13:18" x14ac:dyDescent="0.25">
      <c r="M77" s="517"/>
      <c r="N77" s="517"/>
      <c r="O77" s="517"/>
      <c r="P77" s="561"/>
      <c r="Q77" s="562"/>
      <c r="R77" s="517"/>
    </row>
    <row r="78" spans="13:18" x14ac:dyDescent="0.25">
      <c r="M78" s="517"/>
      <c r="N78" s="517"/>
      <c r="O78" s="517"/>
      <c r="P78" s="561"/>
      <c r="Q78" s="562"/>
      <c r="R78" s="517"/>
    </row>
    <row r="79" spans="13:18" x14ac:dyDescent="0.25">
      <c r="M79" s="517"/>
      <c r="N79" s="517"/>
      <c r="O79" s="517"/>
      <c r="P79" s="561"/>
      <c r="Q79" s="562"/>
      <c r="R79" s="517"/>
    </row>
    <row r="80" spans="13:18" x14ac:dyDescent="0.25">
      <c r="M80" s="517"/>
      <c r="N80" s="517"/>
      <c r="O80" s="517"/>
      <c r="P80" s="561"/>
      <c r="Q80" s="562"/>
      <c r="R80" s="517"/>
    </row>
    <row r="81" spans="13:18" x14ac:dyDescent="0.25">
      <c r="M81" s="517"/>
      <c r="N81" s="517"/>
      <c r="O81" s="517"/>
      <c r="P81" s="561"/>
      <c r="Q81" s="562"/>
      <c r="R81" s="517"/>
    </row>
    <row r="82" spans="13:18" x14ac:dyDescent="0.25">
      <c r="M82" s="517"/>
      <c r="N82" s="517"/>
      <c r="O82" s="517"/>
      <c r="P82" s="561"/>
      <c r="Q82" s="562"/>
      <c r="R82" s="517"/>
    </row>
    <row r="83" spans="13:18" x14ac:dyDescent="0.25">
      <c r="M83" s="517"/>
      <c r="N83" s="517"/>
      <c r="O83" s="517"/>
      <c r="P83" s="561"/>
      <c r="Q83" s="562"/>
      <c r="R83" s="517"/>
    </row>
    <row r="84" spans="13:18" x14ac:dyDescent="0.25">
      <c r="M84" s="517"/>
      <c r="N84" s="517"/>
      <c r="O84" s="517"/>
      <c r="P84" s="561"/>
      <c r="Q84" s="562"/>
      <c r="R84" s="517"/>
    </row>
    <row r="85" spans="13:18" x14ac:dyDescent="0.25">
      <c r="M85" s="517"/>
      <c r="N85" s="517"/>
      <c r="O85" s="517"/>
      <c r="P85" s="561"/>
      <c r="Q85" s="562"/>
      <c r="R85" s="517"/>
    </row>
    <row r="86" spans="13:18" x14ac:dyDescent="0.25">
      <c r="M86" s="517"/>
      <c r="N86" s="517"/>
      <c r="O86" s="517"/>
      <c r="P86" s="561"/>
      <c r="Q86" s="562"/>
      <c r="R86" s="517"/>
    </row>
    <row r="87" spans="13:18" x14ac:dyDescent="0.25">
      <c r="M87" s="517"/>
      <c r="N87" s="517"/>
      <c r="O87" s="517"/>
      <c r="P87" s="561"/>
      <c r="Q87" s="562"/>
      <c r="R87" s="517"/>
    </row>
    <row r="88" spans="13:18" x14ac:dyDescent="0.25">
      <c r="M88" s="517"/>
      <c r="N88" s="517"/>
      <c r="O88" s="517"/>
      <c r="P88" s="561"/>
      <c r="Q88" s="562"/>
      <c r="R88" s="517"/>
    </row>
    <row r="89" spans="13:18" x14ac:dyDescent="0.25">
      <c r="M89" s="517"/>
      <c r="N89" s="517"/>
      <c r="O89" s="517"/>
      <c r="P89" s="561"/>
      <c r="Q89" s="562"/>
      <c r="R89" s="517"/>
    </row>
    <row r="90" spans="13:18" x14ac:dyDescent="0.25">
      <c r="M90" s="517"/>
      <c r="N90" s="517"/>
      <c r="O90" s="517"/>
      <c r="P90" s="561"/>
      <c r="Q90" s="562"/>
      <c r="R90" s="517"/>
    </row>
    <row r="91" spans="13:18" x14ac:dyDescent="0.25">
      <c r="M91" s="517"/>
      <c r="N91" s="517"/>
      <c r="O91" s="517"/>
      <c r="P91" s="561"/>
      <c r="Q91" s="562"/>
      <c r="R91" s="517"/>
    </row>
    <row r="92" spans="13:18" x14ac:dyDescent="0.25">
      <c r="M92" s="517"/>
      <c r="N92" s="517"/>
      <c r="O92" s="517"/>
      <c r="P92" s="561"/>
      <c r="Q92" s="562"/>
      <c r="R92" s="517"/>
    </row>
    <row r="93" spans="13:18" x14ac:dyDescent="0.25">
      <c r="M93" s="517"/>
      <c r="N93" s="517"/>
      <c r="O93" s="517"/>
      <c r="P93" s="561"/>
      <c r="Q93" s="562"/>
      <c r="R93" s="517"/>
    </row>
    <row r="94" spans="13:18" x14ac:dyDescent="0.25">
      <c r="M94" s="517"/>
      <c r="N94" s="517"/>
      <c r="O94" s="517"/>
      <c r="P94" s="561"/>
      <c r="Q94" s="562"/>
      <c r="R94" s="517"/>
    </row>
    <row r="95" spans="13:18" x14ac:dyDescent="0.25">
      <c r="M95" s="517"/>
      <c r="N95" s="517"/>
      <c r="O95" s="517"/>
      <c r="P95" s="561"/>
      <c r="Q95" s="562"/>
      <c r="R95" s="517"/>
    </row>
    <row r="96" spans="13:18" x14ac:dyDescent="0.25">
      <c r="M96" s="517"/>
      <c r="N96" s="517"/>
      <c r="O96" s="517"/>
      <c r="P96" s="561"/>
      <c r="Q96" s="562"/>
      <c r="R96" s="517"/>
    </row>
    <row r="97" spans="13:18" x14ac:dyDescent="0.25">
      <c r="M97" s="517"/>
      <c r="N97" s="517"/>
      <c r="O97" s="517"/>
      <c r="P97" s="561"/>
      <c r="Q97" s="562"/>
      <c r="R97" s="517"/>
    </row>
    <row r="98" spans="13:18" x14ac:dyDescent="0.25">
      <c r="M98" s="517"/>
      <c r="N98" s="517"/>
      <c r="O98" s="517"/>
      <c r="P98" s="561"/>
      <c r="Q98" s="562"/>
      <c r="R98" s="517"/>
    </row>
    <row r="99" spans="13:18" x14ac:dyDescent="0.25">
      <c r="M99" s="517"/>
      <c r="N99" s="517"/>
      <c r="O99" s="517"/>
      <c r="P99" s="561"/>
      <c r="Q99" s="562"/>
      <c r="R99" s="517"/>
    </row>
    <row r="100" spans="13:18" x14ac:dyDescent="0.25">
      <c r="M100" s="517"/>
      <c r="N100" s="517"/>
      <c r="O100" s="517"/>
      <c r="P100" s="561"/>
      <c r="Q100" s="562"/>
      <c r="R100" s="517"/>
    </row>
    <row r="101" spans="13:18" x14ac:dyDescent="0.25">
      <c r="M101" s="517"/>
      <c r="N101" s="517"/>
      <c r="O101" s="517"/>
      <c r="P101" s="561"/>
      <c r="Q101" s="562"/>
      <c r="R101" s="517"/>
    </row>
    <row r="102" spans="13:18" x14ac:dyDescent="0.25">
      <c r="M102" s="517"/>
      <c r="N102" s="517"/>
      <c r="O102" s="517"/>
      <c r="P102" s="561"/>
      <c r="Q102" s="562"/>
      <c r="R102" s="517"/>
    </row>
    <row r="103" spans="13:18" x14ac:dyDescent="0.25">
      <c r="M103" s="517"/>
      <c r="N103" s="517"/>
      <c r="O103" s="517"/>
      <c r="P103" s="561"/>
      <c r="Q103" s="562"/>
      <c r="R103" s="517"/>
    </row>
    <row r="104" spans="13:18" x14ac:dyDescent="0.25">
      <c r="M104" s="517"/>
      <c r="N104" s="517"/>
      <c r="O104" s="517"/>
      <c r="P104" s="561"/>
      <c r="Q104" s="562"/>
      <c r="R104" s="517"/>
    </row>
    <row r="105" spans="13:18" x14ac:dyDescent="0.25">
      <c r="M105" s="517"/>
      <c r="N105" s="517"/>
      <c r="O105" s="517"/>
      <c r="P105" s="561"/>
      <c r="Q105" s="562"/>
      <c r="R105" s="517"/>
    </row>
    <row r="106" spans="13:18" x14ac:dyDescent="0.25">
      <c r="M106" s="517"/>
      <c r="N106" s="517"/>
      <c r="O106" s="517"/>
      <c r="P106" s="561"/>
      <c r="Q106" s="562"/>
      <c r="R106" s="517"/>
    </row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WorkTourDestination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2022-05-25T01:46:16Z</dcterms:modified>
</cp:coreProperties>
</file>