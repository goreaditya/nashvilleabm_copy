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Phase2\Model\BaseYear\Development\TulareABM\daysim_summaries\output\"/>
    </mc:Choice>
  </mc:AlternateContent>
  <bookViews>
    <workbookView minimized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S32" s="1"/>
  <c i="6" r="P31"/>
  <c i="6" r="O31"/>
  <c i="6" r="N31"/>
  <c i="6" r="M31" s="1"/>
  <c i="6" r="P30"/>
  <c i="6" r="O30"/>
  <c i="6" r="N30"/>
  <c i="6" r="S30" s="1"/>
  <c i="6" r="P29"/>
  <c i="6" r="O29"/>
  <c i="6" r="N29"/>
  <c i="6" r="S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M4" s="1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M30"/>
  <c i="6" r="M32"/>
  <c i="6" r="D26"/>
  <c i="6" r="S31"/>
  <c i="6" r="D23"/>
  <c i="6" r="D24"/>
  <c i="6" r="D25"/>
  <c i="6" r="Q53"/>
  <c i="6" r="R53" s="1"/>
  <c i="6" r="M29"/>
  <c i="6" r="M42"/>
  <c i="6" r="M39"/>
  <c i="6" r="Q95"/>
  <c i="6" r="R95" s="1"/>
  <c i="6" r="Q99"/>
  <c i="6" r="R99" s="1"/>
  <c i="6" r="Q22"/>
  <c i="6" r="R22" s="1"/>
  <c i="6" r="Q93"/>
  <c i="6" r="R93" s="1"/>
  <c i="6" r="Q16"/>
  <c i="6" r="R16" s="1"/>
  <c i="6" r="Q63"/>
  <c i="6" r="R63" s="1"/>
  <c i="6" r="Q9"/>
  <c i="6" r="R9" s="1"/>
  <c i="6" r="Q54"/>
  <c i="6" r="R54" s="1"/>
  <c i="6" r="Q66"/>
  <c i="6" r="R66" s="1"/>
  <c i="6" r="Q55"/>
  <c i="6" r="R55" s="1"/>
  <c i="6" r="Q74"/>
  <c i="6" r="R74" s="1"/>
  <c i="6" r="Q19"/>
  <c i="6" r="R19" s="1"/>
  <c i="6" r="Q75"/>
  <c i="6" r="R75" s="1"/>
  <c i="6" r="Q60"/>
  <c i="6" r="R60" s="1"/>
  <c i="6" r="Q77"/>
  <c i="6" r="R77" s="1"/>
  <c i="6" r="Q17"/>
  <c i="6" r="R17" s="1"/>
  <c i="6" r="Q78"/>
  <c i="6" r="R78" s="1"/>
  <c i="6" r="Q23"/>
  <c i="6" r="R23" s="1"/>
  <c i="6" r="Q79"/>
  <c i="6" r="R79" s="1"/>
  <c i="6" r="Q28"/>
  <c i="6" r="R28" s="1"/>
  <c i="6" r="Q12"/>
  <c i="6" r="R12" s="1"/>
  <c i="6" r="Q21"/>
  <c i="6" r="R21" s="1"/>
  <c i="6" r="Q26"/>
  <c i="6" r="R26" s="1"/>
  <c i="6" r="Q80"/>
  <c i="6" r="R80" s="1"/>
  <c i="6" r="Q46"/>
  <c i="6" r="R46" s="1"/>
  <c i="6" r="Q56"/>
  <c i="6" r="R56" s="1"/>
  <c i="6" r="Q20"/>
  <c i="6" r="R20" s="1"/>
  <c i="6" r="Q27"/>
  <c i="6" r="R27" s="1"/>
  <c i="6" r="Q84"/>
  <c i="6" r="R84" s="1"/>
  <c i="6" r="Q18"/>
  <c i="6" r="R18" s="1"/>
  <c i="6" r="Q85"/>
  <c i="6" r="R85" s="1"/>
  <c i="6" r="Q61"/>
  <c i="6" r="R61" s="1"/>
  <c i="6" r="Q15"/>
  <c i="6" r="R15" s="1"/>
  <c i="6" r="Q86"/>
  <c i="6" r="R86" s="1"/>
  <c i="6" r="Q44"/>
  <c i="6" r="R44" s="1"/>
  <c i="6" r="Q87"/>
  <c i="6" r="R87" s="1"/>
  <c i="6" r="Q59"/>
  <c i="6" r="R59" s="1"/>
  <c i="6" r="Q45"/>
  <c i="6" r="R45" s="1"/>
  <c i="6" r="Q88"/>
  <c i="6" r="R88" s="1"/>
  <c i="6" r="Q11"/>
  <c i="6" r="R11" s="1"/>
  <c i="6" r="Q13"/>
  <c i="6" r="R13" s="1"/>
  <c i="6" r="Q14"/>
  <c i="6" r="R14" s="1"/>
  <c i="6" r="Q47"/>
  <c i="6" r="R47" s="1"/>
  <c i="6" r="Q89"/>
  <c i="6" r="R89" s="1"/>
  <c i="6" r="Q48"/>
  <c i="6" r="R48" s="1"/>
  <c i="6" r="Q91"/>
  <c i="6" r="R91" s="1"/>
  <c i="6" r="Q50"/>
  <c i="6" r="R50" s="1"/>
  <c i="6" r="Q8"/>
  <c i="6" r="R8" s="1"/>
  <c i="6" r="Q62"/>
  <c i="6" r="R62" s="1"/>
  <c i="6" r="Q104"/>
  <c i="6" r="R104" s="1"/>
  <c i="6" r="Q49"/>
  <c i="6" r="R49" s="1"/>
  <c i="6" r="Q81"/>
  <c i="6" r="R81" s="1"/>
  <c i="6" r="Q90"/>
  <c i="6" r="R90" s="1"/>
  <c i="6" r="Q25"/>
  <c i="6" r="R25" s="1"/>
  <c i="6" r="Q64"/>
  <c i="6" r="R64" s="1"/>
  <c i="6" r="Q92"/>
  <c i="6" r="R92" s="1"/>
  <c i="6" r="Q82"/>
  <c i="6" r="R82" s="1"/>
  <c i="6" r="Q65"/>
  <c i="6" r="R65" s="1"/>
  <c i="6" r="Q94"/>
  <c i="6" r="R94" s="1"/>
  <c i="6" r="Q33"/>
  <c i="6" r="R33" s="1"/>
  <c i="6" r="Q67"/>
  <c i="6" r="R67" s="1"/>
  <c i="6" r="Q96"/>
  <c i="6" r="R96" s="1"/>
  <c i="6" r="Q34"/>
  <c i="6" r="R34" s="1"/>
  <c i="6" r="Q68"/>
  <c i="6" r="R68" s="1"/>
  <c i="6" r="Q97"/>
  <c i="6" r="R97" s="1"/>
  <c i="6" r="Q57"/>
  <c i="6" r="R57" s="1"/>
  <c i="6" r="Q83"/>
  <c i="6" r="R83" s="1"/>
  <c i="6" r="Q3"/>
  <c i="6" r="R3" s="1"/>
  <c i="6" r="Q35"/>
  <c i="6" r="R35" s="1"/>
  <c i="6" r="Q69"/>
  <c i="6" r="R69" s="1"/>
  <c i="6" r="Q98"/>
  <c i="6" r="R98" s="1"/>
  <c i="6" r="Q51"/>
  <c i="6" r="R51" s="1"/>
  <c i="6" r="Q4"/>
  <c i="6" r="R4" s="1"/>
  <c i="6" r="Q36"/>
  <c i="6" r="R36" s="1"/>
  <c i="6" r="Q70"/>
  <c i="6" r="R70" s="1"/>
  <c i="6" r="Q101"/>
  <c i="6" r="R101" s="1"/>
  <c i="6" r="Q5"/>
  <c i="6" r="R5" s="1"/>
  <c i="6" r="Q37"/>
  <c i="6" r="R37" s="1"/>
  <c i="6" r="Q71"/>
  <c i="6" r="R71" s="1"/>
  <c i="6" r="Q102"/>
  <c i="6" r="R102" s="1"/>
  <c i="6" r="Q6"/>
  <c i="6" r="R6" s="1"/>
  <c i="6" r="Q38"/>
  <c i="6" r="R38" s="1"/>
  <c i="6" r="Q72"/>
  <c i="6" r="R72" s="1"/>
  <c i="6" r="Q103"/>
  <c i="6" r="R103" s="1"/>
  <c i="6" r="Q58"/>
  <c i="6" r="R58" s="1"/>
  <c i="6" r="Q7"/>
  <c i="6" r="R7" s="1"/>
  <c i="6" r="Q43"/>
  <c i="6" r="R43" s="1"/>
  <c i="6" r="Q73"/>
  <c i="6" r="R73" s="1"/>
  <c i="6" r="M40"/>
  <c i="6" r="M82"/>
  <c i="6" r="M25"/>
  <c i="6" r="M54"/>
  <c i="6" r="Q24"/>
  <c i="6" r="R24" s="1"/>
  <c i="6" r="Q52"/>
  <c i="6" r="R52" s="1"/>
  <c i="6" r="Q76"/>
  <c i="6" r="R76" s="1"/>
  <c i="6" r="Q100"/>
  <c i="6" r="R100" s="1"/>
  <c i="6" r="Q10"/>
  <c i="6" r="R10" s="1"/>
  <c i="6" l="1" r="D5"/>
  <c i="6" r="G7"/>
  <c i="6" r="D7"/>
  <c i="6" r="G6"/>
  <c i="6" r="D6"/>
  <c i="6" r="G5"/>
  <c i="6" r="G4"/>
  <c i="6" r="D4"/>
  <c i="6" l="1" r="G8"/>
  <c i="6" r="G16" s="1"/>
  <c i="6" r="D8"/>
  <c i="1" r="H15"/>
  <c i="1" r="J13"/>
  <c i="6" l="1" r="G13"/>
  <c i="6" r="G14"/>
  <c i="6" r="G15"/>
  <c i="6" r="G12"/>
  <c i="6" r="D13"/>
  <c i="6" r="I13" s="1"/>
  <c i="6" r="J13" s="1"/>
  <c i="6" r="D16"/>
  <c i="6" r="D12"/>
  <c i="6" r="D15"/>
  <c i="6" r="I15" s="1"/>
  <c i="6" r="J15" s="1"/>
  <c i="6" r="D14"/>
  <c i="1" r="S15"/>
  <c i="1" r="U13"/>
  <c i="6" l="1" r="I14"/>
  <c i="6" r="J14" s="1"/>
  <c i="6" r="I12"/>
  <c i="6" r="J12" s="1"/>
  <c i="6" r="K12" s="1"/>
  <c i="6" r="D33" s="1"/>
  <c i="6" r="D43" s="1"/>
  <c i="1" r="D26"/>
  <c i="1" r="E26"/>
  <c i="1" r="F26"/>
  <c i="1" r="G26"/>
  <c i="1" r="H26"/>
  <c i="1" r="B26"/>
  <c i="1" r="C26"/>
  <c i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Q39"/>
  <c i="6" r="R39" s="1"/>
  <c i="6" r="Q29"/>
  <c i="6" r="R29" s="1"/>
  <c i="6" r="K13"/>
  <c i="6" r="D34" s="1"/>
  <c i="6" r="D44" s="1"/>
  <c i="6" r="K15"/>
  <c i="6" r="D36" s="1"/>
  <c i="6" r="D46" s="1"/>
  <c i="6" r="Q42"/>
  <c i="6" r="R42" s="1"/>
  <c i="6" r="Q32"/>
  <c i="6" r="R32" s="1"/>
  <c i="6" r="K14"/>
  <c i="6" r="D35" s="1"/>
  <c i="6" r="D45" s="1"/>
  <c i="6" r="Q40"/>
  <c i="6" r="R40" s="1"/>
  <c i="6" r="Q30"/>
  <c i="6" r="R30" s="1"/>
  <c i="6" r="Q41"/>
  <c i="6" r="R41" s="1"/>
  <c i="6" r="Q31"/>
  <c i="6" r="R31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M15"/>
  <c i="1" r="C15"/>
  <c i="1" r="D15"/>
  <c i="1" r="E15"/>
  <c i="1" r="I15"/>
  <c i="1" r="B15"/>
  <c i="1" r="J8"/>
  <c i="1" r="J9"/>
  <c i="1" r="J14"/>
  <c i="1" r="J7"/>
  <c i="1" l="1" r="H20"/>
  <c i="1" r="J23"/>
  <c i="1" r="J24"/>
  <c i="1" r="J25"/>
  <c i="1" r="F20"/>
  <c i="1" r="G20"/>
  <c i="1" r="J15"/>
  <c i="1" r="N15"/>
  <c i="1" r="N28" s="1"/>
  <c i="1" r="O15"/>
  <c i="1" r="O28" s="1"/>
  <c i="1" r="P15"/>
  <c i="1" r="T15"/>
  <c i="1" r="M28"/>
  <c i="1" r="U8"/>
  <c i="1" r="H21" s="1"/>
  <c i="1" r="U9"/>
  <c i="1" r="H22" s="1"/>
  <c i="1" r="U14"/>
  <c i="1" r="D20"/>
  <c i="1" r="P28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F28" s="1"/>
  <c i="1" r="G21"/>
  <c i="1" r="G28" s="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5"/>
  <c i="1" r="S37"/>
  <c i="1" r="M39"/>
  <c i="1" r="S34"/>
  <c i="1" r="N39"/>
  <c i="1" r="P39"/>
  <c i="1" r="S36"/>
  <c i="1" r="S38"/>
  <c i="1" r="S39"/>
  <c i="1" r="S33"/>
  <c i="1" r="O39"/>
  <c i="1" r="R39"/>
  <c i="1" r="Q39"/>
  <c i="1" r="P41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G39"/>
  <c i="1" r="AC39" s="1"/>
  <c i="1" r="F39"/>
  <c i="1" r="AB39" s="1"/>
  <c i="1" r="C39"/>
  <c i="1" r="Y39" s="1"/>
  <c i="1" r="B39"/>
  <c i="1" r="X39" s="1"/>
  <c i="1" r="E39"/>
  <c i="1" r="AA39" s="1"/>
  <c i="1" r="D39"/>
  <c i="1" r="Z39" s="1"/>
  <c i="1" r="H39"/>
  <c i="1" r="AD39" s="1"/>
  <c i="1" r="H36"/>
  <c i="1" r="AD36" s="1"/>
  <c i="1" r="H38"/>
  <c i="1" r="AD38" s="1"/>
  <c i="1" r="H37"/>
  <c i="1" r="AD37" s="1"/>
  <c i="1" r="H33"/>
  <c i="1" r="AD33" s="1"/>
  <c i="1" r="H35"/>
  <c i="1" r="AD35" s="1"/>
  <c i="1" r="H34"/>
  <c i="1" r="AD34" s="1"/>
  <c i="1" r="J39"/>
  <c i="1" r="AF39" s="1"/>
  <c i="1" r="H41"/>
  <c i="1" r="AD41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AE41" s="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<sst xmlns="http://schemas.openxmlformats.org/spreadsheetml/2006/main" count="718" uniqueCount="345">
  <si>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</si>
  <si>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</si>
  <si>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</si>
  <si>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</si>
  <si>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</si>
  <si>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</si>
  <si>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</si>
  <si>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</si>
  <si>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</si>
  <si>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</si>
  <si>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</si>
  <si>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</si>
  <si>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</si>
  <si>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</si>
  <si>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</si>
  <si>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</si>
  <si>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</si>
  <si>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</si>
  <si>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</si>
  <si>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</si>
  <si>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</si>
  <si>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</si>
  <si>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</si>
  <si>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</si>
  <si>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</si>
  <si>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</si>
  <si>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</si>
  <si>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</si>
  <si>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</si>
  <si>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</si>
  <si>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</si>
  <si>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</si>
  <si>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</si>
  <si>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</si>
  <si>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</si>
  <si>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</si>
  <si>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</si>
  <si>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</si>
  <si>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</si>
  <si>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</si>
  <si>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</si>
  <si>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</si>
  <si>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</si>
  <si>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</si>
  <si>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</si>
  <si>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</si>
  <si>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</si>
  <si>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</si>
  <si>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</si>
  <si>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</si>
  <si>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</si>
  <si>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</si>
  <si>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</si>
  <si>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</si>
  <si>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</si>
  <si>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</si>
  <si>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</si>
  <si>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</si>
  <si>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</si>
  <si>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</si>
  <si>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</si>
  <si>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</si>
  <si>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</si>
  <si>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</si>
  <si>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</si>
  <si>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</si>
  <si>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</si>
  <si>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</si>
  <si>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</si>
  <si>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</si>
  <si>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</si>
  <si>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</si>
  <si>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</si>
  <si>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</si>
  <si>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</si>
  <si>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</si>
  <si>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</si>
  <si>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</si>
  <si>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</si>
  <si>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</si>
  <si>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</si>
  <si>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</si>
  <si>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</si>
  <si>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</si>
  <si>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</si>
  <si>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</si>
  <si>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</si>
  <si>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</si>
  <si>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</si>
  <si>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</si>
  <si>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</si>
  <si>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</si>
  <si>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</si>
  <si>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</si>
  <si>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</si>
  <si>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</si>
  <si>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</si>
  <si>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</si>
  <si>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</si>
  <si>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</si>
  <si>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</si>
  <si>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</si>
  <si>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</si>
  <si>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</si>
  <si>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</si>
  <si>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</si>
  <si>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</si>
  <si>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</si>
  <si>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</si>
  <si>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</si>
  <si>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</si>
  <si>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</si>
  <si>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</si>
  <si>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</si>
  <si>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</si>
  <si>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</si>
  <si>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</si>
  <si>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</si>
  <si>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</si>
  <si>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</si>
  <si>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</si>
  <si>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</si>
  <si>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</si>
  <si>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</si>
  <si>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</si>
  <si>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</si>
  <si>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</si>
  <si>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</si>
  <si>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</si>
  <si>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</si>
  <si>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</si>
  <si>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</si>
  <si>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</si>
  <si>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</si>
  <si>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</si>
  <si>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</si>
  <si>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</si>
  <si>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</si>
  <si>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</si>
  <si>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</si>
  <si>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</si>
  <si>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</si>
  <si>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</si>
  <si>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</si>
  <si>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</si>
  <si>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</si>
  <si>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</si>
  <si>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</si>
  <si>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</si>
  <si>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</si>
  <si>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</si>
  <si>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</si>
  <si>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</si>
  <si>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</si>
  <si>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</si>
  <si>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</si>
  <si>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</si>
  <si>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</si>
  <si>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</si>
  <si>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</si>
  <si>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</si>
  <si>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</si>
  <si>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</si>
  <si>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</si>
  <si>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</si>
  <si>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</si>
  <si>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</si>
  <si>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</si>
  <si>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</si>
  <si>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</si>
  <si>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</si>
  <si>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</si>
  <si>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</si>
  <si>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</si>
  <si>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</si>
  <si>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</si>
  <si>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</si>
  <si>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</si>
  <si>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</si>
  <si>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</si>
  <si>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</si>
  <si>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</si>
  <si>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</si>
  <si>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</si>
  <si>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</si>
  <si>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</si>
  <si>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</si>
  <si>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</si>
  <si>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</si>
  <si>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</si>
  <si>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</si>
  <si>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</si>
  <si>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</si>
  <si>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</si>
  <si>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</si>
  <si>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</si>
  <si>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</si>
  <si>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</si>
  <si>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</si>
  <si>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</si>
  <si>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</si>
  <si>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</si>
  <si>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</si>
  <si>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</si>
  <si>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</si>
  <si>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</si>
  <si>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</si>
  <si>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</si>
  <si>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</si>
  <si>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</si>
  <si>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</si>
  <si>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</si>
  <si>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</si>
  <si>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</si>
  <si>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</si>
  <si>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</si>
  <si>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</si>
  <si>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</si>
  <si>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</si>
  <si>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</si>
  <si>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</si>
  <si>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</si>
  <si>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</si>
  <si>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</si>
  <si>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</si>
  <si>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</si>
  <si>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</si>
  <si>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</si>
  <si>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</si>
  <si>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</si>
  <si>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</si>
  <si>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</si>
  <si>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</si>
  <si>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</si>
  <si>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</si>
  <si>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</si>
  <si>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</si>
  <si>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</si>
  <si>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</si>
  <si>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</si>
  <si>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</si>
  <si>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</si>
  <si>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</si>
  <si>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</si>
  <si>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</si>
  <si>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</si>
  <si>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</si>
  <si>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</si>
  <si>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</si>
  <si>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</si>
  <si>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</si>
  <si>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</si>
  <si>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</si>
  <si>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</si>
  <si>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</si>
  <si>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</si>
  <si>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</si>
  <si>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</si>
  <si>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</si>
  <si>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</si>
  <si>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</si>
  <si>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</si>
  <si>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</si>
  <si>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</si>
  <si>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</si>
  <si>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</si>
  <si>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</si>
  <si>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</si>
  <si>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</si>
  <si>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</si>
  <si>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</si>
  <si>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</si>
  <si>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</si>
  <si>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</si>
  <si>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</si>
  <si>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</si>
  <si>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</si>
  <si>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</si>
  <si>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</si>
  <si>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</si>
  <si>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</si>
  <si>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svn</t>
  </si>
  <si>
    <t>v1799,</t>
  </si>
  <si>
    <t>alo</t>
  </si>
  <si>
    <t>v0601)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</si>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</sst>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47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Font="1" borderId="0" fillId="0" fontId="1" numFmtId="0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0.1863489528581499</c:v>
                </c:pt>
                <c:pt idx="1">
                  <c:v>0.21970068878186352</c:v>
                </c:pt>
                <c:pt idx="2">
                  <c:v>0.27082128013723245</c:v>
                </c:pt>
                <c:pt idx="3">
                  <c:v>7.7665743580131591E-2</c:v>
                </c:pt>
                <c:pt idx="4">
                  <c:v>8.3480071216243137E-2</c:v>
                </c:pt>
                <c:pt idx="5">
                  <c:v>1.3555189818188389E-2</c:v>
                </c:pt>
                <c:pt idx="6">
                  <c:v>1.6149749124280282E-2</c:v>
                </c:pt>
                <c:pt idx="7">
                  <c:v>2.925571421259196E-3</c:v>
                </c:pt>
                <c:pt idx="8">
                  <c:v>0</c:v>
                </c:pt>
                <c:pt idx="9">
                  <c:v>3.4452956266352915E-3</c:v>
                </c:pt>
                <c:pt idx="10">
                  <c:v>3.8057975344317117E-2</c:v>
                </c:pt>
                <c:pt idx="11">
                  <c:v>3.1069899309265677E-2</c:v>
                </c:pt>
                <c:pt idx="12">
                  <c:v>1.0061432849383064E-3</c:v>
                </c:pt>
                <c:pt idx="13">
                  <c:v>1.3763804848171468E-2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3.4701144653987413E-4</c:v>
                </c:pt>
                <c:pt idx="18">
                  <c:v>7.1904662064287191E-3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8.3665931991208902E-3</c:v>
                </c:pt>
                <c:pt idx="24">
                  <c:v>2.6048196366080714E-3</c:v>
                </c:pt>
                <c:pt idx="25">
                  <c:v>5.4153065265249729E-4</c:v>
                </c:pt>
                <c:pt idx="26">
                  <c:v>5.9923639094120315E-3</c:v>
                </c:pt>
                <c:pt idx="27">
                  <c:v>0</c:v>
                </c:pt>
                <c:pt idx="28">
                  <c:v>0</c:v>
                </c:pt>
                <c:pt idx="29">
                  <c:v>1.4851082087709444E-2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2.1157675108521372E-3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0.22187452297359184</c:v>
                </c:pt>
                <c:pt idx="1">
                  <c:v>0.25059787309825476</c:v>
                </c:pt>
                <c:pt idx="2">
                  <c:v>0.16514018216048443</c:v>
                </c:pt>
                <c:pt idx="3">
                  <c:v>7.7545412914058948E-2</c:v>
                </c:pt>
                <c:pt idx="4">
                  <c:v>4.0299190963211731E-2</c:v>
                </c:pt>
                <c:pt idx="5">
                  <c:v>2.7374955477535243E-2</c:v>
                </c:pt>
                <c:pt idx="6">
                  <c:v>2.9257619701826696E-2</c:v>
                </c:pt>
                <c:pt idx="7">
                  <c:v>2.4550959141098054E-2</c:v>
                </c:pt>
                <c:pt idx="8">
                  <c:v>1.9131939144151022E-2</c:v>
                </c:pt>
                <c:pt idx="9">
                  <c:v>1.8063399989823439E-2</c:v>
                </c:pt>
                <c:pt idx="10">
                  <c:v>1.9081056327278283E-2</c:v>
                </c:pt>
                <c:pt idx="11">
                  <c:v>1.4476161400295123E-2</c:v>
                </c:pt>
                <c:pt idx="12">
                  <c:v>1.2237317457894472E-2</c:v>
                </c:pt>
                <c:pt idx="13">
                  <c:v>9.8967078817483352E-3</c:v>
                </c:pt>
                <c:pt idx="14">
                  <c:v>1.0405536050475757E-2</c:v>
                </c:pt>
                <c:pt idx="15">
                  <c:v>1.0100239149239305E-2</c:v>
                </c:pt>
                <c:pt idx="16">
                  <c:v>6.7928560525110683E-3</c:v>
                </c:pt>
                <c:pt idx="17">
                  <c:v>4.7575433776013846E-3</c:v>
                </c:pt>
                <c:pt idx="18">
                  <c:v>6.1822622500381629E-3</c:v>
                </c:pt>
                <c:pt idx="19">
                  <c:v>5.0373988704014664E-3</c:v>
                </c:pt>
                <c:pt idx="20">
                  <c:v>4.4013636594921902E-3</c:v>
                </c:pt>
                <c:pt idx="21">
                  <c:v>4.5794535185467878E-3</c:v>
                </c:pt>
                <c:pt idx="22">
                  <c:v>2.951203378619041E-3</c:v>
                </c:pt>
                <c:pt idx="23">
                  <c:v>2.1625197170915384E-3</c:v>
                </c:pt>
                <c:pt idx="24">
                  <c:v>1.7554571821096019E-3</c:v>
                </c:pt>
                <c:pt idx="25">
                  <c:v>1.8572228158550861E-3</c:v>
                </c:pt>
                <c:pt idx="26">
                  <c:v>1.0430977458912127E-3</c:v>
                </c:pt>
                <c:pt idx="27">
                  <c:v>1.0939805627639548E-3</c:v>
                </c:pt>
                <c:pt idx="28">
                  <c:v>5.3426957716379189E-4</c:v>
                </c:pt>
                <c:pt idx="29">
                  <c:v>7.3780084465476024E-4</c:v>
                </c:pt>
                <c:pt idx="30">
                  <c:v>7.6324225309113119E-4</c:v>
                </c:pt>
                <c:pt idx="31">
                  <c:v>4.0706253498193665E-4</c:v>
                </c:pt>
                <c:pt idx="32">
                  <c:v>7.8868366152750225E-4</c:v>
                </c:pt>
                <c:pt idx="33">
                  <c:v>6.8691802778201813E-4</c:v>
                </c:pt>
                <c:pt idx="34">
                  <c:v>4.8338676029104983E-4</c:v>
                </c:pt>
                <c:pt idx="35">
                  <c:v>6.6147661934564707E-4</c:v>
                </c:pt>
                <c:pt idx="36">
                  <c:v>2.0353126749096833E-4</c:v>
                </c:pt>
                <c:pt idx="37">
                  <c:v>1.0176563374548416E-4</c:v>
                </c:pt>
                <c:pt idx="38">
                  <c:v>2.7985549280008147E-4</c:v>
                </c:pt>
                <c:pt idx="39">
                  <c:v>1.2720704218185523E-4</c:v>
                </c:pt>
                <c:pt idx="40">
                  <c:v>5.0882816872742082E-5</c:v>
                </c:pt>
                <c:pt idx="41">
                  <c:v>2.5441408436371041E-5</c:v>
                </c:pt>
                <c:pt idx="42">
                  <c:v>7.6324225309113133E-5</c:v>
                </c:pt>
                <c:pt idx="43">
                  <c:v>1.2720704218185523E-4</c:v>
                </c:pt>
                <c:pt idx="44">
                  <c:v>1.5264845061822627E-4</c:v>
                </c:pt>
                <c:pt idx="45">
                  <c:v>5.0882816872742082E-5</c:v>
                </c:pt>
                <c:pt idx="46">
                  <c:v>2.5441408436371041E-5</c:v>
                </c:pt>
                <c:pt idx="47">
                  <c:v>5.0882816872742082E-5</c:v>
                </c:pt>
                <c:pt idx="48">
                  <c:v>5.0882816872742082E-5</c:v>
                </c:pt>
                <c:pt idx="49">
                  <c:v>2.5441408436371041E-5</c:v>
                </c:pt>
                <c:pt idx="50">
                  <c:v>2.5441408436371041E-5</c:v>
                </c:pt>
                <c:pt idx="51">
                  <c:v>0</c:v>
                </c:pt>
                <c:pt idx="52">
                  <c:v>0</c:v>
                </c:pt>
                <c:pt idx="53">
                  <c:v>2.7985549280008147E-4</c:v>
                </c:pt>
                <c:pt idx="54">
                  <c:v>0</c:v>
                </c:pt>
                <c:pt idx="55">
                  <c:v>2.5441408436371041E-5</c:v>
                </c:pt>
                <c:pt idx="56">
                  <c:v>2.5441408436371041E-5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2.5441408436371041E-5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4.8066506909394575E-2</c:v>
                </c:pt>
                <c:pt idx="1">
                  <c:v>5.681721252392908E-2</c:v>
                </c:pt>
                <c:pt idx="2">
                  <c:v>0.15162954449652188</c:v>
                </c:pt>
                <c:pt idx="3">
                  <c:v>0.14240080321640072</c:v>
                </c:pt>
                <c:pt idx="4">
                  <c:v>0.11113361810298332</c:v>
                </c:pt>
                <c:pt idx="5">
                  <c:v>0.17924660896934649</c:v>
                </c:pt>
                <c:pt idx="6">
                  <c:v>6.5242371138801408E-2</c:v>
                </c:pt>
                <c:pt idx="7">
                  <c:v>8.3480071216243137E-2</c:v>
                </c:pt>
                <c:pt idx="8">
                  <c:v>4.8016804686839267E-3</c:v>
                </c:pt>
                <c:pt idx="9">
                  <c:v>1.4596795793128203E-2</c:v>
                </c:pt>
                <c:pt idx="10">
                  <c:v>1.3232034101915736E-2</c:v>
                </c:pt>
                <c:pt idx="11">
                  <c:v>0</c:v>
                </c:pt>
                <c:pt idx="12">
                  <c:v>0</c:v>
                </c:pt>
                <c:pt idx="13">
                  <c:v>3.8057975344317117E-2</c:v>
                </c:pt>
                <c:pt idx="14">
                  <c:v>0</c:v>
                </c:pt>
                <c:pt idx="15">
                  <c:v>1.4671123571540903E-2</c:v>
                </c:pt>
                <c:pt idx="16">
                  <c:v>1.4622516585330824E-3</c:v>
                </c:pt>
                <c:pt idx="17">
                  <c:v>4.1303812535630124E-3</c:v>
                </c:pt>
                <c:pt idx="18">
                  <c:v>2.0010330321584432E-3</c:v>
                </c:pt>
                <c:pt idx="19">
                  <c:v>2.4938485023544222E-2</c:v>
                </c:pt>
                <c:pt idx="20">
                  <c:v>1.3531547314781806E-3</c:v>
                </c:pt>
                <c:pt idx="21">
                  <c:v>1.0757252447327731E-3</c:v>
                </c:pt>
                <c:pt idx="22">
                  <c:v>7.1904662064287191E-3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8.3665931991208902E-3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2.6048196366080714E-3</c:v>
                </c:pt>
                <c:pt idx="36">
                  <c:v>0</c:v>
                </c:pt>
                <c:pt idx="37">
                  <c:v>0</c:v>
                </c:pt>
                <c:pt idx="38">
                  <c:v>6.5338945620645288E-3</c:v>
                </c:pt>
                <c:pt idx="39">
                  <c:v>0</c:v>
                </c:pt>
                <c:pt idx="40">
                  <c:v>1.4851082087709444E-2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4.2588917722485152E-2</c:v>
                </c:pt>
                <c:pt idx="1">
                  <c:v>8.6449905866788843E-2</c:v>
                </c:pt>
                <c:pt idx="2">
                  <c:v>0.15923777540324643</c:v>
                </c:pt>
                <c:pt idx="3">
                  <c:v>0.16333384216150215</c:v>
                </c:pt>
                <c:pt idx="4">
                  <c:v>0.13053986668701989</c:v>
                </c:pt>
                <c:pt idx="5">
                  <c:v>8.8103597415152973E-2</c:v>
                </c:pt>
                <c:pt idx="6">
                  <c:v>4.88729456062688E-2</c:v>
                </c:pt>
                <c:pt idx="7">
                  <c:v>3.1725436320154711E-2</c:v>
                </c:pt>
                <c:pt idx="8">
                  <c:v>2.3533302803643227E-2</c:v>
                </c:pt>
                <c:pt idx="9">
                  <c:v>2.1294458861242576E-2</c:v>
                </c:pt>
                <c:pt idx="10">
                  <c:v>1.8521345341678128E-2</c:v>
                </c:pt>
                <c:pt idx="11">
                  <c:v>1.5468376329313603E-2</c:v>
                </c:pt>
                <c:pt idx="12">
                  <c:v>1.9767974355060312E-2</c:v>
                </c:pt>
                <c:pt idx="13">
                  <c:v>1.6231618582404735E-2</c:v>
                </c:pt>
                <c:pt idx="14">
                  <c:v>1.3000559710985609E-2</c:v>
                </c:pt>
                <c:pt idx="15">
                  <c:v>1.2211876049458106E-2</c:v>
                </c:pt>
                <c:pt idx="16">
                  <c:v>9.6422937973846302E-3</c:v>
                </c:pt>
                <c:pt idx="17">
                  <c:v>8.1412506996387385E-3</c:v>
                </c:pt>
                <c:pt idx="18">
                  <c:v>8.5228718261843046E-3</c:v>
                </c:pt>
                <c:pt idx="19">
                  <c:v>7.149035770620267E-3</c:v>
                </c:pt>
                <c:pt idx="20">
                  <c:v>7.7596295730931724E-3</c:v>
                </c:pt>
                <c:pt idx="21">
                  <c:v>6.9200630946929277E-3</c:v>
                </c:pt>
                <c:pt idx="22">
                  <c:v>8.5991960514934171E-3</c:v>
                </c:pt>
                <c:pt idx="23">
                  <c:v>6.9200630946929277E-3</c:v>
                </c:pt>
                <c:pt idx="24">
                  <c:v>6.7928560525110726E-3</c:v>
                </c:pt>
                <c:pt idx="25">
                  <c:v>4.4013636594921928E-3</c:v>
                </c:pt>
                <c:pt idx="26">
                  <c:v>3.5363557726555768E-3</c:v>
                </c:pt>
                <c:pt idx="27">
                  <c:v>3.4345901389100926E-3</c:v>
                </c:pt>
                <c:pt idx="28">
                  <c:v>2.8239963364371872E-3</c:v>
                </c:pt>
                <c:pt idx="29">
                  <c:v>2.1370783086551684E-3</c:v>
                </c:pt>
                <c:pt idx="30">
                  <c:v>2.6967892942553321E-3</c:v>
                </c:pt>
                <c:pt idx="31">
                  <c:v>3.2565002798554954E-3</c:v>
                </c:pt>
                <c:pt idx="32">
                  <c:v>2.2388439424006531E-3</c:v>
                </c:pt>
                <c:pt idx="33">
                  <c:v>1.4247188724367792E-3</c:v>
                </c:pt>
                <c:pt idx="34">
                  <c:v>1.9081056327278291E-3</c:v>
                </c:pt>
                <c:pt idx="35">
                  <c:v>1.2975118302549239E-3</c:v>
                </c:pt>
                <c:pt idx="36">
                  <c:v>1.2466290133821818E-3</c:v>
                </c:pt>
                <c:pt idx="37">
                  <c:v>8.6500788683661596E-4</c:v>
                </c:pt>
                <c:pt idx="38">
                  <c:v>6.3603521090927644E-4</c:v>
                </c:pt>
                <c:pt idx="39">
                  <c:v>3.0529690123645269E-4</c:v>
                </c:pt>
                <c:pt idx="40">
                  <c:v>6.1059380247290539E-4</c:v>
                </c:pt>
                <c:pt idx="41">
                  <c:v>6.8691802778201856E-4</c:v>
                </c:pt>
                <c:pt idx="42">
                  <c:v>3.307383096728237E-4</c:v>
                </c:pt>
                <c:pt idx="43">
                  <c:v>3.307383096728237E-4</c:v>
                </c:pt>
                <c:pt idx="44">
                  <c:v>2.5441408436371058E-4</c:v>
                </c:pt>
                <c:pt idx="45">
                  <c:v>4.3250394341830798E-4</c:v>
                </c:pt>
                <c:pt idx="46">
                  <c:v>2.5441408436371058E-5</c:v>
                </c:pt>
                <c:pt idx="47">
                  <c:v>2.5441408436371058E-4</c:v>
                </c:pt>
                <c:pt idx="48">
                  <c:v>5.0882816872742116E-4</c:v>
                </c:pt>
                <c:pt idx="49">
                  <c:v>4.0706253498193692E-4</c:v>
                </c:pt>
                <c:pt idx="50">
                  <c:v>3.0529690123645269E-4</c:v>
                </c:pt>
                <c:pt idx="51">
                  <c:v>7.6324225309113173E-5</c:v>
                </c:pt>
                <c:pt idx="52">
                  <c:v>2.0353126749096846E-4</c:v>
                </c:pt>
                <c:pt idx="53">
                  <c:v>1.2720704218185529E-4</c:v>
                </c:pt>
                <c:pt idx="54">
                  <c:v>5.0882816872742116E-5</c:v>
                </c:pt>
                <c:pt idx="55">
                  <c:v>1.0176563374548423E-4</c:v>
                </c:pt>
                <c:pt idx="56">
                  <c:v>7.6324225309113173E-5</c:v>
                </c:pt>
                <c:pt idx="57">
                  <c:v>7.6324225309113173E-5</c:v>
                </c:pt>
                <c:pt idx="58">
                  <c:v>7.6324225309113173E-5</c:v>
                </c:pt>
                <c:pt idx="59">
                  <c:v>1.5264845061822635E-4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L11" sqref="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22270.29674121828</v>
      </c>
      <c r="C11" s="11">
        <f>B11/B$102</f>
        <v>0.1863489528581499</v>
      </c>
      <c r="E11" s="20">
        <v>0</v>
      </c>
      <c r="F11" s="110" t="n">
        <v>33717.0</v>
      </c>
      <c r="G11" s="11">
        <f>F11/F$102</f>
        <v>0.22187452297359184</v>
      </c>
      <c r="K11" s="8" t="n">
        <v>6.885436388722685</v>
      </c>
      <c r="L11" s="8" t="n">
        <v>7.020168836516297</v>
      </c>
    </row>
    <row r="12" spans="1:12" x14ac:dyDescent="0.25">
      <c r="A12">
        <v>1</v>
      </c>
      <c r="B12" s="8" t="n">
        <v>38478.3747514834</v>
      </c>
      <c r="C12" s="11">
        <f>B12/B$102</f>
        <v>0.21970068878186352</v>
      </c>
      <c r="E12" s="21">
        <v>1</v>
      </c>
      <c r="F12" s="111" t="n">
        <v>43813.0</v>
      </c>
      <c r="G12" s="11">
        <f>F12/F$102</f>
        <v>0.25059787309825476</v>
      </c>
      <c r="K12" s="8"/>
      <c r="L12" s="380"/>
    </row>
    <row r="13" spans="1:12" x14ac:dyDescent="0.25">
      <c r="A13">
        <v>2</v>
      </c>
      <c r="B13" s="8" t="n">
        <v>32577.666695170414</v>
      </c>
      <c r="C13" s="11">
        <f ref="C13:C76" si="0" t="shared">B13/B$102</f>
        <v>0.27082128013723245</v>
      </c>
      <c r="E13" s="22">
        <v>2</v>
      </c>
      <c r="F13" s="112" t="n">
        <v>39806.0</v>
      </c>
      <c r="G13" s="11">
        <f ref="G13:G76" si="1" t="shared">F13/F$102</f>
        <v>0.16514018216048443</v>
      </c>
    </row>
    <row r="14" spans="1:12" x14ac:dyDescent="0.25">
      <c r="A14">
        <v>3</v>
      </c>
      <c r="B14" s="8" t="n">
        <v>32787.48411305087</v>
      </c>
      <c r="C14" s="11">
        <f si="0" t="shared"/>
        <v>7.7665743580131591E-2</v>
      </c>
      <c r="E14" s="23">
        <v>3</v>
      </c>
      <c r="F14" s="113" t="n">
        <v>32275.0</v>
      </c>
      <c r="G14" s="11">
        <f si="1" t="shared"/>
        <v>7.7545412914058948E-2</v>
      </c>
    </row>
    <row r="15" spans="1:12" x14ac:dyDescent="0.25">
      <c r="A15">
        <v>4</v>
      </c>
      <c r="B15" s="8" t="n">
        <v>26294.372169441867</v>
      </c>
      <c r="C15" s="11">
        <f si="0" t="shared"/>
        <v>8.3480071216243137E-2</v>
      </c>
      <c r="E15" s="24">
        <v>4</v>
      </c>
      <c r="F15" s="114" t="n">
        <v>25327.0</v>
      </c>
      <c r="G15" s="11">
        <f si="1" t="shared"/>
        <v>4.0299190963211731E-2</v>
      </c>
    </row>
    <row r="16" spans="1:12" x14ac:dyDescent="0.25">
      <c r="A16">
        <v>5</v>
      </c>
      <c r="B16" s="8" t="n">
        <v>16592.50360726317</v>
      </c>
      <c r="C16" s="11">
        <f si="0" t="shared"/>
        <v>1.3555189818188389E-2</v>
      </c>
      <c r="E16" s="25">
        <v>5</v>
      </c>
      <c r="F16" s="115" t="n">
        <v>18758.0</v>
      </c>
      <c r="G16" s="11">
        <f si="1" t="shared"/>
        <v>2.7374955477535243E-2</v>
      </c>
    </row>
    <row r="17" spans="1:7" x14ac:dyDescent="0.25">
      <c r="A17">
        <v>6</v>
      </c>
      <c r="B17" s="8" t="n">
        <v>17538.786846875497</v>
      </c>
      <c r="C17" s="11">
        <f si="0" t="shared"/>
        <v>1.6149749124280282E-2</v>
      </c>
      <c r="E17" s="26">
        <v>6</v>
      </c>
      <c r="F17" s="116" t="n">
        <v>13978.0</v>
      </c>
      <c r="G17" s="11">
        <f si="1" t="shared"/>
        <v>2.9257619701826696E-2</v>
      </c>
    </row>
    <row r="18" spans="1:7" x14ac:dyDescent="0.25">
      <c r="A18">
        <v>7</v>
      </c>
      <c r="B18" s="8" t="n">
        <v>7509.334407714501</v>
      </c>
      <c r="C18" s="11">
        <f si="0" t="shared"/>
        <v>2.925571421259196E-3</v>
      </c>
      <c r="E18" s="27">
        <v>7</v>
      </c>
      <c r="F18" s="117" t="n">
        <v>9582.0</v>
      </c>
      <c r="G18" s="11">
        <f si="1" t="shared"/>
        <v>2.4550959141098054E-2</v>
      </c>
    </row>
    <row r="19" spans="1:7" x14ac:dyDescent="0.25">
      <c r="A19">
        <v>8</v>
      </c>
      <c r="B19" s="8" t="n">
        <v>11964.546548631919</v>
      </c>
      <c r="C19" s="11">
        <f si="0" t="shared"/>
        <v>0</v>
      </c>
      <c r="E19" s="28">
        <v>8</v>
      </c>
      <c r="F19" s="118" t="n">
        <v>6866.0</v>
      </c>
      <c r="G19" s="11">
        <f si="1" t="shared"/>
        <v>1.9131939144151022E-2</v>
      </c>
    </row>
    <row r="20" spans="1:7" x14ac:dyDescent="0.25">
      <c r="A20">
        <v>9</v>
      </c>
      <c r="B20" s="8" t="n">
        <v>6074.104035273718</v>
      </c>
      <c r="C20" s="11">
        <f si="0" t="shared"/>
        <v>3.4452956266352915E-3</v>
      </c>
      <c r="E20" s="29">
        <v>9</v>
      </c>
      <c r="F20" s="119" t="n">
        <v>5078.0</v>
      </c>
      <c r="G20" s="11">
        <f si="1" t="shared"/>
        <v>1.8063399989823439E-2</v>
      </c>
    </row>
    <row r="21" spans="1:7" x14ac:dyDescent="0.25">
      <c r="A21">
        <v>10</v>
      </c>
      <c r="B21" s="8" t="n">
        <v>4937.885939243311</v>
      </c>
      <c r="C21" s="11">
        <f si="0" t="shared"/>
        <v>3.8057975344317117E-2</v>
      </c>
      <c r="E21" s="30">
        <v>10</v>
      </c>
      <c r="F21" s="120" t="n">
        <v>4251.0</v>
      </c>
      <c r="G21" s="11">
        <f si="1" t="shared"/>
        <v>1.9081056327278283E-2</v>
      </c>
    </row>
    <row r="22" spans="1:7" x14ac:dyDescent="0.25">
      <c r="A22">
        <v>11</v>
      </c>
      <c r="B22" s="8" t="n">
        <v>3922.498799152255</v>
      </c>
      <c r="C22" s="11">
        <f si="0" t="shared"/>
        <v>3.1069899309265677E-2</v>
      </c>
      <c r="E22" s="31">
        <v>11</v>
      </c>
      <c r="F22" s="121" t="n">
        <v>4095.0</v>
      </c>
      <c r="G22" s="11">
        <f si="1" t="shared"/>
        <v>1.4476161400295123E-2</v>
      </c>
    </row>
    <row r="23" spans="1:7" x14ac:dyDescent="0.25">
      <c r="A23">
        <v>12</v>
      </c>
      <c r="B23" s="8" t="n">
        <v>6019.945164576896</v>
      </c>
      <c r="C23" s="11">
        <f si="0" t="shared"/>
        <v>1.0061432849383064E-3</v>
      </c>
      <c r="E23" s="32">
        <v>12</v>
      </c>
      <c r="F23" s="122" t="n">
        <v>3896.0</v>
      </c>
      <c r="G23" s="11">
        <f si="1" t="shared"/>
        <v>1.2237317457894472E-2</v>
      </c>
    </row>
    <row r="24" spans="1:7" x14ac:dyDescent="0.25">
      <c r="A24">
        <v>13</v>
      </c>
      <c r="B24" s="8" t="n">
        <v>3615.3706936838826</v>
      </c>
      <c r="C24" s="11">
        <f si="0" t="shared"/>
        <v>1.3763804848171468E-2</v>
      </c>
      <c r="E24" s="33">
        <v>13</v>
      </c>
      <c r="F24" s="123" t="n">
        <v>3378.0</v>
      </c>
      <c r="G24" s="11">
        <f si="1" t="shared"/>
        <v>9.8967078817483352E-3</v>
      </c>
    </row>
    <row r="25" spans="1:7" x14ac:dyDescent="0.25">
      <c r="A25">
        <v>14</v>
      </c>
      <c r="B25" s="8" t="n">
        <v>1714.7602179831865</v>
      </c>
      <c r="C25" s="11">
        <f si="0" t="shared"/>
        <v>0</v>
      </c>
      <c r="E25" s="34">
        <v>14</v>
      </c>
      <c r="F25" s="124" t="n">
        <v>3049.0</v>
      </c>
      <c r="G25" s="11">
        <f si="1" t="shared"/>
        <v>1.0405536050475757E-2</v>
      </c>
    </row>
    <row r="26" spans="1:7" x14ac:dyDescent="0.25">
      <c r="A26">
        <v>15</v>
      </c>
      <c r="B26" s="8" t="n">
        <v>6134.6905591775385</v>
      </c>
      <c r="C26" s="11">
        <f si="0" t="shared"/>
        <v>0</v>
      </c>
      <c r="E26" s="35">
        <v>15</v>
      </c>
      <c r="F26" s="125" t="n">
        <v>2844.0</v>
      </c>
      <c r="G26" s="11">
        <f si="1" t="shared"/>
        <v>1.0100239149239305E-2</v>
      </c>
    </row>
    <row r="27" spans="1:7" x14ac:dyDescent="0.25">
      <c r="A27">
        <v>16</v>
      </c>
      <c r="B27" s="8" t="n">
        <v>3079.3918768788803</v>
      </c>
      <c r="C27" s="11">
        <f si="0" t="shared"/>
        <v>0</v>
      </c>
      <c r="E27" s="36">
        <v>16</v>
      </c>
      <c r="F27" s="126" t="n">
        <v>2576.0</v>
      </c>
      <c r="G27" s="11">
        <f si="1" t="shared"/>
        <v>6.7928560525110683E-3</v>
      </c>
    </row>
    <row r="28" spans="1:7" x14ac:dyDescent="0.25">
      <c r="A28">
        <v>17</v>
      </c>
      <c r="B28" s="8" t="n">
        <v>1667.2332355215453</v>
      </c>
      <c r="C28" s="11">
        <f si="0" t="shared"/>
        <v>3.4701144653987413E-4</v>
      </c>
      <c r="E28" s="37">
        <v>17</v>
      </c>
      <c r="F28" s="127" t="n">
        <v>2264.0</v>
      </c>
      <c r="G28" s="11">
        <f si="1" t="shared"/>
        <v>4.7575433776013846E-3</v>
      </c>
    </row>
    <row r="29" spans="1:7" x14ac:dyDescent="0.25">
      <c r="A29">
        <v>18</v>
      </c>
      <c r="B29" s="8" t="n">
        <v>2080.7148344856546</v>
      </c>
      <c r="C29" s="11">
        <f si="0" t="shared"/>
        <v>7.1904662064287191E-3</v>
      </c>
      <c r="E29" s="38">
        <v>18</v>
      </c>
      <c r="F29" s="128" t="n">
        <v>2092.0</v>
      </c>
      <c r="G29" s="11">
        <f si="1" t="shared"/>
        <v>6.1822622500381629E-3</v>
      </c>
    </row>
    <row r="30" spans="1:7" x14ac:dyDescent="0.25">
      <c r="A30">
        <v>19</v>
      </c>
      <c r="B30" s="8" t="n">
        <v>2154.545970279974</v>
      </c>
      <c r="C30" s="11">
        <f si="0" t="shared"/>
        <v>0</v>
      </c>
      <c r="E30" s="39">
        <v>19</v>
      </c>
      <c r="F30" s="129" t="n">
        <v>1970.0</v>
      </c>
      <c r="G30" s="11">
        <f si="1" t="shared"/>
        <v>5.0373988704014664E-3</v>
      </c>
    </row>
    <row r="31" spans="1:7" x14ac:dyDescent="0.25">
      <c r="A31">
        <v>20</v>
      </c>
      <c r="B31" s="8" t="n">
        <v>2096.7697121865685</v>
      </c>
      <c r="C31" s="11">
        <f si="0" t="shared"/>
        <v>0</v>
      </c>
      <c r="E31" s="40">
        <v>20</v>
      </c>
      <c r="F31" s="130" t="n">
        <v>2094.0</v>
      </c>
      <c r="G31" s="11">
        <f si="1" t="shared"/>
        <v>4.4013636594921902E-3</v>
      </c>
    </row>
    <row r="32" spans="1:7" x14ac:dyDescent="0.25">
      <c r="A32">
        <v>21</v>
      </c>
      <c r="B32" s="8" t="n">
        <v>1744.8673840081026</v>
      </c>
      <c r="C32" s="11">
        <f si="0" t="shared"/>
        <v>0</v>
      </c>
      <c r="E32" s="41">
        <v>21</v>
      </c>
      <c r="F32" s="131" t="n">
        <v>1934.0</v>
      </c>
      <c r="G32" s="11">
        <f si="1" t="shared"/>
        <v>4.5794535185467878E-3</v>
      </c>
    </row>
    <row r="33" spans="1:7" x14ac:dyDescent="0.25">
      <c r="A33">
        <v>22</v>
      </c>
      <c r="B33" s="8" t="n">
        <v>311.4069676650915</v>
      </c>
      <c r="C33" s="11">
        <f si="0" t="shared"/>
        <v>0</v>
      </c>
      <c r="E33" s="42">
        <v>22</v>
      </c>
      <c r="F33" s="132" t="n">
        <v>1856.0</v>
      </c>
      <c r="G33" s="11">
        <f si="1" t="shared"/>
        <v>2.951203378619041E-3</v>
      </c>
    </row>
    <row r="34" spans="1:7" x14ac:dyDescent="0.25">
      <c r="A34">
        <v>23</v>
      </c>
      <c r="B34" s="8" t="n">
        <v>564.6149427306851</v>
      </c>
      <c r="C34" s="11">
        <f si="0" t="shared"/>
        <v>8.3665931991208902E-3</v>
      </c>
      <c r="E34" s="43">
        <v>23</v>
      </c>
      <c r="F34" s="133" t="n">
        <v>1697.0</v>
      </c>
      <c r="G34" s="11">
        <f si="1" t="shared"/>
        <v>2.1625197170915384E-3</v>
      </c>
    </row>
    <row r="35" spans="1:7" x14ac:dyDescent="0.25">
      <c r="A35">
        <v>24</v>
      </c>
      <c r="B35" s="8" t="n">
        <v>468.6541385602042</v>
      </c>
      <c r="C35" s="11">
        <f si="0" t="shared"/>
        <v>2.6048196366080714E-3</v>
      </c>
      <c r="E35" s="44">
        <v>24</v>
      </c>
      <c r="F35" s="134" t="n">
        <v>1645.0</v>
      </c>
      <c r="G35" s="11">
        <f si="1" t="shared"/>
        <v>1.7554571821096019E-3</v>
      </c>
    </row>
    <row r="36" spans="1:7" x14ac:dyDescent="0.25">
      <c r="A36">
        <v>25</v>
      </c>
      <c r="B36" s="8" t="n">
        <v>579.3596059329764</v>
      </c>
      <c r="C36" s="11">
        <f si="0" t="shared"/>
        <v>5.4153065265249729E-4</v>
      </c>
      <c r="E36" s="45">
        <v>25</v>
      </c>
      <c r="F36" s="135" t="n">
        <v>1480.0</v>
      </c>
      <c r="G36" s="11">
        <f si="1" t="shared"/>
        <v>1.8572228158550861E-3</v>
      </c>
    </row>
    <row r="37" spans="1:7" x14ac:dyDescent="0.25">
      <c r="A37">
        <v>26</v>
      </c>
      <c r="B37" s="8" t="n">
        <v>1603.7480454754977</v>
      </c>
      <c r="C37" s="11">
        <f si="0" t="shared"/>
        <v>5.9923639094120315E-3</v>
      </c>
      <c r="E37" s="46">
        <v>26</v>
      </c>
      <c r="F37" s="136" t="n">
        <v>1408.0</v>
      </c>
      <c r="G37" s="11">
        <f si="1" t="shared"/>
        <v>1.0430977458912127E-3</v>
      </c>
    </row>
    <row r="38" spans="1:7" x14ac:dyDescent="0.25">
      <c r="A38">
        <v>27</v>
      </c>
      <c r="B38" s="8" t="n">
        <v>2190.395927950874</v>
      </c>
      <c r="C38" s="11">
        <f si="0" t="shared"/>
        <v>0</v>
      </c>
      <c r="E38" s="47">
        <v>27</v>
      </c>
      <c r="F38" s="137" t="n">
        <v>1243.0</v>
      </c>
      <c r="G38" s="11">
        <f si="1" t="shared"/>
        <v>1.0939805627639548E-3</v>
      </c>
    </row>
    <row r="39" spans="1:7" x14ac:dyDescent="0.25">
      <c r="A39">
        <v>28</v>
      </c>
      <c r="B39" s="8" t="n">
        <v>334.4791449071248</v>
      </c>
      <c r="C39" s="11">
        <f si="0" t="shared"/>
        <v>0</v>
      </c>
      <c r="E39" s="48">
        <v>28</v>
      </c>
      <c r="F39" s="138" t="n">
        <v>1185.0</v>
      </c>
      <c r="G39" s="11">
        <f si="1" t="shared"/>
        <v>5.3426957716379189E-4</v>
      </c>
    </row>
    <row r="40" spans="1:7" x14ac:dyDescent="0.25">
      <c r="A40">
        <v>29</v>
      </c>
      <c r="B40" s="8" t="n">
        <v>439.2811981296314</v>
      </c>
      <c r="C40" s="11">
        <f si="0" t="shared"/>
        <v>1.4851082087709444E-2</v>
      </c>
      <c r="E40" s="49">
        <v>29</v>
      </c>
      <c r="F40" s="139" t="n">
        <v>905.0</v>
      </c>
      <c r="G40" s="11">
        <f si="1" t="shared"/>
        <v>7.3780084465476024E-4</v>
      </c>
    </row>
    <row r="41" spans="1:7" x14ac:dyDescent="0.25">
      <c r="A41">
        <v>30</v>
      </c>
      <c r="B41" s="8" t="n">
        <v>538.0715952947967</v>
      </c>
      <c r="C41" s="11">
        <f si="0" t="shared"/>
        <v>0</v>
      </c>
      <c r="E41" s="50">
        <v>30</v>
      </c>
      <c r="F41" s="140" t="n">
        <v>904.0</v>
      </c>
      <c r="G41" s="11">
        <f si="1" t="shared"/>
        <v>7.6324225309113119E-4</v>
      </c>
    </row>
    <row r="42" spans="1:7" x14ac:dyDescent="0.25">
      <c r="A42">
        <v>31</v>
      </c>
      <c r="B42" s="8" t="n">
        <v>1294.8392016665648</v>
      </c>
      <c r="C42" s="11">
        <f si="0" t="shared"/>
        <v>0</v>
      </c>
      <c r="E42" s="51">
        <v>31</v>
      </c>
      <c r="F42" s="141" t="n">
        <v>877.0</v>
      </c>
      <c r="G42" s="11">
        <f si="1" t="shared"/>
        <v>4.0706253498193665E-4</v>
      </c>
    </row>
    <row r="43" spans="1:7" x14ac:dyDescent="0.25">
      <c r="A43">
        <v>32</v>
      </c>
      <c r="B43" s="8" t="n">
        <v>1040.162315290129</v>
      </c>
      <c r="C43" s="11">
        <f si="0" t="shared"/>
        <v>0</v>
      </c>
      <c r="E43" s="52">
        <v>32</v>
      </c>
      <c r="F43" s="142" t="n">
        <v>742.0</v>
      </c>
      <c r="G43" s="11">
        <f si="1" t="shared"/>
        <v>7.8868366152750225E-4</v>
      </c>
    </row>
    <row r="44" spans="1:7" x14ac:dyDescent="0.25">
      <c r="A44">
        <v>33</v>
      </c>
      <c r="B44" s="8" t="n">
        <v>1392.4744544363812</v>
      </c>
      <c r="C44" s="11">
        <f si="0" t="shared"/>
        <v>0</v>
      </c>
      <c r="E44" s="53">
        <v>33</v>
      </c>
      <c r="F44" s="143" t="n">
        <v>688.0</v>
      </c>
      <c r="G44" s="11">
        <f si="1" t="shared"/>
        <v>6.8691802778201813E-4</v>
      </c>
    </row>
    <row r="45" spans="1:7" x14ac:dyDescent="0.25">
      <c r="A45">
        <v>34</v>
      </c>
      <c r="B45" s="8" t="n">
        <v>197.0558694547986</v>
      </c>
      <c r="C45" s="11">
        <f si="0" t="shared"/>
        <v>0</v>
      </c>
      <c r="E45" s="54">
        <v>34</v>
      </c>
      <c r="F45" s="144" t="n">
        <v>605.0</v>
      </c>
      <c r="G45" s="11">
        <f si="1" t="shared"/>
        <v>4.8338676029104983E-4</v>
      </c>
    </row>
    <row r="46" spans="1:7" x14ac:dyDescent="0.25">
      <c r="A46">
        <v>35</v>
      </c>
      <c r="B46" s="8" t="n">
        <v>186.7474969008365</v>
      </c>
      <c r="C46" s="11">
        <f si="0" t="shared"/>
        <v>0</v>
      </c>
      <c r="E46" s="55">
        <v>35</v>
      </c>
      <c r="F46" s="145" t="n">
        <v>591.0</v>
      </c>
      <c r="G46" s="11">
        <f si="1" t="shared"/>
        <v>6.6147661934564707E-4</v>
      </c>
    </row>
    <row r="47" spans="1:7" x14ac:dyDescent="0.25">
      <c r="A47">
        <v>36</v>
      </c>
      <c r="B47" s="8" t="n">
        <v>405.388323736424</v>
      </c>
      <c r="C47" s="11">
        <f si="0" t="shared"/>
        <v>0</v>
      </c>
      <c r="E47" s="56">
        <v>36</v>
      </c>
      <c r="F47" s="146" t="n">
        <v>481.0</v>
      </c>
      <c r="G47" s="11">
        <f si="1" t="shared"/>
        <v>2.0353126749096833E-4</v>
      </c>
    </row>
    <row r="48" spans="1:7" x14ac:dyDescent="0.25">
      <c r="A48">
        <v>37</v>
      </c>
      <c r="B48" s="8" t="n">
        <v>54.2474698295943</v>
      </c>
      <c r="C48" s="11">
        <f si="0" t="shared"/>
        <v>0</v>
      </c>
      <c r="E48" s="57">
        <v>37</v>
      </c>
      <c r="F48" s="147" t="n">
        <v>406.0</v>
      </c>
      <c r="G48" s="11">
        <f si="1" t="shared"/>
        <v>1.0176563374548416E-4</v>
      </c>
    </row>
    <row r="49" spans="1:7" x14ac:dyDescent="0.25">
      <c r="A49">
        <v>38</v>
      </c>
      <c r="B49" s="8" t="n">
        <v>105.9797380351356</v>
      </c>
      <c r="C49" s="11">
        <f si="0" t="shared"/>
        <v>0</v>
      </c>
      <c r="E49" s="58">
        <v>38</v>
      </c>
      <c r="F49" s="148" t="n">
        <v>417.0</v>
      </c>
      <c r="G49" s="11">
        <f si="1" t="shared"/>
        <v>2.7985549280008147E-4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9">
        <v>39</v>
      </c>
      <c r="F50" s="149" t="n">
        <v>300.0</v>
      </c>
      <c r="G50" s="11">
        <f si="1" t="shared"/>
        <v>1.2720704218185523E-4</v>
      </c>
    </row>
    <row r="51" spans="1:7" x14ac:dyDescent="0.25">
      <c r="A51">
        <v>40</v>
      </c>
      <c r="B51" s="8" t="n">
        <v>412.567309076994</v>
      </c>
      <c r="C51" s="11">
        <f si="0" t="shared"/>
        <v>0</v>
      </c>
      <c r="E51" s="60">
        <v>40</v>
      </c>
      <c r="F51" s="150" t="n">
        <v>297.0</v>
      </c>
      <c r="G51" s="11">
        <f si="1" t="shared"/>
        <v>5.0882816872742082E-5</v>
      </c>
    </row>
    <row r="52" spans="1:7" x14ac:dyDescent="0.25">
      <c r="A52">
        <v>41</v>
      </c>
      <c r="B52" s="8" t="n">
        <v>0.0</v>
      </c>
      <c r="C52" s="11">
        <f si="0" t="shared"/>
        <v>0</v>
      </c>
      <c r="E52" s="61">
        <v>41</v>
      </c>
      <c r="F52" s="151" t="n">
        <v>274.0</v>
      </c>
      <c r="G52" s="11">
        <f si="1" t="shared"/>
        <v>2.5441408436371041E-5</v>
      </c>
    </row>
    <row r="53" spans="1:7" x14ac:dyDescent="0.25">
      <c r="A53">
        <v>42</v>
      </c>
      <c r="B53" s="8" t="n">
        <v>100.2866181396846</v>
      </c>
      <c r="C53" s="11">
        <f si="0" t="shared"/>
        <v>0</v>
      </c>
      <c r="E53" s="62">
        <v>42</v>
      </c>
      <c r="F53" s="152" t="n">
        <v>267.0</v>
      </c>
      <c r="G53" s="11">
        <f si="1" t="shared"/>
        <v>7.6324225309113133E-5</v>
      </c>
    </row>
    <row r="54" spans="1:7" x14ac:dyDescent="0.25">
      <c r="A54">
        <v>43</v>
      </c>
      <c r="B54" s="8" t="n">
        <v>629.830905121327</v>
      </c>
      <c r="C54" s="11">
        <f si="0" t="shared"/>
        <v>0</v>
      </c>
      <c r="E54" s="63">
        <v>43</v>
      </c>
      <c r="F54" s="153" t="n">
        <v>200.0</v>
      </c>
      <c r="G54" s="11">
        <f si="1" t="shared"/>
        <v>1.2720704218185523E-4</v>
      </c>
    </row>
    <row r="55" spans="1:7" x14ac:dyDescent="0.25">
      <c r="A55">
        <v>44</v>
      </c>
      <c r="B55" s="8" t="n">
        <v>24.6270702349605</v>
      </c>
      <c r="C55" s="11">
        <f si="0" t="shared"/>
        <v>0</v>
      </c>
      <c r="E55" s="64">
        <v>44</v>
      </c>
      <c r="F55" s="154" t="n">
        <v>162.0</v>
      </c>
      <c r="G55" s="11">
        <f si="1" t="shared"/>
        <v>1.5264845061822627E-4</v>
      </c>
    </row>
    <row r="56" spans="1:7" x14ac:dyDescent="0.25">
      <c r="A56">
        <v>45</v>
      </c>
      <c r="B56" s="8" t="n">
        <v>619.06309851008</v>
      </c>
      <c r="C56" s="11">
        <f si="0" t="shared"/>
        <v>0</v>
      </c>
      <c r="E56" s="65">
        <v>45</v>
      </c>
      <c r="F56" s="155" t="n">
        <v>235.0</v>
      </c>
      <c r="G56" s="11">
        <f si="1" t="shared"/>
        <v>5.0882816872742082E-5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158.0</v>
      </c>
      <c r="G57" s="11">
        <f si="1" t="shared"/>
        <v>2.5441408436371041E-5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7">
        <v>47</v>
      </c>
      <c r="F58" s="157" t="n">
        <v>143.0</v>
      </c>
      <c r="G58" s="11">
        <f si="1" t="shared"/>
        <v>5.0882816872742082E-5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8">
        <v>48</v>
      </c>
      <c r="F59" s="158" t="n">
        <v>70.0</v>
      </c>
      <c r="G59" s="11">
        <f si="1" t="shared"/>
        <v>5.0882816872742082E-5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130.0</v>
      </c>
      <c r="G60" s="11">
        <f si="1" t="shared"/>
        <v>2.5441408436371041E-5</v>
      </c>
    </row>
    <row r="61" spans="1:7" x14ac:dyDescent="0.25">
      <c r="A61">
        <v>50</v>
      </c>
      <c r="B61" s="8" t="n">
        <v>41.9475743598527</v>
      </c>
      <c r="C61" s="11">
        <f si="0" t="shared"/>
        <v>0</v>
      </c>
      <c r="E61" s="70">
        <v>50</v>
      </c>
      <c r="F61" s="160" t="n">
        <v>110.0</v>
      </c>
      <c r="G61" s="11">
        <f si="1" t="shared"/>
        <v>2.5441408436371041E-5</v>
      </c>
    </row>
    <row r="62" spans="1:7" x14ac:dyDescent="0.25">
      <c r="A62">
        <v>51</v>
      </c>
      <c r="B62" s="8" t="n">
        <v>170.52938421295698</v>
      </c>
      <c r="C62" s="11">
        <f si="0" t="shared"/>
        <v>2.1157675108521372E-3</v>
      </c>
      <c r="E62" s="71">
        <v>51</v>
      </c>
      <c r="F62" s="161" t="n">
        <v>75.0</v>
      </c>
      <c r="G62" s="11">
        <f si="1" t="shared"/>
        <v>0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203.0</v>
      </c>
      <c r="G63" s="11">
        <f si="1" t="shared"/>
        <v>0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120.0</v>
      </c>
      <c r="G64" s="11">
        <f si="1" t="shared"/>
        <v>2.7985549280008147E-4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59.0</v>
      </c>
      <c r="G65" s="11">
        <f si="1" t="shared"/>
        <v>0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72.0</v>
      </c>
      <c r="G66" s="11">
        <f si="1" t="shared"/>
        <v>2.5441408436371041E-5</v>
      </c>
    </row>
    <row r="67" spans="1:7" x14ac:dyDescent="0.25">
      <c r="A67">
        <v>56</v>
      </c>
      <c r="B67" s="8" t="n">
        <v>109.048513407622</v>
      </c>
      <c r="C67" s="11">
        <f si="0" t="shared"/>
        <v>0</v>
      </c>
      <c r="E67" s="76">
        <v>56</v>
      </c>
      <c r="F67" s="166" t="n">
        <v>95.0</v>
      </c>
      <c r="G67" s="11">
        <f si="1" t="shared"/>
        <v>2.5441408436371041E-5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7">
        <v>57</v>
      </c>
      <c r="F68" s="167" t="n">
        <v>99.0</v>
      </c>
      <c r="G68" s="11">
        <f si="1" t="shared"/>
        <v>0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37.0</v>
      </c>
      <c r="G69" s="11">
        <f si="1" t="shared"/>
        <v>0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39.0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80">
        <v>60</v>
      </c>
      <c r="F71" s="170" t="n">
        <v>30.0</v>
      </c>
      <c r="G71" s="11">
        <f si="1" t="shared"/>
        <v>2.5441408436371041E-5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89.0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16.0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16.0</v>
      </c>
      <c r="G74" s="11">
        <f si="1" t="shared"/>
        <v>0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19.0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36.0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9.0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56.0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83.0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9">
        <v>69</v>
      </c>
      <c r="F80" s="179" t="n">
        <v>18.0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16.0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12.0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19.0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3">
        <v>73</v>
      </c>
      <c r="F84" s="183" t="n">
        <v>36.0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32.0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17.0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14.0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20.0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3.0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9">
        <v>79</v>
      </c>
      <c r="F90" s="189" t="n">
        <v>11.0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3.0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6.0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3.0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14.0</v>
      </c>
      <c r="G94" s="11">
        <f si="3" t="shared"/>
        <v>1.780898590545973E-4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6.0</v>
      </c>
      <c r="G95" s="11">
        <f si="3" t="shared"/>
        <v>7.6324225309113133E-5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11.0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11.0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10.0</v>
      </c>
      <c r="G98" s="11">
        <f si="3" t="shared"/>
        <v>1.2720704218185523E-4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13.0</v>
      </c>
      <c r="G99" s="11">
        <f si="3" t="shared"/>
        <v>2.5441408436371041E-5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255.0</v>
      </c>
      <c r="G101" s="11">
        <f si="3" t="shared"/>
        <v>1.5264845061822627E-4</v>
      </c>
    </row>
    <row r="102" spans="1:7" x14ac:dyDescent="0.25">
      <c r="B102" s="8">
        <f>SUM(B11:B101)</f>
        <v>60046.619115211499</v>
      </c>
      <c r="C102" s="11">
        <f si="2" t="shared"/>
        <v>1</v>
      </c>
      <c r="F102" s="8">
        <f>SUM(F11:F101)</f>
        <v>65509.99999993448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B11" sqref="B11:B10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4.8066506909394575E-2</v>
      </c>
      <c r="E11" s="200">
        <v>0</v>
      </c>
      <c r="F11" s="290" t="n">
        <v>6753.0</v>
      </c>
      <c r="G11" s="11">
        <f>F11/F$102</f>
        <v>4.2588917722485152E-2</v>
      </c>
      <c r="K11" s="8" t="n">
        <v>15.191521023331806</v>
      </c>
      <c r="L11" s="8" t="n">
        <v>17.1433777320374</v>
      </c>
    </row>
    <row r="12" spans="1:12" x14ac:dyDescent="0.25">
      <c r="A12">
        <v>1</v>
      </c>
      <c r="B12" s="8" t="n">
        <v>0.0</v>
      </c>
      <c r="C12" s="11">
        <f>B12/B$102</f>
        <v>5.681721252392908E-2</v>
      </c>
      <c r="E12" s="201">
        <v>1</v>
      </c>
      <c r="F12" s="291" t="n">
        <v>4917.0</v>
      </c>
      <c r="G12" s="11">
        <f>F12/F$102</f>
        <v>8.6449905866788843E-2</v>
      </c>
      <c r="K12" s="8"/>
      <c r="L12" s="381"/>
    </row>
    <row r="13" spans="1:12" x14ac:dyDescent="0.25">
      <c r="A13">
        <v>2</v>
      </c>
      <c r="B13" s="8" t="n">
        <v>1142.2045702313617</v>
      </c>
      <c r="C13" s="11">
        <f ref="C13:C76" si="0" t="shared">B13/B$102</f>
        <v>0.15162954449652188</v>
      </c>
      <c r="E13" s="202">
        <v>2</v>
      </c>
      <c r="F13" s="292" t="n">
        <v>5066.0</v>
      </c>
      <c r="G13" s="11">
        <f ref="G13:G76" si="1" t="shared">F13/F$102</f>
        <v>0.15923777540324643</v>
      </c>
    </row>
    <row r="14" spans="1:12" x14ac:dyDescent="0.25">
      <c r="A14">
        <v>3</v>
      </c>
      <c r="B14" s="8" t="n">
        <v>15181.124453949851</v>
      </c>
      <c r="C14" s="11">
        <f si="0" t="shared"/>
        <v>0.14240080321640072</v>
      </c>
      <c r="E14" s="203">
        <v>3</v>
      </c>
      <c r="F14" s="293" t="n">
        <v>8457.0</v>
      </c>
      <c r="G14" s="11">
        <f si="1" t="shared"/>
        <v>0.16333384216150215</v>
      </c>
    </row>
    <row r="15" spans="1:12" x14ac:dyDescent="0.25">
      <c r="A15">
        <v>4</v>
      </c>
      <c r="B15" s="8" t="n">
        <v>13540.187069331281</v>
      </c>
      <c r="C15" s="11">
        <f si="0" t="shared"/>
        <v>0.11113361810298332</v>
      </c>
      <c r="E15" s="204">
        <v>4</v>
      </c>
      <c r="F15" s="294" t="n">
        <v>13483.0</v>
      </c>
      <c r="G15" s="11">
        <f si="1" t="shared"/>
        <v>0.13053986668701989</v>
      </c>
    </row>
    <row r="16" spans="1:12" x14ac:dyDescent="0.25">
      <c r="A16">
        <v>5</v>
      </c>
      <c r="B16" s="8" t="n">
        <v>22751.197048701408</v>
      </c>
      <c r="C16" s="11">
        <f si="0" t="shared"/>
        <v>0.17924660896934649</v>
      </c>
      <c r="E16" s="205">
        <v>5</v>
      </c>
      <c r="F16" s="295" t="n">
        <v>17432.0</v>
      </c>
      <c r="G16" s="11">
        <f si="1" t="shared"/>
        <v>8.8103597415152973E-2</v>
      </c>
    </row>
    <row r="17" spans="1:7" x14ac:dyDescent="0.25">
      <c r="A17">
        <v>6</v>
      </c>
      <c r="B17" s="8" t="n">
        <v>15329.175829351305</v>
      </c>
      <c r="C17" s="11">
        <f si="0" t="shared"/>
        <v>6.5242371138801408E-2</v>
      </c>
      <c r="E17" s="206">
        <v>6</v>
      </c>
      <c r="F17" s="296" t="n">
        <v>19167.0</v>
      </c>
      <c r="G17" s="11">
        <f si="1" t="shared"/>
        <v>4.88729456062688E-2</v>
      </c>
    </row>
    <row r="18" spans="1:7" x14ac:dyDescent="0.25">
      <c r="A18">
        <v>7</v>
      </c>
      <c r="B18" s="8" t="n">
        <v>18099.849704294407</v>
      </c>
      <c r="C18" s="11">
        <f si="0" t="shared"/>
        <v>8.3480071216243137E-2</v>
      </c>
      <c r="E18" s="207">
        <v>7</v>
      </c>
      <c r="F18" s="297" t="n">
        <v>19290.0</v>
      </c>
      <c r="G18" s="11">
        <f si="1" t="shared"/>
        <v>3.1725436320154711E-2</v>
      </c>
    </row>
    <row r="19" spans="1:7" x14ac:dyDescent="0.25">
      <c r="A19">
        <v>8</v>
      </c>
      <c r="B19" s="8" t="n">
        <v>21530.294471045847</v>
      </c>
      <c r="C19" s="11">
        <f si="0" t="shared"/>
        <v>4.8016804686839267E-3</v>
      </c>
      <c r="E19" s="208">
        <v>8</v>
      </c>
      <c r="F19" s="298" t="n">
        <v>17666.0</v>
      </c>
      <c r="G19" s="11">
        <f si="1" t="shared"/>
        <v>2.3533302803643227E-2</v>
      </c>
    </row>
    <row r="20" spans="1:7" x14ac:dyDescent="0.25">
      <c r="A20">
        <v>9</v>
      </c>
      <c r="B20" s="8" t="n">
        <v>10946.89070571901</v>
      </c>
      <c r="C20" s="11">
        <f si="0" t="shared"/>
        <v>1.4596795793128203E-2</v>
      </c>
      <c r="E20" s="209">
        <v>9</v>
      </c>
      <c r="F20" s="299" t="n">
        <v>16310.0</v>
      </c>
      <c r="G20" s="11">
        <f si="1" t="shared"/>
        <v>2.1294458861242576E-2</v>
      </c>
    </row>
    <row r="21" spans="1:7" x14ac:dyDescent="0.25">
      <c r="A21">
        <v>10</v>
      </c>
      <c r="B21" s="8" t="n">
        <v>12212.448403665469</v>
      </c>
      <c r="C21" s="11">
        <f si="0" t="shared"/>
        <v>1.3232034101915736E-2</v>
      </c>
      <c r="E21" s="210">
        <v>10</v>
      </c>
      <c r="F21" s="300" t="n">
        <v>14462.0</v>
      </c>
      <c r="G21" s="11">
        <f si="1" t="shared"/>
        <v>1.8521345341678128E-2</v>
      </c>
    </row>
    <row r="22" spans="1:7" x14ac:dyDescent="0.25">
      <c r="A22">
        <v>11</v>
      </c>
      <c r="B22" s="8" t="n">
        <v>14123.054461618474</v>
      </c>
      <c r="C22" s="11">
        <f si="0" t="shared"/>
        <v>0</v>
      </c>
      <c r="E22" s="211">
        <v>11</v>
      </c>
      <c r="F22" s="301" t="n">
        <v>12961.0</v>
      </c>
      <c r="G22" s="11">
        <f si="1" t="shared"/>
        <v>1.5468376329313603E-2</v>
      </c>
    </row>
    <row r="23" spans="1:7" x14ac:dyDescent="0.25">
      <c r="A23">
        <v>12</v>
      </c>
      <c r="B23" s="8" t="n">
        <v>13567.483317694978</v>
      </c>
      <c r="C23" s="11">
        <f si="0" t="shared"/>
        <v>0</v>
      </c>
      <c r="E23" s="212">
        <v>12</v>
      </c>
      <c r="F23" s="302" t="n">
        <v>11622.0</v>
      </c>
      <c r="G23" s="11">
        <f si="1" t="shared"/>
        <v>1.9767974355060312E-2</v>
      </c>
    </row>
    <row r="24" spans="1:7" x14ac:dyDescent="0.25">
      <c r="A24">
        <v>13</v>
      </c>
      <c r="B24" s="8" t="n">
        <v>8023.910486832352</v>
      </c>
      <c r="C24" s="11">
        <f si="0" t="shared"/>
        <v>3.8057975344317117E-2</v>
      </c>
      <c r="E24" s="213">
        <v>13</v>
      </c>
      <c r="F24" s="303" t="n">
        <v>10105.0</v>
      </c>
      <c r="G24" s="11">
        <f si="1" t="shared"/>
        <v>1.6231618582404735E-2</v>
      </c>
    </row>
    <row r="25" spans="1:7" x14ac:dyDescent="0.25">
      <c r="A25">
        <v>14</v>
      </c>
      <c r="B25" s="8" t="n">
        <v>9497.861004420807</v>
      </c>
      <c r="C25" s="11">
        <f si="0" t="shared"/>
        <v>0</v>
      </c>
      <c r="E25" s="214">
        <v>14</v>
      </c>
      <c r="F25" s="304" t="n">
        <v>8960.0</v>
      </c>
      <c r="G25" s="11">
        <f si="1" t="shared"/>
        <v>1.3000559710985609E-2</v>
      </c>
    </row>
    <row r="26" spans="1:7" x14ac:dyDescent="0.25">
      <c r="A26">
        <v>15</v>
      </c>
      <c r="B26" s="8" t="n">
        <v>9275.166916013273</v>
      </c>
      <c r="C26" s="11">
        <f si="0" t="shared"/>
        <v>1.4671123571540903E-2</v>
      </c>
      <c r="E26" s="215">
        <v>15</v>
      </c>
      <c r="F26" s="305" t="n">
        <v>7917.0</v>
      </c>
      <c r="G26" s="11">
        <f si="1" t="shared"/>
        <v>1.2211876049458106E-2</v>
      </c>
    </row>
    <row r="27" spans="1:7" x14ac:dyDescent="0.25">
      <c r="A27">
        <v>16</v>
      </c>
      <c r="B27" s="8" t="n">
        <v>6404.295237647209</v>
      </c>
      <c r="C27" s="11">
        <f si="0" t="shared"/>
        <v>1.4622516585330824E-3</v>
      </c>
      <c r="E27" s="216">
        <v>16</v>
      </c>
      <c r="F27" s="306" t="n">
        <v>6822.0</v>
      </c>
      <c r="G27" s="11">
        <f si="1" t="shared"/>
        <v>9.6422937973846302E-3</v>
      </c>
    </row>
    <row r="28" spans="1:7" x14ac:dyDescent="0.25">
      <c r="A28">
        <v>17</v>
      </c>
      <c r="B28" s="8" t="n">
        <v>9239.34933430507</v>
      </c>
      <c r="C28" s="11">
        <f si="0" t="shared"/>
        <v>4.1303812535630124E-3</v>
      </c>
      <c r="E28" s="217">
        <v>17</v>
      </c>
      <c r="F28" s="307" t="n">
        <v>5965.0</v>
      </c>
      <c r="G28" s="11">
        <f si="1" t="shared"/>
        <v>8.1412506996387385E-3</v>
      </c>
    </row>
    <row r="29" spans="1:7" x14ac:dyDescent="0.25">
      <c r="A29">
        <v>18</v>
      </c>
      <c r="B29" s="8" t="n">
        <v>4421.478879679156</v>
      </c>
      <c r="C29" s="11">
        <f si="0" t="shared"/>
        <v>2.0010330321584432E-3</v>
      </c>
      <c r="E29" s="218">
        <v>18</v>
      </c>
      <c r="F29" s="308" t="n">
        <v>5271.0</v>
      </c>
      <c r="G29" s="11">
        <f si="1" t="shared"/>
        <v>8.5228718261843046E-3</v>
      </c>
    </row>
    <row r="30" spans="1:7" x14ac:dyDescent="0.25">
      <c r="A30">
        <v>19</v>
      </c>
      <c r="B30" s="8" t="n">
        <v>3239.778694755667</v>
      </c>
      <c r="C30" s="11">
        <f si="0" t="shared"/>
        <v>2.4938485023544222E-2</v>
      </c>
      <c r="E30" s="219">
        <v>19</v>
      </c>
      <c r="F30" s="309" t="n">
        <v>4636.0</v>
      </c>
      <c r="G30" s="11">
        <f si="1" t="shared"/>
        <v>7.149035770620267E-3</v>
      </c>
    </row>
    <row r="31" spans="1:7" x14ac:dyDescent="0.25">
      <c r="A31">
        <v>20</v>
      </c>
      <c r="B31" s="8" t="n">
        <v>3301.62405097122</v>
      </c>
      <c r="C31" s="11">
        <f si="0" t="shared"/>
        <v>1.3531547314781806E-3</v>
      </c>
      <c r="E31" s="220">
        <v>20</v>
      </c>
      <c r="F31" s="310" t="n">
        <v>4116.0</v>
      </c>
      <c r="G31" s="11">
        <f si="1" t="shared"/>
        <v>7.7596295730931724E-3</v>
      </c>
    </row>
    <row r="32" spans="1:7" x14ac:dyDescent="0.25">
      <c r="A32">
        <v>21</v>
      </c>
      <c r="B32" s="8" t="n">
        <v>2713.880407995135</v>
      </c>
      <c r="C32" s="11">
        <f si="0" t="shared"/>
        <v>1.0757252447327731E-3</v>
      </c>
      <c r="E32" s="221">
        <v>21</v>
      </c>
      <c r="F32" s="311" t="n">
        <v>3781.0</v>
      </c>
      <c r="G32" s="11">
        <f si="1" t="shared"/>
        <v>6.9200630946929277E-3</v>
      </c>
    </row>
    <row r="33" spans="1:7" x14ac:dyDescent="0.25">
      <c r="A33">
        <v>22</v>
      </c>
      <c r="B33" s="8" t="n">
        <v>3396.3203069781516</v>
      </c>
      <c r="C33" s="11">
        <f si="0" t="shared"/>
        <v>7.1904662064287191E-3</v>
      </c>
      <c r="E33" s="222">
        <v>22</v>
      </c>
      <c r="F33" s="312" t="n">
        <v>3407.0</v>
      </c>
      <c r="G33" s="11">
        <f si="1" t="shared"/>
        <v>8.5991960514934171E-3</v>
      </c>
    </row>
    <row r="34" spans="1:7" x14ac:dyDescent="0.25">
      <c r="A34">
        <v>23</v>
      </c>
      <c r="B34" s="8" t="n">
        <v>3362.9325219290504</v>
      </c>
      <c r="C34" s="11">
        <f si="0" t="shared"/>
        <v>0</v>
      </c>
      <c r="E34" s="223">
        <v>23</v>
      </c>
      <c r="F34" s="313" t="n">
        <v>3010.0</v>
      </c>
      <c r="G34" s="11">
        <f si="1" t="shared"/>
        <v>6.9200630946929277E-3</v>
      </c>
    </row>
    <row r="35" spans="1:7" x14ac:dyDescent="0.25">
      <c r="A35">
        <v>24</v>
      </c>
      <c r="B35" s="8" t="n">
        <v>2979.569734954554</v>
      </c>
      <c r="C35" s="11">
        <f si="0" t="shared"/>
        <v>0</v>
      </c>
      <c r="E35" s="224">
        <v>24</v>
      </c>
      <c r="F35" s="314" t="n">
        <v>2756.0</v>
      </c>
      <c r="G35" s="11">
        <f si="1" t="shared"/>
        <v>6.7928560525110726E-3</v>
      </c>
    </row>
    <row r="36" spans="1:7" x14ac:dyDescent="0.25">
      <c r="A36">
        <v>25</v>
      </c>
      <c r="B36" s="8" t="n">
        <v>2361.342073936976</v>
      </c>
      <c r="C36" s="11">
        <f si="0" t="shared"/>
        <v>0</v>
      </c>
      <c r="E36" s="225">
        <v>25</v>
      </c>
      <c r="F36" s="315" t="n">
        <v>2582.0</v>
      </c>
      <c r="G36" s="11">
        <f si="1" t="shared"/>
        <v>4.4013636594921928E-3</v>
      </c>
    </row>
    <row r="37" spans="1:7" x14ac:dyDescent="0.25">
      <c r="A37">
        <v>26</v>
      </c>
      <c r="B37" s="8" t="n">
        <v>2875.454205742951</v>
      </c>
      <c r="C37" s="11">
        <f si="0" t="shared"/>
        <v>0</v>
      </c>
      <c r="E37" s="226">
        <v>26</v>
      </c>
      <c r="F37" s="316" t="n">
        <v>2399.0</v>
      </c>
      <c r="G37" s="11">
        <f si="1" t="shared"/>
        <v>3.5363557726555768E-3</v>
      </c>
    </row>
    <row r="38" spans="1:7" x14ac:dyDescent="0.25">
      <c r="A38">
        <v>27</v>
      </c>
      <c r="B38" s="8" t="n">
        <v>2134.6692608526378</v>
      </c>
      <c r="C38" s="11">
        <f si="0" t="shared"/>
        <v>0</v>
      </c>
      <c r="E38" s="227">
        <v>27</v>
      </c>
      <c r="F38" s="317" t="n">
        <v>2217.0</v>
      </c>
      <c r="G38" s="11">
        <f si="1" t="shared"/>
        <v>3.4345901389100926E-3</v>
      </c>
    </row>
    <row r="39" spans="1:7" x14ac:dyDescent="0.25">
      <c r="A39">
        <v>28</v>
      </c>
      <c r="B39" s="8" t="n">
        <v>924.5422119941226</v>
      </c>
      <c r="C39" s="11">
        <f si="0" t="shared"/>
        <v>0</v>
      </c>
      <c r="E39" s="228">
        <v>28</v>
      </c>
      <c r="F39" s="318" t="n">
        <v>2125.0</v>
      </c>
      <c r="G39" s="11">
        <f si="1" t="shared"/>
        <v>2.8239963364371872E-3</v>
      </c>
    </row>
    <row r="40" spans="1:7" x14ac:dyDescent="0.25">
      <c r="A40">
        <v>29</v>
      </c>
      <c r="B40" s="8" t="n">
        <v>1137.626678417749</v>
      </c>
      <c r="C40" s="11">
        <f si="0" t="shared"/>
        <v>0</v>
      </c>
      <c r="E40" s="229">
        <v>29</v>
      </c>
      <c r="F40" s="319" t="n">
        <v>1926.0</v>
      </c>
      <c r="G40" s="11">
        <f si="1" t="shared"/>
        <v>2.1370783086551684E-3</v>
      </c>
    </row>
    <row r="41" spans="1:7" x14ac:dyDescent="0.25">
      <c r="A41">
        <v>30</v>
      </c>
      <c r="B41" s="8" t="n">
        <v>1940.0918538537767</v>
      </c>
      <c r="C41" s="11">
        <f si="0" t="shared"/>
        <v>8.3665931991208902E-3</v>
      </c>
      <c r="E41" s="230">
        <v>30</v>
      </c>
      <c r="F41" s="320" t="n">
        <v>1821.0</v>
      </c>
      <c r="G41" s="11">
        <f si="1" t="shared"/>
        <v>2.6967892942553321E-3</v>
      </c>
    </row>
    <row r="42" spans="1:7" x14ac:dyDescent="0.25">
      <c r="A42">
        <v>31</v>
      </c>
      <c r="B42" s="8" t="n">
        <v>2836.6014525951464</v>
      </c>
      <c r="C42" s="11">
        <f si="0" t="shared"/>
        <v>0</v>
      </c>
      <c r="E42" s="231">
        <v>31</v>
      </c>
      <c r="F42" s="321" t="n">
        <v>1745.0</v>
      </c>
      <c r="G42" s="11">
        <f si="1" t="shared"/>
        <v>3.2565002798554954E-3</v>
      </c>
    </row>
    <row r="43" spans="1:7" x14ac:dyDescent="0.25">
      <c r="A43">
        <v>32</v>
      </c>
      <c r="B43" s="8" t="n">
        <v>2524.365454970007</v>
      </c>
      <c r="C43" s="11">
        <f si="0" t="shared"/>
        <v>0</v>
      </c>
      <c r="E43" s="232">
        <v>32</v>
      </c>
      <c r="F43" s="322" t="n">
        <v>1740.0</v>
      </c>
      <c r="G43" s="11">
        <f si="1" t="shared"/>
        <v>2.2388439424006531E-3</v>
      </c>
    </row>
    <row r="44" spans="1:7" x14ac:dyDescent="0.25">
      <c r="A44">
        <v>33</v>
      </c>
      <c r="B44" s="8" t="n">
        <v>1438.3130540136285</v>
      </c>
      <c r="C44" s="11">
        <f si="0" t="shared"/>
        <v>0</v>
      </c>
      <c r="E44" s="233">
        <v>33</v>
      </c>
      <c r="F44" s="323" t="n">
        <v>1604.0</v>
      </c>
      <c r="G44" s="11">
        <f si="1" t="shared"/>
        <v>1.4247188724367792E-3</v>
      </c>
    </row>
    <row r="45" spans="1:7" x14ac:dyDescent="0.25">
      <c r="A45">
        <v>34</v>
      </c>
      <c r="B45" s="8" t="n">
        <v>1025.482601660752</v>
      </c>
      <c r="C45" s="11">
        <f si="0" t="shared"/>
        <v>0</v>
      </c>
      <c r="E45" s="234">
        <v>34</v>
      </c>
      <c r="F45" s="324" t="n">
        <v>1481.0</v>
      </c>
      <c r="G45" s="11">
        <f si="1" t="shared"/>
        <v>1.9081056327278291E-3</v>
      </c>
    </row>
    <row r="46" spans="1:7" x14ac:dyDescent="0.25">
      <c r="A46">
        <v>35</v>
      </c>
      <c r="B46" s="8" t="n">
        <v>1100.553897218673</v>
      </c>
      <c r="C46" s="11">
        <f si="0" t="shared"/>
        <v>2.6048196366080714E-3</v>
      </c>
      <c r="E46" s="235">
        <v>35</v>
      </c>
      <c r="F46" s="325" t="n">
        <v>1409.0</v>
      </c>
      <c r="G46" s="11">
        <f si="1" t="shared"/>
        <v>1.2975118302549239E-3</v>
      </c>
    </row>
    <row r="47" spans="1:7" x14ac:dyDescent="0.25">
      <c r="A47">
        <v>36</v>
      </c>
      <c r="B47" s="8" t="n">
        <v>443.9186322603383</v>
      </c>
      <c r="C47" s="11">
        <f si="0" t="shared"/>
        <v>0</v>
      </c>
      <c r="E47" s="236">
        <v>36</v>
      </c>
      <c r="F47" s="326" t="n">
        <v>1382.0</v>
      </c>
      <c r="G47" s="11">
        <f si="1" t="shared"/>
        <v>1.2466290133821818E-3</v>
      </c>
    </row>
    <row r="48" spans="1:7" x14ac:dyDescent="0.25">
      <c r="A48">
        <v>37</v>
      </c>
      <c r="B48" s="8" t="n">
        <v>1449.736087842043</v>
      </c>
      <c r="C48" s="11">
        <f si="0" t="shared"/>
        <v>0</v>
      </c>
      <c r="E48" s="237">
        <v>37</v>
      </c>
      <c r="F48" s="327" t="n">
        <v>1306.0</v>
      </c>
      <c r="G48" s="11">
        <f si="1" t="shared"/>
        <v>8.6500788683661596E-4</v>
      </c>
    </row>
    <row r="49" spans="1:7" x14ac:dyDescent="0.25">
      <c r="A49">
        <v>38</v>
      </c>
      <c r="B49" s="8" t="n">
        <v>3329.5573098148957</v>
      </c>
      <c r="C49" s="11">
        <f si="0" t="shared"/>
        <v>6.5338945620645288E-3</v>
      </c>
      <c r="E49" s="238">
        <v>38</v>
      </c>
      <c r="F49" s="328" t="n">
        <v>1202.0</v>
      </c>
      <c r="G49" s="11">
        <f si="1" t="shared"/>
        <v>6.3603521090927644E-4</v>
      </c>
    </row>
    <row r="50" spans="1:7" x14ac:dyDescent="0.25">
      <c r="A50">
        <v>39</v>
      </c>
      <c r="B50" s="8" t="n">
        <v>2234.2353542109063</v>
      </c>
      <c r="C50" s="11">
        <f si="0" t="shared"/>
        <v>0</v>
      </c>
      <c r="E50" s="239">
        <v>39</v>
      </c>
      <c r="F50" s="329" t="n">
        <v>1125.0</v>
      </c>
      <c r="G50" s="11">
        <f si="1" t="shared"/>
        <v>3.0529690123645269E-4</v>
      </c>
    </row>
    <row r="51" spans="1:7" x14ac:dyDescent="0.25">
      <c r="A51">
        <v>40</v>
      </c>
      <c r="B51" s="8" t="n">
        <v>472.087921598404</v>
      </c>
      <c r="C51" s="11">
        <f si="0" t="shared"/>
        <v>1.4851082087709444E-2</v>
      </c>
      <c r="E51" s="240">
        <v>40</v>
      </c>
      <c r="F51" s="330" t="n">
        <v>1066.0</v>
      </c>
      <c r="G51" s="11">
        <f si="1" t="shared"/>
        <v>6.1059380247290539E-4</v>
      </c>
    </row>
    <row r="52" spans="1:7" x14ac:dyDescent="0.25">
      <c r="A52">
        <v>41</v>
      </c>
      <c r="B52" s="8" t="n">
        <v>582.8410784213161</v>
      </c>
      <c r="C52" s="11">
        <f si="0" t="shared"/>
        <v>0</v>
      </c>
      <c r="E52" s="241">
        <v>41</v>
      </c>
      <c r="F52" s="331" t="n">
        <v>1094.0</v>
      </c>
      <c r="G52" s="11">
        <f si="1" t="shared"/>
        <v>6.8691802778201856E-4</v>
      </c>
    </row>
    <row r="53" spans="1:7" x14ac:dyDescent="0.25">
      <c r="A53">
        <v>42</v>
      </c>
      <c r="B53" s="8" t="n">
        <v>1090.7081318048363</v>
      </c>
      <c r="C53" s="11">
        <f si="0" t="shared"/>
        <v>0</v>
      </c>
      <c r="E53" s="242">
        <v>42</v>
      </c>
      <c r="F53" s="332" t="n">
        <v>1007.0</v>
      </c>
      <c r="G53" s="11">
        <f si="1" t="shared"/>
        <v>3.307383096728237E-4</v>
      </c>
    </row>
    <row r="54" spans="1:7" x14ac:dyDescent="0.25">
      <c r="A54">
        <v>43</v>
      </c>
      <c r="B54" s="8" t="n">
        <v>227.46396608637082</v>
      </c>
      <c r="C54" s="11">
        <f si="0" t="shared"/>
        <v>0</v>
      </c>
      <c r="E54" s="243">
        <v>43</v>
      </c>
      <c r="F54" s="333" t="n">
        <v>934.0</v>
      </c>
      <c r="G54" s="11">
        <f si="1" t="shared"/>
        <v>3.307383096728237E-4</v>
      </c>
    </row>
    <row r="55" spans="1:7" x14ac:dyDescent="0.25">
      <c r="A55">
        <v>44</v>
      </c>
      <c r="B55" s="8" t="n">
        <v>95.6033307301202</v>
      </c>
      <c r="C55" s="11">
        <f si="0" t="shared"/>
        <v>0</v>
      </c>
      <c r="E55" s="244">
        <v>44</v>
      </c>
      <c r="F55" s="334" t="n">
        <v>954.0</v>
      </c>
      <c r="G55" s="11">
        <f si="1" t="shared"/>
        <v>2.5441408436371058E-4</v>
      </c>
    </row>
    <row r="56" spans="1:7" x14ac:dyDescent="0.25">
      <c r="A56">
        <v>45</v>
      </c>
      <c r="B56" s="8" t="n">
        <v>362.55986464800503</v>
      </c>
      <c r="C56" s="11">
        <f si="0" t="shared"/>
        <v>0</v>
      </c>
      <c r="E56" s="245">
        <v>45</v>
      </c>
      <c r="F56" s="335" t="n">
        <v>890.0</v>
      </c>
      <c r="G56" s="11">
        <f si="1" t="shared"/>
        <v>4.3250394341830798E-4</v>
      </c>
    </row>
    <row r="57" spans="1:7" x14ac:dyDescent="0.25">
      <c r="A57">
        <v>46</v>
      </c>
      <c r="B57" s="8" t="n">
        <v>673.334498168688</v>
      </c>
      <c r="C57" s="11">
        <f si="0" t="shared"/>
        <v>0</v>
      </c>
      <c r="E57" s="246">
        <v>46</v>
      </c>
      <c r="F57" s="336" t="n">
        <v>789.0</v>
      </c>
      <c r="G57" s="11">
        <f si="1" t="shared"/>
        <v>2.5441408436371058E-5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247">
        <v>47</v>
      </c>
      <c r="F58" s="337" t="n">
        <v>794.0</v>
      </c>
      <c r="G58" s="11">
        <f si="1" t="shared"/>
        <v>2.5441408436371058E-4</v>
      </c>
    </row>
    <row r="59" spans="1:7" x14ac:dyDescent="0.25">
      <c r="A59">
        <v>48</v>
      </c>
      <c r="B59" s="8" t="n">
        <v>465.033143298021</v>
      </c>
      <c r="C59" s="11">
        <f si="0" t="shared"/>
        <v>0</v>
      </c>
      <c r="E59" s="248">
        <v>48</v>
      </c>
      <c r="F59" s="338" t="n">
        <v>757.0</v>
      </c>
      <c r="G59" s="11">
        <f si="1" t="shared"/>
        <v>5.0882816872742116E-4</v>
      </c>
    </row>
    <row r="60" spans="1:7" x14ac:dyDescent="0.25">
      <c r="A60">
        <v>49</v>
      </c>
      <c r="B60" s="8" t="n">
        <v>822.0974634802452</v>
      </c>
      <c r="C60" s="11">
        <f si="0" t="shared"/>
        <v>0</v>
      </c>
      <c r="E60" s="249">
        <v>49</v>
      </c>
      <c r="F60" s="339" t="n">
        <v>768.0</v>
      </c>
      <c r="G60" s="11">
        <f si="1" t="shared"/>
        <v>4.0706253498193692E-4</v>
      </c>
    </row>
    <row r="61" spans="1:7" x14ac:dyDescent="0.25">
      <c r="A61">
        <v>50</v>
      </c>
      <c r="B61" s="8" t="n">
        <v>628.8472306185608</v>
      </c>
      <c r="C61" s="11">
        <f si="0" t="shared"/>
        <v>0</v>
      </c>
      <c r="E61" s="250">
        <v>50</v>
      </c>
      <c r="F61" s="340" t="n">
        <v>651.0</v>
      </c>
      <c r="G61" s="11">
        <f si="1" t="shared"/>
        <v>3.0529690123645269E-4</v>
      </c>
    </row>
    <row r="62" spans="1:7" x14ac:dyDescent="0.25">
      <c r="A62">
        <v>51</v>
      </c>
      <c r="B62" s="8" t="n">
        <v>76.645994811838</v>
      </c>
      <c r="C62" s="11">
        <f si="0" t="shared"/>
        <v>0</v>
      </c>
      <c r="E62" s="251">
        <v>51</v>
      </c>
      <c r="F62" s="341" t="n">
        <v>665.0</v>
      </c>
      <c r="G62" s="11">
        <f si="1" t="shared"/>
        <v>7.6324225309113173E-5</v>
      </c>
    </row>
    <row r="63" spans="1:7" x14ac:dyDescent="0.25">
      <c r="A63">
        <v>52</v>
      </c>
      <c r="B63" s="8" t="n">
        <v>490.8673463906386</v>
      </c>
      <c r="C63" s="11">
        <f si="0" t="shared"/>
        <v>0</v>
      </c>
      <c r="E63" s="252">
        <v>52</v>
      </c>
      <c r="F63" s="342" t="n">
        <v>574.0</v>
      </c>
      <c r="G63" s="11">
        <f si="1" t="shared"/>
        <v>2.0353126749096846E-4</v>
      </c>
    </row>
    <row r="64" spans="1:7" x14ac:dyDescent="0.25">
      <c r="A64">
        <v>53</v>
      </c>
      <c r="B64" s="8" t="n">
        <v>99.2979316484143</v>
      </c>
      <c r="C64" s="11">
        <f si="0" t="shared"/>
        <v>0</v>
      </c>
      <c r="E64" s="253">
        <v>53</v>
      </c>
      <c r="F64" s="343" t="n">
        <v>610.0</v>
      </c>
      <c r="G64" s="11">
        <f si="1" t="shared"/>
        <v>1.2720704218185529E-4</v>
      </c>
    </row>
    <row r="65" spans="1:7" x14ac:dyDescent="0.25">
      <c r="A65">
        <v>54</v>
      </c>
      <c r="B65" s="8" t="n">
        <v>563.9754786813052</v>
      </c>
      <c r="C65" s="11">
        <f si="0" t="shared"/>
        <v>0</v>
      </c>
      <c r="E65" s="254">
        <v>54</v>
      </c>
      <c r="F65" s="344" t="n">
        <v>554.0</v>
      </c>
      <c r="G65" s="11">
        <f si="1" t="shared"/>
        <v>5.0882816872742116E-5</v>
      </c>
    </row>
    <row r="66" spans="1:7" x14ac:dyDescent="0.25">
      <c r="A66">
        <v>55</v>
      </c>
      <c r="B66" s="8" t="n">
        <v>580.1875817460448</v>
      </c>
      <c r="C66" s="11">
        <f si="0" t="shared"/>
        <v>0</v>
      </c>
      <c r="E66" s="255">
        <v>55</v>
      </c>
      <c r="F66" s="345" t="n">
        <v>498.0</v>
      </c>
      <c r="G66" s="11">
        <f si="1" t="shared"/>
        <v>1.0176563374548423E-4</v>
      </c>
    </row>
    <row r="67" spans="1:7" x14ac:dyDescent="0.25">
      <c r="A67">
        <v>56</v>
      </c>
      <c r="B67" s="8" t="n">
        <v>150.015277925134</v>
      </c>
      <c r="C67" s="11">
        <f si="0" t="shared"/>
        <v>0</v>
      </c>
      <c r="E67" s="256">
        <v>56</v>
      </c>
      <c r="F67" s="346" t="n">
        <v>489.0</v>
      </c>
      <c r="G67" s="11">
        <f si="1" t="shared"/>
        <v>7.6324225309113173E-5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257">
        <v>57</v>
      </c>
      <c r="F68" s="347" t="n">
        <v>436.0</v>
      </c>
      <c r="G68" s="11">
        <f si="1" t="shared"/>
        <v>7.6324225309113173E-5</v>
      </c>
    </row>
    <row r="69" spans="1:7" x14ac:dyDescent="0.25">
      <c r="A69">
        <v>58</v>
      </c>
      <c r="B69" s="8" t="n">
        <v>116.5605610247314</v>
      </c>
      <c r="C69" s="11">
        <f si="0" t="shared"/>
        <v>0</v>
      </c>
      <c r="E69" s="258">
        <v>58</v>
      </c>
      <c r="F69" s="348" t="n">
        <v>431.0</v>
      </c>
      <c r="G69" s="11">
        <f si="1" t="shared"/>
        <v>7.6324225309113173E-5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9">
        <v>59</v>
      </c>
      <c r="F70" s="349" t="n">
        <v>406.0</v>
      </c>
      <c r="G70" s="11">
        <f si="1" t="shared"/>
        <v>1.5264845061822635E-4</v>
      </c>
    </row>
    <row r="71" spans="1:7" x14ac:dyDescent="0.25">
      <c r="A71">
        <v>60</v>
      </c>
      <c r="B71" s="8" t="n">
        <v>24.8672544422838</v>
      </c>
      <c r="C71" s="11">
        <f si="0" t="shared"/>
        <v>0</v>
      </c>
      <c r="E71" s="260">
        <v>60</v>
      </c>
      <c r="F71" s="350" t="n">
        <v>411.0</v>
      </c>
      <c r="G71" s="11">
        <f si="1" t="shared"/>
        <v>0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261">
        <v>61</v>
      </c>
      <c r="F72" s="351" t="n">
        <v>349.0</v>
      </c>
      <c r="G72" s="11">
        <f si="1" t="shared"/>
        <v>2.5441408436371058E-5</v>
      </c>
    </row>
    <row r="73" spans="1:7" x14ac:dyDescent="0.25">
      <c r="A73">
        <v>62</v>
      </c>
      <c r="B73" s="8" t="n">
        <v>144.147188982958</v>
      </c>
      <c r="C73" s="11">
        <f si="0" t="shared"/>
        <v>0</v>
      </c>
      <c r="E73" s="262">
        <v>62</v>
      </c>
      <c r="F73" s="352" t="n">
        <v>331.0</v>
      </c>
      <c r="G73" s="11">
        <f si="1" t="shared"/>
        <v>7.6324225309113173E-5</v>
      </c>
    </row>
    <row r="74" spans="1:7" x14ac:dyDescent="0.25">
      <c r="A74">
        <v>63</v>
      </c>
      <c r="B74" s="8" t="n">
        <v>653.1241438591786</v>
      </c>
      <c r="C74" s="11">
        <f si="0" t="shared"/>
        <v>0</v>
      </c>
      <c r="E74" s="263">
        <v>63</v>
      </c>
      <c r="F74" s="353" t="n">
        <v>324.0</v>
      </c>
      <c r="G74" s="11">
        <f si="1" t="shared"/>
        <v>2.5441408436371058E-5</v>
      </c>
    </row>
    <row r="75" spans="1:7" x14ac:dyDescent="0.25">
      <c r="A75">
        <v>64</v>
      </c>
      <c r="B75" s="8" t="n">
        <v>1434.4220287962337</v>
      </c>
      <c r="C75" s="11">
        <f si="0" t="shared"/>
        <v>0</v>
      </c>
      <c r="E75" s="264">
        <v>64</v>
      </c>
      <c r="F75" s="354" t="n">
        <v>309.0</v>
      </c>
      <c r="G75" s="11">
        <f si="1" t="shared"/>
        <v>2.5441408436371058E-5</v>
      </c>
    </row>
    <row r="76" spans="1:7" x14ac:dyDescent="0.25">
      <c r="A76">
        <v>65</v>
      </c>
      <c r="B76" s="8" t="n">
        <v>284.46617377263897</v>
      </c>
      <c r="C76" s="11">
        <f si="0" t="shared"/>
        <v>0</v>
      </c>
      <c r="E76" s="265">
        <v>65</v>
      </c>
      <c r="F76" s="355" t="n">
        <v>325.0</v>
      </c>
      <c r="G76" s="11">
        <f si="1" t="shared"/>
        <v>5.0882816872742116E-5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266">
        <v>66</v>
      </c>
      <c r="F77" s="356" t="n">
        <v>326.0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308.718317243292</v>
      </c>
      <c r="C78" s="11">
        <f si="2" t="shared"/>
        <v>0</v>
      </c>
      <c r="E78" s="267">
        <v>67</v>
      </c>
      <c r="F78" s="357" t="n">
        <v>296.0</v>
      </c>
      <c r="G78" s="11">
        <f si="3" t="shared"/>
        <v>5.0882816872742116E-5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267.0</v>
      </c>
      <c r="G79" s="11">
        <f si="3" t="shared"/>
        <v>5.0882816872742116E-5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9">
        <v>69</v>
      </c>
      <c r="F80" s="359" t="n">
        <v>261.0</v>
      </c>
      <c r="G80" s="11">
        <f si="3" t="shared"/>
        <v>5.0882816872742116E-5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196.0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205.0</v>
      </c>
      <c r="G82" s="11">
        <f si="3" t="shared"/>
        <v>2.5441408436371058E-5</v>
      </c>
    </row>
    <row r="83" spans="1:7" x14ac:dyDescent="0.25">
      <c r="A83">
        <v>72</v>
      </c>
      <c r="B83" s="8" t="n">
        <v>950.0415525655599</v>
      </c>
      <c r="C83" s="11">
        <f si="2" t="shared"/>
        <v>0</v>
      </c>
      <c r="E83" s="272">
        <v>72</v>
      </c>
      <c r="F83" s="362" t="n">
        <v>186.0</v>
      </c>
      <c r="G83" s="11">
        <f si="3" t="shared"/>
        <v>0</v>
      </c>
    </row>
    <row r="84" spans="1:7" x14ac:dyDescent="0.25">
      <c r="A84">
        <v>73</v>
      </c>
      <c r="B84" s="8" t="n">
        <v>359.40956098205976</v>
      </c>
      <c r="C84" s="11">
        <f si="2" t="shared"/>
        <v>0</v>
      </c>
      <c r="E84" s="273">
        <v>73</v>
      </c>
      <c r="F84" s="363" t="n">
        <v>174.0</v>
      </c>
      <c r="G84" s="11">
        <f si="3" t="shared"/>
        <v>0</v>
      </c>
    </row>
    <row r="85" spans="1:7" x14ac:dyDescent="0.25">
      <c r="A85">
        <v>74</v>
      </c>
      <c r="B85" s="8" t="n">
        <v>41.9475743598527</v>
      </c>
      <c r="C85" s="11">
        <f si="2" t="shared"/>
        <v>2.1157675108521372E-3</v>
      </c>
      <c r="E85" s="274">
        <v>74</v>
      </c>
      <c r="F85" s="364" t="n">
        <v>166.0</v>
      </c>
      <c r="G85" s="11">
        <f si="3" t="shared"/>
        <v>5.0882816872742116E-5</v>
      </c>
    </row>
    <row r="86" spans="1:7" x14ac:dyDescent="0.25">
      <c r="A86">
        <v>75</v>
      </c>
      <c r="B86" s="8" t="n">
        <v>405.388323736424</v>
      </c>
      <c r="C86" s="11">
        <f si="2" t="shared"/>
        <v>0</v>
      </c>
      <c r="E86" s="275">
        <v>75</v>
      </c>
      <c r="F86" s="365" t="n">
        <v>184.0</v>
      </c>
      <c r="G86" s="11">
        <f si="3" t="shared"/>
        <v>0</v>
      </c>
    </row>
    <row r="87" spans="1:7" x14ac:dyDescent="0.25">
      <c r="A87">
        <v>76</v>
      </c>
      <c r="B87" s="8" t="n">
        <v>213.8084115994302</v>
      </c>
      <c r="C87" s="11">
        <f si="2" t="shared"/>
        <v>0</v>
      </c>
      <c r="E87" s="276">
        <v>76</v>
      </c>
      <c r="F87" s="366" t="n">
        <v>143.0</v>
      </c>
      <c r="G87" s="11">
        <f si="3" t="shared"/>
        <v>0</v>
      </c>
    </row>
    <row r="88" spans="1:7" x14ac:dyDescent="0.25">
      <c r="A88">
        <v>77</v>
      </c>
      <c r="B88" s="8" t="n">
        <v>105.79553682935</v>
      </c>
      <c r="C88" s="11">
        <f si="2" t="shared"/>
        <v>0</v>
      </c>
      <c r="E88" s="277">
        <v>77</v>
      </c>
      <c r="F88" s="367" t="n">
        <v>149.0</v>
      </c>
      <c r="G88" s="11">
        <f si="3" t="shared"/>
        <v>2.5441408436371058E-5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8">
        <v>78</v>
      </c>
      <c r="F89" s="368" t="n">
        <v>133.0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9">
        <v>79</v>
      </c>
      <c r="F90" s="369" t="n">
        <v>143.0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138.0</v>
      </c>
      <c r="G91" s="11">
        <f si="3" t="shared"/>
        <v>5.0882816872742116E-5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1">
        <v>81</v>
      </c>
      <c r="F92" s="371" t="n">
        <v>102.0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120.0</v>
      </c>
      <c r="G93" s="11">
        <f si="3" t="shared"/>
        <v>0</v>
      </c>
    </row>
    <row r="94" spans="1:7" x14ac:dyDescent="0.25">
      <c r="A94">
        <v>83</v>
      </c>
      <c r="B94" s="8" t="n">
        <v>501.0720892324655</v>
      </c>
      <c r="C94" s="11">
        <f si="2" t="shared"/>
        <v>0</v>
      </c>
      <c r="E94" s="283">
        <v>83</v>
      </c>
      <c r="F94" s="373" t="n">
        <v>98.0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4">
        <v>84</v>
      </c>
      <c r="F95" s="374" t="n">
        <v>116.0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104.0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76.0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82.0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80.0</v>
      </c>
      <c r="G99" s="11">
        <f si="3" t="shared"/>
        <v>2.7985549280008164E-4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70.0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109.048513407622</v>
      </c>
      <c r="C101" s="11">
        <f si="2" t="shared"/>
        <v>0</v>
      </c>
      <c r="E101" s="382">
        <v>90</v>
      </c>
      <c r="F101" s="382" t="n">
        <v>4175.0</v>
      </c>
      <c r="G101" s="11">
        <f si="3" t="shared"/>
        <v>5.8515239403653433E-4</v>
      </c>
    </row>
    <row r="102" spans="1:7" x14ac:dyDescent="0.25">
      <c r="B102" s="8">
        <f>SUM(B11:B101)</f>
        <v>60046.619115211499</v>
      </c>
      <c r="C102" s="11">
        <f si="2" t="shared"/>
        <v>1</v>
      </c>
      <c r="F102" s="8">
        <f>SUM(F11:F101)</f>
        <v>65509.999999934444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" workbookViewId="0">
      <selection activeCell="AC29" sqref="AC29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383" t="s">
        <v>248</v>
      </c>
      <c r="B7" s="12" t="n">
        <v>89017.17117463723</v>
      </c>
      <c r="C7" s="12" t="n">
        <v>0.0</v>
      </c>
      <c r="D7" s="12" t="n">
        <v>629.172822432972</v>
      </c>
      <c r="E7" s="12" t="n">
        <v>987.1927701390607</v>
      </c>
      <c r="F7" s="12" t="n">
        <v>1283.2322854859033</v>
      </c>
      <c r="G7" s="12" t="n">
        <v>4253.643924078122</v>
      </c>
      <c r="H7" s="12" t="n">
        <v>580.4423038875544</v>
      </c>
      <c r="I7" s="12"/>
      <c r="J7" s="12">
        <f>SUM(B7:I7)</f>
        <v>20819.054067353754</v>
      </c>
      <c r="K7" s="12"/>
      <c r="L7" t="str">
        <f>$A$7</f>
        <v>Bellevue</v>
      </c>
      <c r="M7" s="430" t="n">
        <v>99333.0</v>
      </c>
      <c r="N7" s="430" t="n">
        <v>3.0</v>
      </c>
      <c r="O7" s="430" t="n">
        <v>32.0</v>
      </c>
      <c r="P7" s="430" t="n">
        <v>1908.0</v>
      </c>
      <c r="Q7" s="430" t="n">
        <v>540.0</v>
      </c>
      <c r="R7" s="430" t="n">
        <v>4157.0</v>
      </c>
      <c r="S7" s="430" t="n">
        <v>1187.0</v>
      </c>
      <c r="T7" s="430"/>
      <c r="U7" s="431">
        <f>SUM(M7:T7)</f>
        <v>21703.333333311632</v>
      </c>
    </row>
    <row r="8" spans="1:21" x14ac:dyDescent="0.25">
      <c r="A8" t="s">
        <v>249</v>
      </c>
      <c r="B8" s="12" t="n">
        <v>1799.5328448237096</v>
      </c>
      <c r="C8" s="12" t="n">
        <v>12139.511864039705</v>
      </c>
      <c r="D8" s="12" t="n">
        <v>0.0</v>
      </c>
      <c r="E8" s="12" t="n">
        <v>212.4769585728097</v>
      </c>
      <c r="F8" s="12" t="n">
        <v>0.0</v>
      </c>
      <c r="G8" s="12" t="n">
        <v>1307.1462936804637</v>
      </c>
      <c r="H8" s="12" t="n">
        <v>0.0</v>
      </c>
      <c r="I8" s="12"/>
      <c r="J8" s="12">
        <f ref="J8:J14" si="0" t="shared">SUM(B8:I8)</f>
        <v>7249.463075466826</v>
      </c>
      <c r="K8" s="12"/>
      <c r="L8" t="str">
        <f>$A$8</f>
        <v>Bellevue Downtown</v>
      </c>
      <c r="M8" s="430" t="n">
        <v>743.0</v>
      </c>
      <c r="N8" s="430" t="n">
        <v>12397.0</v>
      </c>
      <c r="O8" s="430" t="n">
        <v>0.0</v>
      </c>
      <c r="P8" s="430" t="n">
        <v>291.0</v>
      </c>
      <c r="Q8" s="430" t="n">
        <v>3.0</v>
      </c>
      <c r="R8" s="430" t="n">
        <v>3403.0</v>
      </c>
      <c r="S8" s="430" t="n">
        <v>9.0</v>
      </c>
      <c r="T8" s="430"/>
      <c r="U8" s="431">
        <f ref="U8:U14" si="1" t="shared">SUM(M8:T8)</f>
        <v>9761.6666666569054</v>
      </c>
    </row>
    <row r="9" spans="1:21" x14ac:dyDescent="0.25">
      <c r="A9" t="s">
        <v>250</v>
      </c>
      <c r="B9" s="12" t="n">
        <v>1267.7351179654536</v>
      </c>
      <c r="C9" s="12" t="n">
        <v>0.0</v>
      </c>
      <c r="D9" s="12" t="n">
        <v>10585.69589626869</v>
      </c>
      <c r="E9" s="12" t="n">
        <v>0.0</v>
      </c>
      <c r="F9" s="12" t="n">
        <v>1692.6960422259797</v>
      </c>
      <c r="G9" s="12" t="n">
        <v>0.0</v>
      </c>
      <c r="H9" s="12" t="n">
        <v>0.0</v>
      </c>
      <c r="I9" s="12"/>
      <c r="J9" s="12">
        <f si="0" t="shared"/>
        <v>16868.406684615937</v>
      </c>
      <c r="K9" s="13"/>
      <c r="L9" t="str">
        <f>$A$9</f>
        <v>Kirkland</v>
      </c>
      <c r="M9" s="430" t="n">
        <v>4165.0</v>
      </c>
      <c r="N9" s="430" t="n">
        <v>0.0</v>
      </c>
      <c r="O9" s="430" t="n">
        <v>6500.0</v>
      </c>
      <c r="P9" s="430" t="n">
        <v>40.0</v>
      </c>
      <c r="Q9" s="430" t="n">
        <v>790.0</v>
      </c>
      <c r="R9" s="430" t="n">
        <v>82.0</v>
      </c>
      <c r="S9" s="430" t="n">
        <v>78.0</v>
      </c>
      <c r="T9" s="430"/>
      <c r="U9" s="431">
        <f si="1" t="shared"/>
        <v>9954.9999999900465</v>
      </c>
    </row>
    <row r="10" spans="1:21" x14ac:dyDescent="0.25">
      <c r="A10" t="s">
        <v>251</v>
      </c>
      <c r="B10" s="12" t="n">
        <v>3506.5112764660967</v>
      </c>
      <c r="C10" s="12" t="n">
        <v>0.0</v>
      </c>
      <c r="D10" s="12" t="n">
        <v>0.0</v>
      </c>
      <c r="E10" s="12" t="n">
        <v>44753.280163572905</v>
      </c>
      <c r="F10" s="12" t="n">
        <v>585.493532405127</v>
      </c>
      <c r="G10" s="12" t="n">
        <v>595.428808017512</v>
      </c>
      <c r="H10" s="12" t="n">
        <v>2457.971222949492</v>
      </c>
      <c r="I10" s="12"/>
      <c r="J10" s="12">
        <f si="0" t="shared"/>
        <v>4035.0780955584692</v>
      </c>
      <c r="K10" s="13"/>
      <c r="L10" t="str">
        <f>$A$10</f>
        <v>Redmond</v>
      </c>
      <c r="M10" s="430" t="n">
        <v>2316.0</v>
      </c>
      <c r="N10" s="430" t="n">
        <v>8.0</v>
      </c>
      <c r="O10" s="430" t="n">
        <v>0.0</v>
      </c>
      <c r="P10" s="430" t="n">
        <v>47803.0</v>
      </c>
      <c r="Q10" s="430" t="n">
        <v>7.0</v>
      </c>
      <c r="R10" s="430" t="n">
        <v>515.0</v>
      </c>
      <c r="S10" s="430" t="n">
        <v>211.0</v>
      </c>
      <c r="T10" s="430"/>
      <c r="U10" s="431">
        <f si="1" t="shared"/>
        <v>8918.3333333244136</v>
      </c>
    </row>
    <row r="11" spans="1:21" x14ac:dyDescent="0.25">
      <c r="A11" t="s">
        <v>247</v>
      </c>
      <c r="B11" s="12" t="n">
        <v>4722.286758954195</v>
      </c>
      <c r="C11" s="12" t="n">
        <v>0.0</v>
      </c>
      <c r="D11" s="12" t="n">
        <v>659.8797676259275</v>
      </c>
      <c r="E11" s="12" t="n">
        <v>0.0</v>
      </c>
      <c r="F11" s="12" t="n">
        <v>22075.367692956406</v>
      </c>
      <c r="G11" s="12" t="n">
        <v>26.9496084212502</v>
      </c>
      <c r="H11" s="12" t="n">
        <v>0.0</v>
      </c>
      <c r="I11" s="12"/>
      <c r="J11" s="12">
        <f si="0" t="shared"/>
        <v>3454.0111881829721</v>
      </c>
      <c r="K11" s="13"/>
      <c r="L11" t="str">
        <f>$A$11</f>
        <v>Seattle</v>
      </c>
      <c r="M11" s="430" t="n">
        <v>8071.0</v>
      </c>
      <c r="N11" s="430" t="n">
        <v>1.0</v>
      </c>
      <c r="O11" s="430" t="n">
        <v>699.0</v>
      </c>
      <c r="P11" s="430" t="n">
        <v>145.0</v>
      </c>
      <c r="Q11" s="430" t="n">
        <v>22424.0</v>
      </c>
      <c r="R11" s="430" t="n">
        <v>153.0</v>
      </c>
      <c r="S11" s="430" t="n">
        <v>672.0</v>
      </c>
      <c r="T11" s="430"/>
      <c r="U11" s="431">
        <f si="1" t="shared"/>
        <v>3948.3333333293849</v>
      </c>
    </row>
    <row r="12" spans="1:21" x14ac:dyDescent="0.25">
      <c r="A12" t="s">
        <v>252</v>
      </c>
      <c r="B12" s="12" t="n">
        <v>8447.139809645661</v>
      </c>
      <c r="C12" s="12" t="n">
        <v>265.923875245742</v>
      </c>
      <c r="D12" s="12" t="n">
        <v>0.0</v>
      </c>
      <c r="E12" s="12" t="n">
        <v>1260.506639487367</v>
      </c>
      <c r="F12" s="12" t="n">
        <v>0.0</v>
      </c>
      <c r="G12" s="12" t="n">
        <v>21481.783176435652</v>
      </c>
      <c r="H12" s="12" t="n">
        <v>0.0</v>
      </c>
      <c r="I12" s="12"/>
      <c r="J12" s="12">
        <f si="0" t="shared"/>
        <v>946.86590436549204</v>
      </c>
      <c r="K12" s="13"/>
      <c r="L12" t="str">
        <f>$A$12</f>
        <v>Seattle Downtown</v>
      </c>
      <c r="M12" s="430" t="n">
        <v>5642.0</v>
      </c>
      <c r="N12" s="430" t="n">
        <v>1516.0</v>
      </c>
      <c r="O12" s="430" t="n">
        <v>1.0</v>
      </c>
      <c r="P12" s="430" t="n">
        <v>1113.0</v>
      </c>
      <c r="Q12" s="430" t="n">
        <v>7.0</v>
      </c>
      <c r="R12" s="430" t="n">
        <v>33306.0</v>
      </c>
      <c r="S12" s="430" t="n">
        <v>43.0</v>
      </c>
      <c r="T12" s="430"/>
      <c r="U12" s="431">
        <f si="1" t="shared"/>
        <v>3928.3333333294049</v>
      </c>
    </row>
    <row r="13" spans="1:21" x14ac:dyDescent="0.25">
      <c r="A13" t="s">
        <v>253</v>
      </c>
      <c r="B13" s="12" t="n">
        <v>4547.488360893408</v>
      </c>
      <c r="C13" s="12" t="n">
        <v>0.0</v>
      </c>
      <c r="D13" s="12" t="n">
        <v>0.0</v>
      </c>
      <c r="E13" s="12" t="n">
        <v>1479.1440571254263</v>
      </c>
      <c r="F13" s="12" t="n">
        <v>0.0</v>
      </c>
      <c r="G13" s="12" t="n">
        <v>223.041419486045</v>
      </c>
      <c r="H13" s="12" t="n">
        <v>22227.10474443579</v>
      </c>
      <c r="I13" s="12"/>
      <c r="J13" s="12">
        <f si="0" t="shared"/>
        <v>272.27842266631598</v>
      </c>
      <c r="K13" s="13"/>
      <c r="L13" t="str">
        <f>$A$13</f>
        <v>Rest</v>
      </c>
      <c r="M13" s="430" t="n">
        <v>4816.0</v>
      </c>
      <c r="N13" s="430" t="n">
        <v>2.0</v>
      </c>
      <c r="O13" s="430" t="n">
        <v>3.0</v>
      </c>
      <c r="P13" s="430" t="n">
        <v>1564.0</v>
      </c>
      <c r="Q13" s="430" t="n">
        <v>108.0</v>
      </c>
      <c r="R13" s="430" t="n">
        <v>156.0</v>
      </c>
      <c r="S13" s="430" t="n">
        <v>17839.0</v>
      </c>
      <c r="T13" s="430"/>
      <c r="U13" s="431">
        <f si="1" t="shared"/>
        <v>1651.6666666650153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22587.683285561212</v>
      </c>
      <c r="C15" s="16">
        <f si="2" t="shared"/>
        <v>6755.2692819339836</v>
      </c>
      <c r="D15" s="16">
        <f si="2" t="shared"/>
        <v>14139.324334974843</v>
      </c>
      <c r="E15" s="16">
        <f si="2" t="shared"/>
        <v>3775.587447426833</v>
      </c>
      <c r="F15" s="16">
        <f si="2" t="shared"/>
        <v>3108.5015543163868</v>
      </c>
      <c r="G15" s="16">
        <f si="2" t="shared"/>
        <v>3278.7915339965052</v>
      </c>
      <c r="H15" s="16">
        <f si="2" t="shared"/>
        <v>0</v>
      </c>
      <c r="I15" s="16">
        <f si="2" t="shared"/>
        <v>0</v>
      </c>
      <c r="J15" s="16">
        <f si="2" t="shared"/>
        <v>53645.157438209768</v>
      </c>
      <c r="K15" s="12"/>
      <c r="L15" s="16" t="s">
        <v>4</v>
      </c>
      <c r="M15" s="433">
        <f ref="M15:U15" si="3" t="shared">SUM(M7:M14)</f>
        <v>27668.333333305662</v>
      </c>
      <c r="N15" s="433">
        <f si="3" t="shared"/>
        <v>9473.3333333238606</v>
      </c>
      <c r="O15" s="433">
        <f si="3" t="shared"/>
        <v>11643.333333321692</v>
      </c>
      <c r="P15" s="433">
        <f si="3" t="shared"/>
        <v>6028.3333333273058</v>
      </c>
      <c r="Q15" s="433">
        <f si="3" t="shared"/>
        <v>2096.6666666645701</v>
      </c>
      <c r="R15" s="433">
        <f si="3" t="shared"/>
        <v>2023.3333333313099</v>
      </c>
      <c r="S15" s="433">
        <f si="3" t="shared"/>
        <v>933.33333333240012</v>
      </c>
      <c r="T15" s="433">
        <f si="3" t="shared"/>
        <v>0</v>
      </c>
      <c r="U15" s="433">
        <f si="3" t="shared"/>
        <v>59866.666666606805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21578.074528005509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125.25880530611803</v>
      </c>
      <c r="G20" s="12">
        <f si="4" t="shared"/>
        <v>0</v>
      </c>
      <c r="H20" s="12">
        <f ref="H20" si="5" t="shared">($U7/$J7)*H7</f>
        <v>0</v>
      </c>
      <c r="I20" s="12"/>
      <c r="J20" s="12">
        <f>SUM(B20:I20)</f>
        <v>21703.333333311628</v>
      </c>
      <c r="K20" s="12"/>
      <c r="L20" t="str">
        <f>$A$7</f>
        <v>Bellevue</v>
      </c>
      <c r="M20" s="12">
        <f>M7</f>
        <v>21106.66666664556</v>
      </c>
      <c r="N20" s="12">
        <f ref="N20:U20" si="6" t="shared">N7</f>
        <v>404.99999999959499</v>
      </c>
      <c r="O20" s="12">
        <f si="6" t="shared"/>
        <v>0</v>
      </c>
      <c r="P20" s="12">
        <f si="6" t="shared"/>
        <v>36.66666666663</v>
      </c>
      <c r="Q20" s="12">
        <f si="6" t="shared"/>
        <v>144.99999999985499</v>
      </c>
      <c r="R20" s="12">
        <f si="6" t="shared"/>
        <v>9.9999999999900009</v>
      </c>
      <c r="S20" s="12">
        <f si="6" t="shared"/>
        <v>0</v>
      </c>
      <c r="T20" s="12"/>
      <c r="U20" s="12">
        <f si="6" t="shared"/>
        <v>21703.333333311632</v>
      </c>
    </row>
    <row r="21" spans="1:32" x14ac:dyDescent="0.25">
      <c r="A21" t="str">
        <f>$A$8</f>
        <v>Bellevue Downtown</v>
      </c>
      <c r="B21" s="12">
        <f ref="B21:G26" si="7" t="shared">($U8/$J8)*B8</f>
        <v>199.58198574818078</v>
      </c>
      <c r="C21" s="12">
        <f si="7" t="shared"/>
        <v>8885.6040840560017</v>
      </c>
      <c r="D21" s="12">
        <f si="7" t="shared"/>
        <v>0</v>
      </c>
      <c r="E21" s="12">
        <f si="7" t="shared"/>
        <v>676.48059685272426</v>
      </c>
      <c r="F21" s="12">
        <f si="7" t="shared"/>
        <v>0</v>
      </c>
      <c r="G21" s="12">
        <f si="7" t="shared"/>
        <v>0</v>
      </c>
      <c r="H21" s="12">
        <f ref="H21" si="8" t="shared">($U8/$J8)*H8</f>
        <v>0</v>
      </c>
      <c r="I21" s="12"/>
      <c r="J21" s="12">
        <f ref="J21:J27" si="9" t="shared">SUM(B21:I21)</f>
        <v>9761.6666666569054</v>
      </c>
      <c r="K21" s="12"/>
      <c r="L21" t="str">
        <f>$A$8</f>
        <v>Bellevue Downtown</v>
      </c>
      <c r="M21" s="12">
        <f ref="M21:U21" si="10" t="shared">M8</f>
        <v>1488.3333333318451</v>
      </c>
      <c r="N21" s="12">
        <f si="10" t="shared"/>
        <v>8186.6666666584797</v>
      </c>
      <c r="O21" s="12">
        <f si="10" t="shared"/>
        <v>14.999999999985</v>
      </c>
      <c r="P21" s="12">
        <f si="10" t="shared"/>
        <v>6.6666666666600003</v>
      </c>
      <c r="Q21" s="12">
        <f si="10" t="shared"/>
        <v>33.333333333300004</v>
      </c>
      <c r="R21" s="12">
        <f si="10" t="shared"/>
        <v>31.666666666635003</v>
      </c>
      <c r="S21" s="12">
        <f si="10" t="shared"/>
        <v>0</v>
      </c>
      <c r="T21" s="12"/>
      <c r="U21" s="12">
        <f si="10" t="shared"/>
        <v>9761.6666666569054</v>
      </c>
    </row>
    <row r="22" spans="1:32" x14ac:dyDescent="0.25">
      <c r="A22" t="str">
        <f>$A$9</f>
        <v>Kirkland</v>
      </c>
      <c r="B22" s="12">
        <f si="7" t="shared"/>
        <v>212.35081925361737</v>
      </c>
      <c r="C22" s="12">
        <f si="7" t="shared"/>
        <v>92.306741079733143</v>
      </c>
      <c r="D22" s="12">
        <f si="7" t="shared"/>
        <v>8198.0463676909967</v>
      </c>
      <c r="E22" s="12">
        <f si="7" t="shared"/>
        <v>0</v>
      </c>
      <c r="F22" s="12">
        <f si="7" t="shared"/>
        <v>0</v>
      </c>
      <c r="G22" s="12">
        <f si="7" t="shared"/>
        <v>1452.2960719656996</v>
      </c>
      <c r="H22" s="12">
        <f ref="H22" si="11" t="shared">($U9/$J9)*H9</f>
        <v>0</v>
      </c>
      <c r="I22" s="12"/>
      <c r="J22" s="12">
        <f si="9" t="shared"/>
        <v>9954.9999999900483</v>
      </c>
      <c r="K22" s="13"/>
      <c r="L22" t="str">
        <f>$A$9</f>
        <v>Kirkland</v>
      </c>
      <c r="M22" s="12">
        <f ref="M22:U22" si="12" t="shared">M9</f>
        <v>16.666666666650002</v>
      </c>
      <c r="N22" s="12">
        <f si="12" t="shared"/>
        <v>23.333333333310001</v>
      </c>
      <c r="O22" s="12">
        <f si="12" t="shared"/>
        <v>9829.9999999901702</v>
      </c>
      <c r="P22" s="12">
        <f si="12" t="shared"/>
        <v>0</v>
      </c>
      <c r="Q22" s="12">
        <f si="12" t="shared"/>
        <v>11.666666666655001</v>
      </c>
      <c r="R22" s="12">
        <f si="12" t="shared"/>
        <v>69.999999999929997</v>
      </c>
      <c r="S22" s="12">
        <f si="12" t="shared"/>
        <v>3.3333333333300001</v>
      </c>
      <c r="T22" s="12"/>
      <c r="U22" s="12">
        <f si="12" t="shared"/>
        <v>9954.9999999900465</v>
      </c>
    </row>
    <row r="23" spans="1:32" x14ac:dyDescent="0.25">
      <c r="A23" t="str">
        <f>$A$10</f>
        <v>Redmond</v>
      </c>
      <c r="B23" s="12">
        <f si="7" t="shared"/>
        <v>1683.899664858355</v>
      </c>
      <c r="C23" s="12">
        <f si="7" t="shared"/>
        <v>0</v>
      </c>
      <c r="D23" s="12">
        <f si="7" t="shared"/>
        <v>0</v>
      </c>
      <c r="E23" s="12">
        <f si="7" t="shared"/>
        <v>7234.4336684660584</v>
      </c>
      <c r="F23" s="12">
        <f si="7" t="shared"/>
        <v>0</v>
      </c>
      <c r="G23" s="12">
        <f si="7" t="shared"/>
        <v>0</v>
      </c>
      <c r="H23" s="12">
        <f ref="H23" si="13" t="shared">($U10/$J10)*H10</f>
        <v>0</v>
      </c>
      <c r="I23" s="12"/>
      <c r="J23" s="12">
        <f>SUM(B23:I23)</f>
        <v>8918.3333333244136</v>
      </c>
      <c r="K23" s="13"/>
      <c r="L23" t="str">
        <f>$A$10</f>
        <v>Redmond</v>
      </c>
      <c r="M23" s="12">
        <f ref="M23:S23" si="14" t="shared">M10</f>
        <v>2671.6666666639953</v>
      </c>
      <c r="N23" s="12">
        <f si="14" t="shared"/>
        <v>99.999999999899998</v>
      </c>
      <c r="O23" s="12">
        <f si="14" t="shared"/>
        <v>6.6666666666600003</v>
      </c>
      <c r="P23" s="12">
        <f si="14" t="shared"/>
        <v>5964.9999999940346</v>
      </c>
      <c r="Q23" s="12">
        <f si="14" t="shared"/>
        <v>153.33333333318001</v>
      </c>
      <c r="R23" s="12">
        <f si="14" t="shared"/>
        <v>21.666666666645</v>
      </c>
      <c r="S23" s="12">
        <f si="14" t="shared"/>
        <v>0</v>
      </c>
      <c r="T23" s="12"/>
      <c r="U23" s="12">
        <f ref="U23" si="15" t="shared">U10</f>
        <v>8918.3333333244136</v>
      </c>
    </row>
    <row r="24" spans="1:32" x14ac:dyDescent="0.25">
      <c r="A24" t="str">
        <f>$A$11</f>
        <v>Seattle</v>
      </c>
      <c r="B24" s="12">
        <f si="7" t="shared"/>
        <v>707.437806045309</v>
      </c>
      <c r="C24" s="12">
        <f si="7" t="shared"/>
        <v>0</v>
      </c>
      <c r="D24" s="12">
        <f si="7" t="shared"/>
        <v>0</v>
      </c>
      <c r="E24" s="12">
        <f si="7" t="shared"/>
        <v>0</v>
      </c>
      <c r="F24" s="12">
        <f si="7" t="shared"/>
        <v>3104.7789645453799</v>
      </c>
      <c r="G24" s="12">
        <f si="7" t="shared"/>
        <v>136.11656273869559</v>
      </c>
      <c r="H24" s="12">
        <f ref="H24" si="16" t="shared">($U11/$J11)*H11</f>
        <v>0</v>
      </c>
      <c r="I24" s="12"/>
      <c r="J24" s="12">
        <f si="9" t="shared"/>
        <v>3948.3333333293845</v>
      </c>
      <c r="K24" s="13"/>
      <c r="L24" t="str">
        <f>$A$11</f>
        <v>Seattle</v>
      </c>
      <c r="M24" s="12">
        <f ref="M24:S24" si="17" t="shared">M11</f>
        <v>1991.6666666646752</v>
      </c>
      <c r="N24" s="12">
        <f si="17" t="shared"/>
        <v>179.99999999982001</v>
      </c>
      <c r="O24" s="12">
        <f si="17" t="shared"/>
        <v>38.333333333295002</v>
      </c>
      <c r="P24" s="12">
        <f si="17" t="shared"/>
        <v>14.999999999985</v>
      </c>
      <c r="Q24" s="12">
        <f si="17" t="shared"/>
        <v>1663.33333333167</v>
      </c>
      <c r="R24" s="12">
        <f si="17" t="shared"/>
        <v>59.999999999940002</v>
      </c>
      <c r="S24" s="12">
        <f si="17" t="shared"/>
        <v>0</v>
      </c>
      <c r="T24" s="12"/>
      <c r="U24" s="12">
        <f ref="U24" si="18" t="shared">U11</f>
        <v>3948.3333333293849</v>
      </c>
    </row>
    <row r="25" spans="1:32" x14ac:dyDescent="0.25">
      <c r="A25" t="str">
        <f>$A$12</f>
        <v>Seattle Downtown</v>
      </c>
      <c r="B25" s="12">
        <f si="7" t="shared"/>
        <v>0</v>
      </c>
      <c r="C25" s="12">
        <f si="7" t="shared"/>
        <v>0</v>
      </c>
      <c r="D25" s="12">
        <f si="7" t="shared"/>
        <v>1028.9601474666265</v>
      </c>
      <c r="E25" s="12">
        <f si="7" t="shared"/>
        <v>0</v>
      </c>
      <c r="F25" s="12">
        <f si="7" t="shared"/>
        <v>0</v>
      </c>
      <c r="G25" s="12">
        <f si="7" t="shared"/>
        <v>2899.373185862778</v>
      </c>
      <c r="H25" s="12">
        <f ref="H25" si="19" t="shared">($U12/$J12)*H12</f>
        <v>0</v>
      </c>
      <c r="I25" s="12"/>
      <c r="J25" s="12">
        <f si="9" t="shared"/>
        <v>3928.3333333294045</v>
      </c>
      <c r="K25" s="13"/>
      <c r="L25" t="str">
        <f>$A$12</f>
        <v>Seattle Downtown</v>
      </c>
      <c r="M25" s="12">
        <f ref="M25:S26" si="20" t="shared">M12</f>
        <v>301.66666666636502</v>
      </c>
      <c r="N25" s="12">
        <f si="20" t="shared"/>
        <v>366.66666666629999</v>
      </c>
      <c r="O25" s="12">
        <f si="20" t="shared"/>
        <v>1384.9999999986151</v>
      </c>
      <c r="P25" s="12">
        <f si="20" t="shared"/>
        <v>4.9999999999950004</v>
      </c>
      <c r="Q25" s="12">
        <f si="20" t="shared"/>
        <v>83.33333333325001</v>
      </c>
      <c r="R25" s="12">
        <f si="20" t="shared"/>
        <v>1783.33333333155</v>
      </c>
      <c r="S25" s="12">
        <f si="20" t="shared"/>
        <v>3.3333333333300001</v>
      </c>
      <c r="T25" s="12"/>
      <c r="U25" s="12">
        <f ref="U25:U26" si="21" t="shared">U12</f>
        <v>3928.3333333294049</v>
      </c>
    </row>
    <row r="26" spans="1:32" x14ac:dyDescent="0.25">
      <c r="A26" t="str">
        <f>$A$13</f>
        <v>Rest</v>
      </c>
      <c r="B26" s="12">
        <f si="7" t="shared"/>
        <v>0</v>
      </c>
      <c r="C26" s="12">
        <f si="7" t="shared"/>
        <v>0</v>
      </c>
      <c r="D26" s="12">
        <f si="7" t="shared"/>
        <v>0</v>
      </c>
      <c r="E26" s="12">
        <f si="7" t="shared"/>
        <v>0</v>
      </c>
      <c r="F26" s="12">
        <f si="7" t="shared"/>
        <v>1651.6666666650153</v>
      </c>
      <c r="G26" s="12">
        <f si="7" t="shared"/>
        <v>0</v>
      </c>
      <c r="H26" s="12">
        <f ref="H26" si="22" t="shared">($U13/$J13)*H13</f>
        <v>0</v>
      </c>
      <c r="I26" s="12"/>
      <c r="J26" s="12">
        <f si="9" t="shared"/>
        <v>1651.6666666650153</v>
      </c>
      <c r="K26" s="13"/>
      <c r="L26" t="str">
        <f>$A$13</f>
        <v>Rest</v>
      </c>
      <c r="M26" s="12">
        <f si="20" t="shared"/>
        <v>91.666666666574997</v>
      </c>
      <c r="N26" s="12">
        <f si="20" t="shared"/>
        <v>211.666666666455</v>
      </c>
      <c r="O26" s="12">
        <f si="20" t="shared"/>
        <v>368.33333333296503</v>
      </c>
      <c r="P26" s="12">
        <f si="20" t="shared"/>
        <v>0</v>
      </c>
      <c r="Q26" s="12">
        <f si="20" t="shared"/>
        <v>6.6666666666600003</v>
      </c>
      <c r="R26" s="12">
        <f si="20" t="shared"/>
        <v>46.666666666620003</v>
      </c>
      <c r="S26" s="12">
        <f si="20" t="shared"/>
        <v>926.66666666574008</v>
      </c>
      <c r="T26" s="12"/>
      <c r="U26" s="12">
        <f si="21" t="shared"/>
        <v>1651.6666666650153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6">
        <f ref="B28:J28" si="23" t="shared">SUM(B20:B27)</f>
        <v>24381.344803910972</v>
      </c>
      <c r="C28" s="16">
        <f si="23" t="shared"/>
        <v>8977.9108251357356</v>
      </c>
      <c r="D28" s="16">
        <f si="23" t="shared"/>
        <v>9227.0065151576237</v>
      </c>
      <c r="E28" s="16">
        <f si="23" t="shared"/>
        <v>7910.9142653187828</v>
      </c>
      <c r="F28" s="16">
        <f si="23" t="shared"/>
        <v>4881.7044365165129</v>
      </c>
      <c r="G28" s="16">
        <f si="23" t="shared"/>
        <v>4487.7858205671728</v>
      </c>
      <c r="H28" s="16">
        <f si="23" t="shared"/>
        <v>0</v>
      </c>
      <c r="I28" s="16">
        <f si="23" t="shared"/>
        <v>0</v>
      </c>
      <c r="J28" s="16">
        <f si="23" t="shared"/>
        <v>59866.666666606798</v>
      </c>
      <c r="K28" s="12"/>
      <c r="L28" s="16" t="s">
        <v>4</v>
      </c>
      <c r="M28" s="16">
        <f ref="M28:U28" si="24" t="shared">M15</f>
        <v>27668.333333305662</v>
      </c>
      <c r="N28" s="16">
        <f si="24" t="shared"/>
        <v>9473.3333333238606</v>
      </c>
      <c r="O28" s="16">
        <f si="24" t="shared"/>
        <v>11643.333333321692</v>
      </c>
      <c r="P28" s="16">
        <f si="24" t="shared"/>
        <v>6028.3333333273058</v>
      </c>
      <c r="Q28" s="16">
        <f si="24" t="shared"/>
        <v>2096.6666666645701</v>
      </c>
      <c r="R28" s="16">
        <f si="24" t="shared"/>
        <v>2023.3333333313099</v>
      </c>
      <c r="S28" s="16">
        <f si="24" t="shared"/>
        <v>933.33333333240012</v>
      </c>
      <c r="T28" s="16"/>
      <c r="U28" s="16">
        <f si="24" t="shared"/>
        <v>59866.666666606805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7">
        <f ref="B33:G33" si="25" t="shared">B20/$J$28</f>
        <v>0.3604355433412097</v>
      </c>
      <c r="C33" s="17">
        <f si="25" t="shared"/>
        <v>0</v>
      </c>
      <c r="D33" s="17">
        <f si="25" t="shared"/>
        <v>0</v>
      </c>
      <c r="E33" s="17">
        <f si="25" t="shared"/>
        <v>0</v>
      </c>
      <c r="F33" s="17">
        <f si="25" t="shared"/>
        <v>2.0922963024428169E-3</v>
      </c>
      <c r="G33" s="17">
        <f si="25" t="shared"/>
        <v>0</v>
      </c>
      <c r="H33" s="17">
        <f ref="H33" si="26" t="shared">H20/$J$28</f>
        <v>0</v>
      </c>
      <c r="I33" s="12"/>
      <c r="J33" s="17">
        <f ref="J33:J39" si="27" t="shared">J20/$J$28</f>
        <v>0.36252783964365254</v>
      </c>
      <c r="K33" s="12"/>
      <c r="L33" t="str">
        <f>$A$7</f>
        <v>Bellevue</v>
      </c>
      <c r="M33" s="17">
        <f ref="M33:R33" si="28" t="shared">M20/$U$28</f>
        <v>0.3525612472160356</v>
      </c>
      <c r="N33" s="17">
        <f si="28" t="shared"/>
        <v>6.7650334075723823E-3</v>
      </c>
      <c r="O33" s="17">
        <f si="28" t="shared"/>
        <v>0</v>
      </c>
      <c r="P33" s="17">
        <f si="28" t="shared"/>
        <v>6.1247216035634742E-4</v>
      </c>
      <c r="Q33" s="17">
        <f si="28" t="shared"/>
        <v>2.4220489977728283E-3</v>
      </c>
      <c r="R33" s="17">
        <f si="28" t="shared"/>
        <v>1.6703786191536748E-4</v>
      </c>
      <c r="S33" s="17">
        <f ref="S33" si="29" t="shared">S20/$U$28</f>
        <v>0</v>
      </c>
      <c r="T33" s="17"/>
      <c r="U33" s="17">
        <f>U20/$U$28</f>
        <v>0.36252783964365254</v>
      </c>
      <c r="W33" t="str">
        <f>$A$7</f>
        <v>Bellevue</v>
      </c>
      <c r="X33" s="17">
        <f>M33-B33</f>
        <v>-7.8742961251740962E-3</v>
      </c>
      <c r="Y33" s="17">
        <f ref="Y33:Y35" si="30" t="shared">N33-C33</f>
        <v>6.7650334075723823E-3</v>
      </c>
      <c r="Z33" s="17">
        <f ref="Z33:Z35" si="31" t="shared">O33-D33</f>
        <v>0</v>
      </c>
      <c r="AA33" s="17">
        <f ref="AA33" si="32" t="shared">P33-E33</f>
        <v>6.1247216035634742E-4</v>
      </c>
      <c r="AB33" s="17">
        <f ref="AB33" si="33" t="shared">Q33-F33</f>
        <v>3.2975269533001145E-4</v>
      </c>
      <c r="AC33" s="17">
        <f ref="AC33:AD33" si="34" t="shared">R33-G33</f>
        <v>1.6703786191536748E-4</v>
      </c>
      <c r="AD33" s="17">
        <f si="34" t="shared"/>
        <v>0</v>
      </c>
      <c r="AE33" s="17"/>
      <c r="AF33" s="17">
        <f ref="AF33:AF39" si="35" t="shared">U33-J33</f>
        <v>0</v>
      </c>
    </row>
    <row r="34" spans="1:32" x14ac:dyDescent="0.25">
      <c r="A34" t="str">
        <f>$A$8</f>
        <v>Bellevue Downtown</v>
      </c>
      <c r="B34" s="17">
        <f ref="B34:G39" si="36" t="shared">B21/$J$28</f>
        <v>3.3337748176232801E-3</v>
      </c>
      <c r="C34" s="17">
        <f si="36" t="shared"/>
        <v>0.1484232308028656</v>
      </c>
      <c r="D34" s="17">
        <f si="36" t="shared"/>
        <v>0</v>
      </c>
      <c r="E34" s="17">
        <f si="36" t="shared"/>
        <v>1.1299787252562374E-2</v>
      </c>
      <c r="F34" s="17">
        <f si="36" t="shared"/>
        <v>0</v>
      </c>
      <c r="G34" s="17">
        <f si="36" t="shared"/>
        <v>0</v>
      </c>
      <c r="H34" s="17">
        <f ref="H34" si="37" t="shared">H21/$J$28</f>
        <v>0</v>
      </c>
      <c r="I34" s="12"/>
      <c r="J34" s="17">
        <f si="27" t="shared"/>
        <v>0.16305679287305125</v>
      </c>
      <c r="K34" s="12"/>
      <c r="L34" t="str">
        <f>$A$8</f>
        <v>Bellevue Downtown</v>
      </c>
      <c r="M34" s="17">
        <f ref="M34:R36" si="38" t="shared">M21/$U$28</f>
        <v>2.4860801781737194E-2</v>
      </c>
      <c r="N34" s="17">
        <f si="38" t="shared"/>
        <v>0.13674832962138084</v>
      </c>
      <c r="O34" s="17">
        <f si="38" t="shared"/>
        <v>2.5055679287305121E-4</v>
      </c>
      <c r="P34" s="17">
        <f si="38" t="shared"/>
        <v>1.1135857461024498E-4</v>
      </c>
      <c r="Q34" s="17">
        <f si="38" t="shared"/>
        <v>5.5679287305122492E-4</v>
      </c>
      <c r="R34" s="17">
        <f si="38" t="shared"/>
        <v>5.2895322939866367E-4</v>
      </c>
      <c r="S34" s="17">
        <f ref="S34" si="39" t="shared">S21/$U$28</f>
        <v>0</v>
      </c>
      <c r="T34" s="17"/>
      <c r="U34" s="17">
        <f>U21/$U$28</f>
        <v>0.16305679287305122</v>
      </c>
      <c r="W34" t="str">
        <f>$A$8</f>
        <v>Bellevue Downtown</v>
      </c>
      <c r="X34" s="17">
        <f ref="X34:X35" si="40" t="shared">M34-B34</f>
        <v>2.1527026964113915E-2</v>
      </c>
      <c r="Y34" s="17">
        <f si="30" t="shared"/>
        <v>-1.1674901181484759E-2</v>
      </c>
      <c r="Z34" s="17">
        <f si="31" t="shared"/>
        <v>2.5055679287305121E-4</v>
      </c>
      <c r="AA34" s="17">
        <f ref="AA34:AA38" si="41" t="shared">P34-E34</f>
        <v>-1.1188428677952129E-2</v>
      </c>
      <c r="AB34" s="17">
        <f ref="AB34:AB38" si="42" t="shared">Q34-F34</f>
        <v>5.5679287305122492E-4</v>
      </c>
      <c r="AC34" s="17">
        <f ref="AC34:AD38" si="43" t="shared">R34-G34</f>
        <v>5.2895322939866367E-4</v>
      </c>
      <c r="AD34" s="17">
        <f si="43" t="shared"/>
        <v>0</v>
      </c>
      <c r="AE34" s="17"/>
      <c r="AF34" s="17">
        <f si="35" t="shared"/>
        <v>0</v>
      </c>
    </row>
    <row r="35" spans="1:32" x14ac:dyDescent="0.25">
      <c r="A35" t="str">
        <f>$A$9</f>
        <v>Kirkland</v>
      </c>
      <c r="B35" s="17">
        <f si="36" t="shared"/>
        <v>3.547062682413637E-3</v>
      </c>
      <c r="C35" s="17">
        <f si="36" t="shared"/>
        <v>1.5418720670349463E-3</v>
      </c>
      <c r="D35" s="17">
        <f si="36" t="shared"/>
        <v>0.13693841371435181</v>
      </c>
      <c r="E35" s="17">
        <f si="36" t="shared"/>
        <v>0</v>
      </c>
      <c r="F35" s="17">
        <f si="36" t="shared"/>
        <v>0</v>
      </c>
      <c r="G35" s="17">
        <f si="36" t="shared"/>
        <v>2.4258843072947973E-2</v>
      </c>
      <c r="H35" s="17">
        <f ref="H35" si="44" t="shared">H22/$J$28</f>
        <v>0</v>
      </c>
      <c r="I35" s="12"/>
      <c r="J35" s="17">
        <f si="27" t="shared"/>
        <v>0.1662861915367484</v>
      </c>
      <c r="K35" s="13"/>
      <c r="L35" t="str">
        <f>$A$9</f>
        <v>Kirkland</v>
      </c>
      <c r="M35" s="17">
        <f si="38" t="shared"/>
        <v>2.7839643652561246E-4</v>
      </c>
      <c r="N35" s="17">
        <f si="38" t="shared"/>
        <v>3.8975501113585747E-4</v>
      </c>
      <c r="O35" s="17">
        <f si="38" t="shared"/>
        <v>0.16419821826280623</v>
      </c>
      <c r="P35" s="17">
        <f si="38" t="shared"/>
        <v>0</v>
      </c>
      <c r="Q35" s="17">
        <f si="38" t="shared"/>
        <v>1.9487750556792873E-4</v>
      </c>
      <c r="R35" s="17">
        <f si="38" t="shared"/>
        <v>1.1692650334075723E-3</v>
      </c>
      <c r="S35" s="17">
        <f ref="S35" si="45" t="shared">S22/$U$28</f>
        <v>5.5679287305122489E-5</v>
      </c>
      <c r="T35" s="17"/>
      <c r="U35" s="17">
        <f>U22/$U$28</f>
        <v>0.16628619153674834</v>
      </c>
      <c r="W35" t="str">
        <f>$A$9</f>
        <v>Kirkland</v>
      </c>
      <c r="X35" s="17">
        <f si="40" t="shared"/>
        <v>-3.2686662458880247E-3</v>
      </c>
      <c r="Y35" s="17">
        <f si="30" t="shared"/>
        <v>-1.1521170558990888E-3</v>
      </c>
      <c r="Z35" s="17">
        <f si="31" t="shared"/>
        <v>2.7259804548454419E-2</v>
      </c>
      <c r="AA35" s="17">
        <f si="41" t="shared"/>
        <v>0</v>
      </c>
      <c r="AB35" s="17">
        <f si="42" t="shared"/>
        <v>1.9487750556792873E-4</v>
      </c>
      <c r="AC35" s="17">
        <f si="43" t="shared"/>
        <v>-2.3089578039540402E-2</v>
      </c>
      <c r="AD35" s="17">
        <f si="43" t="shared"/>
        <v>5.5679287305122489E-5</v>
      </c>
      <c r="AE35" s="17"/>
      <c r="AF35" s="17">
        <f si="35" t="shared"/>
        <v>0</v>
      </c>
    </row>
    <row r="36" spans="1:32" x14ac:dyDescent="0.25">
      <c r="A36" t="str">
        <f>$A$10</f>
        <v>Redmond</v>
      </c>
      <c r="B36" s="17">
        <f si="36" t="shared"/>
        <v>2.8127499969822476E-2</v>
      </c>
      <c r="C36" s="17">
        <f si="36" t="shared"/>
        <v>0</v>
      </c>
      <c r="D36" s="17">
        <f si="36" t="shared"/>
        <v>0</v>
      </c>
      <c r="E36" s="17">
        <f si="36" t="shared"/>
        <v>0.12084243321503274</v>
      </c>
      <c r="F36" s="17">
        <f si="36" t="shared"/>
        <v>0</v>
      </c>
      <c r="G36" s="17">
        <f si="36" t="shared"/>
        <v>0</v>
      </c>
      <c r="H36" s="17">
        <f ref="H36" si="46" t="shared">H23/$J$28</f>
        <v>0</v>
      </c>
      <c r="I36" s="12"/>
      <c r="J36" s="17">
        <f si="27" t="shared"/>
        <v>0.14896993318485521</v>
      </c>
      <c r="K36" s="13"/>
      <c r="L36" t="str">
        <f>$A$10</f>
        <v>Redmond</v>
      </c>
      <c r="M36" s="17">
        <f si="38" t="shared"/>
        <v>4.4626948775055679E-2</v>
      </c>
      <c r="N36" s="17">
        <f si="38" t="shared"/>
        <v>1.6703786191536747E-3</v>
      </c>
      <c r="O36" s="17">
        <f si="38" t="shared"/>
        <v>1.1135857461024498E-4</v>
      </c>
      <c r="P36" s="17">
        <f si="38" t="shared"/>
        <v>9.9638084632516694E-2</v>
      </c>
      <c r="Q36" s="17">
        <f si="38" t="shared"/>
        <v>2.5612472160356347E-3</v>
      </c>
      <c r="R36" s="17">
        <f si="38" t="shared"/>
        <v>3.6191536748329616E-4</v>
      </c>
      <c r="S36" s="17">
        <f ref="S36" si="47" t="shared">S23/$U$28</f>
        <v>0</v>
      </c>
      <c r="T36" s="17"/>
      <c r="U36" s="17">
        <f ref="U36" si="48" t="shared">U23/$U$28</f>
        <v>0.14896993318485519</v>
      </c>
      <c r="W36" t="str">
        <f>$A$10</f>
        <v>Redmond</v>
      </c>
      <c r="X36" s="17">
        <f ref="X36:X38" si="49" t="shared">M36-B36</f>
        <v>1.6499448805233203E-2</v>
      </c>
      <c r="Y36" s="17">
        <f ref="Y36:Y38" si="50" t="shared">N36-C36</f>
        <v>1.6703786191536747E-3</v>
      </c>
      <c r="Z36" s="17">
        <f ref="Z36:Z38" si="51" t="shared">O36-D36</f>
        <v>1.1135857461024498E-4</v>
      </c>
      <c r="AA36" s="17">
        <f si="41" t="shared"/>
        <v>-2.1204348582516047E-2</v>
      </c>
      <c r="AB36" s="17">
        <f si="42" t="shared"/>
        <v>2.5612472160356347E-3</v>
      </c>
      <c r="AC36" s="17">
        <f si="43" t="shared"/>
        <v>3.6191536748329616E-4</v>
      </c>
      <c r="AD36" s="17">
        <f si="43" t="shared"/>
        <v>0</v>
      </c>
      <c r="AE36" s="17"/>
      <c r="AF36" s="17">
        <f si="35" t="shared"/>
        <v>0</v>
      </c>
    </row>
    <row r="37" spans="1:32" x14ac:dyDescent="0.25">
      <c r="A37" t="str">
        <f>$A$11</f>
        <v>Seattle</v>
      </c>
      <c r="B37" s="17">
        <f si="36" t="shared"/>
        <v>1.1816889856002502E-2</v>
      </c>
      <c r="C37" s="17">
        <f si="36" t="shared"/>
        <v>0</v>
      </c>
      <c r="D37" s="17">
        <f si="36" t="shared"/>
        <v>0</v>
      </c>
      <c r="E37" s="17">
        <f si="36" t="shared"/>
        <v>0</v>
      </c>
      <c r="F37" s="17">
        <f si="36" t="shared"/>
        <v>5.1861563995798741E-2</v>
      </c>
      <c r="G37" s="17">
        <f si="36" t="shared"/>
        <v>2.2736619611163425E-3</v>
      </c>
      <c r="H37" s="17">
        <f ref="H37" si="52" t="shared">H24/$J$28</f>
        <v>0</v>
      </c>
      <c r="I37" s="12"/>
      <c r="J37" s="17">
        <f si="27" t="shared"/>
        <v>6.5952115812917586E-2</v>
      </c>
      <c r="K37" s="13"/>
      <c r="L37" t="str">
        <f>$A$11</f>
        <v>Seattle</v>
      </c>
      <c r="M37" s="17">
        <f ref="M37:N39" si="53" t="shared">M24/$U$28</f>
        <v>3.3268374164810689E-2</v>
      </c>
      <c r="N37" s="17">
        <f si="53" t="shared"/>
        <v>3.0066815144766147E-3</v>
      </c>
      <c r="O37" s="17">
        <f ref="O37:R37" si="54" t="shared">O24/$U$28</f>
        <v>6.4031180400890867E-4</v>
      </c>
      <c r="P37" s="17">
        <f si="54" t="shared"/>
        <v>2.5055679287305121E-4</v>
      </c>
      <c r="Q37" s="17">
        <f si="54" t="shared"/>
        <v>2.7783964365256122E-2</v>
      </c>
      <c r="R37" s="17">
        <f si="54" t="shared"/>
        <v>1.0022271714922048E-3</v>
      </c>
      <c r="S37" s="17">
        <f ref="S37" si="55" t="shared">S24/$U$28</f>
        <v>0</v>
      </c>
      <c r="T37" s="17"/>
      <c r="U37" s="17">
        <f ref="U37" si="56" t="shared">U24/$U$28</f>
        <v>6.5952115812917586E-2</v>
      </c>
      <c r="W37" t="str">
        <f>$A$11</f>
        <v>Seattle</v>
      </c>
      <c r="X37" s="17">
        <f si="49" t="shared"/>
        <v>2.1451484308808187E-2</v>
      </c>
      <c r="Y37" s="17">
        <f si="50" t="shared"/>
        <v>3.0066815144766147E-3</v>
      </c>
      <c r="Z37" s="17">
        <f si="51" t="shared"/>
        <v>6.4031180400890867E-4</v>
      </c>
      <c r="AA37" s="17">
        <f si="41" t="shared"/>
        <v>2.5055679287305121E-4</v>
      </c>
      <c r="AB37" s="17">
        <f si="42" t="shared"/>
        <v>-2.407759963054262E-2</v>
      </c>
      <c r="AC37" s="17">
        <f si="43" t="shared"/>
        <v>-1.2714347896241377E-3</v>
      </c>
      <c r="AD37" s="17">
        <f si="43" t="shared"/>
        <v>0</v>
      </c>
      <c r="AE37" s="17"/>
      <c r="AF37" s="17">
        <f si="35" t="shared"/>
        <v>0</v>
      </c>
    </row>
    <row r="38" spans="1:32" x14ac:dyDescent="0.25">
      <c r="A38" t="str">
        <f>$A$12</f>
        <v>Seattle Downtown</v>
      </c>
      <c r="B38" s="17">
        <f si="36" t="shared"/>
        <v>0</v>
      </c>
      <c r="C38" s="17">
        <f si="36" t="shared"/>
        <v>0</v>
      </c>
      <c r="D38" s="17">
        <f si="36" t="shared"/>
        <v>1.7187530302911841E-2</v>
      </c>
      <c r="E38" s="17">
        <f si="36" t="shared"/>
        <v>0</v>
      </c>
      <c r="F38" s="17">
        <f si="36" t="shared"/>
        <v>0</v>
      </c>
      <c r="G38" s="17">
        <f si="36" t="shared"/>
        <v>4.8430509786175011E-2</v>
      </c>
      <c r="H38" s="17">
        <f ref="H38" si="57" t="shared">H25/$J$28</f>
        <v>0</v>
      </c>
      <c r="I38" s="12"/>
      <c r="J38" s="17">
        <f si="27" t="shared"/>
        <v>6.5618040089086851E-2</v>
      </c>
      <c r="K38" s="13"/>
      <c r="L38" t="str">
        <f>$A$12</f>
        <v>Seattle Downtown</v>
      </c>
      <c r="M38" s="17">
        <f si="53" t="shared"/>
        <v>5.0389755011135857E-3</v>
      </c>
      <c r="N38" s="17">
        <f si="53" t="shared"/>
        <v>6.124721603563474E-3</v>
      </c>
      <c r="O38" s="17">
        <f ref="O38:R39" si="58" t="shared">O25/$U$28</f>
        <v>2.3134743875278394E-2</v>
      </c>
      <c r="P38" s="17">
        <f si="58" t="shared"/>
        <v>8.3518930957683741E-5</v>
      </c>
      <c r="Q38" s="17">
        <f si="58" t="shared"/>
        <v>1.3919821826280624E-3</v>
      </c>
      <c r="R38" s="17">
        <f si="58" t="shared"/>
        <v>2.9788418708240533E-2</v>
      </c>
      <c r="S38" s="17">
        <f ref="S38" si="59" t="shared">S25/$U$28</f>
        <v>5.5679287305122489E-5</v>
      </c>
      <c r="T38" s="17"/>
      <c r="U38" s="17">
        <f ref="U38:U39" si="60" t="shared">U25/$U$28</f>
        <v>6.5618040089086851E-2</v>
      </c>
      <c r="W38" t="str">
        <f>$A$12</f>
        <v>Seattle Downtown</v>
      </c>
      <c r="X38" s="17">
        <f si="49" t="shared"/>
        <v>5.0389755011135857E-3</v>
      </c>
      <c r="Y38" s="17">
        <f si="50" t="shared"/>
        <v>6.124721603563474E-3</v>
      </c>
      <c r="Z38" s="17">
        <f si="51" t="shared"/>
        <v>5.9472135723665533E-3</v>
      </c>
      <c r="AA38" s="17">
        <f si="41" t="shared"/>
        <v>8.3518930957683741E-5</v>
      </c>
      <c r="AB38" s="17">
        <f si="42" t="shared"/>
        <v>1.3919821826280624E-3</v>
      </c>
      <c r="AC38" s="17">
        <f si="43" t="shared"/>
        <v>-1.8642091077934478E-2</v>
      </c>
      <c r="AD38" s="17">
        <f si="43" t="shared"/>
        <v>5.5679287305122489E-5</v>
      </c>
      <c r="AE38" s="17"/>
      <c r="AF38" s="17">
        <f si="35" t="shared"/>
        <v>0</v>
      </c>
    </row>
    <row r="39" spans="1:32" x14ac:dyDescent="0.25">
      <c r="A39" t="str">
        <f>$A$13</f>
        <v>Rest</v>
      </c>
      <c r="B39" s="17">
        <f si="36" t="shared"/>
        <v>0</v>
      </c>
      <c r="C39" s="17">
        <f si="36" t="shared"/>
        <v>0</v>
      </c>
      <c r="D39" s="17">
        <f si="36" t="shared"/>
        <v>0</v>
      </c>
      <c r="E39" s="17">
        <f si="36" t="shared"/>
        <v>0</v>
      </c>
      <c r="F39" s="17">
        <f si="36" t="shared"/>
        <v>2.7589086859688201E-2</v>
      </c>
      <c r="G39" s="17">
        <f si="36" t="shared"/>
        <v>0</v>
      </c>
      <c r="H39" s="17">
        <f ref="H39" si="61" t="shared">H26/$J$28</f>
        <v>0</v>
      </c>
      <c r="I39" s="12"/>
      <c r="J39" s="17">
        <f si="27" t="shared"/>
        <v>2.7589086859688201E-2</v>
      </c>
      <c r="K39" s="13"/>
      <c r="L39" t="str">
        <f>$A$13</f>
        <v>Rest</v>
      </c>
      <c r="M39" s="17">
        <f si="53" t="shared"/>
        <v>1.5311804008908685E-3</v>
      </c>
      <c r="N39" s="17">
        <f si="53" t="shared"/>
        <v>3.535634743875278E-3</v>
      </c>
      <c r="O39" s="17">
        <f si="58" t="shared"/>
        <v>6.1525612472160358E-3</v>
      </c>
      <c r="P39" s="17">
        <f si="58" t="shared"/>
        <v>0</v>
      </c>
      <c r="Q39" s="17">
        <f si="58" t="shared"/>
        <v>1.1135857461024498E-4</v>
      </c>
      <c r="R39" s="17">
        <f si="58" t="shared"/>
        <v>7.7951002227171493E-4</v>
      </c>
      <c r="S39" s="17">
        <f ref="S39" si="62" t="shared">S26/$U$28</f>
        <v>1.5478841870824054E-2</v>
      </c>
      <c r="T39" s="17"/>
      <c r="U39" s="17">
        <f si="60" t="shared"/>
        <v>2.7589086859688198E-2</v>
      </c>
      <c r="W39" t="str">
        <f>$A$13</f>
        <v>Rest</v>
      </c>
      <c r="X39" s="17">
        <f ref="X39" si="63" t="shared">M39-B39</f>
        <v>1.5311804008908685E-3</v>
      </c>
      <c r="Y39" s="17">
        <f ref="Y39" si="64" t="shared">N39-C39</f>
        <v>3.535634743875278E-3</v>
      </c>
      <c r="Z39" s="17">
        <f ref="Z39" si="65" t="shared">O39-D39</f>
        <v>6.1525612472160358E-3</v>
      </c>
      <c r="AA39" s="17">
        <f ref="AA39" si="66" t="shared">P39-E39</f>
        <v>0</v>
      </c>
      <c r="AB39" s="17">
        <f ref="AB39" si="67" t="shared">Q39-F39</f>
        <v>-2.7477728285077958E-2</v>
      </c>
      <c r="AC39" s="17">
        <f ref="AC39:AD39" si="68" t="shared">R39-G39</f>
        <v>7.7951002227171493E-4</v>
      </c>
      <c r="AD39" s="17">
        <f si="68" t="shared"/>
        <v>1.5478841870824054E-2</v>
      </c>
      <c r="AE39" s="17"/>
      <c r="AF39" s="17">
        <f si="35" t="shared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H41" si="69" t="shared">B28/$J$28</f>
        <v>0.40726077066707161</v>
      </c>
      <c r="C41" s="19">
        <f si="69" t="shared"/>
        <v>0.14996510286990056</v>
      </c>
      <c r="D41" s="19">
        <f si="69" t="shared"/>
        <v>0.15412594401726365</v>
      </c>
      <c r="E41" s="19">
        <f si="69" t="shared"/>
        <v>0.13214222046759511</v>
      </c>
      <c r="F41" s="19">
        <f si="69" t="shared"/>
        <v>8.1542947157929757E-2</v>
      </c>
      <c r="G41" s="19">
        <f si="69" t="shared"/>
        <v>7.4963014820239315E-2</v>
      </c>
      <c r="H41" s="19">
        <f si="69" t="shared"/>
        <v>0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0.46216592427616915</v>
      </c>
      <c r="N41" s="19">
        <f>N28/$U$28</f>
        <v>0.15824053452115813</v>
      </c>
      <c r="O41" s="19">
        <f>O28/$U$28</f>
        <v>0.1944877505567929</v>
      </c>
      <c r="P41" s="19">
        <f>P28/$U$28</f>
        <v>0.10069599109131404</v>
      </c>
      <c r="Q41" s="19">
        <f ref="Q41:S41" si="70" t="shared">Q28/$U$28</f>
        <v>3.5022271714922046E-2</v>
      </c>
      <c r="R41" s="19">
        <f si="70" t="shared"/>
        <v>3.3797327394209348E-2</v>
      </c>
      <c r="S41" s="19">
        <f si="70" t="shared"/>
        <v>1.5590200445434299E-2</v>
      </c>
      <c r="T41" s="19">
        <f>T28/$U$28</f>
        <v>0</v>
      </c>
      <c r="U41" s="19">
        <f>U28/$U$28</f>
        <v>1</v>
      </c>
      <c r="W41" s="16" t="s">
        <v>4</v>
      </c>
      <c r="X41" s="19">
        <f ref="X41:AF41" si="71" t="shared">M41-B41</f>
        <v>5.4905153609097535E-2</v>
      </c>
      <c r="Y41" s="19">
        <f si="71" t="shared"/>
        <v>8.2754316512575754E-3</v>
      </c>
      <c r="Z41" s="19">
        <f si="71" t="shared"/>
        <v>4.0361806539529255E-2</v>
      </c>
      <c r="AA41" s="19">
        <f si="71" t="shared"/>
        <v>-3.1446229376281068E-2</v>
      </c>
      <c r="AB41" s="19">
        <f si="71" t="shared"/>
        <v>-4.6520675443007711E-2</v>
      </c>
      <c r="AC41" s="19">
        <f si="71" t="shared"/>
        <v>-4.1165687426029968E-2</v>
      </c>
      <c r="AD41" s="19">
        <f si="71" t="shared"/>
        <v>1.5590200445434299E-2</v>
      </c>
      <c r="AE41" s="19">
        <f si="71" t="shared"/>
        <v>0</v>
      </c>
      <c r="AF41" s="19">
        <f si="71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246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17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42</v>
      </c>
    </row>
    <row r="2" spans="1:4" x14ac:dyDescent="0.25">
      <c r="A2" t="s">
        <v>259</v>
      </c>
      <c r="B2" t="s">
        <v>260</v>
      </c>
      <c r="C2" t="s">
        <v>91</v>
      </c>
      <c r="D2" t="s">
        <v>261</v>
      </c>
    </row>
    <row r="3" spans="1:4" x14ac:dyDescent="0.25">
      <c r="A3">
        <v>1</v>
      </c>
      <c r="B3" t="s">
        <v>45</v>
      </c>
      <c r="C3" t="s">
        <v>262</v>
      </c>
      <c r="D3" t="s">
        <v>46</v>
      </c>
    </row>
    <row r="4" spans="1:4" x14ac:dyDescent="0.25">
      <c r="A4">
        <v>2</v>
      </c>
      <c r="B4" t="s">
        <v>48</v>
      </c>
      <c r="C4" t="s">
        <v>262</v>
      </c>
      <c r="D4" t="s">
        <v>49</v>
      </c>
    </row>
    <row r="5" spans="1:4" x14ac:dyDescent="0.25">
      <c r="A5">
        <v>3</v>
      </c>
      <c r="B5" t="s">
        <v>51</v>
      </c>
      <c r="C5" t="s">
        <v>262</v>
      </c>
      <c r="D5" t="s">
        <v>52</v>
      </c>
    </row>
    <row r="6" spans="1:4" x14ac:dyDescent="0.25">
      <c r="A6">
        <v>4</v>
      </c>
      <c r="B6" t="s">
        <v>54</v>
      </c>
      <c r="C6" t="s">
        <v>262</v>
      </c>
      <c r="D6" t="s">
        <v>55</v>
      </c>
    </row>
    <row r="7" spans="1:4" x14ac:dyDescent="0.25">
      <c r="A7">
        <v>5</v>
      </c>
      <c r="B7" t="s">
        <v>57</v>
      </c>
      <c r="C7" t="s">
        <v>262</v>
      </c>
      <c r="D7" t="s">
        <v>58</v>
      </c>
    </row>
    <row r="8" spans="1:4" x14ac:dyDescent="0.25">
      <c r="A8">
        <v>6</v>
      </c>
      <c r="B8" t="s">
        <v>59</v>
      </c>
      <c r="C8" t="s">
        <v>262</v>
      </c>
      <c r="D8" t="s">
        <v>60</v>
      </c>
    </row>
    <row r="9" spans="1:4" x14ac:dyDescent="0.25">
      <c r="A9">
        <v>7</v>
      </c>
      <c r="B9" t="s">
        <v>61</v>
      </c>
      <c r="C9" t="s">
        <v>262</v>
      </c>
      <c r="D9" t="s">
        <v>62</v>
      </c>
    </row>
    <row r="10" spans="1:4" x14ac:dyDescent="0.25">
      <c r="A10">
        <v>8</v>
      </c>
      <c r="B10" t="s">
        <v>64</v>
      </c>
      <c r="C10" t="s">
        <v>262</v>
      </c>
      <c r="D10" t="s">
        <v>65</v>
      </c>
    </row>
    <row r="11" spans="1:4" x14ac:dyDescent="0.25">
      <c r="A11">
        <v>9</v>
      </c>
      <c r="B11" t="s">
        <v>66</v>
      </c>
      <c r="C11" t="s">
        <v>262</v>
      </c>
      <c r="D11" t="s">
        <v>67</v>
      </c>
    </row>
    <row r="12" spans="1:4" x14ac:dyDescent="0.25">
      <c r="A12">
        <v>10</v>
      </c>
      <c r="B12" t="s">
        <v>68</v>
      </c>
      <c r="C12" t="s">
        <v>262</v>
      </c>
      <c r="D12" t="s">
        <v>69</v>
      </c>
    </row>
    <row r="13" spans="1:4" x14ac:dyDescent="0.25">
      <c r="A13">
        <v>11</v>
      </c>
      <c r="B13" t="s">
        <v>70</v>
      </c>
      <c r="C13" t="s">
        <v>262</v>
      </c>
      <c r="D13" t="s">
        <v>71</v>
      </c>
    </row>
    <row r="14" spans="1:4" x14ac:dyDescent="0.25">
      <c r="A14">
        <v>12</v>
      </c>
      <c r="B14" t="s">
        <v>72</v>
      </c>
      <c r="C14" t="s">
        <v>262</v>
      </c>
      <c r="D14" t="s">
        <v>73</v>
      </c>
    </row>
    <row r="15" spans="1:4" x14ac:dyDescent="0.25">
      <c r="A15">
        <v>13</v>
      </c>
      <c r="B15" t="s">
        <v>74</v>
      </c>
      <c r="C15" t="s">
        <v>262</v>
      </c>
      <c r="D15" t="s">
        <v>75</v>
      </c>
    </row>
    <row r="16" spans="1:4" x14ac:dyDescent="0.25">
      <c r="A16">
        <v>14</v>
      </c>
      <c r="B16" t="s">
        <v>76</v>
      </c>
      <c r="C16" t="s">
        <v>262</v>
      </c>
      <c r="D16" t="s">
        <v>77</v>
      </c>
    </row>
    <row r="17" spans="1:4" x14ac:dyDescent="0.25">
      <c r="A17">
        <v>15</v>
      </c>
      <c r="B17" t="s">
        <v>78</v>
      </c>
      <c r="C17" t="s">
        <v>262</v>
      </c>
      <c r="D17" t="s">
        <v>79</v>
      </c>
    </row>
    <row r="18" spans="1:4" x14ac:dyDescent="0.25">
      <c r="A18">
        <v>16</v>
      </c>
      <c r="B18" t="s">
        <v>80</v>
      </c>
      <c r="C18" t="s">
        <v>262</v>
      </c>
      <c r="D18" t="s">
        <v>81</v>
      </c>
    </row>
    <row r="19" spans="1:4" x14ac:dyDescent="0.25">
      <c r="A19">
        <v>17</v>
      </c>
      <c r="B19" t="s">
        <v>83</v>
      </c>
      <c r="C19" t="s">
        <v>262</v>
      </c>
      <c r="D19" t="s">
        <v>84</v>
      </c>
    </row>
    <row r="20" spans="1:4" x14ac:dyDescent="0.25">
      <c r="A20">
        <v>18</v>
      </c>
      <c r="B20" t="s">
        <v>86</v>
      </c>
      <c r="C20" t="s">
        <v>262</v>
      </c>
      <c r="D20" t="s">
        <v>87</v>
      </c>
    </row>
    <row r="21" spans="1:4" x14ac:dyDescent="0.25">
      <c r="A21">
        <v>19</v>
      </c>
      <c r="B21" t="s">
        <v>89</v>
      </c>
      <c r="C21" t="s">
        <v>262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263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19"/>
    </sheetView>
  </sheetViews>
  <sheetFormatPr defaultRowHeight="15" x14ac:dyDescent="0.25"/>
  <sheetData>
    <row r="1" spans="1:11" x14ac:dyDescent="0.2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2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A8" t="s">
        <v>232</v>
      </c>
      <c r="B8" t="s">
        <v>233</v>
      </c>
      <c r="C8" t="s">
        <v>234</v>
      </c>
      <c r="D8" t="s">
        <v>281</v>
      </c>
      <c r="E8" t="s">
        <v>282</v>
      </c>
      <c r="F8" t="s">
        <v>283</v>
      </c>
      <c r="G8" t="s">
        <v>284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0.91831018518518526</v>
      </c>
      <c r="G9" t="s">
        <v>239</v>
      </c>
      <c r="H9">
        <v>30</v>
      </c>
      <c r="I9" t="s">
        <v>285</v>
      </c>
      <c r="J9">
        <v>20</v>
      </c>
    </row>
    <row r="10" spans="1:11" x14ac:dyDescent="0.25">
      <c r="A10" t="s">
        <v>240</v>
      </c>
    </row>
    <row r="11" spans="1:11" x14ac:dyDescent="0.25">
      <c r="B11">
        <v>1</v>
      </c>
      <c r="C11" t="s">
        <v>286</v>
      </c>
      <c r="D11" t="s">
        <v>241</v>
      </c>
      <c r="E11">
        <v>1</v>
      </c>
      <c r="F11">
        <v>1</v>
      </c>
    </row>
    <row r="12" spans="1:11" x14ac:dyDescent="0.25">
      <c r="B12">
        <v>2</v>
      </c>
      <c r="C12" t="s">
        <v>287</v>
      </c>
      <c r="D12" t="s">
        <v>242</v>
      </c>
      <c r="E12">
        <v>14.842474747500001</v>
      </c>
      <c r="F12">
        <v>1.83835803238</v>
      </c>
    </row>
    <row r="13" spans="1:11" x14ac:dyDescent="0.25">
      <c r="B13">
        <v>3</v>
      </c>
      <c r="C13" t="s">
        <v>288</v>
      </c>
      <c r="D13" t="s">
        <v>242</v>
      </c>
      <c r="E13" s="425">
        <v>5.2231850982500001E-2</v>
      </c>
      <c r="F13">
        <v>0.20210412377100001</v>
      </c>
    </row>
    <row r="14" spans="1:11" x14ac:dyDescent="0.25">
      <c r="B14">
        <v>4</v>
      </c>
      <c r="C14" t="s">
        <v>289</v>
      </c>
      <c r="D14" t="s">
        <v>242</v>
      </c>
      <c r="E14" s="425">
        <v>-0.28042629390099999</v>
      </c>
      <c r="F14">
        <v>0.214012249288</v>
      </c>
    </row>
    <row r="15" spans="1:11" x14ac:dyDescent="0.25">
      <c r="B15">
        <v>5</v>
      </c>
      <c r="C15" t="s">
        <v>290</v>
      </c>
      <c r="D15" t="s">
        <v>242</v>
      </c>
      <c r="E15" s="425">
        <v>3.8864252169499999E-2</v>
      </c>
      <c r="F15">
        <v>0.22261163226899999</v>
      </c>
    </row>
    <row r="16" spans="1:11" x14ac:dyDescent="0.25">
      <c r="B16">
        <v>6</v>
      </c>
      <c r="C16" t="s">
        <v>291</v>
      </c>
      <c r="D16" t="s">
        <v>242</v>
      </c>
      <c r="E16" s="425">
        <v>-5.4105027761100002E-2</v>
      </c>
      <c r="F16" s="425">
        <v>9.1881732487999995E-2</v>
      </c>
    </row>
    <row r="17" spans="2:6" x14ac:dyDescent="0.25">
      <c r="B17">
        <v>7</v>
      </c>
      <c r="C17" t="s">
        <v>292</v>
      </c>
      <c r="D17" t="s">
        <v>242</v>
      </c>
      <c r="E17">
        <v>-1.2443107654000001</v>
      </c>
      <c r="F17">
        <v>0.19943151784099999</v>
      </c>
    </row>
    <row r="18" spans="2:6" x14ac:dyDescent="0.25">
      <c r="B18">
        <v>8</v>
      </c>
      <c r="C18" t="s">
        <v>293</v>
      </c>
      <c r="D18" t="s">
        <v>242</v>
      </c>
      <c r="E18" s="425">
        <v>0.41298170440800003</v>
      </c>
      <c r="F18">
        <v>0.14496922102199999</v>
      </c>
    </row>
    <row r="19" spans="2:6" x14ac:dyDescent="0.25">
      <c r="B19">
        <v>9</v>
      </c>
      <c r="C19" t="s">
        <v>294</v>
      </c>
      <c r="D19" t="s">
        <v>242</v>
      </c>
      <c r="E19" s="425">
        <v>-0.26420630814700002</v>
      </c>
      <c r="F19">
        <v>0.19387529082999999</v>
      </c>
    </row>
    <row r="20" spans="2:6" x14ac:dyDescent="0.25">
      <c r="B20">
        <v>10</v>
      </c>
      <c r="C20" t="s">
        <v>295</v>
      </c>
      <c r="D20" t="s">
        <v>242</v>
      </c>
      <c r="E20">
        <v>-0.35872692861799998</v>
      </c>
      <c r="F20">
        <v>0.100051515259</v>
      </c>
    </row>
    <row r="21" spans="2:6" x14ac:dyDescent="0.25">
      <c r="B21">
        <v>11</v>
      </c>
      <c r="C21" t="s">
        <v>296</v>
      </c>
      <c r="D21" t="s">
        <v>242</v>
      </c>
      <c r="E21">
        <v>0.20317681554899999</v>
      </c>
      <c r="F21">
        <v>0.247232349657</v>
      </c>
    </row>
    <row r="22" spans="2:6" x14ac:dyDescent="0.25">
      <c r="B22">
        <v>12</v>
      </c>
      <c r="C22" t="s">
        <v>297</v>
      </c>
      <c r="D22" t="s">
        <v>242</v>
      </c>
      <c r="E22">
        <v>-0.25772334575</v>
      </c>
      <c r="F22">
        <v>0.170336028034</v>
      </c>
    </row>
    <row r="23" spans="2:6" x14ac:dyDescent="0.25">
      <c r="B23">
        <v>13</v>
      </c>
      <c r="C23" t="s">
        <v>298</v>
      </c>
      <c r="D23" t="s">
        <v>242</v>
      </c>
      <c r="E23">
        <v>-1.51291507531</v>
      </c>
      <c r="F23">
        <v>0.20916747597900001</v>
      </c>
    </row>
    <row r="24" spans="2:6" x14ac:dyDescent="0.25">
      <c r="B24">
        <v>14</v>
      </c>
      <c r="C24" t="s">
        <v>299</v>
      </c>
      <c r="D24" t="s">
        <v>242</v>
      </c>
      <c r="E24">
        <v>-0.21776561918199999</v>
      </c>
      <c r="F24" s="425">
        <v>7.7382027445400001E-2</v>
      </c>
    </row>
    <row r="25" spans="2:6" x14ac:dyDescent="0.25">
      <c r="B25">
        <v>15</v>
      </c>
      <c r="C25" t="s">
        <v>300</v>
      </c>
      <c r="D25" t="s">
        <v>242</v>
      </c>
      <c r="E25">
        <v>-1.27163179208</v>
      </c>
      <c r="F25">
        <v>0.50605159824699997</v>
      </c>
    </row>
    <row r="26" spans="2:6" x14ac:dyDescent="0.25">
      <c r="B26">
        <v>16</v>
      </c>
      <c r="C26" t="s">
        <v>301</v>
      </c>
      <c r="D26" t="s">
        <v>242</v>
      </c>
      <c r="E26">
        <v>-0.54089688480800002</v>
      </c>
      <c r="F26">
        <v>0.15561651788600001</v>
      </c>
    </row>
    <row r="27" spans="2:6" x14ac:dyDescent="0.25">
      <c r="B27">
        <v>17</v>
      </c>
      <c r="C27" t="s">
        <v>302</v>
      </c>
      <c r="D27" t="s">
        <v>241</v>
      </c>
      <c r="E27">
        <v>0</v>
      </c>
      <c r="F27">
        <v>1</v>
      </c>
    </row>
    <row r="28" spans="2:6" x14ac:dyDescent="0.25">
      <c r="B28">
        <v>18</v>
      </c>
      <c r="C28" t="s">
        <v>303</v>
      </c>
      <c r="D28" t="s">
        <v>241</v>
      </c>
      <c r="E28">
        <v>0</v>
      </c>
      <c r="F28">
        <v>1</v>
      </c>
    </row>
    <row r="29" spans="2:6" x14ac:dyDescent="0.25">
      <c r="B29">
        <v>19</v>
      </c>
      <c r="C29" t="s">
        <v>304</v>
      </c>
      <c r="D29" t="s">
        <v>241</v>
      </c>
      <c r="E29">
        <v>0</v>
      </c>
      <c r="F29">
        <v>1</v>
      </c>
    </row>
    <row r="30" spans="2:6" x14ac:dyDescent="0.25">
      <c r="B30">
        <v>20</v>
      </c>
      <c r="C30" t="s">
        <v>305</v>
      </c>
      <c r="D30" t="s">
        <v>242</v>
      </c>
      <c r="E30">
        <v>0.43763139961699998</v>
      </c>
      <c r="F30" s="425">
        <v>4.8429506021399997E-2</v>
      </c>
    </row>
    <row r="31" spans="2:6" x14ac:dyDescent="0.25">
      <c r="B31">
        <v>21</v>
      </c>
      <c r="C31" t="s">
        <v>306</v>
      </c>
      <c r="D31" t="s">
        <v>242</v>
      </c>
      <c r="E31">
        <v>-5.1729505125899999</v>
      </c>
      <c r="F31">
        <v>1.47237352721</v>
      </c>
    </row>
    <row r="32" spans="2:6" x14ac:dyDescent="0.25">
      <c r="B32">
        <v>22</v>
      </c>
      <c r="C32" t="s">
        <v>307</v>
      </c>
      <c r="D32" t="s">
        <v>242</v>
      </c>
      <c r="E32">
        <v>-5.9112646193599998</v>
      </c>
      <c r="F32">
        <v>0.31220814773599997</v>
      </c>
    </row>
    <row r="33" spans="2:6" x14ac:dyDescent="0.25">
      <c r="B33">
        <v>23</v>
      </c>
      <c r="C33" t="s">
        <v>308</v>
      </c>
      <c r="D33" t="s">
        <v>242</v>
      </c>
      <c r="E33">
        <v>-4.3510480079200002</v>
      </c>
      <c r="F33">
        <v>0.18576143123800001</v>
      </c>
    </row>
    <row r="34" spans="2:6" x14ac:dyDescent="0.25">
      <c r="B34">
        <v>24</v>
      </c>
      <c r="C34" t="s">
        <v>309</v>
      </c>
      <c r="D34" t="s">
        <v>242</v>
      </c>
      <c r="E34">
        <v>0.219929989326</v>
      </c>
      <c r="F34" s="425">
        <v>1.3645721239299999E-2</v>
      </c>
    </row>
    <row r="35" spans="2:6" x14ac:dyDescent="0.25">
      <c r="B35">
        <v>25</v>
      </c>
      <c r="C35" t="s">
        <v>310</v>
      </c>
      <c r="D35" t="s">
        <v>242</v>
      </c>
      <c r="E35">
        <v>-0.19965371290799999</v>
      </c>
      <c r="F35" s="425">
        <v>1.5268311706199999E-2</v>
      </c>
    </row>
    <row r="36" spans="2:6" x14ac:dyDescent="0.25">
      <c r="B36">
        <v>26</v>
      </c>
      <c r="C36" t="s">
        <v>311</v>
      </c>
      <c r="D36" t="s">
        <v>242</v>
      </c>
      <c r="E36">
        <v>0.456947594269</v>
      </c>
      <c r="F36" s="425">
        <v>8.45315868922E-2</v>
      </c>
    </row>
    <row r="37" spans="2:6" x14ac:dyDescent="0.25">
      <c r="B37">
        <v>27</v>
      </c>
      <c r="C37" t="s">
        <v>312</v>
      </c>
      <c r="D37" t="s">
        <v>242</v>
      </c>
      <c r="E37">
        <v>-16.041405463699999</v>
      </c>
      <c r="F37">
        <v>1.44425336446</v>
      </c>
    </row>
    <row r="38" spans="2:6" x14ac:dyDescent="0.25">
      <c r="B38">
        <v>28</v>
      </c>
      <c r="C38" t="s">
        <v>313</v>
      </c>
      <c r="D38" t="s">
        <v>242</v>
      </c>
      <c r="E38">
        <v>-4.0058838759500004</v>
      </c>
      <c r="F38">
        <v>0.35273062120999998</v>
      </c>
    </row>
    <row r="39" spans="2:6" x14ac:dyDescent="0.25">
      <c r="B39">
        <v>29</v>
      </c>
      <c r="C39" t="s">
        <v>314</v>
      </c>
      <c r="D39" t="s">
        <v>242</v>
      </c>
      <c r="E39">
        <v>-2.2602358254700001</v>
      </c>
      <c r="F39">
        <v>0.146992342355</v>
      </c>
    </row>
    <row r="40" spans="2:6" x14ac:dyDescent="0.25">
      <c r="B40">
        <v>30</v>
      </c>
      <c r="C40" t="s">
        <v>315</v>
      </c>
      <c r="D40" t="s">
        <v>242</v>
      </c>
      <c r="E40">
        <v>-0.57131171698200001</v>
      </c>
      <c r="F40" s="425">
        <v>8.1640985937999996E-2</v>
      </c>
    </row>
    <row r="41" spans="2:6" x14ac:dyDescent="0.25">
      <c r="B41">
        <v>31</v>
      </c>
      <c r="C41" t="s">
        <v>316</v>
      </c>
      <c r="D41" t="s">
        <v>242</v>
      </c>
      <c r="E41" s="425">
        <v>-9.1432405138999993E-3</v>
      </c>
      <c r="F41" s="425">
        <v>1.8681010178100001E-2</v>
      </c>
    </row>
    <row r="42" spans="2:6" x14ac:dyDescent="0.25">
      <c r="B42">
        <v>32</v>
      </c>
      <c r="C42" t="s">
        <v>317</v>
      </c>
      <c r="D42" t="s">
        <v>242</v>
      </c>
      <c r="E42">
        <v>-0.11638214876</v>
      </c>
      <c r="F42" s="425">
        <v>2.0027350623800001E-2</v>
      </c>
    </row>
    <row r="43" spans="2:6" x14ac:dyDescent="0.25">
      <c r="B43">
        <v>33</v>
      </c>
      <c r="C43" t="s">
        <v>318</v>
      </c>
      <c r="D43" t="s">
        <v>242</v>
      </c>
      <c r="E43" s="425">
        <v>5.6920874310099998E-2</v>
      </c>
      <c r="F43" s="425">
        <v>1.00062712342E-2</v>
      </c>
    </row>
    <row r="44" spans="2:6" x14ac:dyDescent="0.25">
      <c r="B44">
        <v>34</v>
      </c>
      <c r="C44" t="s">
        <v>319</v>
      </c>
      <c r="D44" t="s">
        <v>242</v>
      </c>
      <c r="E44" s="425">
        <v>-1.9362324458399999E-2</v>
      </c>
      <c r="F44" s="425">
        <v>1.63018501781E-2</v>
      </c>
    </row>
    <row r="45" spans="2:6" x14ac:dyDescent="0.25">
      <c r="B45">
        <v>35</v>
      </c>
      <c r="C45" t="s">
        <v>320</v>
      </c>
      <c r="D45" t="s">
        <v>242</v>
      </c>
      <c r="E45" s="425">
        <v>1.8323476485999999E-2</v>
      </c>
      <c r="F45" s="425">
        <v>1.2148526885499999E-2</v>
      </c>
    </row>
    <row r="46" spans="2:6" x14ac:dyDescent="0.25">
      <c r="B46">
        <v>36</v>
      </c>
      <c r="C46" t="s">
        <v>321</v>
      </c>
      <c r="D46" t="s">
        <v>242</v>
      </c>
      <c r="E46" s="425">
        <v>2.3040582229000002</v>
      </c>
      <c r="F46" s="425">
        <v>0.22055425229699999</v>
      </c>
    </row>
    <row r="47" spans="2:6" x14ac:dyDescent="0.25">
      <c r="B47">
        <v>37</v>
      </c>
      <c r="C47" t="s">
        <v>322</v>
      </c>
      <c r="D47" t="s">
        <v>242</v>
      </c>
      <c r="E47">
        <v>-7.2225250615199998</v>
      </c>
      <c r="F47">
        <v>1.6810961957599999</v>
      </c>
    </row>
    <row r="48" spans="2:6" x14ac:dyDescent="0.25">
      <c r="B48">
        <v>38</v>
      </c>
      <c r="C48" t="s">
        <v>323</v>
      </c>
      <c r="D48" t="s">
        <v>242</v>
      </c>
      <c r="E48">
        <v>-5.4693439766900003</v>
      </c>
      <c r="F48">
        <v>0.390672154306</v>
      </c>
    </row>
    <row r="49" spans="2:6" x14ac:dyDescent="0.25">
      <c r="B49">
        <v>39</v>
      </c>
      <c r="C49" t="s">
        <v>324</v>
      </c>
      <c r="D49" t="s">
        <v>242</v>
      </c>
      <c r="E49">
        <v>-2.4179033783600001</v>
      </c>
      <c r="F49">
        <v>0.223286996333</v>
      </c>
    </row>
    <row r="50" spans="2:6" x14ac:dyDescent="0.25">
      <c r="B50">
        <v>40</v>
      </c>
      <c r="C50" t="s">
        <v>325</v>
      </c>
      <c r="D50" t="s">
        <v>242</v>
      </c>
      <c r="E50">
        <v>-0.24529497763800001</v>
      </c>
      <c r="F50">
        <v>0.173792333986</v>
      </c>
    </row>
    <row r="51" spans="2:6" x14ac:dyDescent="0.25">
      <c r="B51">
        <v>41</v>
      </c>
      <c r="C51" t="s">
        <v>326</v>
      </c>
      <c r="D51" t="s">
        <v>242</v>
      </c>
      <c r="E51">
        <v>-0.100545011408</v>
      </c>
      <c r="F51" s="425">
        <v>1.7103318696699999E-2</v>
      </c>
    </row>
    <row r="52" spans="2:6" x14ac:dyDescent="0.25">
      <c r="B52">
        <v>42</v>
      </c>
      <c r="C52" t="s">
        <v>327</v>
      </c>
      <c r="D52" t="s">
        <v>242</v>
      </c>
      <c r="E52">
        <v>0.10049185695100001</v>
      </c>
      <c r="F52" s="425">
        <v>2.1833904078799999E-2</v>
      </c>
    </row>
    <row r="53" spans="2:6" x14ac:dyDescent="0.25">
      <c r="B53">
        <v>43</v>
      </c>
      <c r="C53" t="s">
        <v>328</v>
      </c>
      <c r="D53" t="s">
        <v>242</v>
      </c>
      <c r="E53">
        <v>1.7655971612000001</v>
      </c>
      <c r="F53" s="425">
        <v>0.154891246998</v>
      </c>
    </row>
    <row r="54" spans="2:6" x14ac:dyDescent="0.25">
      <c r="B54">
        <v>44</v>
      </c>
      <c r="C54" t="s">
        <v>329</v>
      </c>
      <c r="D54" t="s">
        <v>242</v>
      </c>
      <c r="E54">
        <v>-13.482142205440001</v>
      </c>
      <c r="F54">
        <v>1.7238420080500001</v>
      </c>
    </row>
    <row r="55" spans="2:6" x14ac:dyDescent="0.25">
      <c r="B55">
        <v>45</v>
      </c>
      <c r="C55" t="s">
        <v>330</v>
      </c>
      <c r="D55" t="s">
        <v>242</v>
      </c>
      <c r="E55">
        <v>-5.7740636752999999</v>
      </c>
      <c r="F55">
        <v>0.44296383007700002</v>
      </c>
    </row>
    <row r="56" spans="2:6" x14ac:dyDescent="0.25">
      <c r="B56">
        <v>46</v>
      </c>
      <c r="C56" t="s">
        <v>331</v>
      </c>
      <c r="D56" t="s">
        <v>242</v>
      </c>
      <c r="E56">
        <v>-3.2513620839500001</v>
      </c>
      <c r="F56">
        <v>0.22459177151199999</v>
      </c>
    </row>
    <row r="57" spans="2:6" x14ac:dyDescent="0.25">
      <c r="B57">
        <v>47</v>
      </c>
      <c r="C57" t="s">
        <v>332</v>
      </c>
      <c r="D57" t="s">
        <v>242</v>
      </c>
      <c r="E57">
        <v>-0.81757689945000001</v>
      </c>
      <c r="F57">
        <v>0.14989642806799999</v>
      </c>
    </row>
    <row r="58" spans="2:6" x14ac:dyDescent="0.25">
      <c r="B58">
        <v>48</v>
      </c>
      <c r="C58" t="s">
        <v>333</v>
      </c>
      <c r="D58" t="s">
        <v>242</v>
      </c>
      <c r="E58">
        <v>0.63335958983999996</v>
      </c>
      <c r="F58" s="425">
        <v>2.38840174789E-2</v>
      </c>
    </row>
    <row r="59" spans="2:6" x14ac:dyDescent="0.25">
      <c r="B59">
        <v>49</v>
      </c>
      <c r="C59" t="s">
        <v>334</v>
      </c>
      <c r="D59" t="s">
        <v>242</v>
      </c>
      <c r="E59">
        <v>0.54194850979700004</v>
      </c>
      <c r="F59" s="425">
        <v>0.13589969408700001</v>
      </c>
    </row>
    <row r="60" spans="2:6" x14ac:dyDescent="0.25">
      <c r="B60">
        <v>50</v>
      </c>
      <c r="C60" t="s">
        <v>335</v>
      </c>
      <c r="D60" t="s">
        <v>242</v>
      </c>
      <c r="E60">
        <v>-26.641935956609998</v>
      </c>
      <c r="F60">
        <v>1.5214646814199999</v>
      </c>
    </row>
    <row r="61" spans="2:6" x14ac:dyDescent="0.25">
      <c r="B61">
        <v>51</v>
      </c>
      <c r="C61" t="s">
        <v>336</v>
      </c>
      <c r="D61" t="s">
        <v>242</v>
      </c>
      <c r="E61">
        <v>-5.8569921168899999</v>
      </c>
      <c r="F61">
        <v>0.46611202703900001</v>
      </c>
    </row>
    <row r="62" spans="2:6" x14ac:dyDescent="0.25">
      <c r="B62">
        <v>52</v>
      </c>
      <c r="C62" t="s">
        <v>337</v>
      </c>
      <c r="D62" t="s">
        <v>242</v>
      </c>
      <c r="E62">
        <v>-3.0622160410500001</v>
      </c>
      <c r="F62">
        <v>0.205947789785</v>
      </c>
    </row>
    <row r="63" spans="2:6" x14ac:dyDescent="0.25">
      <c r="B63">
        <v>53</v>
      </c>
      <c r="C63" t="s">
        <v>338</v>
      </c>
      <c r="D63" t="s">
        <v>242</v>
      </c>
      <c r="E63">
        <v>-1.4592147580599999</v>
      </c>
      <c r="F63">
        <v>0.12706460553599999</v>
      </c>
    </row>
    <row r="64" spans="2:6" x14ac:dyDescent="0.25">
      <c r="B64">
        <v>54</v>
      </c>
      <c r="C64" t="s">
        <v>339</v>
      </c>
      <c r="D64" t="s">
        <v>242</v>
      </c>
      <c r="E64">
        <v>-0.160744421114</v>
      </c>
      <c r="F64" s="425">
        <v>3.1643512928099998E-2</v>
      </c>
    </row>
    <row r="65" spans="2:6" x14ac:dyDescent="0.25">
      <c r="B65">
        <v>55</v>
      </c>
      <c r="C65" t="s">
        <v>340</v>
      </c>
      <c r="D65" t="s">
        <v>242</v>
      </c>
      <c r="E65">
        <v>0.101769944302</v>
      </c>
      <c r="F65" s="425">
        <v>4.0472600922499997E-2</v>
      </c>
    </row>
    <row r="66" spans="2:6" x14ac:dyDescent="0.25">
      <c r="B66">
        <v>56</v>
      </c>
      <c r="C66" t="s">
        <v>341</v>
      </c>
      <c r="D66" t="s">
        <v>242</v>
      </c>
      <c r="E66" s="425">
        <v>-7.3004796389399995E-2</v>
      </c>
      <c r="F66" s="425">
        <v>2.7878888340600001E-2</v>
      </c>
    </row>
    <row r="67" spans="2:6" x14ac:dyDescent="0.25">
      <c r="B67">
        <v>57</v>
      </c>
      <c r="C67" t="s">
        <v>342</v>
      </c>
      <c r="D67" t="s">
        <v>242</v>
      </c>
      <c r="E67" s="425">
        <v>4.7664283443500002E-2</v>
      </c>
      <c r="F67" s="425">
        <v>1.5452195556500001E-2</v>
      </c>
    </row>
    <row r="68" spans="2:6" x14ac:dyDescent="0.25">
      <c r="B68">
        <v>70</v>
      </c>
      <c r="C68" t="s">
        <v>155</v>
      </c>
      <c r="D68" t="s">
        <v>242</v>
      </c>
      <c r="E68" s="425">
        <v>0.70165957865100004</v>
      </c>
      <c r="F68" s="425">
        <v>8.1041561582700008E-3</v>
      </c>
    </row>
    <row r="69" spans="2:6" x14ac:dyDescent="0.25">
      <c r="B69">
        <v>71</v>
      </c>
      <c r="C69" t="s">
        <v>156</v>
      </c>
      <c r="D69" t="s">
        <v>241</v>
      </c>
      <c r="E69">
        <v>0</v>
      </c>
      <c r="F69" s="425">
        <v>1</v>
      </c>
    </row>
    <row r="70" spans="2:6" x14ac:dyDescent="0.25">
      <c r="B70">
        <v>72</v>
      </c>
      <c r="C70" t="s">
        <v>158</v>
      </c>
      <c r="D70" t="s">
        <v>241</v>
      </c>
      <c r="E70">
        <v>0</v>
      </c>
      <c r="F70">
        <v>1</v>
      </c>
    </row>
    <row r="71" spans="2:6" x14ac:dyDescent="0.25">
      <c r="B71">
        <v>73</v>
      </c>
      <c r="C71" t="s">
        <v>160</v>
      </c>
      <c r="D71" t="s">
        <v>242</v>
      </c>
      <c r="E71">
        <v>-1.0451393946200001</v>
      </c>
      <c r="F71">
        <v>0.334189851298</v>
      </c>
    </row>
    <row r="72" spans="2:6" x14ac:dyDescent="0.25">
      <c r="B72">
        <v>74</v>
      </c>
      <c r="C72" t="s">
        <v>162</v>
      </c>
      <c r="D72" t="s">
        <v>241</v>
      </c>
      <c r="E72">
        <v>0</v>
      </c>
      <c r="F72">
        <v>1</v>
      </c>
    </row>
    <row r="73" spans="2:6" x14ac:dyDescent="0.25">
      <c r="B73">
        <v>75</v>
      </c>
      <c r="C73" t="s">
        <v>164</v>
      </c>
      <c r="D73" t="s">
        <v>242</v>
      </c>
      <c r="E73">
        <v>-0.200987204384</v>
      </c>
      <c r="F73">
        <v>0.32860050755699999</v>
      </c>
    </row>
    <row r="74" spans="2:6" x14ac:dyDescent="0.25">
      <c r="B74">
        <v>76</v>
      </c>
      <c r="C74" t="s">
        <v>166</v>
      </c>
      <c r="D74" t="s">
        <v>242</v>
      </c>
      <c r="E74">
        <v>-0.24680877359100001</v>
      </c>
      <c r="F74">
        <v>0.218776351024</v>
      </c>
    </row>
    <row r="75" spans="2:6" x14ac:dyDescent="0.25">
      <c r="B75">
        <v>77</v>
      </c>
      <c r="C75" t="s">
        <v>168</v>
      </c>
      <c r="D75" t="s">
        <v>242</v>
      </c>
      <c r="E75">
        <v>0.105207287565</v>
      </c>
      <c r="F75">
        <v>0.33160558063000001</v>
      </c>
    </row>
    <row r="76" spans="2:6" x14ac:dyDescent="0.25">
      <c r="B76">
        <v>78</v>
      </c>
      <c r="C76" t="s">
        <v>170</v>
      </c>
      <c r="D76" t="s">
        <v>242</v>
      </c>
      <c r="E76">
        <v>-3.0261765923500001</v>
      </c>
      <c r="F76">
        <v>0.63791961209799997</v>
      </c>
    </row>
    <row r="77" spans="2:6" x14ac:dyDescent="0.25">
      <c r="B77">
        <v>79</v>
      </c>
      <c r="C77" t="s">
        <v>172</v>
      </c>
      <c r="D77" t="s">
        <v>242</v>
      </c>
      <c r="E77">
        <v>-3.16760127533</v>
      </c>
      <c r="F77">
        <v>0.17589358259900001</v>
      </c>
    </row>
    <row r="78" spans="2:6" x14ac:dyDescent="0.25">
      <c r="B78">
        <v>80</v>
      </c>
      <c r="C78" t="s">
        <v>174</v>
      </c>
      <c r="D78" t="s">
        <v>242</v>
      </c>
      <c r="E78">
        <v>3.88384299801</v>
      </c>
      <c r="F78">
        <v>0.36343710851900002</v>
      </c>
    </row>
    <row r="79" spans="2:6" x14ac:dyDescent="0.25">
      <c r="B79">
        <v>81</v>
      </c>
      <c r="C79" t="s">
        <v>176</v>
      </c>
      <c r="D79" t="s">
        <v>242</v>
      </c>
      <c r="E79">
        <v>1.2853400619999999</v>
      </c>
      <c r="F79">
        <v>0.33194844094699999</v>
      </c>
    </row>
    <row r="80" spans="2:6" x14ac:dyDescent="0.25">
      <c r="B80">
        <v>82</v>
      </c>
      <c r="C80" t="s">
        <v>178</v>
      </c>
      <c r="D80" t="s">
        <v>241</v>
      </c>
      <c r="E80">
        <v>0</v>
      </c>
      <c r="F80">
        <v>1</v>
      </c>
    </row>
    <row r="81" spans="2:6" x14ac:dyDescent="0.25">
      <c r="B81">
        <v>83</v>
      </c>
      <c r="C81" t="s">
        <v>179</v>
      </c>
      <c r="D81" t="s">
        <v>242</v>
      </c>
      <c r="E81">
        <v>1.5962822273599999</v>
      </c>
      <c r="F81">
        <v>0.31630410811600002</v>
      </c>
    </row>
    <row r="82" spans="2:6" x14ac:dyDescent="0.25">
      <c r="B82">
        <v>84</v>
      </c>
      <c r="C82" t="s">
        <v>181</v>
      </c>
      <c r="D82" t="s">
        <v>242</v>
      </c>
      <c r="E82">
        <v>1.8203743806399999</v>
      </c>
      <c r="F82">
        <v>0.32723912579699999</v>
      </c>
    </row>
    <row r="83" spans="2:6" x14ac:dyDescent="0.25">
      <c r="B83">
        <v>85</v>
      </c>
      <c r="C83" t="s">
        <v>183</v>
      </c>
      <c r="D83" t="s">
        <v>242</v>
      </c>
      <c r="E83">
        <v>0.36845448573400003</v>
      </c>
      <c r="F83">
        <v>0.41451090741399998</v>
      </c>
    </row>
    <row r="84" spans="2:6" x14ac:dyDescent="0.25">
      <c r="B84">
        <v>86</v>
      </c>
      <c r="C84" t="s">
        <v>185</v>
      </c>
      <c r="D84" t="s">
        <v>242</v>
      </c>
      <c r="E84">
        <v>-0.89988004259099996</v>
      </c>
      <c r="F84">
        <v>0.58455068333600002</v>
      </c>
    </row>
    <row r="85" spans="2:6" x14ac:dyDescent="0.25">
      <c r="B85">
        <v>87</v>
      </c>
      <c r="C85" t="s">
        <v>187</v>
      </c>
      <c r="D85" t="s">
        <v>242</v>
      </c>
      <c r="E85">
        <v>-1.54651800243</v>
      </c>
      <c r="F85">
        <v>0.28922210484799998</v>
      </c>
    </row>
    <row r="86" spans="2:6" x14ac:dyDescent="0.25">
      <c r="B86">
        <v>88</v>
      </c>
      <c r="C86" t="s">
        <v>189</v>
      </c>
      <c r="D86" t="s">
        <v>241</v>
      </c>
      <c r="E86">
        <v>0</v>
      </c>
      <c r="F86">
        <v>1</v>
      </c>
    </row>
    <row r="87" spans="2:6" x14ac:dyDescent="0.25">
      <c r="B87">
        <v>89</v>
      </c>
      <c r="C87" t="s">
        <v>191</v>
      </c>
      <c r="D87" t="s">
        <v>242</v>
      </c>
      <c r="E87">
        <v>-1.3661763944</v>
      </c>
      <c r="F87">
        <v>0.21083771707000001</v>
      </c>
    </row>
    <row r="88" spans="2:6" x14ac:dyDescent="0.25">
      <c r="B88">
        <v>90</v>
      </c>
      <c r="C88" t="s">
        <v>193</v>
      </c>
      <c r="D88" t="s">
        <v>241</v>
      </c>
      <c r="E88">
        <v>0</v>
      </c>
      <c r="F88">
        <v>1</v>
      </c>
    </row>
    <row r="89" spans="2:6" x14ac:dyDescent="0.25">
      <c r="B89">
        <v>91</v>
      </c>
      <c r="C89" t="s">
        <v>195</v>
      </c>
      <c r="D89" t="s">
        <v>242</v>
      </c>
      <c r="E89">
        <v>-0.69659049737500001</v>
      </c>
      <c r="F89">
        <v>0.118317298537</v>
      </c>
    </row>
    <row r="90" spans="2:6" x14ac:dyDescent="0.25">
      <c r="B90">
        <v>92</v>
      </c>
      <c r="C90" t="s">
        <v>197</v>
      </c>
      <c r="D90" t="s">
        <v>242</v>
      </c>
      <c r="E90">
        <v>-1.8309142732699999</v>
      </c>
      <c r="F90">
        <v>0.55098538730699997</v>
      </c>
    </row>
    <row r="91" spans="2:6" x14ac:dyDescent="0.25">
      <c r="B91">
        <v>93</v>
      </c>
      <c r="C91" t="s">
        <v>199</v>
      </c>
      <c r="D91" t="s">
        <v>242</v>
      </c>
      <c r="E91">
        <v>-1.59616837557</v>
      </c>
      <c r="F91">
        <v>0.19643171679400001</v>
      </c>
    </row>
    <row r="92" spans="2:6" x14ac:dyDescent="0.25">
      <c r="B92">
        <v>94</v>
      </c>
      <c r="C92" t="s">
        <v>201</v>
      </c>
      <c r="D92" t="s">
        <v>241</v>
      </c>
      <c r="E92">
        <v>0</v>
      </c>
      <c r="F92">
        <v>1</v>
      </c>
    </row>
    <row r="93" spans="2:6" x14ac:dyDescent="0.25">
      <c r="B93">
        <v>95</v>
      </c>
      <c r="C93" t="s">
        <v>203</v>
      </c>
      <c r="D93" t="s">
        <v>242</v>
      </c>
      <c r="E93">
        <v>-3.7524312125899999</v>
      </c>
      <c r="F93">
        <v>0.30709606176900001</v>
      </c>
    </row>
    <row r="94" spans="2:6" x14ac:dyDescent="0.25">
      <c r="B94">
        <v>96</v>
      </c>
      <c r="C94" t="s">
        <v>205</v>
      </c>
      <c r="D94" t="s">
        <v>242</v>
      </c>
      <c r="E94">
        <v>-5.15903380474</v>
      </c>
      <c r="F94">
        <v>0.17390909328599999</v>
      </c>
    </row>
    <row r="95" spans="2:6" x14ac:dyDescent="0.25">
      <c r="B95">
        <v>97</v>
      </c>
      <c r="C95" t="s">
        <v>207</v>
      </c>
      <c r="D95" t="s">
        <v>242</v>
      </c>
      <c r="E95">
        <v>-4.5752497230499998</v>
      </c>
      <c r="F95">
        <v>0.48893954592400002</v>
      </c>
    </row>
    <row r="96" spans="2:6" x14ac:dyDescent="0.25">
      <c r="B96">
        <v>98</v>
      </c>
      <c r="C96" t="s">
        <v>209</v>
      </c>
      <c r="D96" t="s">
        <v>242</v>
      </c>
      <c r="E96">
        <v>-1.55830930615</v>
      </c>
      <c r="F96">
        <v>0.29568339221599999</v>
      </c>
    </row>
    <row r="97" spans="2:6" x14ac:dyDescent="0.25">
      <c r="B97">
        <v>99</v>
      </c>
      <c r="C97" t="s">
        <v>210</v>
      </c>
      <c r="D97" t="s">
        <v>242</v>
      </c>
      <c r="E97">
        <v>-6.7687936642300004</v>
      </c>
      <c r="F97">
        <v>0.63961427466800003</v>
      </c>
    </row>
    <row r="98" spans="2:6" x14ac:dyDescent="0.25">
      <c r="B98">
        <v>100</v>
      </c>
      <c r="C98" t="s">
        <v>211</v>
      </c>
      <c r="D98" t="s">
        <v>241</v>
      </c>
      <c r="E98">
        <v>0</v>
      </c>
      <c r="F98">
        <v>1</v>
      </c>
    </row>
    <row r="99" spans="2:6" x14ac:dyDescent="0.25">
      <c r="B99">
        <v>101</v>
      </c>
      <c r="C99" t="s">
        <v>212</v>
      </c>
      <c r="D99" t="s">
        <v>242</v>
      </c>
      <c r="E99">
        <v>-4.6092008435</v>
      </c>
      <c r="F99">
        <v>0.35687158855500001</v>
      </c>
    </row>
    <row r="100" spans="2:6" x14ac:dyDescent="0.25">
      <c r="B100">
        <v>102</v>
      </c>
      <c r="C100" t="s">
        <v>213</v>
      </c>
      <c r="D100" t="s">
        <v>241</v>
      </c>
      <c r="E100">
        <v>0</v>
      </c>
      <c r="F100">
        <v>1</v>
      </c>
    </row>
    <row r="101" spans="2:6" x14ac:dyDescent="0.25">
      <c r="B101">
        <v>103</v>
      </c>
      <c r="C101" t="s">
        <v>214</v>
      </c>
      <c r="D101" t="s">
        <v>241</v>
      </c>
      <c r="E101">
        <v>0</v>
      </c>
      <c r="F101">
        <v>1</v>
      </c>
    </row>
    <row r="102" spans="2:6" x14ac:dyDescent="0.25">
      <c r="B102">
        <v>104</v>
      </c>
      <c r="C102" t="s">
        <v>215</v>
      </c>
      <c r="D102" t="s">
        <v>241</v>
      </c>
      <c r="E102">
        <v>5</v>
      </c>
      <c r="F102">
        <v>1</v>
      </c>
    </row>
    <row r="103" spans="2:6" x14ac:dyDescent="0.25">
      <c r="B103">
        <v>105</v>
      </c>
      <c r="C103" t="s">
        <v>216</v>
      </c>
      <c r="D103" t="s">
        <v>241</v>
      </c>
      <c r="E103">
        <v>5</v>
      </c>
      <c r="F103">
        <v>1</v>
      </c>
    </row>
    <row r="104" spans="2:6" x14ac:dyDescent="0.25">
      <c r="B104">
        <v>106</v>
      </c>
      <c r="C104" t="s">
        <v>217</v>
      </c>
      <c r="D104" t="s">
        <v>241</v>
      </c>
      <c r="E104">
        <v>0</v>
      </c>
      <c r="F104">
        <v>1</v>
      </c>
    </row>
    <row r="105" spans="2:6" x14ac:dyDescent="0.25">
      <c r="B105">
        <v>107</v>
      </c>
      <c r="C105" t="s">
        <v>218</v>
      </c>
      <c r="D105" t="s">
        <v>242</v>
      </c>
      <c r="E105">
        <v>3.2721559987400002</v>
      </c>
      <c r="F105">
        <v>0.189098453</v>
      </c>
    </row>
    <row r="106" spans="2:6" x14ac:dyDescent="0.25">
      <c r="B106">
        <v>108</v>
      </c>
      <c r="C106" t="s">
        <v>220</v>
      </c>
      <c r="D106" t="s">
        <v>241</v>
      </c>
      <c r="E106">
        <v>0</v>
      </c>
      <c r="F106">
        <v>1</v>
      </c>
    </row>
    <row r="107" spans="2:6" x14ac:dyDescent="0.25">
      <c r="B107">
        <v>109</v>
      </c>
      <c r="C107" t="s">
        <v>221</v>
      </c>
      <c r="D107" t="s">
        <v>242</v>
      </c>
      <c r="E107">
        <v>3.7780647491999999</v>
      </c>
      <c r="F107">
        <v>0.16415128970699999</v>
      </c>
    </row>
    <row r="108" spans="2:6" x14ac:dyDescent="0.25">
      <c r="B108">
        <v>110</v>
      </c>
      <c r="C108" t="s">
        <v>222</v>
      </c>
      <c r="D108" t="s">
        <v>242</v>
      </c>
      <c r="E108">
        <v>3.6698694381700001</v>
      </c>
      <c r="F108">
        <v>0.17265670632899999</v>
      </c>
    </row>
    <row r="109" spans="2:6" x14ac:dyDescent="0.25">
      <c r="B109">
        <v>111</v>
      </c>
      <c r="C109" t="s">
        <v>223</v>
      </c>
      <c r="D109" t="s">
        <v>241</v>
      </c>
      <c r="E109">
        <v>0</v>
      </c>
      <c r="F109">
        <v>1</v>
      </c>
    </row>
    <row r="110" spans="2:6" x14ac:dyDescent="0.25">
      <c r="B110">
        <v>112</v>
      </c>
      <c r="C110" t="s">
        <v>224</v>
      </c>
      <c r="D110" t="s">
        <v>241</v>
      </c>
      <c r="E110">
        <v>0</v>
      </c>
      <c r="F110">
        <v>1</v>
      </c>
    </row>
    <row r="111" spans="2:6" x14ac:dyDescent="0.25">
      <c r="B111">
        <v>113</v>
      </c>
      <c r="C111" t="s">
        <v>226</v>
      </c>
      <c r="D111" t="s">
        <v>242</v>
      </c>
      <c r="E111">
        <v>1.3908719595400001</v>
      </c>
      <c r="F111">
        <v>0.25447036975100001</v>
      </c>
    </row>
    <row r="112" spans="2:6" x14ac:dyDescent="0.25">
      <c r="B112">
        <v>-1</v>
      </c>
    </row>
    <row r="113" spans="2:11" x14ac:dyDescent="0.25">
      <c r="B113">
        <v>13796</v>
      </c>
      <c r="C113" s="425">
        <v>-14054.777031400001</v>
      </c>
      <c r="D113" s="425">
        <v>-53772.333307300003</v>
      </c>
      <c r="E113" s="425">
        <v>-38222.555653299998</v>
      </c>
    </row>
    <row r="114" spans="2:11" x14ac:dyDescent="0.25">
      <c r="B114">
        <v>6</v>
      </c>
      <c r="C114" s="425" t="s">
        <v>343</v>
      </c>
      <c r="D114" s="425" t="s">
        <v>239</v>
      </c>
      <c r="E114" s="425">
        <v>30</v>
      </c>
      <c r="F114" t="s">
        <v>285</v>
      </c>
      <c r="G114">
        <v>20</v>
      </c>
    </row>
    <row r="115" spans="2:11" x14ac:dyDescent="0.2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2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2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2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2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2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2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2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2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2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2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2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2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2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2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2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2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2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2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2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2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2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2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2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2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2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2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2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2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2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2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2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2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2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2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2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2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2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2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2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2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2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2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2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2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2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2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2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2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2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2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2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2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2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2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2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2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2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2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2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2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2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2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2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2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2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2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2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2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2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2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2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2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2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2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2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2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2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2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2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2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2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2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2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2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2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2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2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2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2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2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2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2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2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2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2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2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2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2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2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2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2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2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2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2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2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2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2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2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2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2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2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2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2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2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2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2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2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2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2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2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2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2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2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2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2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2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2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2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2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2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2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2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2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2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2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2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2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2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2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2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2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2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2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2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2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2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2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2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2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2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2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2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2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2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2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2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2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2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2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2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2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2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2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2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2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2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2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2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2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2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2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2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2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2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2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2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2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2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2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2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2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2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2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2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2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2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2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2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2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2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2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2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2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2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2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2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2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2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2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2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2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2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2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2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2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2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2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2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2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2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2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2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2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2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2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2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2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2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2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2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2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2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2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2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2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2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2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2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2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2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2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2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2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2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2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2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2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2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2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2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2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2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2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2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2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2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2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2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2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2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2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2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2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2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2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2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2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2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2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2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2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2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2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2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2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2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2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2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2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2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2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2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2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2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2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2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2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2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2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2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2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2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2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2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2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2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2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2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2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2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2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2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2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2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2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2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2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2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2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2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2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2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2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2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2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2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2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2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2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2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2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2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2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2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2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2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2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2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2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2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2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2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2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2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2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2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2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2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2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2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2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2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2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2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2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2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2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2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2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2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2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2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2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2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2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2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2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2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2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2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2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2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2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2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2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2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2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2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2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2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2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2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2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2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2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2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2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2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2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2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2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2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2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2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2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2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2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2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2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2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2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2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2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2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2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2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2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2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2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opLeftCell="B1" workbookViewId="0">
      <selection activeCell="Q29" sqref="Q29:Q32"/>
    </sheetView>
  </sheetViews>
  <sheetFormatPr defaultRowHeight="15" x14ac:dyDescent="0.25"/>
  <cols>
    <col min="1" max="2" style="385" width="9.140625" collapsed="true"/>
    <col min="3" max="3" bestFit="true" customWidth="true" style="385" width="12.7109375" collapsed="true"/>
    <col min="4" max="4" customWidth="true" style="384" width="18.85546875" collapsed="true"/>
    <col min="5" max="5" customWidth="true" style="385" width="6.7109375" collapsed="true"/>
    <col min="6" max="6" customWidth="true" style="385" width="12.7109375" collapsed="true"/>
    <col min="7" max="8" customWidth="true" style="384" width="18.85546875" collapsed="true"/>
    <col min="9" max="9" customWidth="true" style="384" width="6.5703125" collapsed="true"/>
    <col min="10" max="10" customWidth="true" style="384" width="10.140625" collapsed="true"/>
    <col min="11" max="11" customWidth="true" style="384" width="9.85546875" collapsed="true"/>
    <col min="12" max="14" style="385" width="9.140625" collapsed="true"/>
    <col min="15" max="15" customWidth="true" style="385" width="13.0" collapsed="true"/>
    <col min="16" max="16" customWidth="true" style="387" width="19.5703125" collapsed="true"/>
    <col min="17" max="17" customWidth="true" style="423" width="19.5703125" collapsed="true"/>
    <col min="18" max="16384" style="385" width="9.140625" collapsed="true"/>
  </cols>
  <sheetData>
    <row r="1" spans="3:23" x14ac:dyDescent="0.25">
      <c r="C1" s="10" t="s">
        <v>40</v>
      </c>
      <c r="F1" s="10" t="s">
        <v>41</v>
      </c>
      <c r="N1" s="386" t="s">
        <v>265</v>
      </c>
      <c r="S1" s="386"/>
      <c r="T1" s="386" t="s">
        <v>265</v>
      </c>
      <c r="U1" s="410"/>
      <c r="V1" s="410"/>
      <c r="W1" s="410"/>
    </row>
    <row ht="15.75" r="2" spans="3:23" thickBot="1" x14ac:dyDescent="0.3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266</v>
      </c>
      <c r="Q2" s="462" t="s">
        <v>267</v>
      </c>
      <c r="R2" s="471" t="s">
        <v>344</v>
      </c>
      <c r="T2" s="410"/>
      <c r="U2" s="386" t="s">
        <v>268</v>
      </c>
      <c r="V2"/>
      <c r="W2" s="410"/>
    </row>
    <row r="3" spans="3:23" x14ac:dyDescent="0.2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Beta000001</v>
      </c>
      <c r="P3" s="387">
        <f>OtherTourDestination!E11</f>
        <v>1</v>
      </c>
      <c r="Q3" s="426">
        <f>_xlfn.IFNA(VLOOKUP(N3,$B$43:$D$46,3,FALSE),P3)</f>
        <v>1</v>
      </c>
      <c r="R3" s="385">
        <f>IF(P3=Q3,0,1)</f>
        <v>0</v>
      </c>
      <c r="T3">
        <v>1</v>
      </c>
      <c r="U3" s="383" t="s">
        <v>269</v>
      </c>
      <c r="V3"/>
      <c r="W3" s="410"/>
    </row>
    <row r="4" spans="3:23" x14ac:dyDescent="0.25">
      <c r="C4" s="391" t="s">
        <v>47</v>
      </c>
      <c r="D4" s="392">
        <f>TLFD!B11</f>
        <v>11189.624594791831</v>
      </c>
      <c r="F4" s="391" t="s">
        <v>47</v>
      </c>
      <c r="G4" s="392">
        <f>TLFD!F11</f>
        <v>14534.999999985464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Beta000002</v>
      </c>
      <c r="P4" s="387">
        <f>OtherTourDestination!E12</f>
        <v>14.842474747500001</v>
      </c>
      <c r="Q4" s="426">
        <f>_xlfn.IFNA(VLOOKUP(N4,$B$43:$D$46,3,FALSE),P4)</f>
        <v>14.842474747500001</v>
      </c>
      <c r="R4" s="385">
        <f ref="R4:R67" si="0" t="shared">IF(P4=Q4,0,1)</f>
        <v>0</v>
      </c>
      <c r="T4">
        <v>2</v>
      </c>
      <c r="U4" s="383" t="s">
        <v>270</v>
      </c>
      <c r="V4"/>
      <c r="W4" s="410"/>
    </row>
    <row r="5" spans="3:23" x14ac:dyDescent="0.25">
      <c r="C5" s="394" t="s">
        <v>50</v>
      </c>
      <c r="D5" s="395">
        <f>TLFD!B12+TLFD!B13+(TLFD!B14/2)</f>
        <v>31785.968496856494</v>
      </c>
      <c r="F5" s="394" t="s">
        <v>50</v>
      </c>
      <c r="G5" s="395">
        <f>TLFD!F12+TLFD!F13+(TLFD!F14/2)</f>
        <v>29774.999999970227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Beta000003</v>
      </c>
      <c r="P5" s="387">
        <f>OtherTourDestination!E13</f>
        <v>5.2231850982500001E-2</v>
      </c>
      <c r="Q5" s="426">
        <f ref="Q5:Q68" si="1" t="shared">_xlfn.IFNA(VLOOKUP(N5,$B$43:$D$46,3,FALSE),P5)</f>
        <v>5.2231850982500001E-2</v>
      </c>
      <c r="R5" s="385">
        <f si="0" t="shared"/>
        <v>0</v>
      </c>
      <c r="T5">
        <v>3</v>
      </c>
      <c r="U5" s="410" t="s">
        <v>271</v>
      </c>
      <c r="V5" s="410"/>
      <c r="W5" s="410"/>
    </row>
    <row r="6" spans="3:23" x14ac:dyDescent="0.25">
      <c r="C6" s="394" t="s">
        <v>53</v>
      </c>
      <c r="D6" s="395">
        <f>(TLFD!B14/2)+SUM(TLFD!B15:B20)</f>
        <v>9510.7088831380061</v>
      </c>
      <c r="F6" s="394" t="s">
        <v>53</v>
      </c>
      <c r="G6" s="395">
        <f>(TLFD!F14/2)+SUM(TLFD!F15:F20)</f>
        <v>12934.999999987065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Beta000004</v>
      </c>
      <c r="P6" s="387">
        <f>OtherTourDestination!E14</f>
        <v>-0.28042629390099999</v>
      </c>
      <c r="Q6" s="426">
        <f si="1" t="shared"/>
        <v>-0.28042629390099999</v>
      </c>
      <c r="R6" s="385">
        <f si="0" t="shared"/>
        <v>0</v>
      </c>
      <c r="T6">
        <v>4</v>
      </c>
      <c r="U6" s="410" t="s">
        <v>272</v>
      </c>
      <c r="V6" s="410"/>
      <c r="W6" s="410"/>
    </row>
    <row r="7" spans="3:23" x14ac:dyDescent="0.25">
      <c r="C7" s="397" t="s">
        <v>56</v>
      </c>
      <c r="D7" s="398">
        <f>SUM(TLFD!B21:B101)</f>
        <v>7560.3171404251707</v>
      </c>
      <c r="F7" s="397" t="s">
        <v>56</v>
      </c>
      <c r="G7" s="398">
        <f>SUM(TLFD!F21:F101)</f>
        <v>8264.9999999917345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Beta000005</v>
      </c>
      <c r="P7" s="387">
        <f>OtherTourDestination!E15</f>
        <v>3.8864252169499999E-2</v>
      </c>
      <c r="Q7" s="426">
        <f si="1" t="shared"/>
        <v>3.8864252169499999E-2</v>
      </c>
      <c r="R7" s="385">
        <f si="0" t="shared"/>
        <v>0</v>
      </c>
      <c r="T7" s="410">
        <v>5</v>
      </c>
      <c r="U7" s="410" t="s">
        <v>273</v>
      </c>
      <c r="V7" s="410"/>
      <c r="W7" s="410"/>
    </row>
    <row ht="15.75" r="8" spans="3:23" thickBot="1" x14ac:dyDescent="0.3">
      <c r="C8" s="400" t="s">
        <v>4</v>
      </c>
      <c r="D8" s="401">
        <f>SUM(D4:D7)</f>
        <v>60046.619115211499</v>
      </c>
      <c r="E8" s="402"/>
      <c r="F8" s="400" t="s">
        <v>4</v>
      </c>
      <c r="G8" s="401">
        <f>SUM(G4:G7)</f>
        <v>65509.999999934487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Beta000006</v>
      </c>
      <c r="P8" s="387">
        <f>OtherTourDestination!E16</f>
        <v>-5.4105027761100002E-2</v>
      </c>
      <c r="Q8" s="426">
        <f si="1" t="shared"/>
        <v>-5.4105027761100002E-2</v>
      </c>
      <c r="R8" s="385">
        <f si="0" t="shared"/>
        <v>0</v>
      </c>
      <c r="T8" s="410"/>
      <c r="U8" s="410"/>
      <c r="V8" s="410"/>
      <c r="W8" s="410"/>
    </row>
    <row r="9" spans="3:23" x14ac:dyDescent="0.2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Beta000007</v>
      </c>
      <c r="P9" s="387">
        <f>OtherTourDestination!E17</f>
        <v>-1.2443107654000001</v>
      </c>
      <c r="Q9" s="426">
        <f si="1" t="shared"/>
        <v>-1.2443107654000001</v>
      </c>
      <c r="R9" s="385">
        <f si="0" t="shared"/>
        <v>0</v>
      </c>
      <c r="T9" s="410"/>
      <c r="U9" s="463" t="s">
        <v>274</v>
      </c>
      <c r="V9" s="410"/>
      <c r="W9" s="410"/>
    </row>
    <row ht="15.75" r="10" spans="3:23" thickBot="1" x14ac:dyDescent="0.3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Beta000008</v>
      </c>
      <c r="P10" s="387">
        <f>OtherTourDestination!E18</f>
        <v>0.41298170440800003</v>
      </c>
      <c r="Q10" s="426">
        <f si="1" t="shared"/>
        <v>0.41298170440800003</v>
      </c>
      <c r="R10" s="385">
        <f si="0" t="shared"/>
        <v>0</v>
      </c>
      <c r="T10" s="410">
        <v>1</v>
      </c>
      <c r="U10" s="383" t="s">
        <v>269</v>
      </c>
      <c r="V10" s="410"/>
      <c r="W10" s="410"/>
    </row>
    <row r="11" spans="3:23" x14ac:dyDescent="0.2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Beta000009</v>
      </c>
      <c r="P11" s="387">
        <f>OtherTourDestination!E19</f>
        <v>-0.26420630814700002</v>
      </c>
      <c r="Q11" s="426">
        <f si="1" t="shared"/>
        <v>-0.26420630814700002</v>
      </c>
      <c r="R11" s="385">
        <f si="0" t="shared"/>
        <v>0</v>
      </c>
      <c r="T11" s="410">
        <v>2</v>
      </c>
      <c r="U11" s="410" t="s">
        <v>275</v>
      </c>
      <c r="V11" s="410"/>
      <c r="W11" s="410"/>
    </row>
    <row r="12" spans="3:23" x14ac:dyDescent="0.25">
      <c r="C12" s="391" t="s">
        <v>47</v>
      </c>
      <c r="D12" s="405">
        <f>D4/D$8</f>
        <v>0.1863489528581499</v>
      </c>
      <c r="F12" s="391" t="s">
        <v>47</v>
      </c>
      <c r="G12" s="405">
        <f>G4/G$8</f>
        <v>0.22187452297359181</v>
      </c>
      <c r="H12" s="405"/>
      <c r="I12" s="441">
        <f>D12/G12</f>
        <v>0.83988441016425186</v>
      </c>
      <c r="J12" s="442">
        <f>LN(I12)</f>
        <v>-0.17449100356080161</v>
      </c>
      <c r="K12" s="442">
        <f>K8*J12</f>
        <v>-0.17449100356080161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Beta000010</v>
      </c>
      <c r="P12" s="387">
        <f>OtherTourDestination!E20</f>
        <v>-0.35872692861799998</v>
      </c>
      <c r="Q12" s="426">
        <f si="1" t="shared"/>
        <v>-0.35872692861799998</v>
      </c>
      <c r="R12" s="385">
        <f si="0" t="shared"/>
        <v>0</v>
      </c>
      <c r="T12" s="410">
        <v>3</v>
      </c>
      <c r="U12" s="410" t="s">
        <v>276</v>
      </c>
      <c r="V12" s="410"/>
      <c r="W12" s="410"/>
    </row>
    <row r="13" spans="3:23" x14ac:dyDescent="0.25">
      <c r="C13" s="394" t="s">
        <v>50</v>
      </c>
      <c r="D13" s="406">
        <f ref="D13:D16" si="2" t="shared">D5/D$8</f>
        <v>0.52935484070916183</v>
      </c>
      <c r="F13" s="394" t="s">
        <v>50</v>
      </c>
      <c r="G13" s="406">
        <f ref="G13:G16" si="3" t="shared">G5/G$8</f>
        <v>0.45451076171576865</v>
      </c>
      <c r="H13" s="406"/>
      <c r="I13" s="441">
        <f ref="I13:I15" si="4" t="shared">D13/G13</f>
        <v>1.1646695420606947</v>
      </c>
      <c r="J13" s="442">
        <f ref="J13:J15" si="5" t="shared">LN(I13)</f>
        <v>0.15243739189648434</v>
      </c>
      <c r="K13" s="442">
        <f>K8*(J13-J12)</f>
        <v>0.32692839545728591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Beta000011</v>
      </c>
      <c r="P13" s="387">
        <f>OtherTourDestination!E21</f>
        <v>0.20317681554899999</v>
      </c>
      <c r="Q13" s="426">
        <f si="1" t="shared"/>
        <v>0.20317681554899999</v>
      </c>
      <c r="R13" s="385">
        <f si="0" t="shared"/>
        <v>0</v>
      </c>
      <c r="T13" s="410">
        <v>4</v>
      </c>
      <c r="U13" s="410" t="s">
        <v>277</v>
      </c>
      <c r="V13" s="410"/>
      <c r="W13" s="410"/>
    </row>
    <row r="14" spans="3:23" x14ac:dyDescent="0.25">
      <c r="C14" s="394" t="s">
        <v>53</v>
      </c>
      <c r="D14" s="406">
        <f si="2" t="shared"/>
        <v>0.15838874899667207</v>
      </c>
      <c r="F14" s="394" t="s">
        <v>53</v>
      </c>
      <c r="G14" s="406">
        <f si="3" t="shared"/>
        <v>0.19745077087467564</v>
      </c>
      <c r="H14" s="406"/>
      <c r="I14" s="441">
        <f si="4" t="shared"/>
        <v>0.80216829893869246</v>
      </c>
      <c r="J14" s="442">
        <f si="5" t="shared"/>
        <v>-0.22043684408011602</v>
      </c>
      <c r="K14" s="442">
        <f>K8*(J14-J13-J12)</f>
        <v>-0.19838323241579875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Beta000012</v>
      </c>
      <c r="P14" s="387">
        <f>OtherTourDestination!E22</f>
        <v>-0.25772334575</v>
      </c>
      <c r="Q14" s="426">
        <f si="1" t="shared"/>
        <v>-0.25772334575</v>
      </c>
      <c r="R14" s="385">
        <f si="0" t="shared"/>
        <v>0</v>
      </c>
      <c r="T14" s="410">
        <v>5</v>
      </c>
      <c r="U14" s="383" t="s">
        <v>278</v>
      </c>
      <c r="V14" s="410"/>
      <c r="W14" s="410"/>
    </row>
    <row ht="15.75" r="15" spans="3:23" thickBot="1" x14ac:dyDescent="0.3">
      <c r="C15" s="397" t="s">
        <v>56</v>
      </c>
      <c r="D15" s="406">
        <f si="2" t="shared"/>
        <v>0.12590745743601622</v>
      </c>
      <c r="F15" s="397" t="s">
        <v>56</v>
      </c>
      <c r="G15" s="406">
        <f si="3" t="shared"/>
        <v>0.12616394443596396</v>
      </c>
      <c r="H15" s="406"/>
      <c r="I15" s="443">
        <f si="4" t="shared"/>
        <v>0.99796703407542942</v>
      </c>
      <c r="J15" s="444">
        <f si="5" t="shared"/>
        <v>-2.0350352047889052E-3</v>
      </c>
      <c r="K15" s="444">
        <f>K8*(J15-J14-J13-J12)</f>
        <v>0.24045542053964439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Beta000013</v>
      </c>
      <c r="P15" s="387">
        <f>OtherTourDestination!E23</f>
        <v>-1.51291507531</v>
      </c>
      <c r="Q15" s="426">
        <f si="1" t="shared"/>
        <v>-1.51291507531</v>
      </c>
      <c r="R15" s="385">
        <f si="0" t="shared"/>
        <v>0</v>
      </c>
      <c r="T15" s="410">
        <v>6</v>
      </c>
      <c r="U15" s="410" t="s">
        <v>279</v>
      </c>
      <c r="V15" s="410"/>
      <c r="W15" s="410"/>
    </row>
    <row ht="15.75" r="16" spans="3:23" thickBot="1" x14ac:dyDescent="0.3">
      <c r="C16" s="400" t="s">
        <v>4</v>
      </c>
      <c r="D16" s="408">
        <f si="2" t="shared"/>
        <v>1</v>
      </c>
      <c r="E16" s="402"/>
      <c r="F16" s="400" t="s">
        <v>4</v>
      </c>
      <c r="G16" s="408">
        <f si="3" t="shared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Beta000014</v>
      </c>
      <c r="P16" s="387">
        <f>OtherTourDestination!E24</f>
        <v>-0.21776561918199999</v>
      </c>
      <c r="Q16" s="426">
        <f si="1" t="shared"/>
        <v>-0.21776561918199999</v>
      </c>
      <c r="R16" s="385">
        <f si="0" t="shared"/>
        <v>0</v>
      </c>
      <c r="T16" s="410">
        <v>7</v>
      </c>
      <c r="U16" s="410" t="s">
        <v>272</v>
      </c>
      <c r="V16" s="410"/>
      <c r="W16" s="410"/>
    </row>
    <row r="17" spans="2:23" x14ac:dyDescent="0.2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Beta000015</v>
      </c>
      <c r="P17" s="387">
        <f>OtherTourDestination!E25</f>
        <v>-1.27163179208</v>
      </c>
      <c r="Q17" s="426">
        <f si="1" t="shared"/>
        <v>-1.27163179208</v>
      </c>
      <c r="R17" s="385">
        <f si="0" t="shared"/>
        <v>0</v>
      </c>
      <c r="T17" s="410">
        <v>8</v>
      </c>
      <c r="U17" s="410" t="s">
        <v>280</v>
      </c>
      <c r="V17" s="410"/>
      <c r="W17" s="410"/>
    </row>
    <row r="18" spans="2:23" x14ac:dyDescent="0.2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Beta000016</v>
      </c>
      <c r="P18" s="387">
        <f>OtherTourDestination!E26</f>
        <v>-0.54089688480800002</v>
      </c>
      <c r="Q18" s="426">
        <f si="1" t="shared"/>
        <v>-0.54089688480800002</v>
      </c>
      <c r="R18" s="385">
        <f si="0" t="shared"/>
        <v>0</v>
      </c>
    </row>
    <row r="19" spans="2:23" x14ac:dyDescent="0.2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Beta000017</v>
      </c>
      <c r="P19" s="387">
        <f>OtherTourDestination!E27</f>
        <v>0</v>
      </c>
      <c r="Q19" s="426">
        <f si="1" t="shared"/>
        <v>0</v>
      </c>
      <c r="R19" s="385">
        <f si="0" t="shared"/>
        <v>0</v>
      </c>
    </row>
    <row r="20" spans="2:23" x14ac:dyDescent="0.2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Beta000018</v>
      </c>
      <c r="P20" s="387">
        <f>OtherTourDestination!E28</f>
        <v>0</v>
      </c>
      <c r="Q20" s="426">
        <f si="1" t="shared"/>
        <v>0</v>
      </c>
      <c r="R20" s="385">
        <f si="0" t="shared"/>
        <v>0</v>
      </c>
    </row>
    <row ht="15.75" r="21" spans="2:23" thickBot="1" x14ac:dyDescent="0.3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Beta000019</v>
      </c>
      <c r="P21" s="387">
        <f>OtherTourDestination!E29</f>
        <v>0</v>
      </c>
      <c r="Q21" s="426">
        <f si="1" t="shared"/>
        <v>0</v>
      </c>
      <c r="R21" s="385">
        <f si="0" t="shared"/>
        <v>0</v>
      </c>
    </row>
    <row r="22" spans="2:23" x14ac:dyDescent="0.2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Beta000020</v>
      </c>
      <c r="P22" s="387">
        <f>OtherTourDestination!E30</f>
        <v>0.43763139961699998</v>
      </c>
      <c r="Q22" s="426">
        <f si="1" t="shared"/>
        <v>0.43763139961699998</v>
      </c>
      <c r="R22" s="385">
        <f si="0" t="shared"/>
        <v>0</v>
      </c>
    </row>
    <row r="23" spans="2:23" x14ac:dyDescent="0.25">
      <c r="B23" s="448">
        <v>27</v>
      </c>
      <c r="C23" s="391" t="s">
        <v>47</v>
      </c>
      <c r="D23" s="465">
        <f>VLOOKUP($B23,$N:$P,3,FALSE)</f>
        <v>-16.041405463699999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Beta000021</v>
      </c>
      <c r="P23" s="387">
        <f>OtherTourDestination!E31</f>
        <v>-5.1729505125899999</v>
      </c>
      <c r="Q23" s="426">
        <f si="1" t="shared"/>
        <v>-5.1729505125899999</v>
      </c>
      <c r="R23" s="385">
        <f si="0" t="shared"/>
        <v>0</v>
      </c>
    </row>
    <row r="24" spans="2:23" x14ac:dyDescent="0.25">
      <c r="B24" s="448">
        <v>28</v>
      </c>
      <c r="C24" s="394" t="s">
        <v>50</v>
      </c>
      <c r="D24" s="465">
        <f ref="D24:D26" si="6" t="shared">VLOOKUP($B24,$N:$P,3,FALSE)</f>
        <v>-4.0058838759500004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Beta000022</v>
      </c>
      <c r="P24" s="387">
        <f>OtherTourDestination!E32</f>
        <v>-5.9112646193599998</v>
      </c>
      <c r="Q24" s="426">
        <f si="1" t="shared"/>
        <v>-5.9112646193599998</v>
      </c>
      <c r="R24" s="385">
        <f si="0" t="shared"/>
        <v>0</v>
      </c>
    </row>
    <row r="25" spans="2:23" x14ac:dyDescent="0.25">
      <c r="B25" s="448">
        <v>29</v>
      </c>
      <c r="C25" s="394" t="s">
        <v>53</v>
      </c>
      <c r="D25" s="465">
        <f si="6" t="shared"/>
        <v>-2.2602358254700001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Beta000023</v>
      </c>
      <c r="P25" s="387">
        <f>OtherTourDestination!E33</f>
        <v>-4.3510480079200002</v>
      </c>
      <c r="Q25" s="426">
        <f si="1" t="shared"/>
        <v>-4.3510480079200002</v>
      </c>
      <c r="R25" s="385">
        <f si="0" t="shared"/>
        <v>0</v>
      </c>
    </row>
    <row ht="15.75" r="26" spans="2:23" thickBot="1" x14ac:dyDescent="0.3">
      <c r="B26" s="449">
        <v>30</v>
      </c>
      <c r="C26" s="414" t="s">
        <v>56</v>
      </c>
      <c r="D26" s="466">
        <f si="6" t="shared"/>
        <v>-0.57131171698200001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Beta000024</v>
      </c>
      <c r="P26" s="387">
        <f>OtherTourDestination!E34</f>
        <v>0.219929989326</v>
      </c>
      <c r="Q26" s="426">
        <f si="1" t="shared"/>
        <v>0.219929989326</v>
      </c>
      <c r="R26" s="385">
        <f si="0" t="shared"/>
        <v>0</v>
      </c>
    </row>
    <row r="27" spans="2:23" x14ac:dyDescent="0.2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Beta000025</v>
      </c>
      <c r="P27" s="387">
        <f>OtherTourDestination!E35</f>
        <v>-0.19965371290799999</v>
      </c>
      <c r="Q27" s="426">
        <f si="1" t="shared"/>
        <v>-0.19965371290799999</v>
      </c>
      <c r="R27" s="385">
        <f si="0" t="shared"/>
        <v>0</v>
      </c>
    </row>
    <row r="28" spans="2:23" x14ac:dyDescent="0.2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Beta000026</v>
      </c>
      <c r="P28" s="387">
        <f>OtherTourDestination!E36</f>
        <v>0.456947594269</v>
      </c>
      <c r="Q28" s="426">
        <f si="1" t="shared"/>
        <v>0.456947594269</v>
      </c>
      <c r="R28" s="385">
        <f si="0" t="shared"/>
        <v>0</v>
      </c>
    </row>
    <row r="29" spans="2:23" x14ac:dyDescent="0.2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Beta000027</v>
      </c>
      <c r="P29" s="428">
        <f>OtherTourDestination!E37</f>
        <v>-16.041405463699999</v>
      </c>
      <c r="Q29" s="429">
        <f si="1" t="shared"/>
        <v>-16.215896467260801</v>
      </c>
      <c r="R29" s="385">
        <f si="0" t="shared"/>
        <v>1</v>
      </c>
      <c r="S29" s="385" t="str">
        <f>VLOOKUP(N29,Coeff_Descr!$A$2:$E$104,4,FALSE)</f>
        <v>distanceFromOrigin4</v>
      </c>
    </row>
    <row r="30" spans="2:23" x14ac:dyDescent="0.2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Beta000028</v>
      </c>
      <c r="P30" s="428">
        <f>OtherTourDestination!E38</f>
        <v>-4.0058838759500004</v>
      </c>
      <c r="Q30" s="429">
        <f si="1" t="shared"/>
        <v>-3.6789554804927143</v>
      </c>
      <c r="R30" s="385">
        <f si="0" t="shared"/>
        <v>1</v>
      </c>
      <c r="S30" s="385" t="str">
        <f>VLOOKUP(N30,Coeff_Descr!$A$2:$E$104,4,FALSE)</f>
        <v>distanceFromOrigin8</v>
      </c>
    </row>
    <row ht="15.75" r="31" spans="2:23" thickBot="1" x14ac:dyDescent="0.3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Beta000029</v>
      </c>
      <c r="P31" s="428">
        <f>OtherTourDestination!E39</f>
        <v>-2.2602358254700001</v>
      </c>
      <c r="Q31" s="429">
        <f si="1" t="shared"/>
        <v>-2.4586190578857989</v>
      </c>
      <c r="R31" s="385">
        <f si="0" t="shared"/>
        <v>1</v>
      </c>
      <c r="S31" s="385" t="str">
        <f>VLOOKUP(N31,Coeff_Descr!$A$2:$E$104,4,FALSE)</f>
        <v>distanceFromOrigin9</v>
      </c>
    </row>
    <row r="32" spans="2:23" x14ac:dyDescent="0.2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Beta000030</v>
      </c>
      <c r="P32" s="428">
        <f>OtherTourDestination!E40</f>
        <v>-0.57131171698200001</v>
      </c>
      <c r="Q32" s="429">
        <f si="1" t="shared"/>
        <v>-0.33085629644235559</v>
      </c>
      <c r="R32" s="385">
        <f si="0" t="shared"/>
        <v>1</v>
      </c>
      <c r="S32" s="385" t="str">
        <f>VLOOKUP(N32,Coeff_Descr!$A$2:$E$104,4,FALSE)</f>
        <v>distanceFromOrigin3</v>
      </c>
    </row>
    <row r="33" spans="2:18" x14ac:dyDescent="0.25">
      <c r="B33" s="448">
        <f>B23</f>
        <v>27</v>
      </c>
      <c r="C33" s="391" t="s">
        <v>47</v>
      </c>
      <c r="D33" s="467">
        <f>K12</f>
        <v>-0.17449100356080161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Beta000031</v>
      </c>
      <c r="P33" s="387">
        <f>OtherTourDestination!E41</f>
        <v>-9.1432405138999993E-3</v>
      </c>
      <c r="Q33" s="426">
        <f si="1" t="shared"/>
        <v>-9.1432405138999993E-3</v>
      </c>
      <c r="R33" s="385">
        <f si="0" t="shared"/>
        <v>0</v>
      </c>
    </row>
    <row r="34" spans="2:18" x14ac:dyDescent="0.25">
      <c r="B34" s="448">
        <f ref="B34:B36" si="7" t="shared">B24</f>
        <v>28</v>
      </c>
      <c r="C34" s="394" t="s">
        <v>50</v>
      </c>
      <c r="D34" s="468">
        <f ref="D34:D36" si="8" t="shared">K13</f>
        <v>0.32692839545728591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Beta000032</v>
      </c>
      <c r="P34" s="387">
        <f>OtherTourDestination!E42</f>
        <v>-0.11638214876</v>
      </c>
      <c r="Q34" s="426">
        <f si="1" t="shared"/>
        <v>-0.11638214876</v>
      </c>
      <c r="R34" s="385">
        <f si="0" t="shared"/>
        <v>0</v>
      </c>
    </row>
    <row r="35" spans="2:18" x14ac:dyDescent="0.25">
      <c r="B35" s="448">
        <f si="7" t="shared"/>
        <v>29</v>
      </c>
      <c r="C35" s="394" t="s">
        <v>53</v>
      </c>
      <c r="D35" s="468">
        <f si="8" t="shared"/>
        <v>-0.19838323241579875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Beta000033</v>
      </c>
      <c r="P35" s="387">
        <f>OtherTourDestination!E43</f>
        <v>5.6920874310099998E-2</v>
      </c>
      <c r="Q35" s="426">
        <f si="1" t="shared"/>
        <v>5.6920874310099998E-2</v>
      </c>
      <c r="R35" s="385">
        <f si="0" t="shared"/>
        <v>0</v>
      </c>
    </row>
    <row ht="15.75" r="36" spans="2:18" thickBot="1" x14ac:dyDescent="0.3">
      <c r="B36" s="450">
        <f si="7" t="shared"/>
        <v>30</v>
      </c>
      <c r="C36" s="414" t="s">
        <v>56</v>
      </c>
      <c r="D36" s="415">
        <f si="8" t="shared"/>
        <v>0.24045542053964439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Beta000034</v>
      </c>
      <c r="P36" s="387">
        <f>OtherTourDestination!E44</f>
        <v>-1.9362324458399999E-2</v>
      </c>
      <c r="Q36" s="426">
        <f si="1" t="shared"/>
        <v>-1.9362324458399999E-2</v>
      </c>
      <c r="R36" s="385">
        <f si="0" t="shared"/>
        <v>0</v>
      </c>
    </row>
    <row ht="15.75" r="37" spans="2:18" thickTop="1" x14ac:dyDescent="0.2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Beta000035</v>
      </c>
      <c r="P37" s="387">
        <f>OtherTourDestination!E45</f>
        <v>1.8323476485999999E-2</v>
      </c>
      <c r="Q37" s="426">
        <f si="1" t="shared"/>
        <v>1.8323476485999999E-2</v>
      </c>
      <c r="R37" s="385">
        <f si="0" t="shared"/>
        <v>0</v>
      </c>
    </row>
    <row r="38" spans="2:18" x14ac:dyDescent="0.2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Beta000036</v>
      </c>
      <c r="P38" s="387">
        <f>OtherTourDestination!E46</f>
        <v>2.3040582229000002</v>
      </c>
      <c r="Q38" s="426">
        <f si="1" t="shared"/>
        <v>2.3040582229000002</v>
      </c>
      <c r="R38" s="385">
        <f si="0" t="shared"/>
        <v>0</v>
      </c>
    </row>
    <row r="39" spans="2:18" x14ac:dyDescent="0.2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Beta000037</v>
      </c>
      <c r="P39" s="464">
        <f>OtherTourDestination!E47</f>
        <v>-7.2225250615199998</v>
      </c>
      <c r="Q39" s="426">
        <f si="1" t="shared"/>
        <v>-7.2225250615199998</v>
      </c>
      <c r="R39" s="385">
        <f si="0" t="shared"/>
        <v>0</v>
      </c>
    </row>
    <row r="40" spans="2:18" x14ac:dyDescent="0.2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Beta000038</v>
      </c>
      <c r="P40" s="464">
        <f>OtherTourDestination!E48</f>
        <v>-5.4693439766900003</v>
      </c>
      <c r="Q40" s="426">
        <f si="1" t="shared"/>
        <v>-5.4693439766900003</v>
      </c>
      <c r="R40" s="385">
        <f si="0" t="shared"/>
        <v>0</v>
      </c>
    </row>
    <row ht="15.75" r="41" spans="2:18" thickBot="1" x14ac:dyDescent="0.3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Beta000039</v>
      </c>
      <c r="P41" s="464">
        <f>OtherTourDestination!E49</f>
        <v>-2.4179033783600001</v>
      </c>
      <c r="Q41" s="426">
        <f si="1" t="shared"/>
        <v>-2.4179033783600001</v>
      </c>
      <c r="R41" s="385">
        <f si="0" t="shared"/>
        <v>0</v>
      </c>
    </row>
    <row r="42" spans="2:18" x14ac:dyDescent="0.2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Beta000040</v>
      </c>
      <c r="P42" s="464">
        <f>OtherTourDestination!E50</f>
        <v>-0.24529497763800001</v>
      </c>
      <c r="Q42" s="426">
        <f si="1" t="shared"/>
        <v>-0.24529497763800001</v>
      </c>
      <c r="R42" s="385">
        <f si="0" t="shared"/>
        <v>0</v>
      </c>
    </row>
    <row r="43" spans="2:18" x14ac:dyDescent="0.25">
      <c r="B43" s="448">
        <f>B33</f>
        <v>27</v>
      </c>
      <c r="C43" s="391" t="s">
        <v>47</v>
      </c>
      <c r="D43" s="469">
        <f>D23+D33</f>
        <v>-16.215896467260801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Beta000041</v>
      </c>
      <c r="P43" s="387">
        <f>OtherTourDestination!E51</f>
        <v>-0.100545011408</v>
      </c>
      <c r="Q43" s="426">
        <f si="1" t="shared"/>
        <v>-0.100545011408</v>
      </c>
      <c r="R43" s="385">
        <f si="0" t="shared"/>
        <v>0</v>
      </c>
    </row>
    <row r="44" spans="2:18" x14ac:dyDescent="0.25">
      <c r="B44" s="448">
        <f ref="B44:B46" si="9" t="shared">B34</f>
        <v>28</v>
      </c>
      <c r="C44" s="394" t="s">
        <v>50</v>
      </c>
      <c r="D44" s="469">
        <f ref="D44:D46" si="10" t="shared">D24+D34</f>
        <v>-3.6789554804927143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Beta000042</v>
      </c>
      <c r="P44" s="387">
        <f>OtherTourDestination!E52</f>
        <v>0.10049185695100001</v>
      </c>
      <c r="Q44" s="426">
        <f si="1" t="shared"/>
        <v>0.10049185695100001</v>
      </c>
      <c r="R44" s="385">
        <f si="0" t="shared"/>
        <v>0</v>
      </c>
    </row>
    <row r="45" spans="2:18" x14ac:dyDescent="0.25">
      <c r="B45" s="448">
        <f si="9" t="shared"/>
        <v>29</v>
      </c>
      <c r="C45" s="394" t="s">
        <v>53</v>
      </c>
      <c r="D45" s="469">
        <f si="10" t="shared"/>
        <v>-2.4586190578857989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Beta000043</v>
      </c>
      <c r="P45" s="387">
        <f>OtherTourDestination!E53</f>
        <v>1.7655971612000001</v>
      </c>
      <c r="Q45" s="426">
        <f si="1" t="shared"/>
        <v>1.7655971612000001</v>
      </c>
      <c r="R45" s="385">
        <f si="0" t="shared"/>
        <v>0</v>
      </c>
    </row>
    <row ht="15.75" r="46" spans="2:18" thickBot="1" x14ac:dyDescent="0.3">
      <c r="B46" s="450">
        <f si="9" t="shared"/>
        <v>30</v>
      </c>
      <c r="C46" s="414" t="s">
        <v>56</v>
      </c>
      <c r="D46" s="470">
        <f si="10" t="shared"/>
        <v>-0.33085629644235559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Beta000044</v>
      </c>
      <c r="P46" s="387">
        <f>OtherTourDestination!E54</f>
        <v>-13.482142205440001</v>
      </c>
      <c r="Q46" s="426">
        <f si="1" t="shared"/>
        <v>-13.482142205440001</v>
      </c>
      <c r="R46" s="385">
        <f si="0" t="shared"/>
        <v>0</v>
      </c>
    </row>
    <row ht="15.75" r="47" spans="2:18" thickTop="1" x14ac:dyDescent="0.2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Beta000045</v>
      </c>
      <c r="P47" s="387">
        <f>OtherTourDestination!E55</f>
        <v>-5.7740636752999999</v>
      </c>
      <c r="Q47" s="426">
        <f si="1" t="shared"/>
        <v>-5.7740636752999999</v>
      </c>
      <c r="R47" s="385">
        <f si="0" t="shared"/>
        <v>0</v>
      </c>
    </row>
    <row r="48" spans="2:18" x14ac:dyDescent="0.2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Beta000046</v>
      </c>
      <c r="P48" s="387">
        <f>OtherTourDestination!E56</f>
        <v>-3.2513620839500001</v>
      </c>
      <c r="Q48" s="426">
        <f si="1" t="shared"/>
        <v>-3.2513620839500001</v>
      </c>
      <c r="R48" s="385">
        <f si="0" t="shared"/>
        <v>0</v>
      </c>
    </row>
    <row r="49" spans="13:18" x14ac:dyDescent="0.2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Beta000047</v>
      </c>
      <c r="P49" s="387">
        <f>OtherTourDestination!E57</f>
        <v>-0.81757689945000001</v>
      </c>
      <c r="Q49" s="426">
        <f si="1" t="shared"/>
        <v>-0.81757689945000001</v>
      </c>
      <c r="R49" s="385">
        <f si="0" t="shared"/>
        <v>0</v>
      </c>
    </row>
    <row r="50" spans="13:18" x14ac:dyDescent="0.2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Beta000048</v>
      </c>
      <c r="P50" s="387">
        <f>OtherTourDestination!E58</f>
        <v>0.63335958983999996</v>
      </c>
      <c r="Q50" s="426">
        <f si="1" t="shared"/>
        <v>0.63335958983999996</v>
      </c>
      <c r="R50" s="385">
        <f si="0" t="shared"/>
        <v>0</v>
      </c>
    </row>
    <row r="51" spans="13:18" x14ac:dyDescent="0.2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Beta000049</v>
      </c>
      <c r="P51" s="387">
        <f>OtherTourDestination!E59</f>
        <v>0.54194850979700004</v>
      </c>
      <c r="Q51" s="426">
        <f si="1" t="shared"/>
        <v>0.54194850979700004</v>
      </c>
      <c r="R51" s="385">
        <f si="0" t="shared"/>
        <v>0</v>
      </c>
    </row>
    <row r="52" spans="13:18" x14ac:dyDescent="0.2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Beta000050</v>
      </c>
      <c r="P52" s="464">
        <f>OtherTourDestination!E60</f>
        <v>-26.641935956609998</v>
      </c>
      <c r="Q52" s="426">
        <f si="1" t="shared"/>
        <v>-26.641935956609998</v>
      </c>
      <c r="R52" s="385">
        <f si="0" t="shared"/>
        <v>0</v>
      </c>
    </row>
    <row r="53" spans="13:18" x14ac:dyDescent="0.2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Beta000051</v>
      </c>
      <c r="P53" s="464">
        <f>OtherTourDestination!E61</f>
        <v>-5.8569921168899999</v>
      </c>
      <c r="Q53" s="426">
        <f si="1" t="shared"/>
        <v>-5.8569921168899999</v>
      </c>
      <c r="R53" s="385">
        <f si="0" t="shared"/>
        <v>0</v>
      </c>
    </row>
    <row r="54" spans="13:18" x14ac:dyDescent="0.2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Beta000052</v>
      </c>
      <c r="P54" s="464">
        <f>OtherTourDestination!E62</f>
        <v>-3.0622160410500001</v>
      </c>
      <c r="Q54" s="426">
        <f si="1" t="shared"/>
        <v>-3.0622160410500001</v>
      </c>
      <c r="R54" s="385">
        <f si="0" t="shared"/>
        <v>0</v>
      </c>
    </row>
    <row r="55" spans="13:18" x14ac:dyDescent="0.2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Beta000053</v>
      </c>
      <c r="P55" s="464">
        <f>OtherTourDestination!E63</f>
        <v>-1.4592147580599999</v>
      </c>
      <c r="Q55" s="426">
        <f si="1" t="shared"/>
        <v>-1.4592147580599999</v>
      </c>
      <c r="R55" s="385">
        <f si="0" t="shared"/>
        <v>0</v>
      </c>
    </row>
    <row r="56" spans="13:18" x14ac:dyDescent="0.2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Beta000054</v>
      </c>
      <c r="P56" s="387">
        <f>OtherTourDestination!E64</f>
        <v>-0.160744421114</v>
      </c>
      <c r="Q56" s="426">
        <f si="1" t="shared"/>
        <v>-0.160744421114</v>
      </c>
      <c r="R56" s="385">
        <f si="0" t="shared"/>
        <v>0</v>
      </c>
    </row>
    <row r="57" spans="13:18" x14ac:dyDescent="0.2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Beta000055</v>
      </c>
      <c r="P57" s="387">
        <f>OtherTourDestination!E65</f>
        <v>0.101769944302</v>
      </c>
      <c r="Q57" s="426">
        <f si="1" t="shared"/>
        <v>0.101769944302</v>
      </c>
      <c r="R57" s="385">
        <f si="0" t="shared"/>
        <v>0</v>
      </c>
    </row>
    <row r="58" spans="13:18" x14ac:dyDescent="0.2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Beta000056</v>
      </c>
      <c r="P58" s="387">
        <f>OtherTourDestination!E66</f>
        <v>-7.3004796389399995E-2</v>
      </c>
      <c r="Q58" s="426">
        <f si="1" t="shared"/>
        <v>-7.3004796389399995E-2</v>
      </c>
      <c r="R58" s="385">
        <f si="0" t="shared"/>
        <v>0</v>
      </c>
    </row>
    <row r="59" spans="13:18" x14ac:dyDescent="0.2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Beta000057</v>
      </c>
      <c r="P59" s="387">
        <f>OtherTourDestination!E67</f>
        <v>4.7664283443500002E-2</v>
      </c>
      <c r="Q59" s="426">
        <f si="1" t="shared"/>
        <v>4.7664283443500002E-2</v>
      </c>
      <c r="R59" s="385">
        <f si="0" t="shared"/>
        <v>0</v>
      </c>
    </row>
    <row r="60" spans="13:18" x14ac:dyDescent="0.25">
      <c r="M60" s="385" t="str">
        <f>VLOOKUP(N60,Coeff_Descr!$A:$D,3,FALSE)</f>
        <v>ESCORT</v>
      </c>
      <c r="N60" s="385">
        <f>OtherTourDestination!B68</f>
        <v>70</v>
      </c>
      <c r="O60" s="385" t="str">
        <f>OtherTourDestination!C68</f>
        <v>LSM_0070</v>
      </c>
      <c r="P60" s="387">
        <f>OtherTourDestination!E68</f>
        <v>0.70165957865100004</v>
      </c>
      <c r="Q60" s="426">
        <f si="1" t="shared"/>
        <v>0.70165957865100004</v>
      </c>
      <c r="R60" s="385">
        <f si="0" t="shared"/>
        <v>0</v>
      </c>
    </row>
    <row r="61" spans="13:18" x14ac:dyDescent="0.25">
      <c r="M61" s="385" t="str">
        <f>VLOOKUP(N61,Coeff_Descr!$A:$D,3,FALSE)</f>
        <v>ESCORT</v>
      </c>
      <c r="N61" s="385">
        <f>OtherTourDestination!B69</f>
        <v>71</v>
      </c>
      <c r="O61" s="385" t="str">
        <f>OtherTourDestination!C69</f>
        <v>Gamma071</v>
      </c>
      <c r="P61" s="387">
        <f>OtherTourDestination!E69</f>
        <v>0</v>
      </c>
      <c r="Q61" s="426">
        <f si="1" t="shared"/>
        <v>0</v>
      </c>
      <c r="R61" s="385">
        <f si="0" t="shared"/>
        <v>0</v>
      </c>
    </row>
    <row r="62" spans="13:18" x14ac:dyDescent="0.25">
      <c r="M62" s="385" t="str">
        <f>VLOOKUP(N62,Coeff_Descr!$A:$D,3,FALSE)</f>
        <v>ESCORT</v>
      </c>
      <c r="N62" s="385">
        <f>OtherTourDestination!B70</f>
        <v>72</v>
      </c>
      <c r="O62" s="385" t="str">
        <f>OtherTourDestination!C70</f>
        <v>Gamma072</v>
      </c>
      <c r="P62" s="387">
        <f>OtherTourDestination!E70</f>
        <v>0</v>
      </c>
      <c r="Q62" s="426">
        <f si="1" t="shared"/>
        <v>0</v>
      </c>
      <c r="R62" s="385">
        <f si="0" t="shared"/>
        <v>0</v>
      </c>
    </row>
    <row r="63" spans="13:18" x14ac:dyDescent="0.25">
      <c r="M63" s="385" t="str">
        <f>VLOOKUP(N63,Coeff_Descr!$A:$D,3,FALSE)</f>
        <v>ESCORT</v>
      </c>
      <c r="N63" s="385">
        <f>OtherTourDestination!B71</f>
        <v>73</v>
      </c>
      <c r="O63" s="385" t="str">
        <f>OtherTourDestination!C71</f>
        <v>Gamma073</v>
      </c>
      <c r="P63" s="387">
        <f>OtherTourDestination!E71</f>
        <v>-1.0451393946200001</v>
      </c>
      <c r="Q63" s="426">
        <f si="1" t="shared"/>
        <v>-1.0451393946200001</v>
      </c>
      <c r="R63" s="385">
        <f si="0" t="shared"/>
        <v>0</v>
      </c>
    </row>
    <row r="64" spans="13:18" x14ac:dyDescent="0.25">
      <c r="M64" s="385" t="str">
        <f>VLOOKUP(N64,Coeff_Descr!$A:$D,3,FALSE)</f>
        <v>ESCORT</v>
      </c>
      <c r="N64" s="385">
        <f>OtherTourDestination!B72</f>
        <v>74</v>
      </c>
      <c r="O64" s="385" t="str">
        <f>OtherTourDestination!C72</f>
        <v>Gamma074</v>
      </c>
      <c r="P64" s="387">
        <f>OtherTourDestination!E72</f>
        <v>0</v>
      </c>
      <c r="Q64" s="426">
        <f si="1" t="shared"/>
        <v>0</v>
      </c>
      <c r="R64" s="385">
        <f si="0" t="shared"/>
        <v>0</v>
      </c>
    </row>
    <row r="65" spans="13:18" x14ac:dyDescent="0.25">
      <c r="M65" s="385" t="str">
        <f>VLOOKUP(N65,Coeff_Descr!$A:$D,3,FALSE)</f>
        <v>ESCORT</v>
      </c>
      <c r="N65" s="385">
        <f>OtherTourDestination!B73</f>
        <v>75</v>
      </c>
      <c r="O65" s="385" t="str">
        <f>OtherTourDestination!C73</f>
        <v>Gamma075</v>
      </c>
      <c r="P65" s="387">
        <f>OtherTourDestination!E73</f>
        <v>-0.200987204384</v>
      </c>
      <c r="Q65" s="426">
        <f si="1" t="shared"/>
        <v>-0.200987204384</v>
      </c>
      <c r="R65" s="385">
        <f si="0" t="shared"/>
        <v>0</v>
      </c>
    </row>
    <row r="66" spans="13:18" x14ac:dyDescent="0.25">
      <c r="M66" s="385" t="str">
        <f>VLOOKUP(N66,Coeff_Descr!$A:$D,3,FALSE)</f>
        <v>ESCORT</v>
      </c>
      <c r="N66" s="385">
        <f>OtherTourDestination!B74</f>
        <v>76</v>
      </c>
      <c r="O66" s="385" t="str">
        <f>OtherTourDestination!C74</f>
        <v>Gamma076</v>
      </c>
      <c r="P66" s="387">
        <f>OtherTourDestination!E74</f>
        <v>-0.24680877359100001</v>
      </c>
      <c r="Q66" s="426">
        <f si="1" t="shared"/>
        <v>-0.24680877359100001</v>
      </c>
      <c r="R66" s="385">
        <f si="0" t="shared"/>
        <v>0</v>
      </c>
    </row>
    <row r="67" spans="13:18" x14ac:dyDescent="0.25">
      <c r="M67" s="385" t="str">
        <f>VLOOKUP(N67,Coeff_Descr!$A:$D,3,FALSE)</f>
        <v>ESCORT</v>
      </c>
      <c r="N67" s="385">
        <f>OtherTourDestination!B75</f>
        <v>77</v>
      </c>
      <c r="O67" s="385" t="str">
        <f>OtherTourDestination!C75</f>
        <v>Gamma077</v>
      </c>
      <c r="P67" s="387">
        <f>OtherTourDestination!E75</f>
        <v>0.105207287565</v>
      </c>
      <c r="Q67" s="426">
        <f si="1" t="shared"/>
        <v>0.105207287565</v>
      </c>
      <c r="R67" s="385">
        <f si="0" t="shared"/>
        <v>0</v>
      </c>
    </row>
    <row r="68" spans="13:18" x14ac:dyDescent="0.25">
      <c r="M68" s="385" t="str">
        <f>VLOOKUP(N68,Coeff_Descr!$A:$D,3,FALSE)</f>
        <v>ESCORT</v>
      </c>
      <c r="N68" s="385">
        <f>OtherTourDestination!B76</f>
        <v>78</v>
      </c>
      <c r="O68" s="385" t="str">
        <f>OtherTourDestination!C76</f>
        <v>Gamma078</v>
      </c>
      <c r="P68" s="387">
        <f>OtherTourDestination!E76</f>
        <v>-3.0261765923500001</v>
      </c>
      <c r="Q68" s="426">
        <f si="1" t="shared"/>
        <v>-3.0261765923500001</v>
      </c>
      <c r="R68" s="385">
        <f ref="R68:R104" si="11" t="shared">IF(P68=Q68,0,1)</f>
        <v>0</v>
      </c>
    </row>
    <row r="69" spans="13:18" x14ac:dyDescent="0.25">
      <c r="M69" s="385" t="str">
        <f>VLOOKUP(N69,Coeff_Descr!$A:$D,3,FALSE)</f>
        <v>ESCORT</v>
      </c>
      <c r="N69" s="385">
        <f>OtherTourDestination!B77</f>
        <v>79</v>
      </c>
      <c r="O69" s="385" t="str">
        <f>OtherTourDestination!C77</f>
        <v>Gamma079</v>
      </c>
      <c r="P69" s="387">
        <f>OtherTourDestination!E77</f>
        <v>-3.16760127533</v>
      </c>
      <c r="Q69" s="426">
        <f ref="Q69:Q104" si="12" t="shared">_xlfn.IFNA(VLOOKUP(N69,$B$43:$D$46,3,FALSE),P69)</f>
        <v>-3.16760127533</v>
      </c>
      <c r="R69" s="385">
        <f si="11" t="shared"/>
        <v>0</v>
      </c>
    </row>
    <row r="70" spans="13:18" x14ac:dyDescent="0.25">
      <c r="M70" s="385" t="str">
        <f>VLOOKUP(N70,Coeff_Descr!$A:$D,3,FALSE)</f>
        <v>ESCORT</v>
      </c>
      <c r="N70" s="385">
        <f>OtherTourDestination!B78</f>
        <v>80</v>
      </c>
      <c r="O70" s="385" t="str">
        <f>OtherTourDestination!C78</f>
        <v>Gamma080</v>
      </c>
      <c r="P70" s="387">
        <f>OtherTourDestination!E78</f>
        <v>3.88384299801</v>
      </c>
      <c r="Q70" s="426">
        <f si="12" t="shared"/>
        <v>3.88384299801</v>
      </c>
      <c r="R70" s="385">
        <f si="11" t="shared"/>
        <v>0</v>
      </c>
    </row>
    <row r="71" spans="13:18" x14ac:dyDescent="0.25">
      <c r="M71" s="385" t="str">
        <f>VLOOKUP(N71,Coeff_Descr!$A:$D,3,FALSE)</f>
        <v>ESCORT</v>
      </c>
      <c r="N71" s="385">
        <f>OtherTourDestination!B79</f>
        <v>81</v>
      </c>
      <c r="O71" s="385" t="str">
        <f>OtherTourDestination!C79</f>
        <v>Gamma081</v>
      </c>
      <c r="P71" s="387">
        <f>OtherTourDestination!E79</f>
        <v>1.2853400619999999</v>
      </c>
      <c r="Q71" s="426">
        <f si="12" t="shared"/>
        <v>1.2853400619999999</v>
      </c>
      <c r="R71" s="385">
        <f si="11" t="shared"/>
        <v>0</v>
      </c>
    </row>
    <row r="72" spans="13:18" x14ac:dyDescent="0.25">
      <c r="M72" s="385" t="str">
        <f>VLOOKUP(N72,Coeff_Descr!$A:$D,3,FALSE)</f>
        <v>ESCORT</v>
      </c>
      <c r="N72" s="385">
        <f>OtherTourDestination!B80</f>
        <v>82</v>
      </c>
      <c r="O72" s="385" t="str">
        <f>OtherTourDestination!C80</f>
        <v>Gamma082</v>
      </c>
      <c r="P72" s="387">
        <f>OtherTourDestination!E80</f>
        <v>0</v>
      </c>
      <c r="Q72" s="426">
        <f si="12" t="shared"/>
        <v>0</v>
      </c>
      <c r="R72" s="385">
        <f si="11" t="shared"/>
        <v>0</v>
      </c>
    </row>
    <row r="73" spans="13:18" x14ac:dyDescent="0.25">
      <c r="M73" s="385" t="str">
        <f>VLOOKUP(N73,Coeff_Descr!$A:$D,3,FALSE)</f>
        <v>ESCORT</v>
      </c>
      <c r="N73" s="385">
        <f>OtherTourDestination!B81</f>
        <v>83</v>
      </c>
      <c r="O73" s="385" t="str">
        <f>OtherTourDestination!C81</f>
        <v>Gamma083</v>
      </c>
      <c r="P73" s="387">
        <f>OtherTourDestination!E81</f>
        <v>1.5962822273599999</v>
      </c>
      <c r="Q73" s="426">
        <f si="12" t="shared"/>
        <v>1.5962822273599999</v>
      </c>
      <c r="R73" s="385">
        <f si="11" t="shared"/>
        <v>0</v>
      </c>
    </row>
    <row r="74" spans="13:18" x14ac:dyDescent="0.25">
      <c r="M74" s="385" t="str">
        <f>VLOOKUP(N74,Coeff_Descr!$A:$D,3,FALSE)</f>
        <v>ESCORT</v>
      </c>
      <c r="N74" s="385">
        <f>OtherTourDestination!B82</f>
        <v>84</v>
      </c>
      <c r="O74" s="385" t="str">
        <f>OtherTourDestination!C82</f>
        <v>Gamma084</v>
      </c>
      <c r="P74" s="387">
        <f>OtherTourDestination!E82</f>
        <v>1.8203743806399999</v>
      </c>
      <c r="Q74" s="426">
        <f si="12" t="shared"/>
        <v>1.8203743806399999</v>
      </c>
      <c r="R74" s="385">
        <f si="11" t="shared"/>
        <v>0</v>
      </c>
    </row>
    <row r="75" spans="13:18" x14ac:dyDescent="0.25">
      <c r="M75" s="385" t="str">
        <f>VLOOKUP(N75,Coeff_Descr!$A:$D,3,FALSE)</f>
        <v>ESCORT</v>
      </c>
      <c r="N75" s="385">
        <f>OtherTourDestination!B83</f>
        <v>85</v>
      </c>
      <c r="O75" s="385" t="str">
        <f>OtherTourDestination!C83</f>
        <v>Gamma085</v>
      </c>
      <c r="P75" s="387">
        <f>OtherTourDestination!E83</f>
        <v>0.36845448573400003</v>
      </c>
      <c r="Q75" s="426">
        <f si="12" t="shared"/>
        <v>0.36845448573400003</v>
      </c>
      <c r="R75" s="385">
        <f si="11" t="shared"/>
        <v>0</v>
      </c>
    </row>
    <row r="76" spans="13:18" x14ac:dyDescent="0.25">
      <c r="M76" s="385" t="str">
        <f>VLOOKUP(N76,Coeff_Descr!$A:$D,3,FALSE)</f>
        <v>ESCORT</v>
      </c>
      <c r="N76" s="385">
        <f>OtherTourDestination!B84</f>
        <v>86</v>
      </c>
      <c r="O76" s="385" t="str">
        <f>OtherTourDestination!C84</f>
        <v>Gamma086</v>
      </c>
      <c r="P76" s="387">
        <f>OtherTourDestination!E84</f>
        <v>-0.89988004259099996</v>
      </c>
      <c r="Q76" s="426">
        <f si="12" t="shared"/>
        <v>-0.89988004259099996</v>
      </c>
      <c r="R76" s="385">
        <f si="11" t="shared"/>
        <v>0</v>
      </c>
    </row>
    <row r="77" spans="13:18" x14ac:dyDescent="0.25">
      <c r="M77" s="385" t="str">
        <f>VLOOKUP(N77,Coeff_Descr!$A:$D,3,FALSE)</f>
        <v>ESCORT</v>
      </c>
      <c r="N77" s="385">
        <f>OtherTourDestination!B85</f>
        <v>87</v>
      </c>
      <c r="O77" s="385" t="str">
        <f>OtherTourDestination!C85</f>
        <v>Gamma087</v>
      </c>
      <c r="P77" s="387">
        <f>OtherTourDestination!E85</f>
        <v>-1.54651800243</v>
      </c>
      <c r="Q77" s="426">
        <f si="12" t="shared"/>
        <v>-1.54651800243</v>
      </c>
      <c r="R77" s="385">
        <f si="11" t="shared"/>
        <v>0</v>
      </c>
    </row>
    <row r="78" spans="13:18" x14ac:dyDescent="0.25">
      <c r="M78" s="385" t="str">
        <f>VLOOKUP(N78,Coeff_Descr!$A:$D,3,FALSE)</f>
        <v>ESCORT</v>
      </c>
      <c r="N78" s="385">
        <f>OtherTourDestination!B86</f>
        <v>88</v>
      </c>
      <c r="O78" s="385" t="str">
        <f>OtherTourDestination!C86</f>
        <v>Gamma088</v>
      </c>
      <c r="P78" s="387">
        <f>OtherTourDestination!E86</f>
        <v>0</v>
      </c>
      <c r="Q78" s="426">
        <f si="12" t="shared"/>
        <v>0</v>
      </c>
      <c r="R78" s="385">
        <f si="11" t="shared"/>
        <v>0</v>
      </c>
    </row>
    <row r="79" spans="13:18" x14ac:dyDescent="0.25">
      <c r="M79" s="385" t="str">
        <f>VLOOKUP(N79,Coeff_Descr!$A:$D,3,FALSE)</f>
        <v>PERSBUS/MED</v>
      </c>
      <c r="N79" s="385">
        <f>OtherTourDestination!B87</f>
        <v>89</v>
      </c>
      <c r="O79" s="385" t="str">
        <f>OtherTourDestination!C87</f>
        <v>Gamma089</v>
      </c>
      <c r="P79" s="387">
        <f>OtherTourDestination!E87</f>
        <v>-1.3661763944</v>
      </c>
      <c r="Q79" s="426">
        <f si="12" t="shared"/>
        <v>-1.3661763944</v>
      </c>
      <c r="R79" s="385">
        <f si="11" t="shared"/>
        <v>0</v>
      </c>
    </row>
    <row r="80" spans="13:18" x14ac:dyDescent="0.25">
      <c r="M80" s="385" t="str">
        <f>VLOOKUP(N80,Coeff_Descr!$A:$D,3,FALSE)</f>
        <v>PERSBUS/MED</v>
      </c>
      <c r="N80" s="385">
        <f>OtherTourDestination!B88</f>
        <v>90</v>
      </c>
      <c r="O80" s="385" t="str">
        <f>OtherTourDestination!C88</f>
        <v>Gamma090</v>
      </c>
      <c r="P80" s="387">
        <f>OtherTourDestination!E88</f>
        <v>0</v>
      </c>
      <c r="Q80" s="426">
        <f si="12" t="shared"/>
        <v>0</v>
      </c>
      <c r="R80" s="385">
        <f si="11" t="shared"/>
        <v>0</v>
      </c>
    </row>
    <row r="81" spans="13:18" x14ac:dyDescent="0.25">
      <c r="M81" s="385" t="str">
        <f>VLOOKUP(N81,Coeff_Descr!$A:$D,3,FALSE)</f>
        <v>PERSBUS/MED</v>
      </c>
      <c r="N81" s="385">
        <f>OtherTourDestination!B89</f>
        <v>91</v>
      </c>
      <c r="O81" s="385" t="str">
        <f>OtherTourDestination!C89</f>
        <v>Gamma091</v>
      </c>
      <c r="P81" s="387">
        <f>OtherTourDestination!E89</f>
        <v>-0.69659049737500001</v>
      </c>
      <c r="Q81" s="426">
        <f si="12" t="shared"/>
        <v>-0.69659049737500001</v>
      </c>
      <c r="R81" s="385">
        <f si="11" t="shared"/>
        <v>0</v>
      </c>
    </row>
    <row r="82" spans="13:18" x14ac:dyDescent="0.25">
      <c r="M82" s="385" t="str">
        <f>VLOOKUP(N82,Coeff_Descr!$A:$D,3,FALSE)</f>
        <v>PERSBUS/MED</v>
      </c>
      <c r="N82" s="385">
        <f>OtherTourDestination!B90</f>
        <v>92</v>
      </c>
      <c r="O82" s="385" t="str">
        <f>OtherTourDestination!C90</f>
        <v>Gamma092</v>
      </c>
      <c r="P82" s="387">
        <f>OtherTourDestination!E90</f>
        <v>-1.8309142732699999</v>
      </c>
      <c r="Q82" s="426">
        <f si="12" t="shared"/>
        <v>-1.8309142732699999</v>
      </c>
      <c r="R82" s="385">
        <f si="11" t="shared"/>
        <v>0</v>
      </c>
    </row>
    <row r="83" spans="13:18" x14ac:dyDescent="0.25">
      <c r="M83" s="385" t="str">
        <f>VLOOKUP(N83,Coeff_Descr!$A:$D,3,FALSE)</f>
        <v>PERSBUS/MED</v>
      </c>
      <c r="N83" s="385">
        <f>OtherTourDestination!B91</f>
        <v>93</v>
      </c>
      <c r="O83" s="385" t="str">
        <f>OtherTourDestination!C91</f>
        <v>Gamma093</v>
      </c>
      <c r="P83" s="387">
        <f>OtherTourDestination!E91</f>
        <v>-1.59616837557</v>
      </c>
      <c r="Q83" s="426">
        <f si="12" t="shared"/>
        <v>-1.59616837557</v>
      </c>
      <c r="R83" s="385">
        <f si="11" t="shared"/>
        <v>0</v>
      </c>
    </row>
    <row r="84" spans="13:18" x14ac:dyDescent="0.25">
      <c r="M84" s="385" t="str">
        <f>VLOOKUP(N84,Coeff_Descr!$A:$D,3,FALSE)</f>
        <v>PERSBUS/MED</v>
      </c>
      <c r="N84" s="385">
        <f>OtherTourDestination!B92</f>
        <v>94</v>
      </c>
      <c r="O84" s="385" t="str">
        <f>OtherTourDestination!C92</f>
        <v>Gamma094</v>
      </c>
      <c r="P84" s="387">
        <f>OtherTourDestination!E92</f>
        <v>0</v>
      </c>
      <c r="Q84" s="426">
        <f si="12" t="shared"/>
        <v>0</v>
      </c>
      <c r="R84" s="385">
        <f si="11" t="shared"/>
        <v>0</v>
      </c>
    </row>
    <row r="85" spans="13:18" x14ac:dyDescent="0.25">
      <c r="M85" s="385" t="str">
        <f>VLOOKUP(N85,Coeff_Descr!$A:$D,3,FALSE)</f>
        <v>PERSBUS/MED</v>
      </c>
      <c r="N85" s="385">
        <f>OtherTourDestination!B93</f>
        <v>95</v>
      </c>
      <c r="O85" s="385" t="str">
        <f>OtherTourDestination!C93</f>
        <v>Gamma095</v>
      </c>
      <c r="P85" s="387">
        <f>OtherTourDestination!E93</f>
        <v>-3.7524312125899999</v>
      </c>
      <c r="Q85" s="426">
        <f si="12" t="shared"/>
        <v>-3.7524312125899999</v>
      </c>
      <c r="R85" s="385">
        <f si="11" t="shared"/>
        <v>0</v>
      </c>
    </row>
    <row r="86" spans="13:18" x14ac:dyDescent="0.25">
      <c r="M86" s="385" t="str">
        <f>VLOOKUP(N86,Coeff_Descr!$A:$D,3,FALSE)</f>
        <v>PERSBUS/MED</v>
      </c>
      <c r="N86" s="385">
        <f>OtherTourDestination!B94</f>
        <v>96</v>
      </c>
      <c r="O86" s="385" t="str">
        <f>OtherTourDestination!C94</f>
        <v>Gamma096</v>
      </c>
      <c r="P86" s="387">
        <f>OtherTourDestination!E94</f>
        <v>-5.15903380474</v>
      </c>
      <c r="Q86" s="426">
        <f si="12" t="shared"/>
        <v>-5.15903380474</v>
      </c>
      <c r="R86" s="385">
        <f si="11" t="shared"/>
        <v>0</v>
      </c>
    </row>
    <row r="87" spans="13:18" x14ac:dyDescent="0.25">
      <c r="M87" s="385" t="str">
        <f>VLOOKUP(N87,Coeff_Descr!$A:$D,3,FALSE)</f>
        <v>PERSBUS/MED</v>
      </c>
      <c r="N87" s="385">
        <f>OtherTourDestination!B95</f>
        <v>97</v>
      </c>
      <c r="O87" s="385" t="str">
        <f>OtherTourDestination!C95</f>
        <v>Gamma097</v>
      </c>
      <c r="P87" s="387">
        <f>OtherTourDestination!E95</f>
        <v>-4.5752497230499998</v>
      </c>
      <c r="Q87" s="426">
        <f si="12" t="shared"/>
        <v>-4.5752497230499998</v>
      </c>
      <c r="R87" s="385">
        <f si="11" t="shared"/>
        <v>0</v>
      </c>
    </row>
    <row r="88" spans="13:18" x14ac:dyDescent="0.25">
      <c r="M88" s="385" t="str">
        <f>VLOOKUP(N88,Coeff_Descr!$A:$D,3,FALSE)</f>
        <v>SHOP</v>
      </c>
      <c r="N88" s="385">
        <f>OtherTourDestination!B96</f>
        <v>98</v>
      </c>
      <c r="O88" s="385" t="str">
        <f>OtherTourDestination!C96</f>
        <v>Gamma098</v>
      </c>
      <c r="P88" s="387">
        <f>OtherTourDestination!E96</f>
        <v>-1.55830930615</v>
      </c>
      <c r="Q88" s="426">
        <f si="12" t="shared"/>
        <v>-1.55830930615</v>
      </c>
      <c r="R88" s="385">
        <f si="11" t="shared"/>
        <v>0</v>
      </c>
    </row>
    <row r="89" spans="13:18" x14ac:dyDescent="0.25">
      <c r="M89" s="385" t="str">
        <f>VLOOKUP(N89,Coeff_Descr!$A:$D,3,FALSE)</f>
        <v>SHOP</v>
      </c>
      <c r="N89" s="385">
        <f>OtherTourDestination!B97</f>
        <v>99</v>
      </c>
      <c r="O89" s="385" t="str">
        <f>OtherTourDestination!C97</f>
        <v>Gamma099</v>
      </c>
      <c r="P89" s="387">
        <f>OtherTourDestination!E97</f>
        <v>-6.7687936642300004</v>
      </c>
      <c r="Q89" s="426">
        <f si="12" t="shared"/>
        <v>-6.7687936642300004</v>
      </c>
      <c r="R89" s="385">
        <f si="11" t="shared"/>
        <v>0</v>
      </c>
    </row>
    <row r="90" spans="13:18" x14ac:dyDescent="0.25">
      <c r="M90" s="385" t="str">
        <f>VLOOKUP(N90,Coeff_Descr!$A:$D,3,FALSE)</f>
        <v>SHOP</v>
      </c>
      <c r="N90" s="385">
        <f>OtherTourDestination!B98</f>
        <v>100</v>
      </c>
      <c r="O90" s="385" t="str">
        <f>OtherTourDestination!C98</f>
        <v>Gamma100</v>
      </c>
      <c r="P90" s="387">
        <f>OtherTourDestination!E98</f>
        <v>0</v>
      </c>
      <c r="Q90" s="426">
        <f si="12" t="shared"/>
        <v>0</v>
      </c>
      <c r="R90" s="385">
        <f si="11" t="shared"/>
        <v>0</v>
      </c>
    </row>
    <row r="91" spans="13:18" x14ac:dyDescent="0.25">
      <c r="M91" s="385" t="str">
        <f>VLOOKUP(N91,Coeff_Descr!$A:$D,3,FALSE)</f>
        <v>SHOP</v>
      </c>
      <c r="N91" s="385">
        <f>OtherTourDestination!B99</f>
        <v>101</v>
      </c>
      <c r="O91" s="385" t="str">
        <f>OtherTourDestination!C99</f>
        <v>Gamma101</v>
      </c>
      <c r="P91" s="387">
        <f>OtherTourDestination!E99</f>
        <v>-4.6092008435</v>
      </c>
      <c r="Q91" s="426">
        <f si="12" t="shared"/>
        <v>-4.6092008435</v>
      </c>
      <c r="R91" s="385">
        <f si="11" t="shared"/>
        <v>0</v>
      </c>
    </row>
    <row r="92" spans="13:18" x14ac:dyDescent="0.25">
      <c r="M92" s="385" t="str">
        <f>VLOOKUP(N92,Coeff_Descr!$A:$D,3,FALSE)</f>
        <v>MEAL</v>
      </c>
      <c r="N92" s="385">
        <f>OtherTourDestination!B100</f>
        <v>102</v>
      </c>
      <c r="O92" s="385" t="str">
        <f>OtherTourDestination!C100</f>
        <v>Gamma102</v>
      </c>
      <c r="P92" s="387">
        <f>OtherTourDestination!E100</f>
        <v>0</v>
      </c>
      <c r="Q92" s="426">
        <f si="12" t="shared"/>
        <v>0</v>
      </c>
      <c r="R92" s="385">
        <f si="11" t="shared"/>
        <v>0</v>
      </c>
    </row>
    <row r="93" spans="13:18" x14ac:dyDescent="0.25">
      <c r="M93" s="385" t="str">
        <f>VLOOKUP(N93,Coeff_Descr!$A:$D,3,FALSE)</f>
        <v>MEAL</v>
      </c>
      <c r="N93" s="385">
        <f>OtherTourDestination!B101</f>
        <v>103</v>
      </c>
      <c r="O93" s="385" t="str">
        <f>OtherTourDestination!C101</f>
        <v>Gamma103</v>
      </c>
      <c r="P93" s="387">
        <f>OtherTourDestination!E101</f>
        <v>0</v>
      </c>
      <c r="Q93" s="426">
        <f si="12" t="shared"/>
        <v>0</v>
      </c>
      <c r="R93" s="385">
        <f si="11" t="shared"/>
        <v>0</v>
      </c>
    </row>
    <row r="94" spans="13:18" x14ac:dyDescent="0.25">
      <c r="M94" s="385" t="str">
        <f>VLOOKUP(N94,Coeff_Descr!$A:$D,3,FALSE)</f>
        <v>MEAL</v>
      </c>
      <c r="N94" s="385">
        <f>OtherTourDestination!B102</f>
        <v>104</v>
      </c>
      <c r="O94" s="385" t="str">
        <f>OtherTourDestination!C102</f>
        <v>Gamma104</v>
      </c>
      <c r="P94" s="387">
        <f>OtherTourDestination!E102</f>
        <v>5</v>
      </c>
      <c r="Q94" s="426">
        <f si="12" t="shared"/>
        <v>5</v>
      </c>
      <c r="R94" s="385">
        <f si="11" t="shared"/>
        <v>0</v>
      </c>
    </row>
    <row r="95" spans="13:18" x14ac:dyDescent="0.25">
      <c r="M95" s="385" t="str">
        <f>VLOOKUP(N95,Coeff_Descr!$A:$D,3,FALSE)</f>
        <v>MEAL</v>
      </c>
      <c r="N95" s="385">
        <f>OtherTourDestination!B103</f>
        <v>105</v>
      </c>
      <c r="O95" s="385" t="str">
        <f>OtherTourDestination!C103</f>
        <v>Gamma105</v>
      </c>
      <c r="P95" s="387">
        <f>OtherTourDestination!E103</f>
        <v>5</v>
      </c>
      <c r="Q95" s="426">
        <f si="12" t="shared"/>
        <v>5</v>
      </c>
      <c r="R95" s="385">
        <f si="11" t="shared"/>
        <v>0</v>
      </c>
    </row>
    <row r="96" spans="13:18" x14ac:dyDescent="0.25">
      <c r="M96" s="385" t="str">
        <f>VLOOKUP(N96,Coeff_Descr!$A:$D,3,FALSE)</f>
        <v>SOCREC</v>
      </c>
      <c r="N96" s="385">
        <f>OtherTourDestination!B104</f>
        <v>106</v>
      </c>
      <c r="O96" s="385" t="str">
        <f>OtherTourDestination!C104</f>
        <v>Gamma106</v>
      </c>
      <c r="P96" s="387">
        <f>OtherTourDestination!E104</f>
        <v>0</v>
      </c>
      <c r="Q96" s="426">
        <f si="12" t="shared"/>
        <v>0</v>
      </c>
      <c r="R96" s="385">
        <f si="11" t="shared"/>
        <v>0</v>
      </c>
    </row>
    <row r="97" spans="13:18" x14ac:dyDescent="0.25">
      <c r="M97" s="385" t="str">
        <f>VLOOKUP(N97,Coeff_Descr!$A:$D,3,FALSE)</f>
        <v>SOCREC</v>
      </c>
      <c r="N97" s="385">
        <f>OtherTourDestination!B105</f>
        <v>107</v>
      </c>
      <c r="O97" s="385" t="str">
        <f>OtherTourDestination!C105</f>
        <v>Gamma107</v>
      </c>
      <c r="P97" s="387">
        <f>OtherTourDestination!E105</f>
        <v>3.2721559987400002</v>
      </c>
      <c r="Q97" s="426">
        <f si="12" t="shared"/>
        <v>3.2721559987400002</v>
      </c>
      <c r="R97" s="385">
        <f si="11" t="shared"/>
        <v>0</v>
      </c>
    </row>
    <row r="98" spans="13:18" x14ac:dyDescent="0.25">
      <c r="M98" s="385" t="str">
        <f>VLOOKUP(N98,Coeff_Descr!$A:$D,3,FALSE)</f>
        <v>SOCREC</v>
      </c>
      <c r="N98" s="385">
        <f>OtherTourDestination!B106</f>
        <v>108</v>
      </c>
      <c r="O98" s="385" t="str">
        <f>OtherTourDestination!C106</f>
        <v>Gamma108</v>
      </c>
      <c r="P98" s="387">
        <f>OtherTourDestination!E106</f>
        <v>0</v>
      </c>
      <c r="Q98" s="426">
        <f si="12" t="shared"/>
        <v>0</v>
      </c>
      <c r="R98" s="385">
        <f si="11" t="shared"/>
        <v>0</v>
      </c>
    </row>
    <row r="99" spans="13:18" x14ac:dyDescent="0.25">
      <c r="M99" s="385" t="str">
        <f>VLOOKUP(N99,Coeff_Descr!$A:$D,3,FALSE)</f>
        <v>SOCREC</v>
      </c>
      <c r="N99" s="385">
        <f>OtherTourDestination!B107</f>
        <v>109</v>
      </c>
      <c r="O99" s="385" t="str">
        <f>OtherTourDestination!C107</f>
        <v>Gamma109</v>
      </c>
      <c r="P99" s="387">
        <f>OtherTourDestination!E107</f>
        <v>3.7780647491999999</v>
      </c>
      <c r="Q99" s="426">
        <f si="12" t="shared"/>
        <v>3.7780647491999999</v>
      </c>
      <c r="R99" s="385">
        <f si="11" t="shared"/>
        <v>0</v>
      </c>
    </row>
    <row r="100" spans="13:18" x14ac:dyDescent="0.25">
      <c r="M100" s="385" t="str">
        <f>VLOOKUP(N100,Coeff_Descr!$A:$D,3,FALSE)</f>
        <v>SOCREC</v>
      </c>
      <c r="N100" s="385">
        <f>OtherTourDestination!B108</f>
        <v>110</v>
      </c>
      <c r="O100" s="385" t="str">
        <f>OtherTourDestination!C108</f>
        <v>Gamma110</v>
      </c>
      <c r="P100" s="387">
        <f>OtherTourDestination!E108</f>
        <v>3.6698694381700001</v>
      </c>
      <c r="Q100" s="426">
        <f si="12" t="shared"/>
        <v>3.6698694381700001</v>
      </c>
      <c r="R100" s="385">
        <f si="11" t="shared"/>
        <v>0</v>
      </c>
    </row>
    <row r="101" spans="13:18" x14ac:dyDescent="0.25">
      <c r="M101" s="385" t="str">
        <f>VLOOKUP(N101,Coeff_Descr!$A:$D,3,FALSE)</f>
        <v>SOCREC</v>
      </c>
      <c r="N101" s="385">
        <f>OtherTourDestination!B109</f>
        <v>111</v>
      </c>
      <c r="O101" s="385" t="str">
        <f>OtherTourDestination!C109</f>
        <v>Gamma111</v>
      </c>
      <c r="P101" s="387">
        <f>OtherTourDestination!E109</f>
        <v>0</v>
      </c>
      <c r="Q101" s="426">
        <f si="12" t="shared"/>
        <v>0</v>
      </c>
      <c r="R101" s="385">
        <f si="11" t="shared"/>
        <v>0</v>
      </c>
    </row>
    <row r="102" spans="13:18" x14ac:dyDescent="0.25">
      <c r="M102" s="385" t="str">
        <f>VLOOKUP(N102,Coeff_Descr!$A:$D,3,FALSE)</f>
        <v>SOCREC</v>
      </c>
      <c r="N102" s="385">
        <f>OtherTourDestination!B110</f>
        <v>112</v>
      </c>
      <c r="O102" s="385" t="str">
        <f>OtherTourDestination!C110</f>
        <v>Gamma112</v>
      </c>
      <c r="P102" s="387">
        <f>OtherTourDestination!E110</f>
        <v>0</v>
      </c>
      <c r="Q102" s="426">
        <f si="12" t="shared"/>
        <v>0</v>
      </c>
      <c r="R102" s="385">
        <f si="11" t="shared"/>
        <v>0</v>
      </c>
    </row>
    <row r="103" spans="13:18" x14ac:dyDescent="0.25">
      <c r="M103" s="385" t="str">
        <f>VLOOKUP(N103,Coeff_Descr!$A:$D,3,FALSE)</f>
        <v>SOCREC</v>
      </c>
      <c r="N103" s="385">
        <f>OtherTourDestination!B111</f>
        <v>113</v>
      </c>
      <c r="O103" s="385" t="str">
        <f>OtherTourDestination!C111</f>
        <v>Gamma113</v>
      </c>
      <c r="P103" s="387">
        <f>OtherTourDestination!E111</f>
        <v>1.3908719595400001</v>
      </c>
      <c r="Q103" s="426">
        <f si="12" t="shared"/>
        <v>1.3908719595400001</v>
      </c>
      <c r="R103" s="385">
        <f si="11" t="shared"/>
        <v>0</v>
      </c>
    </row>
    <row r="104" spans="13:18" x14ac:dyDescent="0.25">
      <c r="M104" s="385" t="e">
        <f>VLOOKUP(N104,Coeff_Descr!$A:$D,3,FALSE)</f>
        <v>#N/A</v>
      </c>
      <c r="N104" s="385">
        <f>OtherTourDestination!B112</f>
        <v>-1</v>
      </c>
      <c r="O104" s="385">
        <f>OtherTourDestination!C112</f>
        <v>0</v>
      </c>
      <c r="P104" s="387">
        <f>OtherTourDestination!E112</f>
        <v>0</v>
      </c>
      <c r="Q104" s="426">
        <f si="12" t="shared"/>
        <v>0</v>
      </c>
      <c r="R104" s="385">
        <f si="11" t="shared"/>
        <v>0</v>
      </c>
    </row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2022-05-25T03:39:50Z</dcterms:modified>
</cp:coreProperties>
</file>