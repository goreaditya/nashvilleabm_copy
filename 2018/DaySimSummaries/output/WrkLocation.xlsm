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6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11" firstSheet="6" windowHeight="7185" windowWidth="20415" xWindow="-15" yWindow="-15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Telecommute" r:id="rId7" sheetId="19"/>
    <sheet name="Documentation" r:id="rId8" sheetId="7"/>
    <sheet name="CoeffDef" r:id="rId9" sheetId="11"/>
    <sheet name="County Codes" r:id="rId10" sheetId="16"/>
    <sheet name="WorkLocationCoefficients" r:id="rId11" sheetId="13"/>
    <sheet name="calibration_flow" r:id="rId12" sheetId="18"/>
    <sheet name="calibration_dist" r:id="rId13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1" name="solver_adj">calibration_flow!$U$4:$U$23</definedName>
    <definedName hidden="1" localSheetId="11" name="solver_cvg">0.0001</definedName>
    <definedName hidden="1" localSheetId="11" name="solver_drv">1</definedName>
    <definedName hidden="1" localSheetId="11" name="solver_eng">1</definedName>
    <definedName hidden="1" localSheetId="11" name="solver_est">1</definedName>
    <definedName hidden="1" localSheetId="11" name="solver_itr">2147483647</definedName>
    <definedName hidden="1" localSheetId="11" name="solver_lhs1">calibration_flow!$AC$160</definedName>
    <definedName hidden="1" localSheetId="11" name="solver_lhs2">calibration_flow!$AC$4:$AC$23</definedName>
    <definedName hidden="1" localSheetId="11" name="solver_lhs3">calibration_flow!$AW$30:$AW$49</definedName>
    <definedName hidden="1" localSheetId="11" name="solver_lhs4">calibration_flow!$AW$30:$AW$49</definedName>
    <definedName hidden="1" localSheetId="11" name="solver_mip">2147483647</definedName>
    <definedName hidden="1" localSheetId="11" name="solver_mni">30</definedName>
    <definedName hidden="1" localSheetId="11" name="solver_mrt">0.075</definedName>
    <definedName hidden="1" localSheetId="11" name="solver_msl">2</definedName>
    <definedName hidden="1" localSheetId="11" name="solver_neg">1</definedName>
    <definedName hidden="1" localSheetId="11" name="solver_nod">2147483647</definedName>
    <definedName hidden="1" localSheetId="11" name="solver_num">3</definedName>
    <definedName hidden="1" localSheetId="11" name="solver_nwt">1</definedName>
    <definedName hidden="1" localSheetId="11" name="solver_opt">calibration_flow!$U$26</definedName>
    <definedName hidden="1" localSheetId="11" name="solver_pre">0.000001</definedName>
    <definedName hidden="1" localSheetId="11" name="solver_rbv">1</definedName>
    <definedName hidden="1" localSheetId="11" name="solver_rel1">1</definedName>
    <definedName hidden="1" localSheetId="11" name="solver_rel2">1</definedName>
    <definedName hidden="1" localSheetId="11" name="solver_rel3">1</definedName>
    <definedName hidden="1" localSheetId="11" name="solver_rel4">1</definedName>
    <definedName hidden="1" localSheetId="11" name="solver_rhs1">1.5</definedName>
    <definedName hidden="1" localSheetId="11" name="solver_rhs2">0.02</definedName>
    <definedName hidden="1" localSheetId="11" name="solver_rhs3">0.25</definedName>
    <definedName hidden="1" localSheetId="11" name="solver_rhs4">0.25</definedName>
    <definedName hidden="1" localSheetId="11" name="solver_rlx">2</definedName>
    <definedName hidden="1" localSheetId="11" name="solver_rsd">0</definedName>
    <definedName hidden="1" localSheetId="11" name="solver_scl">1</definedName>
    <definedName hidden="1" localSheetId="11" name="solver_sho">2</definedName>
    <definedName hidden="1" localSheetId="11" name="solver_ssz">100</definedName>
    <definedName hidden="1" localSheetId="11" name="solver_tim">2147483647</definedName>
    <definedName hidden="1" localSheetId="11" name="solver_tol">0.01</definedName>
    <definedName hidden="1" localSheetId="11" name="solver_typ">2</definedName>
    <definedName hidden="1" localSheetId="11" name="solver_val">0</definedName>
    <definedName hidden="1" localSheetId="11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  <definedName name="out_16">Telecommute!$I$22:$K$32</definedName>
    <definedName name="out_18">Telecommute!$I$7:$K$17</definedName>
  </definedNames>
  <calcPr calcId="162913"/>
</workbook>
</file>

<file path=xl/calcChain.xml><?xml version="1.0" encoding="utf-8"?>
<calcChain xmlns="http://schemas.openxmlformats.org/spreadsheetml/2006/main">
  <c i="18" l="1" r="W50"/>
  <c i="18" r="V50"/>
  <c i="18" r="U50"/>
  <c i="18" r="T50"/>
  <c i="18" r="S50"/>
  <c i="18" r="R50"/>
  <c i="18" r="Q50"/>
  <c i="18" r="P50"/>
  <c i="18" r="O50"/>
  <c i="18" r="N50"/>
  <c i="18" r="M50"/>
  <c i="18" r="L50"/>
  <c i="18" r="K50"/>
  <c i="18" r="J50"/>
  <c i="18" r="I50"/>
  <c i="18" r="H50"/>
  <c i="18" r="G50"/>
  <c i="18" r="F50"/>
  <c i="18" r="E50"/>
  <c i="18" r="D50"/>
  <c i="18" r="C50"/>
  <c i="18" r="W49"/>
  <c i="18" r="V49"/>
  <c i="18" r="U49"/>
  <c i="18" r="T49"/>
  <c i="18" r="S49"/>
  <c i="18" r="R49"/>
  <c i="18" r="Q49"/>
  <c i="18" r="P49"/>
  <c i="18" r="O49"/>
  <c i="18" r="N49"/>
  <c i="18" r="M49"/>
  <c i="18" r="L49"/>
  <c i="18" r="K49"/>
  <c i="18" r="J49"/>
  <c i="18" r="I49"/>
  <c i="18" r="H49"/>
  <c i="18" r="G49"/>
  <c i="18" r="F49"/>
  <c i="18" r="E49"/>
  <c i="18" r="D49"/>
  <c i="18" r="C49"/>
  <c i="18" r="W48"/>
  <c i="18" r="V48"/>
  <c i="18" r="U48"/>
  <c i="18" r="T48"/>
  <c i="18" r="S48"/>
  <c i="18" r="R48"/>
  <c i="18" r="Q48"/>
  <c i="18" r="P48"/>
  <c i="18" r="O48"/>
  <c i="18" r="N48"/>
  <c i="18" r="M48"/>
  <c i="18" r="L48"/>
  <c i="18" r="K48"/>
  <c i="18" r="J48"/>
  <c i="18" r="I48"/>
  <c i="18" r="H48"/>
  <c i="18" r="G48"/>
  <c i="18" r="F48"/>
  <c i="18" r="E48"/>
  <c i="18" r="D48"/>
  <c i="18" r="C48"/>
  <c i="18" r="W47"/>
  <c i="18" r="V47"/>
  <c i="18" r="U47"/>
  <c i="18" r="T47"/>
  <c i="18" r="S47"/>
  <c i="18" r="R47"/>
  <c i="18" r="Q47"/>
  <c i="18" r="P47"/>
  <c i="18" r="O47"/>
  <c i="18" r="N47"/>
  <c i="18" r="M47"/>
  <c i="18" r="L47"/>
  <c i="18" r="K47"/>
  <c i="18" r="J47"/>
  <c i="18" r="I47"/>
  <c i="18" r="H47"/>
  <c i="18" r="G47"/>
  <c i="18" r="F47"/>
  <c i="18" r="E47"/>
  <c i="18" r="D47"/>
  <c i="18" r="C47"/>
  <c i="18" r="W46"/>
  <c i="18" r="V46"/>
  <c i="18" r="U46"/>
  <c i="18" r="T46"/>
  <c i="18" r="S46"/>
  <c i="18" r="R46"/>
  <c i="18" r="Q46"/>
  <c i="18" r="P46"/>
  <c i="18" r="O46"/>
  <c i="18" r="N46"/>
  <c i="18" r="M46"/>
  <c i="18" r="L46"/>
  <c i="18" r="K46"/>
  <c i="18" r="J46"/>
  <c i="18" r="I46"/>
  <c i="18" r="H46"/>
  <c i="18" r="G46"/>
  <c i="18" r="F46"/>
  <c i="18" r="E46"/>
  <c i="18" r="D46"/>
  <c i="18" r="C46"/>
  <c i="18" r="W45"/>
  <c i="18" r="V45"/>
  <c i="18" r="U45"/>
  <c i="18" r="T45"/>
  <c i="18" r="S45"/>
  <c i="18" r="R45"/>
  <c i="18" r="Q45"/>
  <c i="18" r="P45"/>
  <c i="18" r="O45"/>
  <c i="18" r="N45"/>
  <c i="18" r="M45"/>
  <c i="18" r="L45"/>
  <c i="18" r="K45"/>
  <c i="18" r="J45"/>
  <c i="18" r="I45"/>
  <c i="18" r="H45"/>
  <c i="18" r="G45"/>
  <c i="18" r="F45"/>
  <c i="18" r="E45"/>
  <c i="18" r="D45"/>
  <c i="18" r="C45"/>
  <c i="18" r="W44"/>
  <c i="18" r="V44"/>
  <c i="18" r="U44"/>
  <c i="18" r="T44"/>
  <c i="18" r="S44"/>
  <c i="18" r="R44"/>
  <c i="18" r="Q44"/>
  <c i="18" r="P44"/>
  <c i="18" r="O44"/>
  <c i="18" r="N44"/>
  <c i="18" r="M44"/>
  <c i="18" r="L44"/>
  <c i="18" r="K44"/>
  <c i="18" r="J44"/>
  <c i="18" r="I44"/>
  <c i="18" r="H44"/>
  <c i="18" r="G44"/>
  <c i="18" r="F44"/>
  <c i="18" r="E44"/>
  <c i="18" r="D44"/>
  <c i="18" r="C44"/>
  <c i="18" r="W43"/>
  <c i="18" r="V43"/>
  <c i="18" r="U43"/>
  <c i="18" r="T43"/>
  <c i="18" r="S43"/>
  <c i="18" r="R43"/>
  <c i="18" r="Q43"/>
  <c i="18" r="P43"/>
  <c i="18" r="O43"/>
  <c i="18" r="N43"/>
  <c i="18" r="M43"/>
  <c i="18" r="L43"/>
  <c i="18" r="K43"/>
  <c i="18" r="J43"/>
  <c i="18" r="I43"/>
  <c i="18" r="H43"/>
  <c i="18" r="G43"/>
  <c i="18" r="F43"/>
  <c i="18" r="E43"/>
  <c i="18" r="D43"/>
  <c i="18" r="C43"/>
  <c i="18" r="W42"/>
  <c i="18" r="V42"/>
  <c i="18" r="U42"/>
  <c i="18" r="T42"/>
  <c i="18" r="S42"/>
  <c i="18" r="R42"/>
  <c i="18" r="Q42"/>
  <c i="18" r="P42"/>
  <c i="18" r="O42"/>
  <c i="18" r="N42"/>
  <c i="18" r="M42"/>
  <c i="18" r="L42"/>
  <c i="18" r="K42"/>
  <c i="18" r="J42"/>
  <c i="18" r="I42"/>
  <c i="18" r="H42"/>
  <c i="18" r="G42"/>
  <c i="18" r="F42"/>
  <c i="18" r="E42"/>
  <c i="18" r="D42"/>
  <c i="18" r="C42"/>
  <c i="18" r="W41"/>
  <c i="18" r="V41"/>
  <c i="18" r="U41"/>
  <c i="18" r="T41"/>
  <c i="18" r="S41"/>
  <c i="18" r="R41"/>
  <c i="18" r="Q41"/>
  <c i="18" r="P41"/>
  <c i="18" r="O41"/>
  <c i="18" r="N41"/>
  <c i="18" r="M41"/>
  <c i="18" r="L41"/>
  <c i="18" r="K41"/>
  <c i="18" r="J41"/>
  <c i="18" r="I41"/>
  <c i="18" r="H41"/>
  <c i="18" r="G41"/>
  <c i="18" r="F41"/>
  <c i="18" r="E41"/>
  <c i="18" r="D41"/>
  <c i="18" r="C41"/>
  <c i="18" r="W40"/>
  <c i="18" r="V40"/>
  <c i="18" r="U40"/>
  <c i="18" r="T40"/>
  <c i="18" r="S40"/>
  <c i="18" r="R40"/>
  <c i="18" r="Q40"/>
  <c i="18" r="P40"/>
  <c i="18" r="O40"/>
  <c i="18" r="N40"/>
  <c i="18" r="M40"/>
  <c i="18" r="L40"/>
  <c i="18" r="K40"/>
  <c i="18" r="J40"/>
  <c i="18" r="I40"/>
  <c i="18" r="H40"/>
  <c i="18" r="G40"/>
  <c i="18" r="F40"/>
  <c i="18" r="E40"/>
  <c i="18" r="D40"/>
  <c i="18" r="C40"/>
  <c i="18" r="W39"/>
  <c i="18" r="V39"/>
  <c i="18" r="U39"/>
  <c i="18" r="T39"/>
  <c i="18" r="S39"/>
  <c i="18" r="R39"/>
  <c i="18" r="Q39"/>
  <c i="18" r="P39"/>
  <c i="18" r="O39"/>
  <c i="18" r="N39"/>
  <c i="18" r="M39"/>
  <c i="18" r="L39"/>
  <c i="18" r="K39"/>
  <c i="18" r="J39"/>
  <c i="18" r="I39"/>
  <c i="18" r="H39"/>
  <c i="18" r="G39"/>
  <c i="18" r="F39"/>
  <c i="18" r="E39"/>
  <c i="18" r="D39"/>
  <c i="18" r="C39"/>
  <c i="18" r="W38"/>
  <c i="18" r="V38"/>
  <c i="18" r="U38"/>
  <c i="18" r="T38"/>
  <c i="18" r="S38"/>
  <c i="18" r="R38"/>
  <c i="18" r="Q38"/>
  <c i="18" r="P38"/>
  <c i="18" r="O38"/>
  <c i="18" r="N38"/>
  <c i="18" r="M38"/>
  <c i="18" r="L38"/>
  <c i="18" r="K38"/>
  <c i="18" r="J38"/>
  <c i="18" r="I38"/>
  <c i="18" r="H38"/>
  <c i="18" r="G38"/>
  <c i="18" r="F38"/>
  <c i="18" r="E38"/>
  <c i="18" r="D38"/>
  <c i="18" r="C38"/>
  <c i="18" r="W37"/>
  <c i="18" r="V37"/>
  <c i="18" r="U37"/>
  <c i="18" r="T37"/>
  <c i="18" r="S37"/>
  <c i="18" r="R37"/>
  <c i="18" r="Q37"/>
  <c i="18" r="P37"/>
  <c i="18" r="O37"/>
  <c i="18" r="N37"/>
  <c i="18" r="M37"/>
  <c i="18" r="L37"/>
  <c i="18" r="K37"/>
  <c i="18" r="J37"/>
  <c i="18" r="I37"/>
  <c i="18" r="H37"/>
  <c i="18" r="G37"/>
  <c i="18" r="F37"/>
  <c i="18" r="E37"/>
  <c i="18" r="D37"/>
  <c i="18" r="C37"/>
  <c i="18" r="W36"/>
  <c i="18" r="V36"/>
  <c i="18" r="U36"/>
  <c i="18" r="T36"/>
  <c i="18" r="S36"/>
  <c i="18" r="R36"/>
  <c i="18" r="Q36"/>
  <c i="18" r="P36"/>
  <c i="18" r="O36"/>
  <c i="18" r="N36"/>
  <c i="18" r="M36"/>
  <c i="18" r="L36"/>
  <c i="18" r="K36"/>
  <c i="18" r="J36"/>
  <c i="18" r="I36"/>
  <c i="18" r="H36"/>
  <c i="18" r="G36"/>
  <c i="18" r="F36"/>
  <c i="18" r="E36"/>
  <c i="18" r="D36"/>
  <c i="18" r="C36"/>
  <c i="18" r="W35"/>
  <c i="18" r="V35"/>
  <c i="18" r="U35"/>
  <c i="18" r="T35"/>
  <c i="18" r="S35"/>
  <c i="18" r="R35"/>
  <c i="18" r="Q35"/>
  <c i="18" r="P35"/>
  <c i="18" r="O35"/>
  <c i="18" r="N35"/>
  <c i="18" r="M35"/>
  <c i="18" r="L35"/>
  <c i="18" r="K35"/>
  <c i="18" r="J35"/>
  <c i="18" r="I35"/>
  <c i="18" r="H35"/>
  <c i="18" r="G35"/>
  <c i="18" r="F35"/>
  <c i="18" r="E35"/>
  <c i="18" r="D35"/>
  <c i="18" r="C35"/>
  <c i="18" r="W34"/>
  <c i="18" r="V34"/>
  <c i="18" r="U34"/>
  <c i="18" r="T34"/>
  <c i="18" r="S34"/>
  <c i="18" r="R34"/>
  <c i="18" r="Q34"/>
  <c i="18" r="P34"/>
  <c i="18" r="O34"/>
  <c i="18" r="N34"/>
  <c i="18" r="M34"/>
  <c i="18" r="L34"/>
  <c i="18" r="K34"/>
  <c i="18" r="J34"/>
  <c i="18" r="I34"/>
  <c i="18" r="H34"/>
  <c i="18" r="G34"/>
  <c i="18" r="F34"/>
  <c i="18" r="E34"/>
  <c i="18" r="D34"/>
  <c i="18" r="C34"/>
  <c i="18" r="W33"/>
  <c i="18" r="V33"/>
  <c i="18" r="U33"/>
  <c i="18" r="T33"/>
  <c i="18" r="S33"/>
  <c i="18" r="R33"/>
  <c i="18" r="Q33"/>
  <c i="18" r="P33"/>
  <c i="18" r="O33"/>
  <c i="18" r="N33"/>
  <c i="18" r="M33"/>
  <c i="18" r="L33"/>
  <c i="18" r="K33"/>
  <c i="18" r="J33"/>
  <c i="18" r="I33"/>
  <c i="18" r="H33"/>
  <c i="18" r="G33"/>
  <c i="18" r="F33"/>
  <c i="18" r="E33"/>
  <c i="18" r="D33"/>
  <c i="18" r="C33"/>
  <c i="18" r="W32"/>
  <c i="18" r="V32"/>
  <c i="18" r="U32"/>
  <c i="18" r="T32"/>
  <c i="18" r="S32"/>
  <c i="18" r="R32"/>
  <c i="18" r="Q32"/>
  <c i="18" r="P32"/>
  <c i="18" r="O32"/>
  <c i="18" r="N32"/>
  <c i="18" r="M32"/>
  <c i="18" r="L32"/>
  <c i="18" r="K32"/>
  <c i="18" r="J32"/>
  <c i="18" r="I32"/>
  <c i="18" r="H32"/>
  <c i="18" r="G32"/>
  <c i="18" r="F32"/>
  <c i="18" r="E32"/>
  <c i="18" r="D32"/>
  <c i="18" r="C32"/>
  <c i="18" r="W31"/>
  <c i="18" r="V31"/>
  <c i="18" r="U31"/>
  <c i="18" r="T31"/>
  <c i="18" r="S31"/>
  <c i="18" r="R31"/>
  <c i="18" r="Q31"/>
  <c i="18" r="P31"/>
  <c i="18" r="O31"/>
  <c i="18" r="N31"/>
  <c i="18" r="M31"/>
  <c i="18" r="L31"/>
  <c i="18" r="K31"/>
  <c i="18" r="J31"/>
  <c i="18" r="I31"/>
  <c i="18" r="H31"/>
  <c i="18" r="G31"/>
  <c i="18" r="F31"/>
  <c i="18" r="E31"/>
  <c i="18" r="D31"/>
  <c i="18" r="C31"/>
  <c i="18" r="W30"/>
  <c i="18" r="V30"/>
  <c i="18" r="U30"/>
  <c i="18" r="T30"/>
  <c i="18" r="S30"/>
  <c i="18" r="R30"/>
  <c i="18" r="Q30"/>
  <c i="18" r="P30"/>
  <c i="18" r="O30"/>
  <c i="18" r="N30"/>
  <c i="18" r="M30"/>
  <c i="18" r="L30"/>
  <c i="18" r="K30"/>
  <c i="18" r="J30"/>
  <c i="18" r="I30"/>
  <c i="18" r="H30"/>
  <c i="18" r="G30"/>
  <c i="18" r="F30"/>
  <c i="18" r="E30"/>
  <c i="18" r="D30"/>
  <c i="18" r="C30"/>
  <c i="18" r="R23"/>
  <c i="18" r="R22"/>
  <c i="18" r="R21"/>
  <c i="18" r="R20"/>
  <c i="18" r="R19"/>
  <c i="18" r="R18"/>
  <c i="18" r="R17"/>
  <c i="18" r="R16"/>
  <c i="18" r="R15"/>
  <c i="18" r="R14"/>
  <c i="18" r="R13"/>
  <c i="18" r="R12"/>
  <c i="18" r="R11"/>
  <c i="18" r="R10"/>
  <c i="18" r="R9"/>
  <c i="18" r="R8"/>
  <c i="18" r="R7"/>
  <c i="18" r="R6"/>
  <c i="18" r="R5"/>
  <c i="18" r="R4"/>
  <c i="1" r="CL41"/>
  <c i="1" r="CL40"/>
  <c i="1" r="CL39"/>
  <c i="1" r="CL38"/>
  <c i="1" r="CL37"/>
  <c i="1" r="CL36"/>
  <c i="1" r="CL35"/>
  <c i="1" r="CL34"/>
  <c i="1" r="CL33"/>
  <c i="1" r="CL32"/>
  <c i="1" r="CL31"/>
  <c i="1" r="CL30"/>
  <c i="1" r="CL29"/>
  <c i="1" r="CL28"/>
  <c i="1" r="CL27"/>
  <c i="1" r="CL26"/>
  <c i="1" r="CL25"/>
  <c i="1" r="CL24"/>
  <c i="1" r="CL23"/>
  <c i="1" r="CL22"/>
  <c i="1" r="CK41"/>
  <c i="1" r="CK40"/>
  <c i="1" r="CK39"/>
  <c i="1" r="CK38"/>
  <c i="1" r="CK37"/>
  <c i="1" r="CK36"/>
  <c i="1" r="CK35"/>
  <c i="1" r="CK34"/>
  <c i="1" r="CK33"/>
  <c i="1" r="CK32"/>
  <c i="1" r="CK31"/>
  <c i="1" r="CK30"/>
  <c i="18" r="Q12" s="1"/>
  <c i="1" r="CK29"/>
  <c i="18" r="Q11" s="1"/>
  <c i="1" r="CK28"/>
  <c i="18" r="Q10" s="1"/>
  <c i="1" r="CK27"/>
  <c i="18" r="Q9" s="1"/>
  <c i="1" r="CK26"/>
  <c i="18" r="Q8" s="1"/>
  <c i="1" r="CK25"/>
  <c i="18" r="Q7" s="1"/>
  <c i="1" r="CK24"/>
  <c i="18" r="Q6" s="1"/>
  <c i="1" r="CK23"/>
  <c i="18" r="Q5" s="1"/>
  <c i="1" r="CK22"/>
  <c i="1" r="CJ41"/>
  <c i="1" r="CJ40"/>
  <c i="1" r="CJ39"/>
  <c i="1" r="CJ38"/>
  <c i="1" r="CJ37"/>
  <c i="1" r="CJ36"/>
  <c i="1" r="CJ35"/>
  <c i="1" r="CJ34"/>
  <c i="18" r="P16" s="1"/>
  <c i="1" r="CJ33"/>
  <c i="18" r="P15" s="1"/>
  <c i="1" r="CJ32"/>
  <c i="18" r="P14" s="1"/>
  <c i="1" r="CJ31"/>
  <c i="18" r="P13" s="1"/>
  <c i="1" r="CJ30"/>
  <c i="18" r="P12" s="1"/>
  <c i="1" r="CJ29"/>
  <c i="18" r="P11" s="1"/>
  <c i="1" r="CJ28"/>
  <c i="1" r="CJ27"/>
  <c i="1" r="CJ26"/>
  <c i="1" r="CJ25"/>
  <c i="1" r="CJ24"/>
  <c i="1" r="CJ23"/>
  <c i="1" r="CJ22"/>
  <c i="18" r="Q18"/>
  <c i="18" r="P18"/>
  <c i="18" r="Q17"/>
  <c i="18" r="P17"/>
  <c i="18" r="Q16"/>
  <c i="18" r="Q15"/>
  <c i="18" r="Q14"/>
  <c i="18" r="Q13"/>
  <c i="18" r="P10"/>
  <c i="18" r="P9"/>
  <c i="18" r="P8"/>
  <c i="18" r="P7"/>
  <c i="18" r="P6"/>
  <c i="18" r="P5"/>
  <c i="18" r="Q4"/>
  <c i="18" r="P4"/>
  <c i="18" r="P19"/>
  <c i="18" r="Q19"/>
  <c i="18" r="P20"/>
  <c i="18" r="Q20"/>
  <c i="18" r="P21"/>
  <c i="18" r="Q21"/>
  <c i="18" r="P22"/>
  <c i="18" r="Q22"/>
  <c i="18" r="P23"/>
  <c i="18" r="Q23"/>
  <c i="18" r="D5"/>
  <c i="12" l="1" r="H30"/>
  <c i="12" r="I30"/>
  <c i="19" r="H6"/>
  <c i="19" r="O6"/>
  <c i="19" r="E7"/>
  <c i="19" r="H7"/>
  <c i="19" r="L7"/>
  <c i="19" r="S7" s="1"/>
  <c i="19" r="O7"/>
  <c i="19" r="E8"/>
  <c i="19" r="H8"/>
  <c i="19" r="O8" s="1"/>
  <c i="19" r="L8"/>
  <c i="19" r="E9"/>
  <c i="19" r="H9"/>
  <c i="19" r="O9" s="1"/>
  <c i="19" r="L9"/>
  <c i="19" r="S9" s="1"/>
  <c i="19" r="E10"/>
  <c i="19" r="H10"/>
  <c i="19" r="L10"/>
  <c i="19" r="S10" s="1"/>
  <c i="19" r="O10"/>
  <c i="19" r="E11"/>
  <c i="19" r="H11"/>
  <c i="19" r="O11" s="1"/>
  <c i="19" r="L11"/>
  <c i="19" r="S11" s="1"/>
  <c i="19" r="E12"/>
  <c i="19" r="H12"/>
  <c i="19" r="O12" s="1"/>
  <c i="19" r="L12"/>
  <c i="19" r="L42" s="1"/>
  <c i="19" r="E13"/>
  <c i="19" r="H13"/>
  <c i="19" r="O13" s="1"/>
  <c i="19" r="L13"/>
  <c i="19" r="S13" s="1"/>
  <c i="19" r="E14"/>
  <c i="19" r="H14"/>
  <c i="19" r="O14" s="1"/>
  <c i="19" r="L14"/>
  <c i="19" r="S14" s="1"/>
  <c i="19" r="E15"/>
  <c i="19" r="H15"/>
  <c i="19" r="O15" s="1"/>
  <c i="19" r="L15"/>
  <c i="19" r="E16"/>
  <c i="19" r="H16"/>
  <c i="19" r="O16" s="1"/>
  <c i="19" r="L16"/>
  <c i="19" r="E17"/>
  <c i="19" r="H17"/>
  <c i="19" r="O17" s="1"/>
  <c i="19" r="L17"/>
  <c i="19" r="S17" s="1"/>
  <c i="19" r="B18"/>
  <c i="19" r="C18"/>
  <c i="19" r="D18"/>
  <c i="19" r="I18"/>
  <c i="19" r="P18" s="1"/>
  <c i="19" r="J18"/>
  <c i="19" r="K18"/>
  <c i="19" r="Q18"/>
  <c i="19" r="R18"/>
  <c i="19" r="A21"/>
  <c i="19" r="A36" s="1"/>
  <c i="19" r="H36" s="1"/>
  <c i="19" r="A22"/>
  <c i="19" r="H22" s="1"/>
  <c i="19" r="O22" s="1"/>
  <c i="19" r="E22"/>
  <c i="19" r="L22"/>
  <c i="19" r="S22" s="1"/>
  <c i="19" r="A23"/>
  <c i="19" r="A38" s="1"/>
  <c i="19" r="H38" s="1"/>
  <c i="19" r="O38" s="1"/>
  <c i="19" r="E23"/>
  <c i="19" r="L23"/>
  <c i="19" r="A24"/>
  <c i="19" r="H24" s="1"/>
  <c i="19" r="O24" s="1"/>
  <c i="19" r="E24"/>
  <c i="19" r="L24"/>
  <c i="19" r="A25"/>
  <c i="19" r="A40" s="1"/>
  <c i="19" r="H40" s="1"/>
  <c i="19" r="O40" s="1"/>
  <c i="19" r="E25"/>
  <c i="19" r="H25"/>
  <c i="19" r="L25"/>
  <c i="19" r="S25" s="1"/>
  <c i="19" r="O25"/>
  <c i="19" r="A26"/>
  <c i="19" r="H26" s="1"/>
  <c i="19" r="O26" s="1"/>
  <c i="19" r="E26"/>
  <c i="19" r="L26"/>
  <c i="19" r="S26" s="1"/>
  <c i="19" r="A27"/>
  <c i="19" r="H27" s="1"/>
  <c i="19" r="O27" s="1"/>
  <c i="19" r="E27"/>
  <c i="19" r="L27"/>
  <c i="19" r="S27" s="1"/>
  <c i="19" r="A28"/>
  <c i="19" r="A43" s="1"/>
  <c i="19" r="H43" s="1"/>
  <c i="19" r="O43" s="1"/>
  <c i="19" r="E28"/>
  <c i="19" r="L28"/>
  <c i="19" r="A29"/>
  <c i="19" r="A44" s="1"/>
  <c i="19" r="H44" s="1"/>
  <c i="19" r="O44" s="1"/>
  <c i="19" r="E29"/>
  <c i="19" r="L29"/>
  <c i="19" r="A30"/>
  <c i="19" r="H30" s="1"/>
  <c i="19" r="O30" s="1"/>
  <c i="19" r="E30"/>
  <c i="19" r="L30"/>
  <c i="19" r="A31"/>
  <c i="19" r="A46" s="1"/>
  <c i="19" r="H46" s="1"/>
  <c i="19" r="O46" s="1"/>
  <c i="19" r="E31"/>
  <c i="19" r="H31"/>
  <c i="19" r="L31"/>
  <c i="19" r="O31"/>
  <c i="19" r="A32"/>
  <c i="19" r="H32" s="1"/>
  <c i="19" r="O32" s="1"/>
  <c i="19" r="E32"/>
  <c i="19" r="L32"/>
  <c i="19" r="B33"/>
  <c i="19" r="C33"/>
  <c i="19" r="D33"/>
  <c i="19" r="I33"/>
  <c i="19" r="J33"/>
  <c i="19" r="K33"/>
  <c i="19" r="R33" s="1"/>
  <c i="19" r="B37"/>
  <c i="19" r="C37"/>
  <c i="19" r="D37"/>
  <c i="19" r="I37"/>
  <c i="19" r="J37"/>
  <c i="19" r="Q37" s="1"/>
  <c i="19" r="K37"/>
  <c i="19" r="B38"/>
  <c i="19" r="C38"/>
  <c i="19" r="D38"/>
  <c i="19" r="I38"/>
  <c i="19" r="J38"/>
  <c i="19" r="K38"/>
  <c i="19" r="B39"/>
  <c i="19" r="C39"/>
  <c i="19" r="D39"/>
  <c i="19" r="I39"/>
  <c i="19" r="P39" s="1"/>
  <c i="19" r="J39"/>
  <c i="19" r="Q39" s="1"/>
  <c i="19" r="K39"/>
  <c i="19" r="R39" s="1"/>
  <c i="19" r="B40"/>
  <c i="19" r="C40"/>
  <c i="19" r="D40"/>
  <c i="19" r="I40"/>
  <c i="19" r="J40"/>
  <c i="19" r="K40"/>
  <c i="19" r="B41"/>
  <c i="19" r="C41"/>
  <c i="19" r="D41"/>
  <c i="19" r="I41"/>
  <c i="19" r="J41"/>
  <c i="19" r="K41"/>
  <c i="19" r="B42"/>
  <c i="19" r="C42"/>
  <c i="19" r="D42"/>
  <c i="19" r="I42"/>
  <c i="19" r="P42" s="1"/>
  <c i="19" r="J42"/>
  <c i="19" r="Q42" s="1"/>
  <c i="19" r="K42"/>
  <c i="19" r="R42" s="1"/>
  <c i="19" r="B43"/>
  <c i="19" r="C43"/>
  <c i="19" r="D43"/>
  <c i="19" r="I43"/>
  <c i="19" r="J43"/>
  <c i="19" r="Q43" s="1"/>
  <c i="19" r="K43"/>
  <c i="19" r="R43" s="1"/>
  <c i="19" r="P43"/>
  <c i="19" r="B44"/>
  <c i="19" r="C44"/>
  <c i="19" r="D44"/>
  <c i="19" r="I44"/>
  <c i="19" r="J44"/>
  <c i="19" r="K44"/>
  <c i="19" r="B45"/>
  <c i="19" r="C45"/>
  <c i="19" r="D45"/>
  <c i="19" r="I45"/>
  <c i="19" r="J45"/>
  <c i="19" r="K45"/>
  <c i="19" r="B46"/>
  <c i="19" r="C46"/>
  <c i="19" r="D46"/>
  <c i="19" r="I46"/>
  <c i="19" r="J46"/>
  <c i="19" r="K46"/>
  <c i="19" r="Q46"/>
  <c i="19" r="R46"/>
  <c i="19" r="B47"/>
  <c i="19" r="C47"/>
  <c i="19" r="D47"/>
  <c i="19" r="I47"/>
  <c i="19" r="J47"/>
  <c i="19" r="K47"/>
  <c i="19" l="1" r="S8"/>
  <c i="19" r="S15"/>
  <c i="19" r="L46"/>
  <c i="19" r="E37"/>
  <c i="19" r="S32"/>
  <c i="19" r="R45"/>
  <c i="19" r="P37"/>
  <c i="19" r="S12"/>
  <c i="19" r="E47"/>
  <c i="19" r="A42"/>
  <c i="19" r="H42" s="1"/>
  <c i="19" r="O42" s="1"/>
  <c i="19" r="A37"/>
  <c i="19" r="H37" s="1"/>
  <c i="19" r="O37" s="1"/>
  <c i="19" r="P45"/>
  <c i="19" r="A45"/>
  <c i="19" r="H45" s="1"/>
  <c i="19" r="O45" s="1"/>
  <c i="19" r="C48"/>
  <c i="19" r="L37"/>
  <c i="19" r="S37" s="1"/>
  <c i="19" r="S30"/>
  <c i="19" r="R37"/>
  <c i="19" r="R40"/>
  <c i="19" r="P44"/>
  <c i="19" r="E39"/>
  <c i="19" r="Q41"/>
  <c i="19" r="H29"/>
  <c i="19" r="O29" s="1"/>
  <c i="19" r="E33"/>
  <c i="12" r="H27" s="1"/>
  <c i="12" r="H32" s="1"/>
  <c i="19" r="Q40"/>
  <c i="19" r="S28"/>
  <c i="19" r="E38"/>
  <c i="19" r="P41"/>
  <c i="19" r="L44"/>
  <c i="19" r="A47"/>
  <c i="19" r="H47" s="1"/>
  <c i="19" r="O47" s="1"/>
  <c i="19" r="E44"/>
  <c i="19" r="P46"/>
  <c i="19" r="K48"/>
  <c i="19" r="R41"/>
  <c i="19" r="E42"/>
  <c i="19" r="S42" s="1"/>
  <c i="19" r="A39"/>
  <c i="19" r="H39" s="1"/>
  <c i="19" r="O39" s="1"/>
  <c i="19" r="L47"/>
  <c i="19" r="S29"/>
  <c i="19" r="L41"/>
  <c i="19" r="S24"/>
  <c i="19" r="Q38"/>
  <c i="19" r="P40"/>
  <c i="19" r="R38"/>
  <c i="19" r="Q45"/>
  <c i="19" r="P38"/>
  <c i="19" r="R44"/>
  <c i="19" r="B48"/>
  <c i="19" r="Q44"/>
  <c i="19" r="Q33"/>
  <c i="19" r="H21"/>
  <c i="19" r="L39"/>
  <c i="19" r="P33"/>
  <c i="19" r="L33"/>
  <c i="19" r="L43"/>
  <c i="19" r="H23"/>
  <c i="19" r="O23" s="1"/>
  <c i="19" r="S16"/>
  <c i="19" r="E41"/>
  <c i="19" r="A41"/>
  <c i="19" r="H41" s="1"/>
  <c i="19" r="O41" s="1"/>
  <c i="19" r="D48"/>
  <c i="19" r="R48" s="1"/>
  <c i="19" r="E43"/>
  <c i="19" r="E46"/>
  <c i="19" r="S46" s="1"/>
  <c i="19" r="L40"/>
  <c i="19" r="S47"/>
  <c i="19" r="L45"/>
  <c i="19" r="E40"/>
  <c i="19" r="R47"/>
  <c i="19" r="Q47"/>
  <c i="19" r="P47"/>
  <c i="19" r="O21"/>
  <c i="19" r="E45"/>
  <c i="19" r="L18"/>
  <c i="12" r="I26" s="1"/>
  <c i="19" r="H28"/>
  <c i="19" r="O28" s="1"/>
  <c i="19" r="E18"/>
  <c i="19" r="S31"/>
  <c i="19" r="S23"/>
  <c i="19" r="L38"/>
  <c i="19" r="S38" s="1"/>
  <c i="19" r="J48"/>
  <c i="19" r="I48"/>
  <c i="18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9" l="1" r="P48"/>
  <c i="19" r="Q48"/>
  <c i="19" r="S39"/>
  <c i="19" r="S44"/>
  <c i="19" r="S45"/>
  <c i="19" r="S41"/>
  <c i="19" r="S43"/>
  <c i="19" r="S40"/>
  <c i="19" r="E48"/>
  <c i="12" r="H26"/>
  <c i="12" r="H31" s="1"/>
  <c i="19" r="S33"/>
  <c i="12" r="I27"/>
  <c i="12" r="I32" s="1"/>
  <c i="19" r="S18"/>
  <c i="19" r="L48"/>
  <c i="19" r="S48" s="1"/>
  <c i="18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2" l="1" r="I31"/>
  <c i="18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" r="BY42"/>
  <c i="18" r="E24" s="1"/>
  <c i="17" r="W51"/>
  <c i="17" r="V51"/>
  <c i="17" r="U51"/>
  <c i="17" r="X51"/>
  <c i="17" r="T51"/>
  <c i="17" r="R51"/>
  <c i="17" r="Q51"/>
  <c i="17" r="P51"/>
  <c i="17" r="X25"/>
  <c i="17" r="O51"/>
  <c i="17" r="N51"/>
  <c i="17" r="M51"/>
  <c i="17" r="L51"/>
  <c i="17" r="S51"/>
  <c i="17" r="K51"/>
  <c i="17" r="I51"/>
  <c i="17" r="H51"/>
  <c i="17" r="G51"/>
  <c i="17" r="F51"/>
  <c i="17" r="E51"/>
  <c i="17" r="D5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AQ130" s="1"/>
  <c i="18" r="AQ156" s="1"/>
  <c i="1" r="AK54"/>
  <c i="18" r="AL130" s="1"/>
  <c i="18" r="AL156" s="1"/>
  <c i="1" r="AJ54"/>
  <c i="18" r="AK130" s="1"/>
  <c i="18" r="AK156" s="1"/>
  <c i="1" r="AQ54"/>
  <c i="18" r="AR130" s="1"/>
  <c i="18" r="AR156" s="1"/>
  <c i="1" r="AI54"/>
  <c i="18" r="AJ130" s="1"/>
  <c i="18" r="AJ156" s="1"/>
  <c i="1" r="AH54"/>
  <c i="18" r="AI130" s="1"/>
  <c i="18" r="AI156" s="1"/>
  <c i="1" r="AG54"/>
  <c i="18" r="AH130" s="1"/>
  <c i="18" r="AH156" s="1"/>
  <c i="1" r="AO54"/>
  <c i="18" r="AP130" s="1"/>
  <c i="18" r="AP156" s="1"/>
  <c i="1" r="AF54"/>
  <c i="18" r="AG130" s="1"/>
  <c i="18" r="AG156" s="1"/>
  <c i="1" r="AM54"/>
  <c i="18" r="AN130" s="1"/>
  <c i="18" r="AN156" s="1"/>
  <c i="1" r="AN54"/>
  <c i="18" r="AO130" s="1"/>
  <c i="18" r="AO156" s="1"/>
  <c i="1" r="AL54"/>
  <c i="18" r="AM130" s="1"/>
  <c i="18" r="AM156" s="1"/>
  <c i="1" r="AE54"/>
  <c i="18" r="AF130" s="1"/>
  <c i="18" r="AF156" s="1"/>
  <c i="1" r="AD54"/>
  <c i="18" r="AE130" s="1"/>
  <c i="18" r="AE156" s="1"/>
  <c i="18" r="AS130"/>
  <c i="18" r="AS156" s="1"/>
  <c i="1" r="AC54"/>
  <c i="18" r="AD130" s="1"/>
  <c i="18" r="AD156" s="1"/>
  <c i="1" r="AB54"/>
  <c i="18" r="AC130" s="1"/>
  <c i="18" r="AC156" s="1"/>
  <c i="1" r="AA54"/>
  <c i="18" r="AB130" s="1"/>
  <c i="18" r="AB156" s="1"/>
  <c i="1" r="Z54"/>
  <c i="18" r="AA130" s="1"/>
  <c i="18" r="AA156" s="1"/>
  <c i="1" r="AT54"/>
  <c i="18" r="AU130" s="1"/>
  <c i="18" r="AU156" s="1"/>
  <c i="1" r="AS54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K36" s="1"/>
  <c i="1" r="W10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8" l="1" r="BA50"/>
  <c i="18" r="BY50" s="1"/>
  <c i="1" r="T37"/>
  <c i="18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7" r="O44"/>
  <c i="17" r="I44"/>
  <c i="17" r="G44"/>
  <c i="17" r="U44"/>
  <c i="17" r="H44"/>
  <c i="17" r="L44"/>
  <c i="17" r="T44"/>
  <c i="17" r="J44"/>
  <c i="17" r="S44"/>
  <c i="17" r="Q44"/>
  <c i="17" r="D44"/>
  <c i="17" r="N44"/>
  <c i="17" r="F44"/>
  <c i="17" r="R44"/>
  <c i="17" r="P44"/>
  <c i="17" r="W44"/>
  <c i="17" r="X44"/>
  <c i="17" r="V44"/>
  <c i="17" r="E44"/>
  <c i="17" r="M44"/>
  <c i="17" r="K44"/>
  <c i="17" r="C44"/>
  <c i="1" r="AL49"/>
  <c i="17" r="E46"/>
  <c i="17" r="V46"/>
  <c i="17" r="H46"/>
  <c i="17" r="K46"/>
  <c i="17" r="C46"/>
  <c i="17" r="D46"/>
  <c i="17" r="F46"/>
  <c i="17" r="W46"/>
  <c i="17" r="M46"/>
  <c i="17" r="P46"/>
  <c i="17" r="N46"/>
  <c i="17" r="T46"/>
  <c i="17" r="L46"/>
  <c i="17" r="X46"/>
  <c i="17" r="S46"/>
  <c i="17" r="R46"/>
  <c i="17" r="G46"/>
  <c i="17" r="I46"/>
  <c i="17" r="J46"/>
  <c i="17" r="Q46"/>
  <c i="17" r="O46"/>
  <c i="17" r="U46"/>
  <c i="1" r="AB52"/>
  <c i="17" r="H49"/>
  <c i="17" r="J49"/>
  <c i="17" r="K49"/>
  <c i="17" r="N49"/>
  <c i="17" r="D49"/>
  <c i="17" r="I49"/>
  <c i="17" r="L49"/>
  <c i="17" r="X49"/>
  <c i="17" r="W49"/>
  <c i="17" r="M49"/>
  <c i="17" r="F49"/>
  <c i="17" r="G49"/>
  <c i="17" r="P49"/>
  <c i="17" r="U49"/>
  <c i="17" r="Q49"/>
  <c i="17" r="R49"/>
  <c i="17" r="O49"/>
  <c i="17" r="E49"/>
  <c i="17" r="C49"/>
  <c i="17" r="S49"/>
  <c i="17" r="V49"/>
  <c i="17" r="T49"/>
  <c i="1" r="AF48"/>
  <c i="17" r="G45"/>
  <c i="17" r="I45"/>
  <c i="17" r="F45"/>
  <c i="17" r="C45"/>
  <c i="17" r="H45"/>
  <c i="17" r="D45"/>
  <c i="17" r="E45"/>
  <c i="17" r="P45"/>
  <c i="17" r="U45"/>
  <c i="17" r="X45"/>
  <c i="17" r="S45"/>
  <c i="17" r="T45"/>
  <c i="17" r="V45"/>
  <c i="17" r="K45"/>
  <c i="17" r="L45"/>
  <c i="17" r="O45"/>
  <c i="17" r="N45"/>
  <c i="17" r="M45"/>
  <c i="17" r="R45"/>
  <c i="17" r="J45"/>
  <c i="17" r="W45"/>
  <c i="17" r="Q45"/>
  <c i="1" r="AB51"/>
  <c i="17" r="J48"/>
  <c i="17" r="G48"/>
  <c i="17" r="C48"/>
  <c i="17" r="K48"/>
  <c i="17" r="H48"/>
  <c i="17" r="D48"/>
  <c i="17" r="E48"/>
  <c i="17" r="I48"/>
  <c i="17" r="L48"/>
  <c i="17" r="M48"/>
  <c i="17" r="F48"/>
  <c i="17" r="U48"/>
  <c i="17" r="T48"/>
  <c i="17" r="N48"/>
  <c i="17" r="S48"/>
  <c i="17" r="R48"/>
  <c i="17" r="V48"/>
  <c i="17" r="Q48"/>
  <c i="17" r="O48"/>
  <c i="17" r="P48"/>
  <c i="17" r="W48"/>
  <c i="17" r="X48"/>
  <c i="1" r="AE50"/>
  <c i="17" r="L47"/>
  <c i="17" r="O47"/>
  <c i="17" r="M47"/>
  <c i="17" r="X47"/>
  <c i="17" r="R47"/>
  <c i="17" r="N47"/>
  <c i="17" r="U47"/>
  <c i="17" r="T47"/>
  <c i="17" r="V47"/>
  <c i="17" r="F47"/>
  <c i="17" r="S47"/>
  <c i="17" r="D47"/>
  <c i="17" r="H47"/>
  <c i="17" r="K47"/>
  <c i="17" r="Q47"/>
  <c i="17" r="P47"/>
  <c i="17" r="C47"/>
  <c i="17" r="G47"/>
  <c i="17" r="J47"/>
  <c i="17" r="W47"/>
  <c i="17" r="E47"/>
  <c i="17" r="I47"/>
  <c i="1" r="AT34"/>
  <c i="17" r="P31"/>
  <c i="17" r="I31"/>
  <c i="17" r="G31"/>
  <c i="17" r="H31"/>
  <c i="17" r="L31"/>
  <c i="17" r="J31"/>
  <c i="17" r="O31"/>
  <c i="17" r="N31"/>
  <c i="17" r="Q31"/>
  <c i="17" r="M31"/>
  <c i="17" r="K31"/>
  <c i="17" r="V31"/>
  <c i="17" r="C31"/>
  <c i="17" r="S31"/>
  <c i="17" r="F31"/>
  <c i="17" r="X31"/>
  <c i="17" r="R31"/>
  <c i="17" r="E31"/>
  <c i="17" r="U31"/>
  <c i="17" r="T31"/>
  <c i="17" r="D31"/>
  <c i="17" r="W31"/>
  <c i="1" r="AA35"/>
  <c i="17" r="G32"/>
  <c i="17" r="L32"/>
  <c i="17" r="O32"/>
  <c i="17" r="D32"/>
  <c i="17" r="M32"/>
  <c i="17" r="R32"/>
  <c i="17" r="X32"/>
  <c i="17" r="F32"/>
  <c i="17" r="P32"/>
  <c i="17" r="S32"/>
  <c i="17" r="C32"/>
  <c i="17" r="H32"/>
  <c i="17" r="K32"/>
  <c i="17" r="N32"/>
  <c i="17" r="V32"/>
  <c i="17" r="E32"/>
  <c i="17" r="I32"/>
  <c i="17" r="Q32"/>
  <c i="17" r="U32"/>
  <c i="17" r="J32"/>
  <c i="17" r="W32"/>
  <c i="17" r="T32"/>
  <c i="1" r="AR36"/>
  <c i="17" r="U33"/>
  <c i="17" r="F33"/>
  <c i="17" r="S33"/>
  <c i="17" r="C33"/>
  <c i="17" r="T33"/>
  <c i="17" r="O33"/>
  <c i="17" r="G33"/>
  <c i="17" r="R33"/>
  <c i="17" r="J33"/>
  <c i="17" r="M33"/>
  <c i="17" r="W33"/>
  <c i="17" r="H33"/>
  <c i="17" r="N33"/>
  <c i="17" r="Q33"/>
  <c i="17" r="I33"/>
  <c i="17" r="K33"/>
  <c i="17" r="E33"/>
  <c i="17" r="P33"/>
  <c i="17" r="X33"/>
  <c i="17" r="L33"/>
  <c i="17" r="V33"/>
  <c i="17" r="D33"/>
  <c i="1" r="AI46"/>
  <c i="17" r="Q43"/>
  <c i="17" r="V43"/>
  <c i="17" r="L43"/>
  <c i="17" r="X43"/>
  <c i="17" r="M43"/>
  <c i="17" r="C43"/>
  <c i="17" r="E43"/>
  <c i="17" r="T43"/>
  <c i="17" r="G43"/>
  <c i="17" r="W43"/>
  <c i="17" r="P43"/>
  <c i="17" r="N43"/>
  <c i="17" r="R43"/>
  <c i="17" r="K43"/>
  <c i="17" r="I43"/>
  <c i="17" r="F43"/>
  <c i="17" r="O43"/>
  <c i="17" r="S43"/>
  <c i="17" r="D43"/>
  <c i="17" r="H43"/>
  <c i="17" r="J43"/>
  <c i="17" r="U43"/>
  <c i="1" r="AE37"/>
  <c i="17" r="K34"/>
  <c i="17" r="D34"/>
  <c i="17" r="E34"/>
  <c i="17" r="L34"/>
  <c i="17" r="F34"/>
  <c i="17" r="G34"/>
  <c i="17" r="H34"/>
  <c i="17" r="I34"/>
  <c i="17" r="J34"/>
  <c i="17" r="N34"/>
  <c i="17" r="R34"/>
  <c i="17" r="T34"/>
  <c i="17" r="O34"/>
  <c i="17" r="Q34"/>
  <c i="17" r="V34"/>
  <c i="17" r="U34"/>
  <c i="17" r="X34"/>
  <c i="17" r="P34"/>
  <c i="17" r="C34"/>
  <c i="17" r="W34"/>
  <c i="17" r="M34"/>
  <c i="17" r="S34"/>
  <c i="1" r="AM38"/>
  <c i="17" r="V35"/>
  <c i="17" r="W35"/>
  <c i="17" r="X35"/>
  <c i="17" r="I35"/>
  <c i="17" r="O35"/>
  <c i="17" r="K35"/>
  <c i="17" r="C35"/>
  <c i="17" r="U35"/>
  <c i="17" r="H35"/>
  <c i="17" r="N35"/>
  <c i="17" r="J35"/>
  <c i="17" r="R35"/>
  <c i="17" r="F35"/>
  <c i="17" r="G35"/>
  <c i="17" r="T35"/>
  <c i="17" r="S35"/>
  <c i="17" r="M35"/>
  <c i="17" r="L35"/>
  <c i="17" r="P35"/>
  <c i="17" r="E35"/>
  <c i="17" r="D35"/>
  <c i="17" r="Q35"/>
  <c i="1" r="Z39"/>
  <c i="17" r="E36"/>
  <c i="17" r="G36"/>
  <c i="17" r="D36"/>
  <c i="17" r="C36"/>
  <c i="17" r="F36"/>
  <c i="17" r="H36"/>
  <c i="17" r="Q36"/>
  <c i="17" r="K36"/>
  <c i="17" r="O36"/>
  <c i="17" r="N36"/>
  <c i="17" r="P36"/>
  <c i="17" r="M36"/>
  <c i="17" r="R36"/>
  <c i="17" r="X36"/>
  <c i="17" r="T36"/>
  <c i="17" r="L36"/>
  <c i="17" r="J36"/>
  <c i="17" r="W36"/>
  <c i="17" r="I36"/>
  <c i="17" r="V36"/>
  <c i="17" r="S36"/>
  <c i="17" r="U36"/>
  <c i="1" r="AJ45"/>
  <c i="17" r="R42"/>
  <c i="17" r="P42"/>
  <c i="17" r="S42"/>
  <c i="17" r="Q42"/>
  <c i="17" r="X42"/>
  <c i="17" r="U42"/>
  <c i="17" r="D42"/>
  <c i="17" r="T42"/>
  <c i="17" r="N42"/>
  <c i="17" r="M42"/>
  <c i="17" r="L42"/>
  <c i="17" r="E42"/>
  <c i="17" r="H42"/>
  <c i="17" r="I42"/>
  <c i="17" r="G42"/>
  <c i="17" r="F42"/>
  <c i="17" r="K42"/>
  <c i="17" r="O42"/>
  <c i="17" r="W42"/>
  <c i="17" r="J42"/>
  <c i="17" r="V42"/>
  <c i="17" r="C42"/>
  <c i="1" r="AS53"/>
  <c i="17" r="K50"/>
  <c i="17" r="M50"/>
  <c i="17" r="J50"/>
  <c i="17" r="L50"/>
  <c i="17" r="P50"/>
  <c i="17" r="S50"/>
  <c i="17" r="O50"/>
  <c i="17" r="Q50"/>
  <c i="17" r="R50"/>
  <c i="17" r="N50"/>
  <c i="17" r="T50"/>
  <c i="17" r="V50"/>
  <c i="17" r="U50"/>
  <c i="17" r="E50"/>
  <c i="17" r="I50"/>
  <c i="17" r="C50"/>
  <c i="17" r="F50"/>
  <c i="17" r="H50"/>
  <c i="17" r="G50"/>
  <c i="17" r="X50"/>
  <c i="17" r="D50"/>
  <c i="17" r="W50"/>
  <c i="1" r="Z40"/>
  <c i="17" r="K37"/>
  <c i="17" r="W37"/>
  <c i="17" r="H37"/>
  <c i="17" r="Q37"/>
  <c i="17" r="P37"/>
  <c i="17" r="J37"/>
  <c i="17" r="N37"/>
  <c i="17" r="L37"/>
  <c i="17" r="E37"/>
  <c i="17" r="I37"/>
  <c i="17" r="F37"/>
  <c i="17" r="U37"/>
  <c i="17" r="X37"/>
  <c i="17" r="S37"/>
  <c i="17" r="T37"/>
  <c i="17" r="V37"/>
  <c i="17" r="G37"/>
  <c i="17" r="R37"/>
  <c i="17" r="M37"/>
  <c i="17" r="C37"/>
  <c i="17" r="D37"/>
  <c i="17" r="O37"/>
  <c i="1" r="AS41"/>
  <c i="17" r="P38"/>
  <c i="17" r="G38"/>
  <c i="17" r="S38"/>
  <c i="17" r="U38"/>
  <c i="17" r="T38"/>
  <c i="17" r="J38"/>
  <c i="17" r="M38"/>
  <c i="17" r="I38"/>
  <c i="17" r="F38"/>
  <c i="17" r="C38"/>
  <c i="17" r="R38"/>
  <c i="17" r="W38"/>
  <c i="17" r="V38"/>
  <c i="17" r="L38"/>
  <c i="17" r="O38"/>
  <c i="17" r="H38"/>
  <c i="17" r="N38"/>
  <c i="17" r="X38"/>
  <c i="17" r="D38"/>
  <c i="17" r="K38"/>
  <c i="17" r="E38"/>
  <c i="17" r="Q38"/>
  <c i="1" r="AM42"/>
  <c i="17" r="G39"/>
  <c i="17" r="C39"/>
  <c i="17" r="L39"/>
  <c i="17" r="I39"/>
  <c i="17" r="N39"/>
  <c i="17" r="O39"/>
  <c i="17" r="S39"/>
  <c i="17" r="F39"/>
  <c i="17" r="H39"/>
  <c i="17" r="D39"/>
  <c i="17" r="V39"/>
  <c i="17" r="X39"/>
  <c i="17" r="Q39"/>
  <c i="17" r="E39"/>
  <c i="17" r="M39"/>
  <c i="17" r="T39"/>
  <c i="17" r="R39"/>
  <c i="17" r="W39"/>
  <c i="17" r="K39"/>
  <c i="17" r="J39"/>
  <c i="17" r="P39"/>
  <c i="17" r="U39"/>
  <c i="1" r="AT43"/>
  <c i="17" r="K40"/>
  <c i="17" r="T40"/>
  <c i="17" r="V40"/>
  <c i="17" r="N40"/>
  <c i="17" r="P40"/>
  <c i="17" r="F40"/>
  <c i="17" r="I40"/>
  <c i="17" r="S40"/>
  <c i="17" r="L40"/>
  <c i="17" r="E40"/>
  <c i="17" r="W40"/>
  <c i="17" r="O40"/>
  <c i="17" r="H40"/>
  <c i="17" r="X40"/>
  <c i="17" r="G40"/>
  <c i="17" r="C40"/>
  <c i="17" r="J40"/>
  <c i="17" r="D40"/>
  <c i="17" r="Q40"/>
  <c i="17" r="U40"/>
  <c i="17" r="M40"/>
  <c i="17" r="R40"/>
  <c i="1" r="AO44"/>
  <c i="17" r="U41"/>
  <c i="17" r="W41"/>
  <c i="17" r="F41"/>
  <c i="17" r="J41"/>
  <c i="17" r="X41"/>
  <c i="17" r="R41"/>
  <c i="17" r="O41"/>
  <c i="17" r="P41"/>
  <c i="17" r="C41"/>
  <c i="17" r="T41"/>
  <c i="17" r="L41"/>
  <c i="17" r="S41"/>
  <c i="17" r="V41"/>
  <c i="17" r="D41"/>
  <c i="17" r="G41"/>
  <c i="17" r="N41"/>
  <c i="17" r="M41"/>
  <c i="17" r="H41"/>
  <c i="17" r="I41"/>
  <c i="17" r="K41"/>
  <c i="17" r="E41"/>
  <c i="17" r="Q41"/>
  <c i="1" r="AE49"/>
  <c i="1" r="AM47"/>
  <c i="1" r="AJ49"/>
  <c i="1" r="AS43"/>
  <c i="1" r="AQ45"/>
  <c i="1" r="AN47"/>
  <c i="1" r="AK49"/>
  <c i="1" r="AM49"/>
  <c i="1" r="AC48"/>
  <c i="1" r="AB35"/>
  <c i="1" r="AQ38"/>
  <c i="1" r="AG46"/>
  <c i="1" r="AD48"/>
  <c i="1" r="AT36"/>
  <c i="1" r="AK42"/>
  <c i="1" r="AI44"/>
  <c i="1" r="AR45"/>
  <c i="1" r="AO47"/>
  <c i="1" r="AE40"/>
  <c i="1" r="AH46"/>
  <c i="1" r="AM43"/>
  <c i="1" r="AB42"/>
  <c i="1" r="AE48"/>
  <c i="1" r="AK45"/>
  <c i="18" r="V24" s="1"/>
  <c i="1" r="AS45"/>
  <c i="1" r="AT38"/>
  <c i="1" r="AH47"/>
  <c i="1" r="AP47"/>
  <c i="1" r="AQ40"/>
  <c i="1" r="AN42"/>
  <c i="1" r="AL36"/>
  <c i="1" r="AL44"/>
  <c i="1" r="AQ34"/>
  <c i="1" r="AF40"/>
  <c i="1" r="AJ46"/>
  <c i="1" r="AD36"/>
  <c i="1" r="AC42"/>
  <c i="1" r="AG48"/>
  <c i="1" r="AT39"/>
  <c i="1" r="AA44"/>
  <c i="1" r="AF35"/>
  <c i="1" r="AQ41"/>
  <c i="1" r="AT45"/>
  <c i="1" r="AC37"/>
  <c i="1" r="AL45"/>
  <c i="1" r="AQ47"/>
  <c i="1" r="AR40"/>
  <c i="1" r="AI47"/>
  <c i="1" r="AN49"/>
  <c i="1" r="AK46"/>
  <c i="1" r="AF49"/>
  <c i="1" r="AR47"/>
  <c i="1" r="AH48"/>
  <c i="1" r="AO49"/>
  <c i="1" r="AU54"/>
  <c i="1" r="AO43"/>
  <c i="1" r="AA46"/>
  <c i="1" r="AD37"/>
  <c i="1" r="AM45"/>
  <c i="1" r="AS47"/>
  <c i="1" r="AA39"/>
  <c i="1" r="AJ47"/>
  <c i="1" r="AP49"/>
  <c i="1" r="AG49"/>
  <c i="1" r="AD44"/>
  <c i="1" r="AG50"/>
  <c i="1" r="AN45"/>
  <c i="1" r="AB46"/>
  <c i="1" r="AD52"/>
  <c i="1" r="AK47"/>
  <c i="1" r="AT47"/>
  <c i="1" r="AD38"/>
  <c i="1" r="AQ49"/>
  <c i="1" r="AI35"/>
  <c i="1" r="J49"/>
  <c i="1" r="AA40"/>
  <c i="1" r="AP36"/>
  <c i="1" r="AF37"/>
  <c i="1" r="AT41"/>
  <c i="1" r="AC39"/>
  <c i="1" r="CA42"/>
  <c i="18" r="G24" s="1"/>
  <c i="1" r="AQ43"/>
  <c i="1" r="AG42"/>
  <c i="1" r="Z41"/>
  <c i="1" r="D38"/>
  <c i="1" r="AO45"/>
  <c i="1" r="AE44"/>
  <c i="1" r="AR42"/>
  <c i="1" r="AL47"/>
  <c i="1" r="AC46"/>
  <c i="1" r="AP44"/>
  <c i="1" r="T44"/>
  <c i="1" r="AI49"/>
  <c i="1" r="AR49"/>
  <c i="1" r="AN46"/>
  <c i="1" r="Z34"/>
  <c i="1" r="AD46"/>
  <c i="1" r="AK48"/>
  <c i="1" r="AH36"/>
  <c i="1" r="AA48"/>
  <c i="1" r="AB40"/>
  <c i="1" r="AS49"/>
  <c i="1" r="AR43"/>
  <c i="1" r="AH44"/>
  <c i="1" r="Z42"/>
  <c i="1" r="AP45"/>
  <c i="1" r="AF46"/>
  <c i="1" r="AB36"/>
  <c i="1" r="AD50"/>
  <c i="1" r="AF51"/>
  <c i="1" r="AA52"/>
  <c i="1" r="AA38"/>
  <c i="1" r="AD53"/>
  <c i="1" r="AI38"/>
  <c i="1" r="AJ40"/>
  <c i="1" r="AN40"/>
  <c i="1" r="AT53"/>
  <c i="1" r="AN43"/>
  <c i="1" r="AE38"/>
  <c i="1" r="AH50"/>
  <c i="1" r="AE52"/>
  <c i="1" r="AJ51"/>
  <c i="1" r="AO51"/>
  <c i="1" r="AA50"/>
  <c i="1" r="AO42"/>
  <c i="1" r="AM53"/>
  <c i="1" r="AS51"/>
  <c i="1" r="AM44"/>
  <c i="1" r="AA34"/>
  <c i="1" r="AN51"/>
  <c i="1" r="AC51"/>
  <c i="1" r="AK51"/>
  <c i="1" r="AQ36"/>
  <c i="1" r="AQ53"/>
  <c i="1" r="AB34"/>
  <c i="1" r="AA53"/>
  <c i="1" r="AI53"/>
  <c i="1" r="AN38"/>
  <c i="1" r="AC35"/>
  <c i="1" r="AO35"/>
  <c i="1" r="B51"/>
  <c i="1" r="Z51"/>
  <c i="1" r="AG51"/>
  <c i="1" r="AM36"/>
  <c i="1" r="AK40"/>
  <c i="1" r="AR38"/>
  <c i="1" r="AL37"/>
  <c i="1" r="AR34"/>
  <c i="1" r="AE53"/>
  <c i="1" r="AJ38"/>
  <c i="1" r="AH42"/>
  <c i="1" r="AO40"/>
  <c i="1" r="AP53"/>
  <c i="1" r="AE36"/>
  <c i="1" r="AI36"/>
  <c i="1" r="AG40"/>
  <c i="1" r="AF44"/>
  <c i="1" r="AL42"/>
  <c i="1" r="AQ35"/>
  <c i="1" r="AB38"/>
  <c i="1" r="AF38"/>
  <c i="1" r="AD42"/>
  <c i="1" r="AJ44"/>
  <c i="1" r="AC34"/>
  <c i="1" r="AA51"/>
  <c i="1" r="U50"/>
  <c i="1" r="AO50"/>
  <c i="1" r="AS50"/>
  <c i="1" r="AK50"/>
  <c i="1" r="AJ50"/>
  <c i="1" r="AM50"/>
  <c i="1" r="AQ50"/>
  <c i="1" r="AI50"/>
  <c i="1" r="AL50"/>
  <c i="1" r="AT50"/>
  <c i="1" r="AN50"/>
  <c i="1" r="AP50"/>
  <c i="1" r="AR50"/>
  <c i="1" r="AR41"/>
  <c i="1" r="AC40"/>
  <c i="1" r="AB44"/>
  <c i="1" r="AG35"/>
  <c i="1" r="R52"/>
  <c i="1" r="AP52"/>
  <c i="1" r="AG52"/>
  <c i="1" r="AN52"/>
  <c i="1" r="AJ52"/>
  <c i="1" r="AH52"/>
  <c i="1" r="AF52"/>
  <c i="1" r="AQ52"/>
  <c i="1" r="AL52"/>
  <c i="1" r="AR52"/>
  <c i="1" r="AI52"/>
  <c i="1" r="AS52"/>
  <c i="1" r="AK52"/>
  <c i="1" r="AM52"/>
  <c i="1" r="AO52"/>
  <c i="1" r="BX42"/>
  <c i="18" r="D24" s="1"/>
  <c i="1" r="AL51"/>
  <c i="1" r="AN53"/>
  <c i="1" r="AT51"/>
  <c i="1" r="AS40"/>
  <c i="1" r="Z53"/>
  <c i="1" r="AP51"/>
  <c i="1" r="AJ53"/>
  <c i="1" r="AR53"/>
  <c i="1" r="AP42"/>
  <c i="1" r="Z48"/>
  <c i="1" r="AB50"/>
  <c i="1" r="Z36"/>
  <c i="1" r="AA36"/>
  <c i="1" r="J54"/>
  <c i="1" r="AD51"/>
  <c i="1" r="AH51"/>
  <c i="1" r="AN36"/>
  <c i="1" r="AO38"/>
  <c i="1" r="AJ35"/>
  <c i="1" r="AN44"/>
  <c i="1" r="AL53"/>
  <c i="1" r="AB53"/>
  <c i="1" r="AF53"/>
  <c i="1" r="AK38"/>
  <c i="1" r="AL40"/>
  <c i="1" r="AD35"/>
  <c i="1" r="AL46"/>
  <c i="18" r="V25" s="1"/>
  <c i="1" r="AL43"/>
  <c i="1" r="D54"/>
  <c i="1" r="AS34"/>
  <c i="1" r="AJ36"/>
  <c i="1" r="AH40"/>
  <c i="1" r="AI42"/>
  <c i="1" r="AA37"/>
  <c i="1" r="AI48"/>
  <c i="1" r="AT52"/>
  <c i="1" r="C39"/>
  <c i="1" r="AE39"/>
  <c i="1" r="AO39"/>
  <c i="1" r="AH39"/>
  <c i="1" r="AP39"/>
  <c i="1" r="AG39"/>
  <c i="1" r="AF39"/>
  <c i="1" r="AN39"/>
  <c i="1" r="AD39"/>
  <c i="1" r="AJ39"/>
  <c i="1" r="AI39"/>
  <c i="1" r="AQ39"/>
  <c i="1" r="AK39"/>
  <c i="1" r="AL39"/>
  <c i="1" r="AM39"/>
  <c i="1" r="AF36"/>
  <c i="1" r="AG38"/>
  <c i="1" r="AE42"/>
  <c i="1" r="AG44"/>
  <c i="1" r="AS38"/>
  <c i="1" r="AF50"/>
  <c i="1" r="Z46"/>
  <c i="1" r="AC38"/>
  <c i="1" r="AD40"/>
  <c i="1" r="AC44"/>
  <c i="1" r="AE46"/>
  <c i="1" r="AP40"/>
  <c i="1" r="AC52"/>
  <c i="1" r="Z37"/>
  <c i="1" r="AH53"/>
  <c i="1" r="AA42"/>
  <c i="1" r="AB48"/>
  <c i="1" r="AD49"/>
  <c i="1" r="AP43"/>
  <c i="1" r="AT49"/>
  <c i="1" r="AK44"/>
  <c i="1" r="AH35"/>
  <c i="1" r="Z44"/>
  <c i="1" r="AQ51"/>
  <c i="1" r="AR39"/>
  <c i="1" r="P41"/>
  <c i="1" r="AL41"/>
  <c i="1" r="AB41"/>
  <c i="1" r="AM41"/>
  <c i="1" r="AI41"/>
  <c i="1" r="AK41"/>
  <c i="1" r="AE41"/>
  <c i="1" r="AA41"/>
  <c i="1" r="AG41"/>
  <c i="1" r="AN41"/>
  <c i="1" r="AC41"/>
  <c i="1" r="AD41"/>
  <c i="1" r="AF41"/>
  <c i="1" r="AH41"/>
  <c i="1" r="AJ41"/>
  <c i="1" r="AM51"/>
  <c i="1" r="AO53"/>
  <c i="1" r="AB39"/>
  <c i="1" r="Z50"/>
  <c i="1" r="AR51"/>
  <c i="1" r="S44"/>
  <c i="1" r="J43"/>
  <c i="1" r="AJ43"/>
  <c i="1" r="AA43"/>
  <c i="1" r="AF43"/>
  <c i="1" r="AH43"/>
  <c i="1" r="Z43"/>
  <c i="1" r="AB43"/>
  <c i="1" r="AD43"/>
  <c i="1" r="AC43"/>
  <c i="1" r="AI43"/>
  <c i="1" r="AK43"/>
  <c i="1" r="AE43"/>
  <c i="1" r="AG43"/>
  <c i="1" r="AD45"/>
  <c i="1" r="AH45"/>
  <c i="1" r="Z45"/>
  <c i="1" r="AI45"/>
  <c i="1" r="AB45"/>
  <c i="1" r="AG45"/>
  <c i="1" r="AA45"/>
  <c i="1" r="AC45"/>
  <c i="1" r="AE45"/>
  <c i="1" r="AF45"/>
  <c i="1" r="CR9"/>
  <c i="1" r="AH49"/>
  <c i="1" r="AK53"/>
  <c i="1" r="AC50"/>
  <c i="1" r="AT40"/>
  <c i="1" r="AO41"/>
  <c i="1" r="U44"/>
  <c i="1" r="AS42"/>
  <c i="1" r="AT42"/>
  <c i="1" r="O44"/>
  <c i="1" r="AP46"/>
  <c i="1" r="AO46"/>
  <c i="1" r="AR46"/>
  <c i="1" r="AS46"/>
  <c i="1" r="AQ46"/>
  <c i="1" r="AT46"/>
  <c i="1" r="AE51"/>
  <c i="1" r="AI51"/>
  <c i="1" r="AO36"/>
  <c i="1" r="AS36"/>
  <c i="1" r="Z52"/>
  <c i="1" r="AQ42"/>
  <c i="1" r="Z38"/>
  <c i="1" r="AN35"/>
  <c i="1" r="AK35"/>
  <c i="1" r="AR35"/>
  <c i="1" r="AM35"/>
  <c i="1" r="AT35"/>
  <c i="1" r="AL35"/>
  <c i="1" r="AP35"/>
  <c i="1" r="AS35"/>
  <c i="1" r="AE47"/>
  <c i="1" r="AC47"/>
  <c i="1" r="AF47"/>
  <c i="1" r="AA47"/>
  <c i="1" r="AD47"/>
  <c i="1" r="Z47"/>
  <c i="1" r="AB47"/>
  <c i="1" r="AC36"/>
  <c i="1" r="AC53"/>
  <c i="1" r="AG53"/>
  <c i="1" r="AL38"/>
  <c i="1" r="AP38"/>
  <c i="1" r="AP34"/>
  <c i="1" r="P44"/>
  <c i="1" r="AR44"/>
  <c i="1" r="AT44"/>
  <c i="1" r="AQ44"/>
  <c i="1" r="AS44"/>
  <c i="1" r="AP48"/>
  <c i="1" r="AN48"/>
  <c i="1" r="AO48"/>
  <c i="1" r="AL48"/>
  <c i="1" r="AR48"/>
  <c i="1" r="AM48"/>
  <c i="1" r="AQ48"/>
  <c i="1" r="AT48"/>
  <c i="1" r="AS48"/>
  <c i="1" r="AS39"/>
  <c i="1" r="AK36"/>
  <c i="1" r="AI40"/>
  <c i="1" r="AM40"/>
  <c i="1" r="AE35"/>
  <c i="1" r="AM46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" r="AK37"/>
  <c i="1" r="AS37"/>
  <c i="1" r="AH37"/>
  <c i="1" r="AQ37"/>
  <c i="1" r="AJ37"/>
  <c i="1" r="AI37"/>
  <c i="1" r="AG37"/>
  <c i="1" r="AO37"/>
  <c i="1" r="AR37"/>
  <c i="1" r="AN37"/>
  <c i="1" r="AT37"/>
  <c i="1" r="AP37"/>
  <c i="1" r="C49"/>
  <c i="1" r="AB49"/>
  <c i="1" r="AA49"/>
  <c i="1" r="Z49"/>
  <c i="1" r="AC49"/>
  <c i="1" r="AP41"/>
  <c i="1" r="AG36"/>
  <c i="1" r="AH38"/>
  <c i="1" r="AF42"/>
  <c i="1" r="AJ42"/>
  <c i="1" r="AB37"/>
  <c i="1" r="AJ48"/>
  <c i="1" r="Z35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8" r="K11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8" r="K12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8" r="K10" s="1"/>
  <c i="1" r="G34"/>
  <c i="1" r="L47"/>
  <c i="1" r="V44"/>
  <c i="1" r="BG55"/>
  <c i="1" r="CF14" s="1"/>
  <c i="1" r="CE31" s="1"/>
  <c i="18" r="K13" s="1"/>
  <c i="1" r="BC55"/>
  <c i="1" r="CB14" s="1"/>
  <c i="1" r="CE27" s="1"/>
  <c i="18" r="K9" s="1"/>
  <c i="1" r="G47"/>
  <c i="1" r="BB55"/>
  <c i="1" r="CA14" s="1"/>
  <c i="1" r="CE26" s="1"/>
  <c i="18" r="K8" s="1"/>
  <c i="1" r="BS38"/>
  <c i="1" r="BA55"/>
  <c i="1" r="BZ14" s="1"/>
  <c i="1" r="CE25" s="1"/>
  <c i="18" r="K7" s="1"/>
  <c i="1" r="C47"/>
  <c i="1" r="K54"/>
  <c i="1" r="L41"/>
  <c i="1" r="BS53"/>
  <c i="1" r="AZ55"/>
  <c i="1" r="BY14" s="1"/>
  <c i="1" r="CE24" s="1"/>
  <c i="18" r="K6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8" r="K4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8" r="K22" s="1"/>
  <c i="1" r="BQ55"/>
  <c i="1" r="CP14" s="1"/>
  <c i="1" r="CE41" s="1"/>
  <c i="18" r="K23" s="1"/>
  <c i="1" r="BS52"/>
  <c i="1" r="Q34"/>
  <c i="1" r="J52"/>
  <c i="1" r="P48"/>
  <c i="1" r="H45"/>
  <c i="1" r="T42"/>
  <c i="1" r="V39"/>
  <c i="1" r="N37"/>
  <c i="1" r="BO55"/>
  <c i="1" r="CN14" s="1"/>
  <c i="1" r="CE39" s="1"/>
  <c i="18" r="K21" s="1"/>
  <c i="1" r="V48"/>
  <c i="1" r="P34"/>
  <c i="1" r="I52"/>
  <c i="1" r="O48"/>
  <c i="1" r="G45"/>
  <c i="1" r="S42"/>
  <c i="1" r="U39"/>
  <c i="1" r="M37"/>
  <c i="1" r="BN55"/>
  <c i="1" r="CM14" s="1"/>
  <c i="1" r="CE38" s="1"/>
  <c i="18" r="K20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8" r="K19" s="1"/>
  <c i="1" r="N34"/>
  <c i="1" r="G52"/>
  <c i="1" r="M48"/>
  <c i="1" r="E45"/>
  <c i="1" r="Q42"/>
  <c i="1" r="S39"/>
  <c i="1" r="K37"/>
  <c i="1" r="BL55"/>
  <c i="1" r="CK14" s="1"/>
  <c i="1" r="CE36" s="1"/>
  <c i="18" r="K18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8" r="K17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8" r="K16" s="1"/>
  <c i="1" r="BS46"/>
  <c i="1" r="K34"/>
  <c i="1" r="D51"/>
  <c i="1" r="N47"/>
  <c i="1" r="B45"/>
  <c i="1" r="B42"/>
  <c i="1" r="P39"/>
  <c i="1" r="H37"/>
  <c i="1" r="BI55"/>
  <c i="1" r="CH14" s="1"/>
  <c i="1" r="CE33" s="1"/>
  <c i="18" r="K15" s="1"/>
  <c i="1" r="D43"/>
  <c i="1" r="H34"/>
  <c i="1" r="C51"/>
  <c i="1" r="M47"/>
  <c i="1" r="W44"/>
  <c i="1" r="O39"/>
  <c i="1" r="G37"/>
  <c i="1" r="BH55"/>
  <c i="1" r="CG14" s="1"/>
  <c i="1" r="CE32" s="1"/>
  <c i="18" r="K14" s="1"/>
  <c i="1" r="BS44"/>
  <c i="1" r="J34"/>
  <c i="1" r="I34"/>
  <c i="1" r="AY55"/>
  <c i="1" r="BX14" s="1"/>
  <c i="1" r="CE23" s="1"/>
  <c i="18" r="K5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AU123"/>
  <c i="18" r="AU149" s="1"/>
  <c i="18" r="AU129"/>
  <c i="18" r="AU155" s="1"/>
  <c i="18" r="AU128"/>
  <c i="18" r="AU154" s="1"/>
  <c i="18" r="CV15"/>
  <c i="8" r="E35"/>
  <c i="8" r="L35"/>
  <c i="18" r="CX4"/>
  <c i="1" r="AB55"/>
  <c i="1" r="BY13" s="1"/>
  <c i="1" r="CD24" s="1"/>
  <c i="1" r="AA55"/>
  <c i="18" r="CX5"/>
  <c i="1" r="AC55"/>
  <c i="1" r="BZ13" s="1"/>
  <c i="1" r="CD25" s="1"/>
  <c i="18" r="S51"/>
  <c i="1" r="AP55"/>
  <c i="1" r="CM13" s="1"/>
  <c i="1" r="CD38" s="1"/>
  <c i="1" r="AK55"/>
  <c i="1" r="CH13" s="1"/>
  <c i="1" r="CD33" s="1"/>
  <c i="1" r="AI55"/>
  <c i="1" r="CF13" s="1"/>
  <c i="1" r="CD31" s="1"/>
  <c i="18" r="T51"/>
  <c i="1" r="AQ55"/>
  <c i="1" r="CN13" s="1"/>
  <c i="1" r="CD39" s="1"/>
  <c i="1" r="AG55"/>
  <c i="1" r="CD13" s="1"/>
  <c i="1" r="CD29" s="1"/>
  <c i="18" r="R51"/>
  <c i="1" r="AO55"/>
  <c i="1" r="CL13" s="1"/>
  <c i="1" r="CD37" s="1"/>
  <c i="18" r="Q51"/>
  <c i="1" r="AN55"/>
  <c i="1" r="CK13" s="1"/>
  <c i="1" r="CD36" s="1"/>
  <c i="1" r="Z55"/>
  <c i="1" r="BW13" s="1"/>
  <c i="1" r="CD22" s="1"/>
  <c i="1" r="AH55"/>
  <c i="1" r="CE13" s="1"/>
  <c i="1" r="CD30" s="1"/>
  <c i="18" r="O51"/>
  <c i="1" r="AL55"/>
  <c i="1" r="CI13" s="1"/>
  <c i="1" r="CD34" s="1"/>
  <c i="18" r="V51"/>
  <c i="1" r="AS55"/>
  <c i="1" r="CP13" s="1"/>
  <c i="1" r="CD41" s="1"/>
  <c i="18" r="U51"/>
  <c i="1" r="AR55"/>
  <c i="1" r="CO13" s="1"/>
  <c i="1" r="CD40" s="1"/>
  <c i="1" r="AD55"/>
  <c i="1" r="CA13" s="1"/>
  <c i="1" r="CD26" s="1"/>
  <c i="1" r="AF55"/>
  <c i="1" r="CC13" s="1"/>
  <c i="1" r="CD28" s="1"/>
  <c i="1" r="AE55"/>
  <c i="1" r="CB13" s="1"/>
  <c i="1" r="CD27" s="1"/>
  <c i="18" r="P51"/>
  <c i="1" r="AM55"/>
  <c i="1" r="CJ13" s="1"/>
  <c i="1" r="CD35" s="1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BU46" s="1"/>
  <c i="18" r="CS46" s="1"/>
  <c i="18" r="AV51"/>
  <c i="18" r="X43"/>
  <c i="18" r="X42"/>
  <c i="18" r="BU42" s="1"/>
  <c i="18" r="CS42" s="1"/>
  <c i="18" r="X40"/>
  <c i="18" r="BU40" s="1"/>
  <c i="18" r="CS40" s="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AU37"/>
  <c i="1" r="AU51"/>
  <c i="1" r="AU40"/>
  <c i="1" r="CE42"/>
  <c i="1" r="CI30" s="1"/>
  <c i="18" r="O12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BX13"/>
  <c i="1" r="CD23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8" l="1" r="AU121"/>
  <c i="18" r="AU147" s="1"/>
  <c i="18" r="AU122"/>
  <c i="18" r="AU148" s="1"/>
  <c i="18" r="AU113"/>
  <c i="18" r="AU139" s="1"/>
  <c i="18" r="E51"/>
  <c i="18" r="AU114"/>
  <c i="18" r="AU140" s="1"/>
  <c i="18" r="AU119"/>
  <c i="18" r="AU145" s="1"/>
  <c i="18" r="AU125"/>
  <c i="18" r="AU151" s="1"/>
  <c i="18" r="AU120"/>
  <c i="18" r="AU146" s="1"/>
  <c i="18" r="AU117"/>
  <c i="18" r="AU143" s="1"/>
  <c i="18" r="AU126"/>
  <c i="18" r="AU152" s="1"/>
  <c i="18" r="AU127"/>
  <c i="18" r="AU153" s="1"/>
  <c i="18" r="AU111"/>
  <c i="18" r="AU137" s="1"/>
  <c i="18" r="AU116"/>
  <c i="18" r="AU142" s="1"/>
  <c i="18" r="AU112"/>
  <c i="18" r="AU138" s="1"/>
  <c i="18" r="AU115"/>
  <c i="18" r="AU141" s="1"/>
  <c i="18" r="AU118"/>
  <c i="18" r="AU144" s="1"/>
  <c i="18" r="AU124"/>
  <c i="18" r="AU150" s="1"/>
  <c i="18" r="AW46"/>
  <c i="1" r="BH80"/>
  <c i="18" r="H51"/>
  <c i="18" r="CX7"/>
  <c i="18" r="K51"/>
  <c i="18" r="BH57" s="1"/>
  <c i="18" r="CX10"/>
  <c i="18" r="L51"/>
  <c i="18" r="BI57" s="1"/>
  <c i="18" r="CX11"/>
  <c i="18" r="G51"/>
  <c i="18" r="CX6"/>
  <c i="18" r="N5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O22" s="1"/>
  <c i="18" r="AW47"/>
  <c i="1" r="CI27"/>
  <c i="18" r="O9" s="1"/>
  <c i="1" r="CI24"/>
  <c i="18" r="O6" s="1"/>
  <c i="1" r="CI26"/>
  <c i="18" r="O8" s="1"/>
  <c i="1" r="CI25"/>
  <c i="18" r="O7" s="1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8" r="J23"/>
  <c i="18" r="J19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D57"/>
  <c i="18" r="BN57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8" r="J17"/>
  <c i="18" r="AW33"/>
  <c i="18" r="AW43"/>
  <c i="18" r="J16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B57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8" r="J4"/>
  <c i="18" r="J7"/>
  <c i="1" r="BP76"/>
  <c i="1" r="CI42"/>
  <c i="18" r="O24" s="1"/>
  <c i="18" r="K24"/>
  <c i="18" r="BU38"/>
  <c i="18" r="CS38" s="1"/>
  <c i="18" r="J22"/>
  <c i="18" r="BK57"/>
  <c i="18" r="BT57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8" r="J14"/>
  <c i="18" r="AW48"/>
  <c i="18" r="J20"/>
  <c i="1" r="BS68"/>
  <c i="18" r="J6"/>
  <c i="18" r="BU48"/>
  <c i="18" r="CS48" s="1"/>
  <c i="18" r="BO57"/>
  <c i="18" r="J15"/>
  <c i="1" r="BB67"/>
  <c i="18" r="J8"/>
  <c i="18" r="AW36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AV117"/>
  <c i="18" r="AV143" s="1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8" r="O18" s="1"/>
  <c i="17" r="N74"/>
  <c i="17" r="I64"/>
  <c i="1" r="BQ76"/>
  <c i="1" r="BJ71"/>
  <c i="17" r="U74"/>
  <c i="17" r="K69"/>
  <c i="1" r="BE63"/>
  <c i="1" r="CI33"/>
  <c i="18" r="O15" s="1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8" r="O17" s="1"/>
  <c i="1" r="AY76"/>
  <c i="1" r="AX64"/>
  <c i="1" r="BI76"/>
  <c i="1" r="CI28"/>
  <c i="18" r="O10" s="1"/>
  <c i="1" r="BS76"/>
  <c i="1" r="BB62"/>
  <c i="1" r="BM74"/>
  <c i="1" r="CI23"/>
  <c i="18" r="O5" s="1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8" r="O14" s="1"/>
  <c i="1" r="BR76"/>
  <c i="1" r="BM67"/>
  <c i="1" r="AY82"/>
  <c i="1" r="BD78"/>
  <c i="1" r="BM71"/>
  <c i="1" r="AZ75"/>
  <c i="1" r="BQ65"/>
  <c i="1" r="BC80"/>
  <c i="1" r="BH76"/>
  <c i="1" r="CI37"/>
  <c i="18" r="O19" s="1"/>
  <c i="1" r="BQ69"/>
  <c i="1" r="BD73"/>
  <c i="1" r="AY64"/>
  <c i="1" r="BG78"/>
  <c i="1" r="BL74"/>
  <c i="1" r="AY68"/>
  <c i="1" r="BH71"/>
  <c i="1" r="BC62"/>
  <c i="1" r="BK76"/>
  <c i="1" r="BP72"/>
  <c i="1" r="CI31"/>
  <c i="18" r="O13" s="1"/>
  <c i="1" r="BL69"/>
  <c i="1" r="BF61"/>
  <c i="1" r="BO74"/>
  <c i="1" r="BB69"/>
  <c i="1" r="BP67"/>
  <c i="1" r="BN68"/>
  <c i="1" r="BS72"/>
  <c i="1" r="BF67"/>
  <c i="1" r="CI41"/>
  <c i="18" r="O23" s="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8" r="O21" s="1"/>
  <c i="1" r="CI22"/>
  <c i="18" r="O4" s="1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8" r="O20" s="1"/>
  <c i="1" r="BN78"/>
  <c i="1" r="BG72"/>
  <c i="1" r="BM79"/>
  <c i="1" r="BL65"/>
  <c i="1" r="AY80"/>
  <c i="1" r="CI29"/>
  <c i="18" r="O11" s="1"/>
  <c i="1" r="CI34"/>
  <c i="18" r="O16" s="1"/>
  <c i="1" r="CD42"/>
  <c i="1" r="AC81"/>
  <c i="1" r="AG79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AB61"/>
  <c i="1" r="AR72"/>
  <c i="1" r="AR70"/>
  <c i="1" r="AR79"/>
  <c i="1" r="BP106" s="1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BN100" s="1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BP98" s="1"/>
  <c i="1" r="Z70"/>
  <c i="1" r="AD68"/>
  <c i="1" r="AH66"/>
  <c i="1" r="AL64"/>
  <c i="1" r="AP62"/>
  <c i="1" r="AM67"/>
  <c i="1" r="Z71"/>
  <c i="1" r="AP72"/>
  <c i="1" r="AA78"/>
  <c i="1" r="AC76"/>
  <c i="1" r="AQ68"/>
  <c i="1" r="AF72"/>
  <c i="1" r="AO82"/>
  <c i="1" r="AS80"/>
  <c i="1" r="AA79"/>
  <c i="1" r="AE77"/>
  <c i="1" r="BC104" s="1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BH97" s="1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BA92" s="1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BH107" s="1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BG94" s="1"/>
  <c i="1" r="AM65"/>
  <c i="1" r="AS79"/>
  <c i="1" r="AO70"/>
  <c i="1" r="AM70"/>
  <c i="1" r="AB74"/>
  <c i="1" r="AS8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BI101" s="1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AY101"/>
  <c i="1" r="BA103"/>
  <c i="1" r="BQ108"/>
  <c i="1" r="BR89"/>
  <c i="1" r="BF99"/>
  <c i="1" r="BE106"/>
  <c i="1" r="BC101"/>
  <c i="1" r="BI99"/>
  <c i="18" r="BN30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Y16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AA110"/>
  <c i="18" r="AA136" s="1"/>
  <c i="18" r="BX30"/>
  <c i="18" r="AZ5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AE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AE110"/>
  <c i="18" r="AE136" s="1"/>
  <c i="18" r="CB30"/>
  <c i="18" r="BD5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CN30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BN51"/>
  <c i="18" r="CL30"/>
  <c i="18" r="AO110"/>
  <c i="18" r="AO136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P30"/>
  <c i="18" r="AS110"/>
  <c i="18" r="AS136" s="1"/>
  <c i="18" r="CD45"/>
  <c i="18" r="AG125"/>
  <c i="18" r="AG151" s="1"/>
  <c i="18" r="CQ46"/>
  <c i="18" r="AT126"/>
  <c i="18" r="AT152" s="1"/>
  <c i="18" r="AF110"/>
  <c i="18" r="AF136" s="1"/>
  <c i="18" r="CC30"/>
  <c i="18" r="BE5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AC110"/>
  <c i="18" r="AC136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G42"/>
  <c i="18" r="M24" s="1"/>
  <c i="1" r="CG29"/>
  <c i="1" r="CG35"/>
  <c i="1" r="CG23"/>
  <c i="18" r="M5" s="1"/>
  <c i="1" r="CG31"/>
  <c i="1" r="CG28"/>
  <c i="1" r="CG25"/>
  <c i="1" r="CG30"/>
  <c i="1" r="CF31"/>
  <c i="18" r="L13" s="1"/>
  <c i="1" r="CG34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BO88"/>
  <c i="1" r="BI96"/>
  <c i="1" r="CG27"/>
  <c i="1" r="BE98"/>
  <c i="1" r="BK107"/>
  <c i="1" r="CG41"/>
  <c i="18" r="M23" s="1"/>
  <c i="1" r="CG38"/>
  <c i="18" r="M20" s="1"/>
  <c i="1" r="CG39"/>
  <c i="1" r="BI107"/>
  <c i="1" r="CG40"/>
  <c i="1" r="BE109"/>
  <c i="1" r="CG24"/>
  <c i="1" r="CG32"/>
  <c i="1" r="BP88"/>
  <c i="1" r="CG33"/>
  <c i="1" r="BH89"/>
  <c i="1" r="CF25"/>
  <c i="18" r="L7" s="1"/>
  <c i="1" r="CG26"/>
  <c i="1" r="CH34"/>
  <c i="1" r="CH33"/>
  <c i="1" r="CH32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H26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H35"/>
  <c i="1" r="CH31"/>
  <c i="1" r="CH23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BN101"/>
  <c i="1" r="BJ96"/>
  <c i="1" r="AX104"/>
  <c i="1" r="CH41"/>
  <c i="1" r="CF24"/>
  <c i="18" r="L6" s="1"/>
  <c i="1" r="CF28"/>
  <c i="18" r="L10" s="1"/>
  <c i="1" r="BF98"/>
  <c i="1" r="BS90"/>
  <c i="1" r="CH40"/>
  <c i="1" r="CF35"/>
  <c i="18" r="L17" s="1"/>
  <c i="1" r="CF39"/>
  <c i="18" r="L21" s="1"/>
  <c i="1" r="CH39"/>
  <c i="1" r="CF29"/>
  <c i="18" r="L11" s="1"/>
  <c i="1" r="CH38"/>
  <c i="1" r="CH27"/>
  <c i="1" r="CF34"/>
  <c i="18" r="L16" s="1"/>
  <c i="1" r="BN105"/>
  <c i="1" r="BQ104"/>
  <c i="1" r="CH25"/>
  <c i="1" r="CF37"/>
  <c i="18" r="L19" s="1"/>
  <c i="1" r="AY107"/>
  <c i="1" r="BJ107"/>
  <c i="1" r="CH37"/>
  <c i="1" r="CF41"/>
  <c i="18" r="L23" s="1"/>
  <c i="1" r="CH24"/>
  <c i="1" r="CH42"/>
  <c i="1" r="CK42"/>
  <c i="1" r="CH22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BT51"/>
  <c i="18" r="AU131" s="1"/>
  <c i="18" r="AU157" s="1"/>
  <c i="18" r="AU110"/>
  <c i="18" r="AU136" s="1"/>
  <c i="18" r="AR110"/>
  <c i="18" r="AR136" s="1"/>
  <c i="18" r="CO30"/>
  <c i="18" r="M64"/>
  <c i="18" r="C68"/>
  <c i="18" r="AT110"/>
  <c i="18" r="AT136" s="1"/>
  <c i="18" r="CQ30"/>
  <c i="18" r="BL51"/>
  <c i="18" r="CE30"/>
  <c i="18" r="BG51"/>
  <c i="18" r="AH78" s="1"/>
  <c i="18" r="AH110"/>
  <c i="18" r="AH136" s="1"/>
  <c i="18" r="AK110"/>
  <c i="18" r="AK136" s="1"/>
  <c i="18" r="BJ51"/>
  <c i="18" r="CH30"/>
  <c i="18" r="BF51"/>
  <c i="18" r="BF58" s="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CA51" s="1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CI30"/>
  <c i="18" r="BY30"/>
  <c i="18" r="AL110"/>
  <c i="18" r="AL136" s="1"/>
  <c i="18" r="CZ16"/>
  <c i="18" r="DA16" s="1"/>
  <c i="18" r="AB110"/>
  <c i="18" r="AB136" s="1"/>
  <c i="18" r="CV18"/>
  <c i="18" r="CY17"/>
  <c i="18" r="CX17"/>
  <c i="18" r="CH51"/>
  <c i="12" r="G72"/>
  <c i="12" r="H91"/>
  <c i="18" r="N12"/>
  <c i="18" r="AE12" s="1"/>
  <c i="18" r="BD58"/>
  <c i="18" r="AE131"/>
  <c i="18" r="AE157" s="1"/>
  <c i="18" r="CL51"/>
  <c i="18" r="CN51"/>
  <c i="18" r="CB51"/>
  <c i="18" r="M9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M78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C60"/>
  <c i="18" r="AC87" s="1"/>
  <c i="18" r="AA68"/>
  <c i="18" r="AA95" s="1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E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B78"/>
  <c i="18" r="AA69"/>
  <c i="18" r="AA96" s="1"/>
  <c i="18" r="AJ65"/>
  <c i="18" r="AR73"/>
  <c i="18" r="AR100" s="1"/>
  <c i="18" r="AL76"/>
  <c i="18" r="AL103" s="1"/>
  <c i="18" r="AE66"/>
  <c i="18" r="AE93" s="1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U78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K78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K91" s="1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L72"/>
  <c i="18" r="AL99" s="1"/>
  <c i="18" r="AF58"/>
  <c i="18" r="AF85" s="1"/>
  <c i="18" r="AM73"/>
  <c i="18" r="AM100" s="1"/>
  <c i="18" r="AT70"/>
  <c i="18" r="AT97" s="1"/>
  <c i="18" r="AG78"/>
  <c i="18" r="M18"/>
  <c i="18" r="AZ58"/>
  <c a="1" i="18" r="AK8" s="1"/>
  <c i="18" r="AK8" s="1"/>
  <c i="18" r="AA131"/>
  <c i="18" r="AA157" s="1"/>
  <c i="18" r="BX51"/>
  <c i="18" r="BS58"/>
  <c i="18" r="AT131"/>
  <c i="18" r="AT157" s="1"/>
  <c i="18" r="CQ51"/>
  <c i="18" r="N4"/>
  <c i="18" r="AE4" s="1"/>
  <c i="18" r="AF4" s="1"/>
  <c i="1" r="CJ42"/>
  <c i="18" r="N24"/>
  <c i="18" r="N6"/>
  <c i="18" r="AE6" s="1"/>
  <c i="18" r="BO58"/>
  <c i="18" r="AP131"/>
  <c i="18" r="AP157" s="1"/>
  <c i="18" r="CM51"/>
  <c i="18" r="AV131"/>
  <c i="18" r="AV157" s="1"/>
  <c i="18" r="BA58"/>
  <c i="18" r="AB131"/>
  <c i="18" r="AB157" s="1"/>
  <c i="18" r="CI51"/>
  <c i="18" r="M21"/>
  <c i="18" r="N5"/>
  <c i="18" r="AE5" s="1"/>
  <c i="18" r="BE58"/>
  <c i="18" r="AF131"/>
  <c i="18" r="AF157" s="1"/>
  <c i="18" r="BY51"/>
  <c i="18" r="BJ58"/>
  <c i="18" r="AK131"/>
  <c i="18" r="AK157" s="1"/>
  <c i="18" r="N18"/>
  <c i="18" r="AE18" s="1"/>
  <c i="18" r="N7"/>
  <c i="18" r="AE7" s="1"/>
  <c i="18" r="CC51"/>
  <c i="18" r="N14"/>
  <c i="18" r="AE14" s="1"/>
  <c i="18" r="N15"/>
  <c i="18" r="AE15" s="1"/>
  <c i="18" r="M16"/>
  <c i="18" r="BL58"/>
  <c i="18" r="AM131"/>
  <c i="18" r="AM157" s="1"/>
  <c i="18" r="N19"/>
  <c i="18" r="AE19" s="1"/>
  <c i="12" r="H90"/>
  <c i="18" r="N9"/>
  <c i="18" r="AE9" s="1"/>
  <c i="18" r="N16"/>
  <c i="18" r="AE16" s="1"/>
  <c i="18" r="CO51"/>
  <c i="18" r="N13"/>
  <c i="18" r="AE13" s="1"/>
  <c i="18" r="N20"/>
  <c i="18" r="AE20" s="1"/>
  <c i="18" r="M8"/>
  <c i="18" r="M12"/>
  <c i="18" r="BQ58"/>
  <c i="18" r="AR131"/>
  <c i="18" r="AR157" s="1"/>
  <c i="18" r="N11"/>
  <c i="18" r="AE11" s="1"/>
  <c i="18" r="M7"/>
  <c i="18" r="N17"/>
  <c i="18" r="AE17" s="1"/>
  <c i="18" r="N21"/>
  <c i="18" r="AE21" s="1"/>
  <c i="18" r="M10"/>
  <c i="18" r="CE51"/>
  <c i="18" r="CP51"/>
  <c i="18" r="CR51"/>
  <c i="18" r="BT58"/>
  <c i="18" r="M15"/>
  <c i="18" r="M13"/>
  <c i="18" r="BG58"/>
  <c i="18" r="AH131"/>
  <c i="18" r="AH157" s="1"/>
  <c i="18" r="BR58"/>
  <c i="18" r="AS131"/>
  <c i="18" r="AS157" s="1"/>
  <c i="18" r="N22"/>
  <c i="18" r="AE22" s="1"/>
  <c i="18" r="M14"/>
  <c i="18" r="M17"/>
  <c i="18" r="M11"/>
  <c i="18" r="M6"/>
  <c i="18" r="M19"/>
  <c i="18" r="M22"/>
  <c i="18" r="BB58"/>
  <c i="18" r="AC131"/>
  <c i="18" r="AC157" s="1"/>
  <c i="18" r="N23"/>
  <c i="18" r="AE23" s="1"/>
  <c i="18" r="N8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F16"/>
  <c i="18" r="AF9"/>
  <c i="18" r="AB161"/>
  <c i="18" r="AB96"/>
  <c i="18" r="AG131"/>
  <c i="18" r="AG157" s="1"/>
  <c i="18" r="AF22"/>
  <c i="18" r="AF19"/>
  <c i="18" r="AF15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AF13"/>
  <c i="18" r="AF5"/>
  <c i="18" r="AF14"/>
  <c i="18" r="AF17"/>
  <c i="18" r="AF11"/>
  <c i="18" r="AF23"/>
  <c i="18" r="AF21"/>
  <c i="18" r="AF8"/>
  <c i="18" r="AF20"/>
  <c i="18" r="CZ17"/>
  <c i="18" r="DA17" s="1"/>
  <c i="18" r="AF7"/>
  <c i="18" r="AF18"/>
  <c i="18" r="CV19"/>
  <c i="18" r="CX18"/>
  <c i="18" r="CY18"/>
  <c i="18" r="AK96"/>
  <c i="18" r="Y25"/>
  <c i="18" r="AE25" s="1"/>
  <c i="18" r="AK95"/>
  <c i="18" r="Y24"/>
  <c i="18" r="AE24" s="1"/>
  <c i="18" r="AF6"/>
  <c i="18" r="AF12"/>
  <c i="18" r="AF10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AE10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BT60"/>
  <c i="18" r="AU105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W4" s="1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W29" s="1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r="W3" s="1"/>
  <c i="12" l="1" r="W16"/>
  <c i="12" r="W32"/>
  <c i="12" r="W5"/>
  <c i="12" r="W17"/>
  <c i="18" r="CZ23"/>
  <c i="18" r="DA23" s="1"/>
  <c i="18" r="CV25"/>
  <c i="18" r="CY24"/>
  <c i="18" r="CX24"/>
  <c i="12" r="W23"/>
  <c i="12" r="W15"/>
  <c i="12" r="X15" s="1"/>
  <c i="12" r="W26"/>
  <c i="12" r="X26" s="1"/>
  <c i="12" r="W20"/>
  <c i="12" r="X20" s="1"/>
  <c i="12" r="W27"/>
  <c i="12" r="X27" s="1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X28" s="1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32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3"/>
  <c i="12" r="X17"/>
  <c i="12" r="X29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J17" s="1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B17" s="1"/>
  <c i="12" r="I15"/>
  <c i="18" l="1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9"/>
  <c i="8" r="E33"/>
  <c i="8" r="S33" s="1"/>
  <c i="8" r="S11"/>
  <c i="8" r="E30"/>
  <c i="8" r="S8"/>
  <c i="8" r="S32"/>
  <c i="8" r="S31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L30"/>
  <c i="8" r="S30" s="1"/>
  <c i="8" r="L34"/>
  <c i="8" r="L7"/>
  <c i="8" r="L14" s="1"/>
  <c i="8" r="S18"/>
  <c i="18" l="1" r="CZ35"/>
  <c i="18" r="DA35" s="1"/>
  <c i="18" r="CV37"/>
  <c i="18" r="CY36"/>
  <c i="18" r="CX36"/>
  <c i="8" r="S7"/>
  <c i="8" r="S34"/>
  <c i="8" r="L25"/>
  <c i="8" r="L29"/>
  <c i="8" r="S29" s="1"/>
  <c i="12" r="C26"/>
  <c i="12" r="D31" s="1"/>
  <c i="12" r="C27"/>
  <c i="12" r="C32" s="1"/>
  <c i="8" r="S14"/>
  <c i="18" l="1" r="CZ36"/>
  <c i="18" r="DA36" s="1"/>
  <c i="18" r="CV38"/>
  <c i="18" r="CX37"/>
  <c i="18" r="CY37"/>
  <c i="8" r="L36"/>
  <c i="8" r="S36" s="1"/>
  <c i="8" r="S25"/>
  <c i="12" r="C31"/>
  <c i="12" r="O31" s="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8" l="1" r="CZ37"/>
  <c i="18" r="DA37" s="1"/>
  <c i="18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I29"/>
  <c i="10" r="C23"/>
  <c i="10" r="C39" s="1"/>
  <c i="10" r="J30"/>
  <c i="10" r="J32"/>
  <c i="10" r="J28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8" l="1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l="1" r="CZ55"/>
  <c i="18" r="DA55" s="1"/>
  <c i="18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l="1" r="CZ79"/>
  <c i="18" r="DA79" s="1"/>
  <c i="18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l="1" r="CZ117"/>
  <c i="18" r="DA117" s="1"/>
  <c i="18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l="1" r="CZ276"/>
  <c i="18" r="DA276" s="1"/>
  <c i="18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l="1" r="CZ292"/>
  <c i="18" r="DA292" s="1"/>
  <c i="18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l="1" r="CZ312"/>
  <c i="18" r="DA312" s="1"/>
  <c i="18" r="CV314"/>
  <c i="18" r="CX313"/>
  <c i="18" r="CY313"/>
  <c i="18" l="1" r="CZ313"/>
  <c i="18" r="DA313" s="1"/>
  <c i="18" r="CV315"/>
  <c i="18" r="CX314"/>
  <c i="18" r="CY314"/>
  <c i="18" l="1" r="CZ314"/>
  <c i="18" r="DA314" s="1"/>
  <c i="18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l="1" r="CZ335"/>
  <c i="18" r="DA335" s="1"/>
  <c i="18" r="CV337"/>
  <c i="18" r="CY336"/>
  <c i="18" r="CX336"/>
  <c i="18" l="1" r="CZ336"/>
  <c i="18" r="DA336" s="1"/>
  <c i="18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l="1" r="CZ372"/>
  <c i="18" r="DA372" s="1"/>
  <c i="18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l="1" r="CZ385"/>
  <c i="18" r="DA385" s="1"/>
  <c i="18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l="1" r="CZ394"/>
  <c i="18" r="DA394" s="1"/>
  <c i="18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<sst xmlns="http://schemas.openxmlformats.org/spreadsheetml/2006/main" count="1143" uniqueCount="431">
  <si>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</si>
  <si>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</si>
  <si>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</si>
  <si>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</si>
  <si>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</si>
  <si>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</si>
  <si>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</si>
  <si>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</si>
  <si>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</si>
  <si>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</si>
  <si>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</si>
  <si>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</si>
  <si>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</si>
  <si>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</si>
  <si>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</si>
  <si>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</si>
  <si>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</si>
  <si>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</si>
  <si>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</si>
  <si>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</si>
  <si>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</si>
  <si>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</si>
  <si>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</si>
  <si>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</si>
  <si>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</si>
  <si>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</si>
  <si>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</si>
  <si>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</si>
  <si>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</si>
  <si>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</si>
  <si>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</si>
  <si>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</si>
  <si>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</si>
  <si>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</si>
  <si>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</si>
  <si>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</si>
  <si>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</si>
  <si>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</si>
  <si>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</si>
  <si>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</si>
  <si>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</si>
  <si>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</si>
  <si>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</si>
  <si>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</si>
  <si>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</si>
  <si>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</si>
  <si>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</si>
  <si>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</si>
  <si>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</si>
  <si>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</si>
  <si>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</si>
  <si>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</si>
  <si>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</si>
  <si>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</si>
  <si>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</si>
  <si>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</si>
  <si>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</si>
  <si>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</si>
  <si>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</si>
  <si>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</si>
  <si>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</si>
  <si>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</si>
  <si>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</si>
  <si>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</si>
  <si>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</si>
  <si>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</si>
  <si>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</si>
  <si>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</si>
  <si>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</si>
  <si>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</si>
  <si>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</si>
  <si>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</si>
  <si>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</si>
  <si>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</si>
  <si>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</si>
  <si>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</si>
  <si>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</si>
  <si>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</si>
  <si>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</si>
  <si>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</si>
  <si>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</si>
  <si>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</si>
  <si>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</si>
  <si>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</si>
  <si>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</si>
  <si>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</si>
  <si>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</si>
  <si>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</si>
  <si>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</si>
  <si>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</si>
  <si>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</si>
  <si>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</si>
  <si>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</si>
  <si>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</si>
  <si>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</si>
  <si>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</si>
  <si>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</si>
  <si>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</si>
  <si>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</si>
  <si>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</si>
  <si>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</si>
  <si>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</si>
  <si>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</si>
  <si>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</si>
  <si>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</si>
  <si>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</si>
  <si>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</si>
  <si>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</si>
  <si>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</si>
  <si>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</si>
  <si>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</si>
  <si>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</si>
  <si>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</si>
  <si>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</si>
  <si>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</si>
  <si>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</si>
  <si>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</si>
  <si>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</si>
  <si>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</si>
  <si>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</si>
  <si>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</si>
  <si>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</si>
  <si>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</si>
  <si>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</si>
  <si>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</si>
  <si>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</si>
  <si>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</si>
  <si>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</si>
  <si>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</si>
  <si>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</si>
  <si>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</si>
  <si>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</si>
  <si>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</si>
  <si>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</si>
  <si>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</si>
  <si>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</si>
  <si>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</si>
  <si>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</si>
  <si>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</si>
  <si>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</si>
  <si>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</si>
  <si>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</si>
  <si>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</si>
  <si>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</si>
  <si>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</si>
  <si>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</si>
  <si>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</si>
  <si>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</si>
  <si>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</si>
  <si>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</si>
  <si>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</si>
  <si>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</si>
  <si>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</si>
  <si>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</si>
  <si>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</si>
  <si>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</si>
  <si>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</si>
  <si>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</si>
  <si>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</si>
  <si>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</si>
  <si>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</si>
  <si>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</si>
  <si>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</si>
  <si>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</si>
  <si>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</si>
  <si>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</si>
  <si>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</si>
  <si>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</si>
  <si>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</si>
  <si>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</si>
  <si>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</si>
  <si>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</si>
  <si>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</si>
  <si>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</si>
  <si>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</si>
  <si>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</si>
  <si>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</si>
  <si>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</si>
  <si>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</si>
  <si>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</si>
  <si>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</si>
  <si>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</si>
  <si>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</si>
  <si>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</si>
  <si>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</si>
  <si>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</si>
  <si>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</si>
  <si>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</si>
  <si>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</si>
  <si>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</si>
  <si>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</si>
  <si>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</si>
  <si>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</si>
  <si>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</si>
  <si>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</si>
  <si>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</si>
  <si>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</si>
  <si>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</si>
  <si>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</si>
  <si>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</si>
  <si>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</si>
  <si>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</si>
  <si>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</si>
  <si>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</si>
  <si>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</si>
  <si>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</si>
  <si>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</si>
  <si>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</si>
  <si>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</si>
  <si>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</si>
  <si>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</si>
  <si>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</si>
  <si>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</si>
  <si>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</si>
  <si>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</si>
  <si>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</si>
  <si>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</si>
  <si>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</si>
  <si>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</si>
  <si>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</si>
  <si>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</si>
  <si>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</si>
  <si>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</si>
  <si>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</si>
  <si>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</si>
  <si>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</si>
  <si>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</si>
  <si>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</si>
  <si>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</si>
  <si>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</si>
  <si>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</si>
  <si>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</si>
  <si>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</si>
  <si>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</si>
  <si>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</si>
  <si>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</si>
  <si>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</si>
  <si>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</si>
  <si>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</si>
  <si>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</si>
  <si>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</si>
  <si>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</si>
  <si>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</si>
  <si>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</si>
  <si>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</si>
  <si>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</si>
  <si>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</si>
  <si>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</si>
  <si>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</si>
  <si>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</si>
  <si>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</si>
  <si>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</si>
  <si>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</si>
  <si>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</si>
  <si>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</si>
  <si>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</si>
  <si>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</si>
  <si>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</si>
  <si>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</si>
  <si>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</si>
  <si>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</si>
  <si>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</si>
  <si>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</si>
  <si>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</si>
  <si>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</si>
  <si>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</si>
  <si>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</si>
  <si>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</si>
  <si>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</si>
  <si>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</si>
  <si>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</si>
  <si>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</si>
  <si>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</si>
  <si>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</si>
  <si>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</si>
  <si>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</si>
  <si>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</si>
  <si>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</si>
  <si>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</si>
  <si>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</si>
  <si>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</si>
  <si>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</si>
  <si>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</si>
  <si>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</si>
  <si>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</si>
  <si>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</si>
  <si>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</si>
  <si>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</si>
  <si>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</si>
  <si>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</si>
  <si>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</si>
  <si>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</si>
  <si>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</si>
  <si>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</si>
  <si>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</si>
  <si>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</si>
  <si>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</si>
  <si>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</si>
  <si>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</si>
  <si>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</si>
  <si>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</si>
  <si>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</si>
  <si>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</si>
  <si>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</si>
  <si>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</si>
  <si>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</si>
  <si>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</si>
  <si>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</si>
  <si>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</si>
  <si>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</si>
  <si>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</si>
  <si>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</si>
  <si>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</si>
  <si>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</si>
  <si>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</si>
  <si>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</si>
  <si>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</si>
  <si>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</si>
  <si>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</si>
  <si>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</si>
  <si>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</si>
  <si>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</si>
  <si>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</si>
  <si>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</si>
  <si>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</si>
  <si>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</si>
  <si>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</si>
  <si>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</si>
  <si>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</si>
  <si>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</si>
  <si>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</si>
  <si>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</si>
  <si>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</si>
  <si>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</si>
  <si>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</si>
  <si>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</si>
  <si>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</si>
  <si>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</si>
  <si>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</si>
  <si>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</si>
  <si>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</si>
  <si>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</si>
  <si>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</si>
  <si>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</si>
  <si>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</si>
  <si>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</si>
  <si>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</si>
  <si>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</si>
  <si>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</si>
  <si>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</si>
  <si>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</si>
  <si>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</si>
  <si>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</si>
  <si>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</si>
  <si>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</si>
  <si>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</si>
  <si>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</si>
  <si>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</si>
  <si>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</si>
  <si>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</si>
  <si>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</si>
  <si>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</si>
  <si>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</si>
  <si>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</si>
  <si>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</si>
  <si>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</si>
  <si>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</si>
  <si>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WORKER FLOWS BY District: (DaySim - LEHD)/LEHD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</si>
  <si>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</si>
  <si>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</si>
  <si>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</si>
  <si>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</si>
  <si>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</si>
  <si>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</si>
  <si>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</si>
  <si>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</si>
  <si>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</si>
  <si>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</si>
  <si>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</si>
  <si>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</si>
  <si>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</si>
  <si>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</si>
  <si>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</si>
  <si>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</si>
  <si>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</si>
  <si>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</si>
  <si>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</si>
  <si>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</si>
  <si>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</si>
  <si>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</si>
  <si>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</si>
  <si>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</si>
  <si>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</si>
  <si>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</si>
  <si>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</si>
  <si>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</si>
  <si>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</si>
  <si>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</si>
  <si>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</si>
  <si>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</si>
  <si>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</si>
  <si>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</si>
  <si>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</si>
  <si>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</si>
  <si>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</si>
  <si>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</si>
  <si>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</si>
  <si>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</si>
  <si>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</si>
  <si>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</si>
  <si>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</si>
  <si>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</si>
  <si>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</si>
  <si>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</si>
  <si>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</si>
  <si>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</si>
  <si>
    <t>County-level Work from Home Shares</t>
  </si>
  <si>
    <t>A worker is assumed to telework if not work from home and work hours &gt; 2.5hrs</t>
  </si>
  <si>
    <t>Table X. Weighted Work from Home Counts by County: Survey</t>
  </si>
  <si>
    <t>Table X. Estimated Work from Home Counts by County</t>
  </si>
  <si>
    <t>Table X. Difference Work from Home Counts by County</t>
  </si>
  <si>
    <t>County/District</t>
  </si>
  <si>
    <t>Rest</t>
  </si>
  <si>
    <t>Table X. Weighted Work from Home Shares by County: Survey</t>
  </si>
  <si>
    <t>Table X. Estimated Work from Home Shares by County</t>
  </si>
  <si>
    <t>Table X. Difference Work from Home Shares by County</t>
  </si>
  <si>
    <t>Telecommute</t>
  </si>
  <si>
    <t>Table X. Observed Worker Flows by District: LEHD (2021)</t>
  </si>
  <si>
    <t>Table X. Adjusted Worker Flows by District: LEHD (2021)</t>
  </si>
  <si>
    <t>2021 LEHD</t>
  </si>
  <si>
    <t>ABM-OD Data/OD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</si>
</sst>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4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Border="1" applyNumberFormat="1" borderId="0" fillId="0" fontId="0" numFmtId="164" xfId="0"/>
    <xf applyFont="1" borderId="0" fillId="0" fontId="4" numFmtId="0" xfId="0"/>
    <xf applyBorder="1" applyFill="1" borderId="0" fillId="0" fontId="0" numFmtId="0" xfId="0"/>
    <xf applyNumberFormat="1" borderId="0" fillId="0" fontId="0" numFmtId="11" xfId="0"/>
    <xf applyAlignment="1" borderId="0" fillId="0" fontId="0" numFmtId="0" xfId="0">
      <alignment horizontal="left"/>
    </xf>
    <xf applyFont="1" applyNumberFormat="1" borderId="0" fillId="0" fontId="0" numFmtId="3" xfId="0"/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Border="1" applyFill="1" applyFont="1" applyNumberFormat="1" borderId="0" fillId="0" fontId="5" numFmtId="3" xfId="0"/>
    <xf applyBorder="1" applyFill="1" applyFont="1" applyNumberFormat="1" borderId="0" fillId="0" fontId="0" numFmtId="3" xfId="0"/>
    <xf applyBorder="1" applyFill="1" applyNumberFormat="1" borderId="0" fillId="0" fontId="0" numFmtId="9" xfId="0"/>
    <xf applyBorder="1" applyFill="1" applyNumberFormat="1" borderId="0" fillId="0" fontId="0" numFmtId="166" xfId="0"/>
    <xf applyBorder="1" applyFill="1" applyNumberFormat="1" borderId="0" fillId="0" fontId="0" numFmtId="2" xfId="0"/>
    <xf applyBorder="1" applyFont="1" applyNumberFormat="1" borderId="3" fillId="0" fontId="0" numFmtId="3" xfId="0"/>
    <xf applyBorder="1" applyFont="1" applyNumberFormat="1" borderId="5" fillId="0" fontId="0" numFmtId="3" xfId="0"/>
    <xf applyBorder="1" applyFill="1" applyFont="1" applyNumberFormat="1" borderId="4" fillId="0" fontId="0" numFmtId="3" xfId="0"/>
    <xf applyNumberFormat="1" borderId="0" fillId="0" fontId="0" numFmtId="9" xfId="0"/>
    <xf applyBorder="1" applyNumberFormat="1" borderId="4" fillId="0" fontId="0" numFmtId="9" xfId="0"/>
    <xf applyAlignment="1" applyBorder="1" borderId="0" fillId="0" fontId="0" numFmtId="0" xfId="0">
      <alignment horizontal="center" vertical="top"/>
    </xf>
    <xf applyBorder="1" applyFill="1" applyFont="1" borderId="0" fillId="0" fontId="1" numFmtId="0" xfId="0"/>
    <xf applyAlignment="1" applyBorder="1" applyFill="1" borderId="0" fillId="0" fontId="0" numFmtId="0" xfId="0">
      <alignment horizontal="center" vertical="top"/>
    </xf>
    <xf applyBorder="1" applyNumberFormat="1" borderId="0" fillId="0" fontId="0" numFmtId="1" xfId="0"/>
    <xf applyBorder="1" applyFill="1" applyNumberFormat="1" borderId="4" fillId="0" fontId="0" numFmtId="9" xfId="0"/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Border="1" applyFill="1" applyFont="1" borderId="0" fillId="0" fontId="5" numFmtId="0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applyBorder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ill="1" borderId="0" fillId="0" fontId="0" numFmtId="0" xfId="0"/>
    <xf applyBorder="1" applyFont="1" borderId="0" fillId="0" fontId="5" numFmtId="0" xfId="0"/>
    <xf applyAlignment="1" applyBorder="1" applyFill="1" applyFont="1" borderId="2" fillId="0" fontId="8" numFmtId="0" xfId="0">
      <alignment horizontal="centerContinuous"/>
    </xf>
    <xf applyAlignment="1" applyBorder="1" applyFill="1" applyFont="1" borderId="0" fillId="0" fontId="8" numFmtId="0" xfId="0">
      <alignment horizontal="center"/>
    </xf>
    <xf applyAlignment="1" applyBorder="1" applyFill="1" borderId="1" fillId="0" fontId="0" numFmtId="0" xfId="0"/>
    <xf applyAlignment="1" applyBorder="1" applyFill="1" applyFont="1" borderId="2" fillId="0" fontId="8" numFmtId="0" xfId="0">
      <alignment horizontal="center"/>
    </xf>
    <xf applyAlignment="1" applyBorder="1" applyFill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borderId="0" fillId="0" fontId="0" numFmtId="0" xfId="0"/>
    <xf applyBorder="1" applyNumberFormat="1" borderId="4" fillId="0" fontId="0" numFmtId="3" xfId="0"/>
    <xf applyBorder="1" applyNumberFormat="1" borderId="6" fillId="0" fontId="0" numFmtId="3" xfId="0"/>
    <xf applyAlignment="1" applyBorder="1" applyFill="1" applyFont="1" applyNumberFormat="1" applyProtection="1" borderId="0" fillId="0" fontId="24" numFmtId="0" xfId="0"/>
    <xf applyAlignment="1" applyBorder="1" applyFill="1" applyFont="1" applyNumberFormat="1" applyProtection="1" borderId="0" fillId="0" fontId="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NumberFormat="1" borderId="0" fillId="0" fontId="0" numFmtId="167" xfId="0"/>
    <xf applyBorder="1" applyFont="1" applyNumberFormat="1" borderId="19" fillId="0" fontId="1" numFmtId="167" xfId="0"/>
    <xf applyAlignment="1" applyBorder="1" applyFill="1" borderId="17" fillId="0" fontId="0" numFmtId="0" xfId="0">
      <alignment horizontal="right"/>
    </xf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applyFill="1" borderId="26" fillId="0" fontId="0" numFmtId="0" xfId="0">
      <alignment horizontal="right"/>
    </xf>
    <xf applyBorder="1" applyNumberFormat="1" borderId="27" fillId="0" fontId="0" numFmtId="9" xfId="0"/>
    <xf applyAlignment="1" applyBorder="1" applyFill="1" borderId="0" fillId="0" fontId="0" numFmtId="0" xfId="0">
      <alignment horizontal="right"/>
    </xf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Border="1" applyFont="1" borderId="0" fillId="0" fontId="1" numFmtId="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applyFont="1" applyNumberFormat="1" borderId="22" fillId="0" fontId="0" numFmtId="164" xfId="9"/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Alignment="1" borderId="0" fillId="0" fontId="0" numFmtId="0" xfId="0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applyNumberFormat="1" borderId="0" fillId="0" fontId="0" numFmtId="170" xfId="0"/>
    <xf applyBorder="1" applyNumberFormat="1" borderId="0" fillId="0" fontId="0" numFmtId="169" xfId="0"/>
    <xf applyBorder="1" applyNumberFormat="1" borderId="0" fillId="0" fontId="0" numFmtId="9" xfId="0"/>
    <xf applyBorder="1" applyFill="1" applyNumberFormat="1" borderId="0" fillId="5" fontId="0" numFmtId="170" xfId="0"/>
    <xf applyAlignment="1" applyBorder="1" borderId="39" fillId="0" fontId="0" numFmtId="0" xfId="0"/>
    <xf applyBorder="1" applyFont="1" borderId="31" fillId="0" fontId="4" numFmtId="0" xfId="0"/>
    <xf applyAlignment="1" applyBorder="1" borderId="0" fillId="0" fontId="0" numFmtId="0" xfId="0">
      <alignment horizontal="left"/>
    </xf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ill="1" applyFont="1" borderId="17" fillId="0" fontId="8" numFmtId="0" xfId="0">
      <alignment horizontal="right"/>
    </xf>
    <xf applyAlignment="1" applyBorder="1" applyFill="1" applyFont="1" borderId="26" fillId="0" fontId="8" numFmtId="0" xfId="0">
      <alignment horizontal="right"/>
    </xf>
    <xf applyBorder="1" applyFont="1" borderId="45" fillId="0" fontId="8" numFmtId="0" xfId="0"/>
    <xf applyAlignment="1" applyBorder="1" applyFill="1" applyFont="1" borderId="5" fillId="0" fontId="8" numFmtId="0" xfId="0">
      <alignment horizontal="right"/>
    </xf>
    <xf applyAlignment="1" applyBorder="1" applyFill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Alignment="1" applyBorder="1" applyFill="1" applyFont="1" borderId="40" fillId="0" fontId="8" numFmtId="0" xfId="0">
      <alignment horizontal="right"/>
    </xf>
    <xf applyBorder="1" applyFill="1" borderId="31" fillId="4" fontId="0" numFmtId="0" xfId="0"/>
    <xf applyBorder="1" applyFill="1" borderId="33" fillId="4" fontId="0" numFmtId="0" xfId="0"/>
    <xf applyAlignment="1" applyBorder="1" borderId="2" fillId="0" fontId="0" numFmtId="0" xfId="0">
      <alignment horizontal="center"/>
    </xf>
    <xf applyBorder="1" applyFont="1" borderId="3" fillId="0" fontId="0" numFmtId="9" xfId="9"/>
    <xf applyFont="1" borderId="0" fillId="0" fontId="1" numFmtId="9" xfId="9"/>
    <xf applyAlignment="1" applyBorder="1" applyFill="1" applyFont="1" borderId="0" fillId="0" fontId="8" numFmtId="0" xfId="0">
      <alignment horizontal="right"/>
    </xf>
    <xf applyAlignment="1" applyBorder="1" applyFont="1" borderId="0" fillId="0" fontId="8" numFmtId="0" xfId="0">
      <alignment horizontal="right"/>
    </xf>
    <xf applyFill="1" applyNumberFormat="1" borderId="0" fillId="0" fontId="0" numFmtId="170" xfId="0"/>
    <xf applyBorder="1" applyFill="1" applyNumberFormat="1" borderId="0" fillId="0" fontId="0" numFmtId="43" xfId="0"/>
    <xf applyBorder="1" applyFill="1" applyFont="1" applyNumberFormat="1" borderId="0" fillId="0" fontId="0" numFmtId="167" xfId="8"/>
    <xf applyBorder="1" applyFill="1" applyNumberFormat="1" borderId="0" fillId="0" fontId="0" numFmtId="164" xfId="0"/>
    <xf applyAlignment="1" applyBorder="1" applyFill="1" applyFont="1" applyNumberFormat="1" applyProtection="1" borderId="46" fillId="0" fontId="25" numFmtId="0" xfId="0"/>
    <xf applyAlignment="1" applyBorder="1" applyFill="1" applyFont="1" applyNumberFormat="1" applyProtection="1" borderId="46" fillId="0" fontId="24" numFmtId="0" xfId="0"/>
    <xf applyAlignment="1" applyBorder="1" applyFill="1" applyFont="1" applyNumberFormat="1" applyProtection="1" borderId="47" fillId="0" fontId="24" numFmtId="0" xfId="0"/>
    <xf applyAlignment="1" applyBorder="1" applyFill="1" applyFont="1" applyNumberFormat="1" applyProtection="1" borderId="47" fillId="0" fontId="24" numFmtId="0" xfId="0">
      <alignment horizontal="center"/>
    </xf>
    <xf applyAlignment="1" applyBorder="1" applyFill="1" applyFont="1" applyNumberFormat="1" applyProtection="1" borderId="0" fillId="0" fontId="24" numFmtId="3" xfId="0"/>
    <xf applyAlignment="1" applyBorder="1" applyFill="1" applyFont="1" applyNumberFormat="1" applyProtection="1" borderId="48" fillId="0" fontId="24" numFmtId="0" xfId="0"/>
    <xf applyAlignment="1" applyBorder="1" applyFill="1" applyFont="1" applyNumberFormat="1" applyProtection="1" borderId="48" fillId="0" fontId="24" numFmtId="3" xfId="0"/>
    <xf applyAlignment="1" applyBorder="1" applyFill="1" applyFont="1" applyNumberFormat="1" applyProtection="1" borderId="46" fillId="0" fontId="24" numFmtId="3" xfId="0"/>
    <xf applyAlignment="1" applyBorder="1" applyFill="1" applyFont="1" applyNumberFormat="1" applyProtection="1" borderId="46" fillId="0" fontId="25" numFmtId="3" xfId="0"/>
    <xf applyAlignment="1" applyBorder="1" applyFill="1" applyFont="1" applyNumberFormat="1" applyProtection="1" borderId="47" fillId="0" fontId="24" numFmtId="3" xfId="0"/>
    <xf applyAlignment="1" applyBorder="1" applyFill="1" applyFont="1" applyNumberFormat="1" applyProtection="1" borderId="47" fillId="0" fontId="24" numFmtId="3" xfId="0">
      <alignment horizontal="center"/>
    </xf>
    <xf applyAlignment="1" applyBorder="1" applyFill="1" applyFont="1" applyNumberFormat="1" applyProtection="1" borderId="49" fillId="0" fontId="24" numFmtId="164" xfId="0"/>
    <xf applyAlignment="1" applyBorder="1" applyFill="1" applyFont="1" applyNumberFormat="1" applyProtection="1" borderId="0" fillId="0" fontId="24" numFmtId="164" xfId="0"/>
    <xf applyAlignment="1" applyBorder="1" applyFill="1" applyFont="1" applyNumberFormat="1" applyProtection="1" borderId="48" fillId="0" fontId="24" numFmtId="164" xfId="0"/>
    <xf applyAlignment="1" applyBorder="1" applyFill="1" applyFont="1" applyNumberFormat="1" applyProtection="1" borderId="46" fillId="0" fontId="24" numFmtId="164" xfId="0"/>
    <xf applyAlignment="1" applyBorder="1" applyFill="1" applyFont="1" applyNumberFormat="1" applyProtection="1" borderId="0" fillId="0" fontId="26" numFmtId="0" xfId="0"/>
    <xf applyAlignment="1" applyBorder="1" applyFill="1" applyFont="1" applyNumberFormat="1" applyProtection="1" borderId="47" fillId="0" fontId="24" numFmtId="0" xfId="0">
      <alignment horizontal="center" vertical="top"/>
    </xf>
    <xf applyAlignment="1" applyBorder="1" applyFill="1" applyFont="1" applyNumberFormat="1" applyProtection="1" borderId="50" fillId="0" fontId="24" numFmtId="3" xfId="0"/>
    <xf applyAlignment="1" applyBorder="1" applyFill="1" applyFont="1" applyNumberFormat="1" applyProtection="1" borderId="50" fillId="0" fontId="24" numFmtId="167" xfId="0"/>
    <xf applyAlignment="1" applyBorder="1" applyFill="1" applyFont="1" applyNumberFormat="1" applyProtection="1" borderId="51" fillId="0" fontId="24" numFmtId="3" xfId="0"/>
    <xf applyAlignment="1" applyBorder="1" applyFill="1" applyFont="1" applyNumberFormat="1" applyProtection="1" borderId="51" fillId="0" fontId="24" numFmtId="167" xfId="0"/>
    <xf applyAlignment="1" applyBorder="1" applyFill="1" applyFont="1" applyNumberFormat="1" applyProtection="1" borderId="50" fillId="0" fontId="24" numFmtId="10" xfId="0"/>
    <xf applyAlignment="1" applyBorder="1" applyFill="1" applyFont="1" applyNumberFormat="1" applyProtection="1" borderId="51" fillId="0" fontId="24" numFmtId="9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/>
    <cellStyle name="60% - Accent2 2" xfId="46"/>
    <cellStyle name="60% - Accent3 2" xfId="47"/>
    <cellStyle name="60% - Accent4 2" xfId="48"/>
    <cellStyle name="60% - Accent5 2" xfId="49"/>
    <cellStyle name="60% - Accent6 2" xfId="50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theme/theme1.xml" Type="http://schemas.openxmlformats.org/officeDocument/2006/relationships/theme"/>
    <Relationship Id="rId15" Target="styles.xml" Type="http://schemas.openxmlformats.org/officeDocument/2006/relationships/styles"/>
    <Relationship Id="rId16" Target="sharedStrings.xml" Type="http://schemas.openxmlformats.org/officeDocument/2006/relationships/sharedStrings"/>
    <Relationship Id="rId17" Target="calcChain.xml" Type="http://schemas.openxmlformats.org/officeDocument/2006/relationships/calcChain"/>
    <Relationship Id="rId18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1.9916259762426027E-2</c:v>
                </c:pt>
                <c:pt idx="1">
                  <c:v>4.6774740709073628E-2</c:v>
                </c:pt>
                <c:pt idx="2">
                  <c:v>5.3655402495249097E-2</c:v>
                </c:pt>
                <c:pt idx="3">
                  <c:v>6.1305298716486586E-2</c:v>
                </c:pt>
                <c:pt idx="4">
                  <c:v>5.6013168272780356E-2</c:v>
                </c:pt>
                <c:pt idx="5">
                  <c:v>4.2278279141964664E-2</c:v>
                </c:pt>
                <c:pt idx="6">
                  <c:v>5.2073142116035705E-2</c:v>
                </c:pt>
                <c:pt idx="7">
                  <c:v>4.914801399303096E-2</c:v>
                </c:pt>
                <c:pt idx="8">
                  <c:v>4.7967200196719663E-2</c:v>
                </c:pt>
                <c:pt idx="9">
                  <c:v>4.2383810253640013E-2</c:v>
                </c:pt>
                <c:pt idx="10">
                  <c:v>4.3900038039254533E-2</c:v>
                </c:pt>
                <c:pt idx="11">
                  <c:v>5.2859210544422421E-2</c:v>
                </c:pt>
                <c:pt idx="12">
                  <c:v>3.6197710461088509E-2</c:v>
                </c:pt>
                <c:pt idx="13">
                  <c:v>3.2655213035660449E-2</c:v>
                </c:pt>
                <c:pt idx="14">
                  <c:v>3.5977021341053066E-2</c:v>
                </c:pt>
                <c:pt idx="15">
                  <c:v>3.3988790254425812E-2</c:v>
                </c:pt>
                <c:pt idx="16">
                  <c:v>2.4255698421233617E-2</c:v>
                </c:pt>
                <c:pt idx="17">
                  <c:v>2.1421187710827974E-2</c:v>
                </c:pt>
                <c:pt idx="18">
                  <c:v>3.1360521131513823E-2</c:v>
                </c:pt>
                <c:pt idx="19">
                  <c:v>1.9787254306875359E-2</c:v>
                </c:pt>
                <c:pt idx="20">
                  <c:v>1.7675145168883022E-2</c:v>
                </c:pt>
                <c:pt idx="21">
                  <c:v>1.7898350584060967E-2</c:v>
                </c:pt>
                <c:pt idx="22">
                  <c:v>1.3146080942563086E-2</c:v>
                </c:pt>
                <c:pt idx="23">
                  <c:v>1.5459992160835054E-2</c:v>
                </c:pt>
                <c:pt idx="24">
                  <c:v>1.4886954770679035E-2</c:v>
                </c:pt>
                <c:pt idx="25">
                  <c:v>1.0688366465371187E-2</c:v>
                </c:pt>
                <c:pt idx="26">
                  <c:v>1.1966685926166606E-2</c:v>
                </c:pt>
                <c:pt idx="27">
                  <c:v>8.8829154265560109E-3</c:v>
                </c:pt>
                <c:pt idx="28">
                  <c:v>1.0851037115792727E-2</c:v>
                </c:pt>
                <c:pt idx="29">
                  <c:v>9.6081809441086567E-3</c:v>
                </c:pt>
                <c:pt idx="30">
                  <c:v>8.1607445795608916E-3</c:v>
                </c:pt>
                <c:pt idx="31">
                  <c:v>9.5419034974262972E-3</c:v>
                </c:pt>
                <c:pt idx="32">
                  <c:v>4.6762561532682481E-3</c:v>
                </c:pt>
                <c:pt idx="33">
                  <c:v>5.1532069619771017E-3</c:v>
                </c:pt>
                <c:pt idx="34">
                  <c:v>4.2617435824192943E-3</c:v>
                </c:pt>
                <c:pt idx="35">
                  <c:v>2.8501724624578457E-3</c:v>
                </c:pt>
                <c:pt idx="36">
                  <c:v>5.4001739900649834E-3</c:v>
                </c:pt>
                <c:pt idx="37">
                  <c:v>1.6403211008019793E-3</c:v>
                </c:pt>
                <c:pt idx="38">
                  <c:v>2.0083234828979484E-3</c:v>
                </c:pt>
                <c:pt idx="39">
                  <c:v>2.0366438074220458E-3</c:v>
                </c:pt>
                <c:pt idx="40">
                  <c:v>2.7226104488817268E-3</c:v>
                </c:pt>
                <c:pt idx="41">
                  <c:v>1.910198952141267E-3</c:v>
                </c:pt>
                <c:pt idx="42">
                  <c:v>5.7181934825986701E-4</c:v>
                </c:pt>
                <c:pt idx="43">
                  <c:v>2.9115589284405478E-3</c:v>
                </c:pt>
                <c:pt idx="44">
                  <c:v>1.0171147145350866E-3</c:v>
                </c:pt>
                <c:pt idx="45">
                  <c:v>1.5244259833541397E-3</c:v>
                </c:pt>
                <c:pt idx="46">
                  <c:v>1.858486266802658E-3</c:v>
                </c:pt>
                <c:pt idx="47">
                  <c:v>3.6086795543438738E-4</c:v>
                </c:pt>
                <c:pt idx="48">
                  <c:v>8.6433810447766749E-4</c:v>
                </c:pt>
                <c:pt idx="49">
                  <c:v>4.3387631357261035E-4</c:v>
                </c:pt>
                <c:pt idx="50">
                  <c:v>6.0980458498318768E-4</c:v>
                </c:pt>
                <c:pt idx="51">
                  <c:v>1.4417185059541701E-3</c:v>
                </c:pt>
                <c:pt idx="52">
                  <c:v>1.4576560781224383E-3</c:v>
                </c:pt>
                <c:pt idx="53">
                  <c:v>2.3924550338940212E-4</c:v>
                </c:pt>
                <c:pt idx="54">
                  <c:v>0</c:v>
                </c:pt>
                <c:pt idx="55">
                  <c:v>6.2025203349092006E-4</c:v>
                </c:pt>
                <c:pt idx="56">
                  <c:v>3.8529628113576829E-4</c:v>
                </c:pt>
                <c:pt idx="57">
                  <c:v>0</c:v>
                </c:pt>
                <c:pt idx="58">
                  <c:v>0</c:v>
                </c:pt>
                <c:pt idx="59">
                  <c:v>5.6939137463942496E-5</c:v>
                </c:pt>
                <c:pt idx="60">
                  <c:v>1.6455057791344777E-4</c:v>
                </c:pt>
                <c:pt idx="61">
                  <c:v>0</c:v>
                </c:pt>
                <c:pt idx="62">
                  <c:v>0</c:v>
                </c:pt>
                <c:pt idx="63">
                  <c:v>1.3808025457158349E-4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1.6128068598959926E-2</c:v>
                </c:pt>
                <c:pt idx="1">
                  <c:v>3.9149730422147443E-2</c:v>
                </c:pt>
                <c:pt idx="2">
                  <c:v>4.6077976827776077E-2</c:v>
                </c:pt>
                <c:pt idx="3">
                  <c:v>4.3003403181401043E-2</c:v>
                </c:pt>
                <c:pt idx="4">
                  <c:v>4.4943981339859287E-2</c:v>
                </c:pt>
                <c:pt idx="5">
                  <c:v>4.6554756806362799E-2</c:v>
                </c:pt>
                <c:pt idx="6">
                  <c:v>4.5260639721627409E-2</c:v>
                </c:pt>
                <c:pt idx="7">
                  <c:v>4.3304527378403179E-2</c:v>
                </c:pt>
                <c:pt idx="8">
                  <c:v>4.1857458320587335E-2</c:v>
                </c:pt>
                <c:pt idx="9">
                  <c:v>4.1503756882838791E-2</c:v>
                </c:pt>
                <c:pt idx="10">
                  <c:v>4.2632972621596821E-2</c:v>
                </c:pt>
                <c:pt idx="11">
                  <c:v>4.3386978051391863E-2</c:v>
                </c:pt>
                <c:pt idx="12">
                  <c:v>4.2820577776078311E-2</c:v>
                </c:pt>
                <c:pt idx="13">
                  <c:v>3.4908897981033957E-2</c:v>
                </c:pt>
                <c:pt idx="14">
                  <c:v>3.4653181401040074E-2</c:v>
                </c:pt>
                <c:pt idx="15">
                  <c:v>3.2269281508106457E-2</c:v>
                </c:pt>
                <c:pt idx="16">
                  <c:v>3.1039691037014379E-2</c:v>
                </c:pt>
                <c:pt idx="17">
                  <c:v>2.8388125191189967E-2</c:v>
                </c:pt>
                <c:pt idx="18">
                  <c:v>2.6298179871520343E-2</c:v>
                </c:pt>
                <c:pt idx="19">
                  <c:v>2.3178198608137045E-2</c:v>
                </c:pt>
                <c:pt idx="20">
                  <c:v>2.1911565081064545E-2</c:v>
                </c:pt>
                <c:pt idx="21">
                  <c:v>1.9072394080758642E-2</c:v>
                </c:pt>
                <c:pt idx="22">
                  <c:v>1.7217851407158154E-2</c:v>
                </c:pt>
                <c:pt idx="23">
                  <c:v>1.6775724609972467E-2</c:v>
                </c:pt>
                <c:pt idx="24">
                  <c:v>1.5801850718874272E-2</c:v>
                </c:pt>
                <c:pt idx="25">
                  <c:v>1.5816189966350567E-2</c:v>
                </c:pt>
                <c:pt idx="26">
                  <c:v>1.4778984398898746E-2</c:v>
                </c:pt>
                <c:pt idx="27">
                  <c:v>1.4279500611807893E-2</c:v>
                </c:pt>
                <c:pt idx="28">
                  <c:v>1.299733289996941E-2</c:v>
                </c:pt>
                <c:pt idx="29">
                  <c:v>1.2777464438666258E-2</c:v>
                </c:pt>
                <c:pt idx="30">
                  <c:v>1.2003145074946467E-2</c:v>
                </c:pt>
                <c:pt idx="31">
                  <c:v>1.0159356836953197E-2</c:v>
                </c:pt>
                <c:pt idx="32">
                  <c:v>9.5881768124808815E-3</c:v>
                </c:pt>
                <c:pt idx="33">
                  <c:v>8.6047434230651573E-3</c:v>
                </c:pt>
                <c:pt idx="34">
                  <c:v>6.6378766442337107E-3</c:v>
                </c:pt>
                <c:pt idx="35">
                  <c:v>6.0033649434077701E-3</c:v>
                </c:pt>
                <c:pt idx="36">
                  <c:v>4.7355364790455795E-3</c:v>
                </c:pt>
                <c:pt idx="37">
                  <c:v>4.1607716427041908E-3</c:v>
                </c:pt>
                <c:pt idx="38">
                  <c:v>3.8237993270113183E-3</c:v>
                </c:pt>
                <c:pt idx="39">
                  <c:v>3.2346952431936372E-3</c:v>
                </c:pt>
                <c:pt idx="40">
                  <c:v>2.6252772254512081E-3</c:v>
                </c:pt>
                <c:pt idx="41">
                  <c:v>2.5105632456408687E-3</c:v>
                </c:pt>
                <c:pt idx="42">
                  <c:v>2.4030188895686755E-3</c:v>
                </c:pt>
                <c:pt idx="43">
                  <c:v>1.9991300856531048E-3</c:v>
                </c:pt>
                <c:pt idx="44">
                  <c:v>1.7959907464056286E-3</c:v>
                </c:pt>
                <c:pt idx="45">
                  <c:v>1.450653869684919E-3</c:v>
                </c:pt>
                <c:pt idx="46">
                  <c:v>1.4494589323952279E-3</c:v>
                </c:pt>
                <c:pt idx="47">
                  <c:v>1.2499044050168248E-3</c:v>
                </c:pt>
                <c:pt idx="48">
                  <c:v>1.0419853166105844E-3</c:v>
                </c:pt>
                <c:pt idx="49">
                  <c:v>7.9104848577546654E-4</c:v>
                </c:pt>
                <c:pt idx="50">
                  <c:v>7.6475986540226369E-4</c:v>
                </c:pt>
                <c:pt idx="51">
                  <c:v>6.5960538390945247E-4</c:v>
                </c:pt>
                <c:pt idx="52">
                  <c:v>5.4489140409911283E-4</c:v>
                </c:pt>
                <c:pt idx="53">
                  <c:v>5.1023822269807275E-4</c:v>
                </c:pt>
                <c:pt idx="54">
                  <c:v>3.9910905475680638E-4</c:v>
                </c:pt>
                <c:pt idx="55">
                  <c:v>4.6005085653104925E-4</c:v>
                </c:pt>
                <c:pt idx="56">
                  <c:v>3.3099762924441723E-4</c:v>
                </c:pt>
                <c:pt idx="57">
                  <c:v>2.8439507494646679E-4</c:v>
                </c:pt>
                <c:pt idx="58">
                  <c:v>2.1150390027531356E-4</c:v>
                </c:pt>
                <c:pt idx="59">
                  <c:v>1.4219753747323339E-4</c:v>
                </c:pt>
                <c:pt idx="60">
                  <c:v>1.2666335270724991E-4</c:v>
                </c:pt>
                <c:pt idx="61">
                  <c:v>8.4840547568063626E-5</c:v>
                </c:pt>
                <c:pt idx="62">
                  <c:v>7.6475986540226371E-5</c:v>
                </c:pt>
                <c:pt idx="63">
                  <c:v>5.9746864484551849E-5</c:v>
                </c:pt>
                <c:pt idx="64">
                  <c:v>5.4967115325787701E-5</c:v>
                </c:pt>
                <c:pt idx="65">
                  <c:v>2.031393392474763E-5</c:v>
                </c:pt>
                <c:pt idx="66">
                  <c:v>3.2263306821657998E-5</c:v>
                </c:pt>
                <c:pt idx="67">
                  <c:v>2.7483557662893851E-5</c:v>
                </c:pt>
                <c:pt idx="68">
                  <c:v>2.389874579382074E-5</c:v>
                </c:pt>
                <c:pt idx="69">
                  <c:v>3.7043055980422145E-5</c:v>
                </c:pt>
                <c:pt idx="70">
                  <c:v>1.7924059345365556E-5</c:v>
                </c:pt>
                <c:pt idx="71">
                  <c:v>1.5534184765983482E-5</c:v>
                </c:pt>
                <c:pt idx="72">
                  <c:v>8.3645610278372596E-6</c:v>
                </c:pt>
                <c:pt idx="73">
                  <c:v>1.3144310186601407E-5</c:v>
                </c:pt>
                <c:pt idx="74">
                  <c:v>8.3645610278372596E-6</c:v>
                </c:pt>
                <c:pt idx="75">
                  <c:v>4.7797491587641482E-6</c:v>
                </c:pt>
                <c:pt idx="76">
                  <c:v>3.5848118690731109E-6</c:v>
                </c:pt>
                <c:pt idx="77">
                  <c:v>7.1696237381462219E-6</c:v>
                </c:pt>
                <c:pt idx="78">
                  <c:v>4.7797491587641482E-6</c:v>
                </c:pt>
                <c:pt idx="79">
                  <c:v>1.1949372896910371E-6</c:v>
                </c:pt>
                <c:pt idx="80">
                  <c:v>0</c:v>
                </c:pt>
                <c:pt idx="81">
                  <c:v>1.1949372896910371E-6</c:v>
                </c:pt>
                <c:pt idx="82">
                  <c:v>0</c:v>
                </c:pt>
                <c:pt idx="83">
                  <c:v>1.1949372896910371E-6</c:v>
                </c:pt>
                <c:pt idx="84">
                  <c:v>0</c:v>
                </c:pt>
                <c:pt idx="85">
                  <c:v>2.3898745793820741E-6</c:v>
                </c:pt>
                <c:pt idx="86">
                  <c:v>1.1949372896910371E-6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</a:t>
                </a:r>
                <a:r>
                  <a:rPr baseline="0" lang="en-US"/>
                  <a:t> Length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5.9601131722738512E-4</c:v>
                </c:pt>
                <c:pt idx="3">
                  <c:v>7.3461452458170092E-3</c:v>
                </c:pt>
                <c:pt idx="4">
                  <c:v>1.4323743808552676E-2</c:v>
                </c:pt>
                <c:pt idx="5">
                  <c:v>2.0710429066361544E-2</c:v>
                </c:pt>
                <c:pt idx="6">
                  <c:v>2.4114264411837855E-2</c:v>
                </c:pt>
                <c:pt idx="7">
                  <c:v>2.5871581893493086E-2</c:v>
                </c:pt>
                <c:pt idx="8">
                  <c:v>3.0478288812380839E-2</c:v>
                </c:pt>
                <c:pt idx="9">
                  <c:v>2.4934390049826286E-2</c:v>
                </c:pt>
                <c:pt idx="10">
                  <c:v>2.9744296218119505E-2</c:v>
                </c:pt>
                <c:pt idx="11">
                  <c:v>3.1542419891798922E-2</c:v>
                </c:pt>
                <c:pt idx="12">
                  <c:v>2.9967137723010139E-2</c:v>
                </c:pt>
                <c:pt idx="13">
                  <c:v>2.7296677525073053E-2</c:v>
                </c:pt>
                <c:pt idx="14">
                  <c:v>2.2565642035541674E-2</c:v>
                </c:pt>
                <c:pt idx="15">
                  <c:v>2.6285564026400584E-2</c:v>
                </c:pt>
                <c:pt idx="16">
                  <c:v>3.2868459444933981E-2</c:v>
                </c:pt>
                <c:pt idx="17">
                  <c:v>3.097458482845233E-2</c:v>
                </c:pt>
                <c:pt idx="18">
                  <c:v>2.818858376848175E-2</c:v>
                </c:pt>
                <c:pt idx="19">
                  <c:v>2.6355266948065548E-2</c:v>
                </c:pt>
                <c:pt idx="20">
                  <c:v>2.9031871258799177E-2</c:v>
                </c:pt>
                <c:pt idx="21">
                  <c:v>2.1345367302805132E-2</c:v>
                </c:pt>
                <c:pt idx="22">
                  <c:v>2.3754704692668133E-2</c:v>
                </c:pt>
                <c:pt idx="23">
                  <c:v>1.849252316377754E-2</c:v>
                </c:pt>
                <c:pt idx="24">
                  <c:v>2.1625121954392014E-2</c:v>
                </c:pt>
                <c:pt idx="25">
                  <c:v>2.3899939714257322E-2</c:v>
                </c:pt>
                <c:pt idx="26">
                  <c:v>2.1720001764198738E-2</c:v>
                </c:pt>
                <c:pt idx="27">
                  <c:v>1.8566032746675776E-2</c:v>
                </c:pt>
                <c:pt idx="28">
                  <c:v>1.5467389206746725E-2</c:v>
                </c:pt>
                <c:pt idx="29">
                  <c:v>1.9626326529781132E-2</c:v>
                </c:pt>
                <c:pt idx="30">
                  <c:v>2.0637307378300798E-2</c:v>
                </c:pt>
                <c:pt idx="31">
                  <c:v>1.9780745219770999E-2</c:v>
                </c:pt>
                <c:pt idx="32">
                  <c:v>1.0173239542587189E-2</c:v>
                </c:pt>
                <c:pt idx="33">
                  <c:v>2.0585214831579896E-2</c:v>
                </c:pt>
                <c:pt idx="34">
                  <c:v>1.4109857720472145E-2</c:v>
                </c:pt>
                <c:pt idx="35">
                  <c:v>9.0853755108065426E-3</c:v>
                </c:pt>
                <c:pt idx="36">
                  <c:v>1.215983753098419E-2</c:v>
                </c:pt>
                <c:pt idx="37">
                  <c:v>1.2746928184404527E-2</c:v>
                </c:pt>
                <c:pt idx="38">
                  <c:v>1.2080357000149471E-2</c:v>
                </c:pt>
                <c:pt idx="39">
                  <c:v>1.7147824919150245E-2</c:v>
                </c:pt>
                <c:pt idx="40">
                  <c:v>1.1693517565083206E-2</c:v>
                </c:pt>
                <c:pt idx="41">
                  <c:v>1.4991902639570336E-2</c:v>
                </c:pt>
                <c:pt idx="42">
                  <c:v>1.2653586381096387E-2</c:v>
                </c:pt>
                <c:pt idx="43">
                  <c:v>1.2637727433794084E-2</c:v>
                </c:pt>
                <c:pt idx="44">
                  <c:v>1.0272398748665252E-2</c:v>
                </c:pt>
                <c:pt idx="45">
                  <c:v>1.066371811171328E-2</c:v>
                </c:pt>
                <c:pt idx="46">
                  <c:v>9.922407359419844E-3</c:v>
                </c:pt>
                <c:pt idx="47">
                  <c:v>8.5640043056096713E-3</c:v>
                </c:pt>
                <c:pt idx="48">
                  <c:v>6.0752988433717178E-3</c:v>
                </c:pt>
                <c:pt idx="49">
                  <c:v>6.6668738581599461E-3</c:v>
                </c:pt>
                <c:pt idx="50">
                  <c:v>8.9973141958595813E-3</c:v>
                </c:pt>
                <c:pt idx="51">
                  <c:v>5.4334873569985634E-3</c:v>
                </c:pt>
                <c:pt idx="52">
                  <c:v>4.4366761922787134E-3</c:v>
                </c:pt>
                <c:pt idx="53">
                  <c:v>3.5778935604270173E-3</c:v>
                </c:pt>
                <c:pt idx="54">
                  <c:v>4.0181635342632221E-3</c:v>
                </c:pt>
                <c:pt idx="55">
                  <c:v>4.5592547022026489E-3</c:v>
                </c:pt>
                <c:pt idx="56">
                  <c:v>4.5457900327807972E-3</c:v>
                </c:pt>
                <c:pt idx="57">
                  <c:v>4.1073386708496513E-3</c:v>
                </c:pt>
                <c:pt idx="58">
                  <c:v>3.1983752262594303E-3</c:v>
                </c:pt>
                <c:pt idx="59">
                  <c:v>3.699451050546412E-3</c:v>
                </c:pt>
                <c:pt idx="60">
                  <c:v>1.8361673946157239E-3</c:v>
                </c:pt>
                <c:pt idx="61">
                  <c:v>3.583504933326077E-3</c:v>
                </c:pt>
                <c:pt idx="62">
                  <c:v>5.4307001469143515E-3</c:v>
                </c:pt>
                <c:pt idx="63">
                  <c:v>2.6123067967163517E-3</c:v>
                </c:pt>
                <c:pt idx="64">
                  <c:v>2.2693577126207927E-3</c:v>
                </c:pt>
                <c:pt idx="65">
                  <c:v>2.403972034322683E-3</c:v>
                </c:pt>
                <c:pt idx="66">
                  <c:v>1.8233355861265318E-3</c:v>
                </c:pt>
                <c:pt idx="67">
                  <c:v>1.4343538119438177E-3</c:v>
                </c:pt>
                <c:pt idx="68">
                  <c:v>2.0334634709979192E-3</c:v>
                </c:pt>
                <c:pt idx="69">
                  <c:v>1.6343789065979782E-3</c:v>
                </c:pt>
                <c:pt idx="70">
                  <c:v>2.390298393941039E-3</c:v>
                </c:pt>
                <c:pt idx="71">
                  <c:v>1.7340302012927775E-3</c:v>
                </c:pt>
                <c:pt idx="72">
                  <c:v>2.2087854101615232E-3</c:v>
                </c:pt>
                <c:pt idx="73">
                  <c:v>1.2861702590304758E-3</c:v>
                </c:pt>
                <c:pt idx="74">
                  <c:v>6.3791234780476061E-4</c:v>
                </c:pt>
                <c:pt idx="75">
                  <c:v>2.3773959655045917E-3</c:v>
                </c:pt>
                <c:pt idx="76">
                  <c:v>2.9276296770637958E-3</c:v>
                </c:pt>
                <c:pt idx="77">
                  <c:v>1.5180806387225555E-3</c:v>
                </c:pt>
                <c:pt idx="78">
                  <c:v>1.9367424465760157E-3</c:v>
                </c:pt>
                <c:pt idx="79">
                  <c:v>1.3373141499777098E-3</c:v>
                </c:pt>
                <c:pt idx="80">
                  <c:v>7.8026898700235818E-4</c:v>
                </c:pt>
                <c:pt idx="81">
                  <c:v>8.2729031690300834E-4</c:v>
                </c:pt>
                <c:pt idx="82">
                  <c:v>8.5333007726632541E-4</c:v>
                </c:pt>
                <c:pt idx="83">
                  <c:v>1.6046381571393627E-3</c:v>
                </c:pt>
                <c:pt idx="84">
                  <c:v>1.5772123752019903E-4</c:v>
                </c:pt>
                <c:pt idx="85">
                  <c:v>3.2504574112260094E-4</c:v>
                </c:pt>
                <c:pt idx="86">
                  <c:v>1.5683574528535034E-3</c:v>
                </c:pt>
                <c:pt idx="87">
                  <c:v>9.1842323511406529E-4</c:v>
                </c:pt>
                <c:pt idx="88">
                  <c:v>5.2182147128825268E-4</c:v>
                </c:pt>
                <c:pt idx="89">
                  <c:v>2.1125700829020865E-3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4.2659261241970024E-4</c:v>
                </c:pt>
                <c:pt idx="1">
                  <c:v>1.0073321352095442E-3</c:v>
                </c:pt>
                <c:pt idx="2">
                  <c:v>1.8629072346283268E-3</c:v>
                </c:pt>
                <c:pt idx="3">
                  <c:v>4.69012886203732E-3</c:v>
                </c:pt>
                <c:pt idx="4">
                  <c:v>9.2834678036096668E-3</c:v>
                </c:pt>
                <c:pt idx="5">
                  <c:v>1.408114102171918E-2</c:v>
                </c:pt>
                <c:pt idx="6">
                  <c:v>2.0316323799327012E-2</c:v>
                </c:pt>
                <c:pt idx="7">
                  <c:v>2.1402521795656163E-2</c:v>
                </c:pt>
                <c:pt idx="8">
                  <c:v>2.4612123355766291E-2</c:v>
                </c:pt>
                <c:pt idx="9">
                  <c:v>2.4585834735393088E-2</c:v>
                </c:pt>
                <c:pt idx="10">
                  <c:v>2.7502676659528907E-2</c:v>
                </c:pt>
                <c:pt idx="11">
                  <c:v>2.9743184077699603E-2</c:v>
                </c:pt>
                <c:pt idx="12">
                  <c:v>3.0264176736004896E-2</c:v>
                </c:pt>
                <c:pt idx="13">
                  <c:v>3.0429078081982256E-2</c:v>
                </c:pt>
                <c:pt idx="14">
                  <c:v>3.0278515983481188E-2</c:v>
                </c:pt>
                <c:pt idx="15">
                  <c:v>3.1644329305598039E-2</c:v>
                </c:pt>
                <c:pt idx="16">
                  <c:v>3.2670780437442641E-2</c:v>
                </c:pt>
                <c:pt idx="17">
                  <c:v>3.2290790379320894E-2</c:v>
                </c:pt>
                <c:pt idx="18">
                  <c:v>3.5519510936066076E-2</c:v>
                </c:pt>
                <c:pt idx="19">
                  <c:v>3.3719935377791374E-2</c:v>
                </c:pt>
                <c:pt idx="20">
                  <c:v>3.2553676583052922E-2</c:v>
                </c:pt>
                <c:pt idx="21">
                  <c:v>3.2367266365861118E-2</c:v>
                </c:pt>
                <c:pt idx="22">
                  <c:v>3.2111549785867236E-2</c:v>
                </c:pt>
                <c:pt idx="23">
                  <c:v>3.1462698837565008E-2</c:v>
                </c:pt>
                <c:pt idx="24">
                  <c:v>2.9831609437136739E-2</c:v>
                </c:pt>
                <c:pt idx="25">
                  <c:v>2.8082221245029061E-2</c:v>
                </c:pt>
                <c:pt idx="26">
                  <c:v>2.6552701514224532E-2</c:v>
                </c:pt>
                <c:pt idx="27">
                  <c:v>2.5789136586111962E-2</c:v>
                </c:pt>
                <c:pt idx="28">
                  <c:v>2.3597621596818601E-2</c:v>
                </c:pt>
                <c:pt idx="29">
                  <c:v>2.1538744646680943E-2</c:v>
                </c:pt>
                <c:pt idx="30">
                  <c:v>2.1520820587335576E-2</c:v>
                </c:pt>
                <c:pt idx="31">
                  <c:v>1.9852688130926888E-2</c:v>
                </c:pt>
                <c:pt idx="32">
                  <c:v>1.9218176430100948E-2</c:v>
                </c:pt>
                <c:pt idx="33">
                  <c:v>1.7992170770877943E-2</c:v>
                </c:pt>
                <c:pt idx="34">
                  <c:v>1.6954965203426126E-2</c:v>
                </c:pt>
                <c:pt idx="35">
                  <c:v>1.6154357219333129E-2</c:v>
                </c:pt>
                <c:pt idx="36">
                  <c:v>1.5454123967574182E-2</c:v>
                </c:pt>
                <c:pt idx="37">
                  <c:v>1.5581982257571122E-2</c:v>
                </c:pt>
                <c:pt idx="38">
                  <c:v>1.3450214132762312E-2</c:v>
                </c:pt>
                <c:pt idx="39">
                  <c:v>1.3048715203426124E-2</c:v>
                </c:pt>
                <c:pt idx="40">
                  <c:v>1.1056754741511165E-2</c:v>
                </c:pt>
                <c:pt idx="41">
                  <c:v>1.0965939507494646E-2</c:v>
                </c:pt>
                <c:pt idx="42">
                  <c:v>1.0903802768430712E-2</c:v>
                </c:pt>
                <c:pt idx="43">
                  <c:v>8.7732295809115936E-3</c:v>
                </c:pt>
                <c:pt idx="44">
                  <c:v>8.0359532731722246E-3</c:v>
                </c:pt>
                <c:pt idx="45">
                  <c:v>6.9449755276843068E-3</c:v>
                </c:pt>
                <c:pt idx="46">
                  <c:v>6.4908993576017135E-3</c:v>
                </c:pt>
                <c:pt idx="47">
                  <c:v>5.4823722851024782E-3</c:v>
                </c:pt>
                <c:pt idx="48">
                  <c:v>4.8765390792291224E-3</c:v>
                </c:pt>
                <c:pt idx="49">
                  <c:v>4.3818350412970324E-3</c:v>
                </c:pt>
                <c:pt idx="50">
                  <c:v>3.6624827929030283E-3</c:v>
                </c:pt>
                <c:pt idx="51">
                  <c:v>3.2597889262771492E-3</c:v>
                </c:pt>
                <c:pt idx="52">
                  <c:v>3.0769635209544205E-3</c:v>
                </c:pt>
                <c:pt idx="53">
                  <c:v>2.6575405322728663E-3</c:v>
                </c:pt>
                <c:pt idx="54">
                  <c:v>2.36239102171918E-3</c:v>
                </c:pt>
                <c:pt idx="55">
                  <c:v>2.1927099265830531E-3</c:v>
                </c:pt>
                <c:pt idx="56">
                  <c:v>1.8999502906087489E-3</c:v>
                </c:pt>
                <c:pt idx="57">
                  <c:v>1.6454286479045579E-3</c:v>
                </c:pt>
                <c:pt idx="58">
                  <c:v>1.4757475527684308E-3</c:v>
                </c:pt>
                <c:pt idx="59">
                  <c:v>1.3204057051085958E-3</c:v>
                </c:pt>
                <c:pt idx="60">
                  <c:v>1.2726082135209543E-3</c:v>
                </c:pt>
                <c:pt idx="61">
                  <c:v>1.0228663199755277E-3</c:v>
                </c:pt>
                <c:pt idx="62">
                  <c:v>8.4960041297032737E-4</c:v>
                </c:pt>
                <c:pt idx="63">
                  <c:v>8.2450672988681551E-4</c:v>
                </c:pt>
                <c:pt idx="64">
                  <c:v>7.9702317222392165E-4</c:v>
                </c:pt>
                <c:pt idx="65">
                  <c:v>6.3809651269501372E-4</c:v>
                </c:pt>
                <c:pt idx="66">
                  <c:v>5.1262809727745486E-4</c:v>
                </c:pt>
                <c:pt idx="67">
                  <c:v>4.2778754970939124E-4</c:v>
                </c:pt>
                <c:pt idx="68">
                  <c:v>4.2061792597124502E-4</c:v>
                </c:pt>
                <c:pt idx="69">
                  <c:v>3.5848118690731109E-4</c:v>
                </c:pt>
                <c:pt idx="70">
                  <c:v>3.0709888345059654E-4</c:v>
                </c:pt>
                <c:pt idx="71">
                  <c:v>2.6886089018048331E-4</c:v>
                </c:pt>
                <c:pt idx="72">
                  <c:v>2.4854695625573572E-4</c:v>
                </c:pt>
                <c:pt idx="73">
                  <c:v>1.9955452737840319E-4</c:v>
                </c:pt>
                <c:pt idx="74">
                  <c:v>1.7087603242581831E-4</c:v>
                </c:pt>
                <c:pt idx="75">
                  <c:v>1.194937289691037E-4</c:v>
                </c:pt>
                <c:pt idx="76">
                  <c:v>1.2785828999694097E-4</c:v>
                </c:pt>
                <c:pt idx="77">
                  <c:v>9.9179795044356068E-5</c:v>
                </c:pt>
                <c:pt idx="78">
                  <c:v>6.0941801774242889E-5</c:v>
                </c:pt>
                <c:pt idx="79">
                  <c:v>6.3331676353624956E-5</c:v>
                </c:pt>
                <c:pt idx="80">
                  <c:v>4.8992428877332521E-5</c:v>
                </c:pt>
                <c:pt idx="81">
                  <c:v>5.4967115325787701E-5</c:v>
                </c:pt>
                <c:pt idx="82">
                  <c:v>3.9432930559804219E-5</c:v>
                </c:pt>
                <c:pt idx="83">
                  <c:v>2.9873432242275924E-5</c:v>
                </c:pt>
                <c:pt idx="84">
                  <c:v>1.3144310186601407E-5</c:v>
                </c:pt>
                <c:pt idx="85">
                  <c:v>8.3645610278372596E-6</c:v>
                </c:pt>
                <c:pt idx="86">
                  <c:v>2.5093683083511777E-5</c:v>
                </c:pt>
                <c:pt idx="87">
                  <c:v>1.6729122055674519E-5</c:v>
                </c:pt>
                <c:pt idx="88">
                  <c:v>1.4339247476292444E-5</c:v>
                </c:pt>
                <c:pt idx="89">
                  <c:v>4.6602554297950447E-5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County_Flow!$CG$21</c:f>
              <c:strCache>
                <c:ptCount val="1"/>
                <c:pt idx="0">
                  <c:v>OD Data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County_Flow!$CG$22:$CG$41</c:f>
              <c:numCache>
                <c:formatCode>0%</c:formatCode>
                <c:ptCount val="20"/>
                <c:pt idx="0">
                  <c:v>5.5285228745384739E-2</c:v>
                </c:pt>
                <c:pt idx="1">
                  <c:v>4.5211140181431395E-2</c:v>
                </c:pt>
                <c:pt idx="2">
                  <c:v>3.1987676357679039E-2</c:v>
                </c:pt>
                <c:pt idx="3">
                  <c:v>1.8104017409589945E-2</c:v>
                </c:pt>
                <c:pt idx="4">
                  <c:v>3.0227156026114383E-2</c:v>
                </c:pt>
                <c:pt idx="5">
                  <c:v>0.11677140132528056</c:v>
                </c:pt>
                <c:pt idx="6">
                  <c:v>0.10207594689096998</c:v>
                </c:pt>
                <c:pt idx="7">
                  <c:v>4.6018045333398533E-3</c:v>
                </c:pt>
                <c:pt idx="8">
                  <c:v>5.417512286964813E-2</c:v>
                </c:pt>
                <c:pt idx="9">
                  <c:v>2.4197373890505414E-2</c:v>
                </c:pt>
                <c:pt idx="10">
                  <c:v>6.2503362104799856E-2</c:v>
                </c:pt>
                <c:pt idx="11">
                  <c:v>0.18281536543022714</c:v>
                </c:pt>
                <c:pt idx="12">
                  <c:v>0.10738195955693569</c:v>
                </c:pt>
                <c:pt idx="13">
                  <c:v>2.0783920580971704E-3</c:v>
                </c:pt>
                <c:pt idx="14">
                  <c:v>5.2204318165146583E-2</c:v>
                </c:pt>
                <c:pt idx="15">
                  <c:v>4.0394160940900306E-3</c:v>
                </c:pt>
                <c:pt idx="16">
                  <c:v>4.2692618040443059E-3</c:v>
                </c:pt>
                <c:pt idx="17">
                  <c:v>2.3141061691566614E-2</c:v>
                </c:pt>
                <c:pt idx="18">
                  <c:v>3.1850746998557347E-2</c:v>
                </c:pt>
                <c:pt idx="19">
                  <c:v>4.7079247866591685E-2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7.3236511547873973E-2</c:v>
                </c:pt>
                <c:pt idx="1">
                  <c:v>4.1656708855919239E-2</c:v>
                </c:pt>
                <c:pt idx="2">
                  <c:v>2.3117256806362802E-2</c:v>
                </c:pt>
                <c:pt idx="3">
                  <c:v>6.5040436677883144E-3</c:v>
                </c:pt>
                <c:pt idx="4">
                  <c:v>2.4570300550627103E-2</c:v>
                </c:pt>
                <c:pt idx="5">
                  <c:v>0.14663194975527685</c:v>
                </c:pt>
                <c:pt idx="6">
                  <c:v>0.14055210882532884</c:v>
                </c:pt>
                <c:pt idx="7">
                  <c:v>5.3174709391251151E-4</c:v>
                </c:pt>
                <c:pt idx="8">
                  <c:v>5.0661756271030894E-2</c:v>
                </c:pt>
                <c:pt idx="9">
                  <c:v>1.7100747552768431E-2</c:v>
                </c:pt>
                <c:pt idx="10">
                  <c:v>2.1764587794432549E-2</c:v>
                </c:pt>
                <c:pt idx="11">
                  <c:v>0.12019754703273172</c:v>
                </c:pt>
                <c:pt idx="12">
                  <c:v>0.12439058198225757</c:v>
                </c:pt>
                <c:pt idx="13">
                  <c:v>7.1708186754359127E-3</c:v>
                </c:pt>
                <c:pt idx="14">
                  <c:v>4.1644759483022334E-2</c:v>
                </c:pt>
                <c:pt idx="15">
                  <c:v>1.6717172682777608E-3</c:v>
                </c:pt>
                <c:pt idx="16">
                  <c:v>3.5233920923829917E-2</c:v>
                </c:pt>
                <c:pt idx="17">
                  <c:v>5.7671258412358518E-2</c:v>
                </c:pt>
                <c:pt idx="18">
                  <c:v>4.7520266136433162E-2</c:v>
                </c:pt>
                <c:pt idx="19">
                  <c:v>1.8171411364331602E-2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0.10491431847131676</c:v>
                      </c:pt>
                      <c:pt idx="1">
                        <c:v>4.1846782230003737E-2</c:v>
                      </c:pt>
                      <c:pt idx="2">
                        <c:v>2.5297226140150349E-2</c:v>
                      </c:pt>
                      <c:pt idx="3">
                        <c:v>3.10615131053039E-2</c:v>
                      </c:pt>
                      <c:pt idx="4">
                        <c:v>2.8949667475930949E-2</c:v>
                      </c:pt>
                      <c:pt idx="5">
                        <c:v>0.14579277891941125</c:v>
                      </c:pt>
                      <c:pt idx="6">
                        <c:v>9.5008143755629534E-2</c:v>
                      </c:pt>
                      <c:pt idx="7">
                        <c:v>4.6427319759226151E-3</c:v>
                      </c:pt>
                      <c:pt idx="8">
                        <c:v>6.8780398132374534E-2</c:v>
                      </c:pt>
                      <c:pt idx="9">
                        <c:v>1.7466427727490907E-2</c:v>
                      </c:pt>
                      <c:pt idx="10">
                        <c:v>5.1709102330494076E-2</c:v>
                      </c:pt>
                      <c:pt idx="11">
                        <c:v>0.19271641267257439</c:v>
                      </c:pt>
                      <c:pt idx="12">
                        <c:v>7.6922674943854366E-2</c:v>
                      </c:pt>
                      <c:pt idx="13">
                        <c:v>1.7452552090239368E-2</c:v>
                      </c:pt>
                      <c:pt idx="14">
                        <c:v>2.3034097794470763E-2</c:v>
                      </c:pt>
                      <c:pt idx="15">
                        <c:v>2.580064212821045E-3</c:v>
                      </c:pt>
                      <c:pt idx="16">
                        <c:v>1.1865289709327041E-2</c:v>
                      </c:pt>
                      <c:pt idx="17">
                        <c:v>1.6717968637796097E-2</c:v>
                      </c:pt>
                      <c:pt idx="18">
                        <c:v>2.2035228950974713E-2</c:v>
                      </c:pt>
                      <c:pt idx="19">
                        <c:v>2.1206620723913435E-2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County_Flow!$CH$21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County_Flow!$CH$22:$CH$41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7.3122396238167436E-2</c:v>
                      </c:pt>
                      <c:pt idx="1">
                        <c:v>7.6922341720801465E-2</c:v>
                      </c:pt>
                      <c:pt idx="2">
                        <c:v>2.4755552254074692E-2</c:v>
                      </c:pt>
                      <c:pt idx="3">
                        <c:v>2.3696819507131598E-2</c:v>
                      </c:pt>
                      <c:pt idx="4">
                        <c:v>2.8014902132773963E-2</c:v>
                      </c:pt>
                      <c:pt idx="5">
                        <c:v>0.15922344268037872</c:v>
                      </c:pt>
                      <c:pt idx="6">
                        <c:v>8.9492449515398961E-2</c:v>
                      </c:pt>
                      <c:pt idx="7">
                        <c:v>7.2284497680723788E-3</c:v>
                      </c:pt>
                      <c:pt idx="8">
                        <c:v>5.8984374333509761E-2</c:v>
                      </c:pt>
                      <c:pt idx="9">
                        <c:v>2.2157995218572892E-2</c:v>
                      </c:pt>
                      <c:pt idx="10">
                        <c:v>5.1934128301450479E-2</c:v>
                      </c:pt>
                      <c:pt idx="11">
                        <c:v>0.17318038617889125</c:v>
                      </c:pt>
                      <c:pt idx="12">
                        <c:v>7.2212831945391506E-2</c:v>
                      </c:pt>
                      <c:pt idx="13">
                        <c:v>1.1827391605586253E-2</c:v>
                      </c:pt>
                      <c:pt idx="14">
                        <c:v>3.2086263561869985E-2</c:v>
                      </c:pt>
                      <c:pt idx="15">
                        <c:v>5.5764662830853264E-3</c:v>
                      </c:pt>
                      <c:pt idx="16">
                        <c:v>1.2069101478747582E-2</c:v>
                      </c:pt>
                      <c:pt idx="17">
                        <c:v>2.4567581668474319E-2</c:v>
                      </c:pt>
                      <c:pt idx="18">
                        <c:v>3.0601152554519871E-2</c:v>
                      </c:pt>
                      <c:pt idx="19">
                        <c:v>2.2345973053101674E-2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calibration_flow!$M$3</c:f>
              <c:strCache>
                <c:ptCount val="1"/>
                <c:pt idx="0">
                  <c:v>OD Data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calibration_flow!$M$4:$M$23</c:f>
              <c:numCache>
                <c:formatCode>0%</c:formatCode>
                <c:ptCount val="20"/>
                <c:pt idx="0">
                  <c:v>5.5285228745384739E-2</c:v>
                </c:pt>
                <c:pt idx="1">
                  <c:v>4.5211140181431395E-2</c:v>
                </c:pt>
                <c:pt idx="2">
                  <c:v>3.1987676357679039E-2</c:v>
                </c:pt>
                <c:pt idx="3">
                  <c:v>1.8104017409589945E-2</c:v>
                </c:pt>
                <c:pt idx="4">
                  <c:v>3.0227156026114383E-2</c:v>
                </c:pt>
                <c:pt idx="5">
                  <c:v>0.11677140132528056</c:v>
                </c:pt>
                <c:pt idx="6">
                  <c:v>0.10207594689096998</c:v>
                </c:pt>
                <c:pt idx="7">
                  <c:v>4.6018045333398533E-3</c:v>
                </c:pt>
                <c:pt idx="8">
                  <c:v>5.417512286964813E-2</c:v>
                </c:pt>
                <c:pt idx="9">
                  <c:v>2.4197373890505414E-2</c:v>
                </c:pt>
                <c:pt idx="10">
                  <c:v>6.2503362104799856E-2</c:v>
                </c:pt>
                <c:pt idx="11">
                  <c:v>0.18281536543022714</c:v>
                </c:pt>
                <c:pt idx="12">
                  <c:v>0.10738195955693569</c:v>
                </c:pt>
                <c:pt idx="13">
                  <c:v>2.0783920580971704E-3</c:v>
                </c:pt>
                <c:pt idx="14">
                  <c:v>5.2204318165146583E-2</c:v>
                </c:pt>
                <c:pt idx="15">
                  <c:v>4.0394160940900306E-3</c:v>
                </c:pt>
                <c:pt idx="16">
                  <c:v>4.2692618040443059E-3</c:v>
                </c:pt>
                <c:pt idx="17">
                  <c:v>2.3141061691566614E-2</c:v>
                </c:pt>
                <c:pt idx="18">
                  <c:v>3.1850746998557347E-2</c:v>
                </c:pt>
                <c:pt idx="19">
                  <c:v>4.7079247866591685E-2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ser>
          <c:idx val="3"/>
          <c:order val="3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calibration_flow!$O$4:$O$23</c:f>
              <c:numCache>
                <c:formatCode>0.0%</c:formatCode>
                <c:ptCount val="20"/>
                <c:pt idx="0">
                  <c:v>7.3236511547873973E-2</c:v>
                </c:pt>
                <c:pt idx="1">
                  <c:v>4.1656708855919239E-2</c:v>
                </c:pt>
                <c:pt idx="2">
                  <c:v>2.3117256806362802E-2</c:v>
                </c:pt>
                <c:pt idx="3">
                  <c:v>6.5040436677883144E-3</c:v>
                </c:pt>
                <c:pt idx="4">
                  <c:v>2.4570300550627103E-2</c:v>
                </c:pt>
                <c:pt idx="5">
                  <c:v>0.14663194975527685</c:v>
                </c:pt>
                <c:pt idx="6">
                  <c:v>0.14055210882532884</c:v>
                </c:pt>
                <c:pt idx="7">
                  <c:v>5.3174709391251151E-4</c:v>
                </c:pt>
                <c:pt idx="8">
                  <c:v>5.0661756271030894E-2</c:v>
                </c:pt>
                <c:pt idx="9">
                  <c:v>1.7100747552768431E-2</c:v>
                </c:pt>
                <c:pt idx="10">
                  <c:v>2.1764587794432549E-2</c:v>
                </c:pt>
                <c:pt idx="11">
                  <c:v>0.12019754703273172</c:v>
                </c:pt>
                <c:pt idx="12">
                  <c:v>0.12439058198225757</c:v>
                </c:pt>
                <c:pt idx="13">
                  <c:v>7.1708186754359127E-3</c:v>
                </c:pt>
                <c:pt idx="14">
                  <c:v>4.1644759483022334E-2</c:v>
                </c:pt>
                <c:pt idx="15">
                  <c:v>1.6717172682777608E-3</c:v>
                </c:pt>
                <c:pt idx="16">
                  <c:v>3.5233920923829917E-2</c:v>
                </c:pt>
                <c:pt idx="17">
                  <c:v>5.7671258412358518E-2</c:v>
                </c:pt>
                <c:pt idx="18">
                  <c:v>4.7520266136433162E-2</c:v>
                </c:pt>
                <c:pt idx="19">
                  <c:v>1.8171411364331602E-2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CD-4009-9A9A-38BB454F9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calibration_flow!$L$3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calibration_flow!$L$4:$L$23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0.10491431847131676</c:v>
                      </c:pt>
                      <c:pt idx="1">
                        <c:v>4.1846782230003737E-2</c:v>
                      </c:pt>
                      <c:pt idx="2">
                        <c:v>2.5297226140150349E-2</c:v>
                      </c:pt>
                      <c:pt idx="3">
                        <c:v>3.10615131053039E-2</c:v>
                      </c:pt>
                      <c:pt idx="4">
                        <c:v>2.8949667475930949E-2</c:v>
                      </c:pt>
                      <c:pt idx="5">
                        <c:v>0.14579277891941125</c:v>
                      </c:pt>
                      <c:pt idx="6">
                        <c:v>9.5008143755629534E-2</c:v>
                      </c:pt>
                      <c:pt idx="7">
                        <c:v>4.6427319759226151E-3</c:v>
                      </c:pt>
                      <c:pt idx="8">
                        <c:v>6.8780398132374534E-2</c:v>
                      </c:pt>
                      <c:pt idx="9">
                        <c:v>1.7466427727490907E-2</c:v>
                      </c:pt>
                      <c:pt idx="10">
                        <c:v>5.1709102330494076E-2</c:v>
                      </c:pt>
                      <c:pt idx="11">
                        <c:v>0.19271641267257439</c:v>
                      </c:pt>
                      <c:pt idx="12">
                        <c:v>7.6922674943854366E-2</c:v>
                      </c:pt>
                      <c:pt idx="13">
                        <c:v>1.7452552090239368E-2</c:v>
                      </c:pt>
                      <c:pt idx="14">
                        <c:v>2.3034097794470763E-2</c:v>
                      </c:pt>
                      <c:pt idx="15">
                        <c:v>2.580064212821045E-3</c:v>
                      </c:pt>
                      <c:pt idx="16">
                        <c:v>1.1865289709327041E-2</c:v>
                      </c:pt>
                      <c:pt idx="17">
                        <c:v>1.6717968637796097E-2</c:v>
                      </c:pt>
                      <c:pt idx="18">
                        <c:v>2.2035228950974713E-2</c:v>
                      </c:pt>
                      <c:pt idx="19">
                        <c:v>2.1206620723913435E-2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EBE-4DDD-A9D1-E7124230E86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calibration_flow!$N$3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calibration_flow!$N$4:$N$23</c15:sqref>
                        </c15:formulaRef>
                      </c:ext>
                    </c:extLst>
                    <c:numCache>
                      <c:formatCode>0.0%</c:formatCode>
                      <c:ptCount val="20"/>
                      <c:pt idx="0">
                        <c:v>7.3122396238167436E-2</c:v>
                      </c:pt>
                      <c:pt idx="1">
                        <c:v>7.6922341720801465E-2</c:v>
                      </c:pt>
                      <c:pt idx="2">
                        <c:v>2.4755552254074692E-2</c:v>
                      </c:pt>
                      <c:pt idx="3">
                        <c:v>2.3696819507131598E-2</c:v>
                      </c:pt>
                      <c:pt idx="4">
                        <c:v>2.8014902132773963E-2</c:v>
                      </c:pt>
                      <c:pt idx="5">
                        <c:v>0.15922344268037872</c:v>
                      </c:pt>
                      <c:pt idx="6">
                        <c:v>8.9492449515398961E-2</c:v>
                      </c:pt>
                      <c:pt idx="7">
                        <c:v>7.2284497680723788E-3</c:v>
                      </c:pt>
                      <c:pt idx="8">
                        <c:v>5.8984374333509761E-2</c:v>
                      </c:pt>
                      <c:pt idx="9">
                        <c:v>2.2157995218572892E-2</c:v>
                      </c:pt>
                      <c:pt idx="10">
                        <c:v>5.1934128301450479E-2</c:v>
                      </c:pt>
                      <c:pt idx="11">
                        <c:v>0.17318038617889125</c:v>
                      </c:pt>
                      <c:pt idx="12">
                        <c:v>7.2212831945391506E-2</c:v>
                      </c:pt>
                      <c:pt idx="13">
                        <c:v>1.1827391605586253E-2</c:v>
                      </c:pt>
                      <c:pt idx="14">
                        <c:v>3.2086263561869985E-2</c:v>
                      </c:pt>
                      <c:pt idx="15">
                        <c:v>5.5764662830853264E-3</c:v>
                      </c:pt>
                      <c:pt idx="16">
                        <c:v>1.2069101478747582E-2</c:v>
                      </c:pt>
                      <c:pt idx="17">
                        <c:v>2.4567581668474319E-2</c:v>
                      </c:pt>
                      <c:pt idx="18">
                        <c:v>3.0601152554519871E-2</c:v>
                      </c:pt>
                      <c:pt idx="19">
                        <c:v>2.2345973053101674E-2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9CD-4009-9A9A-38BB454F9CCA}"/>
                  </c:ext>
                </c:extLst>
              </c15:ser>
            </c15:filteredBarSeries>
          </c:ext>
        </c:extLst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3176.1152489219917</c:v>
                </c:pt>
                <c:pt idx="1">
                  <c:v>452.88318306546455</c:v>
                </c:pt>
                <c:pt idx="2">
                  <c:v>286.76009408075265</c:v>
                </c:pt>
                <c:pt idx="3">
                  <c:v>211.60917287338299</c:v>
                </c:pt>
                <c:pt idx="4">
                  <c:v>480.5703645629165</c:v>
                </c:pt>
                <c:pt idx="5">
                  <c:v>2663.9023912191296</c:v>
                </c:pt>
                <c:pt idx="6">
                  <c:v>357.95570364562917</c:v>
                </c:pt>
                <c:pt idx="7">
                  <c:v>5.9329674637397094</c:v>
                </c:pt>
                <c:pt idx="8">
                  <c:v>284.78243825950608</c:v>
                </c:pt>
                <c:pt idx="9">
                  <c:v>154.25715405723244</c:v>
                </c:pt>
                <c:pt idx="10">
                  <c:v>336.20148961191688</c:v>
                </c:pt>
                <c:pt idx="11">
                  <c:v>1188.5711485691886</c:v>
                </c:pt>
                <c:pt idx="12">
                  <c:v>235.34104272834182</c:v>
                </c:pt>
                <c:pt idx="13">
                  <c:v>19.776558212465702</c:v>
                </c:pt>
                <c:pt idx="14">
                  <c:v>33.620148961191688</c:v>
                </c:pt>
                <c:pt idx="15">
                  <c:v>9.8882791062328508</c:v>
                </c:pt>
                <c:pt idx="16">
                  <c:v>3.95531164249314</c:v>
                </c:pt>
                <c:pt idx="17">
                  <c:v>25.709525676205409</c:v>
                </c:pt>
                <c:pt idx="18">
                  <c:v>148.32418659349275</c:v>
                </c:pt>
                <c:pt idx="19">
                  <c:v>13.84359074872599</c:v>
                </c:pt>
                <c:pt idx="20">
                  <c:v>1079.1485587583149</c:v>
                </c:pt>
                <c:pt idx="21">
                  <c:v>5402.1662971175165</c:v>
                </c:pt>
                <c:pt idx="22">
                  <c:v>475.3392461197339</c:v>
                </c:pt>
                <c:pt idx="23">
                  <c:v>237.66962305986695</c:v>
                </c:pt>
                <c:pt idx="24">
                  <c:v>443.22172949002214</c:v>
                </c:pt>
                <c:pt idx="25">
                  <c:v>2331.7317073170734</c:v>
                </c:pt>
                <c:pt idx="26">
                  <c:v>1175.5011086474501</c:v>
                </c:pt>
                <c:pt idx="27">
                  <c:v>38.5410199556541</c:v>
                </c:pt>
                <c:pt idx="28">
                  <c:v>777.2439024390244</c:v>
                </c:pt>
                <c:pt idx="29">
                  <c:v>205.55210643015522</c:v>
                </c:pt>
                <c:pt idx="30">
                  <c:v>308.3281596452328</c:v>
                </c:pt>
                <c:pt idx="31">
                  <c:v>1387.4767184035477</c:v>
                </c:pt>
                <c:pt idx="32">
                  <c:v>301.9046563192905</c:v>
                </c:pt>
                <c:pt idx="33">
                  <c:v>6.4235033259423506</c:v>
                </c:pt>
                <c:pt idx="34">
                  <c:v>96.352549889135261</c:v>
                </c:pt>
                <c:pt idx="35">
                  <c:v>0</c:v>
                </c:pt>
                <c:pt idx="36">
                  <c:v>25.694013303769403</c:v>
                </c:pt>
                <c:pt idx="37">
                  <c:v>44.964523281596449</c:v>
                </c:pt>
                <c:pt idx="38">
                  <c:v>109.19955654101996</c:v>
                </c:pt>
                <c:pt idx="39">
                  <c:v>38.5410199556541</c:v>
                </c:pt>
                <c:pt idx="40">
                  <c:v>3971.509368892976</c:v>
                </c:pt>
                <c:pt idx="41">
                  <c:v>2739.5148867685944</c:v>
                </c:pt>
                <c:pt idx="42">
                  <c:v>7758.0227612369245</c:v>
                </c:pt>
                <c:pt idx="43">
                  <c:v>1456.3513047476722</c:v>
                </c:pt>
                <c:pt idx="44">
                  <c:v>1755.4937349120589</c:v>
                </c:pt>
                <c:pt idx="45">
                  <c:v>6100.9311415105185</c:v>
                </c:pt>
                <c:pt idx="46">
                  <c:v>885.61903667088177</c:v>
                </c:pt>
                <c:pt idx="47">
                  <c:v>358.18369927577885</c:v>
                </c:pt>
                <c:pt idx="48">
                  <c:v>1641.3472812967009</c:v>
                </c:pt>
                <c:pt idx="49">
                  <c:v>1153.2727899758593</c:v>
                </c:pt>
                <c:pt idx="50">
                  <c:v>2475.7972180710426</c:v>
                </c:pt>
                <c:pt idx="51">
                  <c:v>3137.0594321186345</c:v>
                </c:pt>
                <c:pt idx="52">
                  <c:v>271.58983791240377</c:v>
                </c:pt>
                <c:pt idx="53">
                  <c:v>125.95470743763651</c:v>
                </c:pt>
                <c:pt idx="54">
                  <c:v>78.72169214852282</c:v>
                </c:pt>
                <c:pt idx="55">
                  <c:v>78.72169214852282</c:v>
                </c:pt>
                <c:pt idx="56">
                  <c:v>27.552592251982986</c:v>
                </c:pt>
                <c:pt idx="57">
                  <c:v>31.488676859409129</c:v>
                </c:pt>
                <c:pt idx="58">
                  <c:v>141.69904586734108</c:v>
                </c:pt>
                <c:pt idx="59">
                  <c:v>51.169099896539834</c:v>
                </c:pt>
                <c:pt idx="60">
                  <c:v>939.31498312126723</c:v>
                </c:pt>
                <c:pt idx="61">
                  <c:v>584.32303297844715</c:v>
                </c:pt>
                <c:pt idx="62">
                  <c:v>951.88106985198647</c:v>
                </c:pt>
                <c:pt idx="63">
                  <c:v>1976.0171384056091</c:v>
                </c:pt>
                <c:pt idx="64">
                  <c:v>2230.4803947026744</c:v>
                </c:pt>
                <c:pt idx="65">
                  <c:v>1730.9784471565827</c:v>
                </c:pt>
                <c:pt idx="66">
                  <c:v>468.08673071929371</c:v>
                </c:pt>
                <c:pt idx="67">
                  <c:v>223.04803947026744</c:v>
                </c:pt>
                <c:pt idx="68">
                  <c:v>430.38847052713584</c:v>
                </c:pt>
                <c:pt idx="69">
                  <c:v>870.2015061023111</c:v>
                </c:pt>
                <c:pt idx="70">
                  <c:v>468.08673071929371</c:v>
                </c:pt>
                <c:pt idx="71">
                  <c:v>838.7862892755129</c:v>
                </c:pt>
                <c:pt idx="72">
                  <c:v>103.67021552843417</c:v>
                </c:pt>
                <c:pt idx="73">
                  <c:v>34.556738509478059</c:v>
                </c:pt>
                <c:pt idx="74">
                  <c:v>119.37782394183328</c:v>
                </c:pt>
                <c:pt idx="75">
                  <c:v>50.264346922877174</c:v>
                </c:pt>
                <c:pt idx="76">
                  <c:v>15.707608413399118</c:v>
                </c:pt>
                <c:pt idx="77">
                  <c:v>25.132173461438587</c:v>
                </c:pt>
                <c:pt idx="78">
                  <c:v>31.415216826798236</c:v>
                </c:pt>
                <c:pt idx="79">
                  <c:v>6.2830433653596467</c:v>
                </c:pt>
                <c:pt idx="80">
                  <c:v>1402.5383275261324</c:v>
                </c:pt>
                <c:pt idx="81">
                  <c:v>537.27526132404182</c:v>
                </c:pt>
                <c:pt idx="82">
                  <c:v>552.89372822299651</c:v>
                </c:pt>
                <c:pt idx="83">
                  <c:v>587.25435540069691</c:v>
                </c:pt>
                <c:pt idx="84">
                  <c:v>3039.3536585365855</c:v>
                </c:pt>
                <c:pt idx="85">
                  <c:v>2851.9320557491292</c:v>
                </c:pt>
                <c:pt idx="86">
                  <c:v>531.02787456445992</c:v>
                </c:pt>
                <c:pt idx="87">
                  <c:v>71.844947735191639</c:v>
                </c:pt>
                <c:pt idx="88">
                  <c:v>243.64808362369337</c:v>
                </c:pt>
                <c:pt idx="89">
                  <c:v>627.86236933797909</c:v>
                </c:pt>
                <c:pt idx="90">
                  <c:v>243.64808362369337</c:v>
                </c:pt>
                <c:pt idx="91">
                  <c:v>1502.4965156794424</c:v>
                </c:pt>
                <c:pt idx="92">
                  <c:v>37.484320557491287</c:v>
                </c:pt>
                <c:pt idx="93">
                  <c:v>21.865853658536587</c:v>
                </c:pt>
                <c:pt idx="94">
                  <c:v>49.979094076655052</c:v>
                </c:pt>
                <c:pt idx="95">
                  <c:v>49.979094076655052</c:v>
                </c:pt>
                <c:pt idx="96">
                  <c:v>12.494773519163763</c:v>
                </c:pt>
                <c:pt idx="97">
                  <c:v>31.236933797909405</c:v>
                </c:pt>
                <c:pt idx="98">
                  <c:v>153.0609756097561</c:v>
                </c:pt>
                <c:pt idx="99">
                  <c:v>3.1236933797909407</c:v>
                </c:pt>
                <c:pt idx="100">
                  <c:v>3079.1192107426691</c:v>
                </c:pt>
                <c:pt idx="101">
                  <c:v>1486.6234584817757</c:v>
                </c:pt>
                <c:pt idx="102">
                  <c:v>626.41107152644554</c:v>
                </c:pt>
                <c:pt idx="103">
                  <c:v>569.06357906275684</c:v>
                </c:pt>
                <c:pt idx="104">
                  <c:v>1636.6092080021924</c:v>
                </c:pt>
                <c:pt idx="105">
                  <c:v>15466.177582899425</c:v>
                </c:pt>
                <c:pt idx="106">
                  <c:v>794.04220334338174</c:v>
                </c:pt>
                <c:pt idx="107">
                  <c:v>52.936146889558778</c:v>
                </c:pt>
                <c:pt idx="108">
                  <c:v>780.8081666209921</c:v>
                </c:pt>
                <c:pt idx="109">
                  <c:v>891.09180597423949</c:v>
                </c:pt>
                <c:pt idx="110">
                  <c:v>330.85091805974241</c:v>
                </c:pt>
                <c:pt idx="111">
                  <c:v>5496.5365853658541</c:v>
                </c:pt>
                <c:pt idx="112">
                  <c:v>269.09208002192378</c:v>
                </c:pt>
                <c:pt idx="113">
                  <c:v>26.468073444779389</c:v>
                </c:pt>
                <c:pt idx="114">
                  <c:v>220.56727870649493</c:v>
                </c:pt>
                <c:pt idx="115">
                  <c:v>114.69498492737736</c:v>
                </c:pt>
                <c:pt idx="116">
                  <c:v>26.468073444779389</c:v>
                </c:pt>
                <c:pt idx="117">
                  <c:v>105.87229377911756</c:v>
                </c:pt>
                <c:pt idx="118">
                  <c:v>167.63113181693615</c:v>
                </c:pt>
                <c:pt idx="119">
                  <c:v>52.936146889558778</c:v>
                </c:pt>
                <c:pt idx="120">
                  <c:v>3269.050195850863</c:v>
                </c:pt>
                <c:pt idx="121">
                  <c:v>5760.5429058465115</c:v>
                </c:pt>
                <c:pt idx="122">
                  <c:v>2567.5940809516901</c:v>
                </c:pt>
                <c:pt idx="123">
                  <c:v>1187.8431379660526</c:v>
                </c:pt>
                <c:pt idx="124">
                  <c:v>2044.8107500362687</c:v>
                </c:pt>
                <c:pt idx="125">
                  <c:v>7580.3582982736107</c:v>
                </c:pt>
                <c:pt idx="126">
                  <c:v>36065.432322646164</c:v>
                </c:pt>
                <c:pt idx="127">
                  <c:v>181.98153924271</c:v>
                </c:pt>
                <c:pt idx="128">
                  <c:v>4248.4417525025392</c:v>
                </c:pt>
                <c:pt idx="129">
                  <c:v>1303.6495720295952</c:v>
                </c:pt>
                <c:pt idx="130">
                  <c:v>1803.2716161323081</c:v>
                </c:pt>
                <c:pt idx="131">
                  <c:v>12272.173255476569</c:v>
                </c:pt>
                <c:pt idx="132">
                  <c:v>10465.592884085303</c:v>
                </c:pt>
                <c:pt idx="133">
                  <c:v>82.718881473959087</c:v>
                </c:pt>
                <c:pt idx="134">
                  <c:v>794.1012621500073</c:v>
                </c:pt>
                <c:pt idx="135">
                  <c:v>115.80643406354272</c:v>
                </c:pt>
                <c:pt idx="136">
                  <c:v>82.718881473959087</c:v>
                </c:pt>
                <c:pt idx="137">
                  <c:v>919.833961990425</c:v>
                </c:pt>
                <c:pt idx="138">
                  <c:v>251.46539968083565</c:v>
                </c:pt>
                <c:pt idx="139">
                  <c:v>231.61286812708545</c:v>
                </c:pt>
                <c:pt idx="140">
                  <c:v>402.29305912596396</c:v>
                </c:pt>
                <c:pt idx="141">
                  <c:v>280.96658097686372</c:v>
                </c:pt>
                <c:pt idx="142">
                  <c:v>561.93316195372745</c:v>
                </c:pt>
                <c:pt idx="143">
                  <c:v>220.30334190231363</c:v>
                </c:pt>
                <c:pt idx="144">
                  <c:v>284.15938303341903</c:v>
                </c:pt>
                <c:pt idx="145">
                  <c:v>951.45501285347041</c:v>
                </c:pt>
                <c:pt idx="146">
                  <c:v>124.51928020565553</c:v>
                </c:pt>
                <c:pt idx="147">
                  <c:v>491.69151670951157</c:v>
                </c:pt>
                <c:pt idx="148">
                  <c:v>188.37532133676092</c:v>
                </c:pt>
                <c:pt idx="149">
                  <c:v>223.49614395886888</c:v>
                </c:pt>
                <c:pt idx="150">
                  <c:v>539.58354755784069</c:v>
                </c:pt>
                <c:pt idx="151">
                  <c:v>443.79948586118252</c:v>
                </c:pt>
                <c:pt idx="152">
                  <c:v>31.9280205655527</c:v>
                </c:pt>
                <c:pt idx="153">
                  <c:v>89.398457583547568</c:v>
                </c:pt>
                <c:pt idx="154">
                  <c:v>12.771208226221079</c:v>
                </c:pt>
                <c:pt idx="155">
                  <c:v>25.542416452442158</c:v>
                </c:pt>
                <c:pt idx="156">
                  <c:v>31.9280205655527</c:v>
                </c:pt>
                <c:pt idx="157">
                  <c:v>9.5784061696658096</c:v>
                </c:pt>
                <c:pt idx="158">
                  <c:v>35.120822622107966</c:v>
                </c:pt>
                <c:pt idx="159">
                  <c:v>19.156812339331619</c:v>
                </c:pt>
                <c:pt idx="160">
                  <c:v>3340.9518432414479</c:v>
                </c:pt>
                <c:pt idx="161">
                  <c:v>5058.8369312520754</c:v>
                </c:pt>
                <c:pt idx="162">
                  <c:v>1846.16871471272</c:v>
                </c:pt>
                <c:pt idx="163">
                  <c:v>981.64862172035873</c:v>
                </c:pt>
                <c:pt idx="164">
                  <c:v>1087.6220524742612</c:v>
                </c:pt>
                <c:pt idx="165">
                  <c:v>6224.5446695450019</c:v>
                </c:pt>
                <c:pt idx="166">
                  <c:v>7139.2627034207908</c:v>
                </c:pt>
                <c:pt idx="167">
                  <c:v>189.63666555961476</c:v>
                </c:pt>
                <c:pt idx="168">
                  <c:v>22594.650946529393</c:v>
                </c:pt>
                <c:pt idx="169">
                  <c:v>897.98538691464626</c:v>
                </c:pt>
                <c:pt idx="170">
                  <c:v>3357.6844902025905</c:v>
                </c:pt>
                <c:pt idx="171">
                  <c:v>4634.9432082364665</c:v>
                </c:pt>
                <c:pt idx="172">
                  <c:v>2214.2869478578546</c:v>
                </c:pt>
                <c:pt idx="173">
                  <c:v>150.59382265028228</c:v>
                </c:pt>
                <c:pt idx="174">
                  <c:v>6057.2181999335762</c:v>
                </c:pt>
                <c:pt idx="175">
                  <c:v>83.663234805712378</c:v>
                </c:pt>
                <c:pt idx="176">
                  <c:v>133.86117568913983</c:v>
                </c:pt>
                <c:pt idx="177">
                  <c:v>256.56725340418467</c:v>
                </c:pt>
                <c:pt idx="178">
                  <c:v>897.98538691464626</c:v>
                </c:pt>
                <c:pt idx="179">
                  <c:v>27.887744935237464</c:v>
                </c:pt>
                <c:pt idx="180">
                  <c:v>2727.5852023121388</c:v>
                </c:pt>
                <c:pt idx="181">
                  <c:v>931.61664739884384</c:v>
                </c:pt>
                <c:pt idx="182">
                  <c:v>655.83121387283234</c:v>
                </c:pt>
                <c:pt idx="183">
                  <c:v>1035.8769942196532</c:v>
                </c:pt>
                <c:pt idx="184">
                  <c:v>1930.4980346820807</c:v>
                </c:pt>
                <c:pt idx="185">
                  <c:v>7402.4846242774565</c:v>
                </c:pt>
                <c:pt idx="186">
                  <c:v>975.33872832369934</c:v>
                </c:pt>
                <c:pt idx="187">
                  <c:v>114.3500578034682</c:v>
                </c:pt>
                <c:pt idx="188">
                  <c:v>783.63421965317923</c:v>
                </c:pt>
                <c:pt idx="189">
                  <c:v>5505.6189595375718</c:v>
                </c:pt>
                <c:pt idx="190">
                  <c:v>750.0018497109827</c:v>
                </c:pt>
                <c:pt idx="191">
                  <c:v>4970.864277456647</c:v>
                </c:pt>
                <c:pt idx="192">
                  <c:v>285.87514450867053</c:v>
                </c:pt>
                <c:pt idx="193">
                  <c:v>20.179421965317918</c:v>
                </c:pt>
                <c:pt idx="194">
                  <c:v>73.991213872832375</c:v>
                </c:pt>
                <c:pt idx="195">
                  <c:v>639.01502890173413</c:v>
                </c:pt>
                <c:pt idx="196">
                  <c:v>97.533872832369937</c:v>
                </c:pt>
                <c:pt idx="197">
                  <c:v>36.995606936416188</c:v>
                </c:pt>
                <c:pt idx="198">
                  <c:v>110.98682080924856</c:v>
                </c:pt>
                <c:pt idx="199">
                  <c:v>43.72208092485549</c:v>
                </c:pt>
                <c:pt idx="200">
                  <c:v>3496.6215790066449</c:v>
                </c:pt>
                <c:pt idx="201">
                  <c:v>2435.0866088523485</c:v>
                </c:pt>
                <c:pt idx="202">
                  <c:v>4259.7058227277848</c:v>
                </c:pt>
                <c:pt idx="203">
                  <c:v>1437.9898637233923</c:v>
                </c:pt>
                <c:pt idx="204">
                  <c:v>1722.8746480459511</c:v>
                </c:pt>
                <c:pt idx="205">
                  <c:v>5721.4360851447236</c:v>
                </c:pt>
                <c:pt idx="206">
                  <c:v>1797.4873296542405</c:v>
                </c:pt>
                <c:pt idx="207">
                  <c:v>953.00743326951238</c:v>
                </c:pt>
                <c:pt idx="208">
                  <c:v>3252.4346210158801</c:v>
                </c:pt>
                <c:pt idx="209">
                  <c:v>739.34384502759315</c:v>
                </c:pt>
                <c:pt idx="210">
                  <c:v>23462.296880279311</c:v>
                </c:pt>
                <c:pt idx="211">
                  <c:v>3038.771032773961</c:v>
                </c:pt>
                <c:pt idx="212">
                  <c:v>579.94402522806615</c:v>
                </c:pt>
                <c:pt idx="213">
                  <c:v>373.06340804144611</c:v>
                </c:pt>
                <c:pt idx="214">
                  <c:v>752.90978713819129</c:v>
                </c:pt>
                <c:pt idx="215">
                  <c:v>23.74039869354657</c:v>
                </c:pt>
                <c:pt idx="216">
                  <c:v>1109.0157675413898</c:v>
                </c:pt>
                <c:pt idx="217">
                  <c:v>101.7445658294853</c:v>
                </c:pt>
                <c:pt idx="218">
                  <c:v>4890.5221308705932</c:v>
                </c:pt>
                <c:pt idx="219">
                  <c:v>78.004167135938729</c:v>
                </c:pt>
                <c:pt idx="220">
                  <c:v>6973.0545397142787</c:v>
                </c:pt>
                <c:pt idx="221">
                  <c:v>4386.4978557710019</c:v>
                </c:pt>
                <c:pt idx="222">
                  <c:v>1817.1161830092874</c:v>
                </c:pt>
                <c:pt idx="223">
                  <c:v>1635.0610644847272</c:v>
                </c:pt>
                <c:pt idx="224">
                  <c:v>2967.8419321739584</c:v>
                </c:pt>
                <c:pt idx="225">
                  <c:v>17669.651503591253</c:v>
                </c:pt>
                <c:pt idx="226">
                  <c:v>8154.6953090057614</c:v>
                </c:pt>
                <c:pt idx="227">
                  <c:v>120.22507827093582</c:v>
                </c:pt>
                <c:pt idx="228">
                  <c:v>2936.9269120471467</c:v>
                </c:pt>
                <c:pt idx="229">
                  <c:v>2115.9613775684707</c:v>
                </c:pt>
                <c:pt idx="230">
                  <c:v>2212.1414401852194</c:v>
                </c:pt>
                <c:pt idx="231">
                  <c:v>70891.576153016387</c:v>
                </c:pt>
                <c:pt idx="232">
                  <c:v>3276.9921334420796</c:v>
                </c:pt>
                <c:pt idx="233">
                  <c:v>72.135046962561503</c:v>
                </c:pt>
                <c:pt idx="234">
                  <c:v>419.07027283011917</c:v>
                </c:pt>
                <c:pt idx="235">
                  <c:v>676.69544055355311</c:v>
                </c:pt>
                <c:pt idx="236">
                  <c:v>116.79007603462337</c:v>
                </c:pt>
                <c:pt idx="237">
                  <c:v>2840.746849430398</c:v>
                </c:pt>
                <c:pt idx="238">
                  <c:v>140.83509168881056</c:v>
                </c:pt>
                <c:pt idx="239">
                  <c:v>1136.9857402194216</c:v>
                </c:pt>
                <c:pt idx="240">
                  <c:v>1258.0401538526567</c:v>
                </c:pt>
                <c:pt idx="241">
                  <c:v>1685.944968088254</c:v>
                </c:pt>
                <c:pt idx="242">
                  <c:v>449.30005494737736</c:v>
                </c:pt>
                <c:pt idx="243">
                  <c:v>393.67242909674962</c:v>
                </c:pt>
                <c:pt idx="244">
                  <c:v>265.30098482607042</c:v>
                </c:pt>
                <c:pt idx="245">
                  <c:v>3110.8679994927934</c:v>
                </c:pt>
                <c:pt idx="246">
                  <c:v>13568.861659410793</c:v>
                </c:pt>
                <c:pt idx="247">
                  <c:v>4.2790481423559745</c:v>
                </c:pt>
                <c:pt idx="248">
                  <c:v>1703.0611606576779</c:v>
                </c:pt>
                <c:pt idx="249">
                  <c:v>290.97527368020627</c:v>
                </c:pt>
                <c:pt idx="250">
                  <c:v>393.67242909674962</c:v>
                </c:pt>
                <c:pt idx="251">
                  <c:v>5866.5750031700409</c:v>
                </c:pt>
                <c:pt idx="252">
                  <c:v>67549.053975231407</c:v>
                </c:pt>
                <c:pt idx="253">
                  <c:v>12.837144427067924</c:v>
                </c:pt>
                <c:pt idx="254">
                  <c:v>2267.8955154486666</c:v>
                </c:pt>
                <c:pt idx="255">
                  <c:v>119.81334798596727</c:v>
                </c:pt>
                <c:pt idx="256">
                  <c:v>17.116192569423898</c:v>
                </c:pt>
                <c:pt idx="257">
                  <c:v>1822.8745086436452</c:v>
                </c:pt>
                <c:pt idx="258">
                  <c:v>119.81334798596727</c:v>
                </c:pt>
                <c:pt idx="259">
                  <c:v>338.044803246122</c:v>
                </c:pt>
                <c:pt idx="260">
                  <c:v>1682.7657512116316</c:v>
                </c:pt>
                <c:pt idx="261">
                  <c:v>3169.8610662358647</c:v>
                </c:pt>
                <c:pt idx="262">
                  <c:v>743.5476575121163</c:v>
                </c:pt>
                <c:pt idx="263">
                  <c:v>939.21809369951529</c:v>
                </c:pt>
                <c:pt idx="264">
                  <c:v>860.94991922455586</c:v>
                </c:pt>
                <c:pt idx="265">
                  <c:v>3052.458804523425</c:v>
                </c:pt>
                <c:pt idx="266">
                  <c:v>1291.4248788368336</c:v>
                </c:pt>
                <c:pt idx="267">
                  <c:v>1095.7544426494346</c:v>
                </c:pt>
                <c:pt idx="268">
                  <c:v>900.08400646203552</c:v>
                </c:pt>
                <c:pt idx="269">
                  <c:v>469.60904684975765</c:v>
                </c:pt>
                <c:pt idx="270">
                  <c:v>2661.1179321486266</c:v>
                </c:pt>
                <c:pt idx="271">
                  <c:v>2387.1793214862682</c:v>
                </c:pt>
                <c:pt idx="272">
                  <c:v>156.53634894991924</c:v>
                </c:pt>
                <c:pt idx="273">
                  <c:v>3052.458804523425</c:v>
                </c:pt>
                <c:pt idx="274">
                  <c:v>430.47495961227793</c:v>
                </c:pt>
                <c:pt idx="275">
                  <c:v>39.134087237479811</c:v>
                </c:pt>
                <c:pt idx="276">
                  <c:v>626.14539579967698</c:v>
                </c:pt>
                <c:pt idx="277">
                  <c:v>117.40226171243941</c:v>
                </c:pt>
                <c:pt idx="278">
                  <c:v>469.60904684975765</c:v>
                </c:pt>
                <c:pt idx="279">
                  <c:v>78.268174474959622</c:v>
                </c:pt>
                <c:pt idx="280">
                  <c:v>953.37663482733285</c:v>
                </c:pt>
                <c:pt idx="281">
                  <c:v>1922.0317413666423</c:v>
                </c:pt>
                <c:pt idx="282">
                  <c:v>357.5162380602498</c:v>
                </c:pt>
                <c:pt idx="283">
                  <c:v>345.29346069066861</c:v>
                </c:pt>
                <c:pt idx="284">
                  <c:v>455.29845701689936</c:v>
                </c:pt>
                <c:pt idx="285">
                  <c:v>2028.9810433504774</c:v>
                </c:pt>
                <c:pt idx="286">
                  <c:v>1592.01675238795</c:v>
                </c:pt>
                <c:pt idx="287">
                  <c:v>30.556943423952973</c:v>
                </c:pt>
                <c:pt idx="288">
                  <c:v>5011.3387215282883</c:v>
                </c:pt>
                <c:pt idx="289">
                  <c:v>220.00999265246142</c:v>
                </c:pt>
                <c:pt idx="290">
                  <c:v>690.58692138133722</c:v>
                </c:pt>
                <c:pt idx="291">
                  <c:v>1323.1156502571639</c:v>
                </c:pt>
                <c:pt idx="292">
                  <c:v>1595.0724467303455</c:v>
                </c:pt>
                <c:pt idx="293">
                  <c:v>3.0556943423952974</c:v>
                </c:pt>
                <c:pt idx="294">
                  <c:v>23852.750036737692</c:v>
                </c:pt>
                <c:pt idx="295">
                  <c:v>42.779720793534167</c:v>
                </c:pt>
                <c:pt idx="296">
                  <c:v>119.17207935341661</c:v>
                </c:pt>
                <c:pt idx="297">
                  <c:v>48.891109478324758</c:v>
                </c:pt>
                <c:pt idx="298">
                  <c:v>983.93357825128578</c:v>
                </c:pt>
                <c:pt idx="299">
                  <c:v>12.222777369581189</c:v>
                </c:pt>
                <c:pt idx="300">
                  <c:v>1908.2711426726921</c:v>
                </c:pt>
                <c:pt idx="301">
                  <c:v>597.70561652679146</c:v>
                </c:pt>
                <c:pt idx="302">
                  <c:v>367.3970303421562</c:v>
                </c:pt>
                <c:pt idx="303">
                  <c:v>460.61717236927052</c:v>
                </c:pt>
                <c:pt idx="304">
                  <c:v>537.38670109748227</c:v>
                </c:pt>
                <c:pt idx="305">
                  <c:v>3476.5629438347323</c:v>
                </c:pt>
                <c:pt idx="306">
                  <c:v>570.28792769528729</c:v>
                </c:pt>
                <c:pt idx="307">
                  <c:v>76.769528728211753</c:v>
                </c:pt>
                <c:pt idx="308">
                  <c:v>740.27759845061337</c:v>
                </c:pt>
                <c:pt idx="309">
                  <c:v>2703.3841187863136</c:v>
                </c:pt>
                <c:pt idx="310">
                  <c:v>466.10071013557132</c:v>
                </c:pt>
                <c:pt idx="311">
                  <c:v>3750.739832149774</c:v>
                </c:pt>
                <c:pt idx="312">
                  <c:v>43.868302130406711</c:v>
                </c:pt>
                <c:pt idx="313">
                  <c:v>5.4835377663008389</c:v>
                </c:pt>
                <c:pt idx="314">
                  <c:v>16.450613298902518</c:v>
                </c:pt>
                <c:pt idx="315">
                  <c:v>1107.6746287927695</c:v>
                </c:pt>
                <c:pt idx="316">
                  <c:v>60.318915429309236</c:v>
                </c:pt>
                <c:pt idx="317">
                  <c:v>43.868302130406711</c:v>
                </c:pt>
                <c:pt idx="318">
                  <c:v>49.351839896707553</c:v>
                </c:pt>
                <c:pt idx="319">
                  <c:v>5.4835377663008389</c:v>
                </c:pt>
                <c:pt idx="320">
                  <c:v>1663.5507246376812</c:v>
                </c:pt>
                <c:pt idx="321">
                  <c:v>591.4847020933978</c:v>
                </c:pt>
                <c:pt idx="322">
                  <c:v>628.45249597423515</c:v>
                </c:pt>
                <c:pt idx="323">
                  <c:v>702.38808373590985</c:v>
                </c:pt>
                <c:pt idx="324">
                  <c:v>665.4202898550725</c:v>
                </c:pt>
                <c:pt idx="325">
                  <c:v>2292.0032206119163</c:v>
                </c:pt>
                <c:pt idx="326">
                  <c:v>1219.9371980676328</c:v>
                </c:pt>
                <c:pt idx="327">
                  <c:v>628.45249597423515</c:v>
                </c:pt>
                <c:pt idx="328">
                  <c:v>924.19484702093393</c:v>
                </c:pt>
                <c:pt idx="329">
                  <c:v>628.45249597423515</c:v>
                </c:pt>
                <c:pt idx="330">
                  <c:v>5877.8792270531403</c:v>
                </c:pt>
                <c:pt idx="331">
                  <c:v>850.25925925925924</c:v>
                </c:pt>
                <c:pt idx="332">
                  <c:v>184.83896940418677</c:v>
                </c:pt>
                <c:pt idx="333">
                  <c:v>517.54911433172299</c:v>
                </c:pt>
                <c:pt idx="334">
                  <c:v>628.45249597423515</c:v>
                </c:pt>
                <c:pt idx="335">
                  <c:v>110.90338164251207</c:v>
                </c:pt>
                <c:pt idx="336">
                  <c:v>2994.391304347826</c:v>
                </c:pt>
                <c:pt idx="337">
                  <c:v>73.935587761674725</c:v>
                </c:pt>
                <c:pt idx="338">
                  <c:v>1737.4863123993559</c:v>
                </c:pt>
                <c:pt idx="339">
                  <c:v>36.967793880837363</c:v>
                </c:pt>
                <c:pt idx="340">
                  <c:v>916.51768279453245</c:v>
                </c:pt>
                <c:pt idx="341">
                  <c:v>1497.7240182252117</c:v>
                </c:pt>
                <c:pt idx="342">
                  <c:v>324.13430245172486</c:v>
                </c:pt>
                <c:pt idx="343">
                  <c:v>279.42612280321111</c:v>
                </c:pt>
                <c:pt idx="344">
                  <c:v>659.44564981557824</c:v>
                </c:pt>
                <c:pt idx="345">
                  <c:v>2671.3137339986984</c:v>
                </c:pt>
                <c:pt idx="346">
                  <c:v>2078.9303536558909</c:v>
                </c:pt>
                <c:pt idx="347">
                  <c:v>212.36385333044043</c:v>
                </c:pt>
                <c:pt idx="348">
                  <c:v>860.63245823389025</c:v>
                </c:pt>
                <c:pt idx="349">
                  <c:v>245.89498806682579</c:v>
                </c:pt>
                <c:pt idx="350">
                  <c:v>134.12453894554133</c:v>
                </c:pt>
                <c:pt idx="351">
                  <c:v>15189.604035582555</c:v>
                </c:pt>
                <c:pt idx="352">
                  <c:v>2961.916901714038</c:v>
                </c:pt>
                <c:pt idx="353">
                  <c:v>11.177044912128444</c:v>
                </c:pt>
                <c:pt idx="354">
                  <c:v>78.239314384899103</c:v>
                </c:pt>
                <c:pt idx="355">
                  <c:v>190.00976350618356</c:v>
                </c:pt>
                <c:pt idx="356">
                  <c:v>11.177044912128444</c:v>
                </c:pt>
                <c:pt idx="357">
                  <c:v>16262.600347146885</c:v>
                </c:pt>
                <c:pt idx="358">
                  <c:v>67.062269472770666</c:v>
                </c:pt>
                <c:pt idx="359">
                  <c:v>6862.7055760468656</c:v>
                </c:pt>
                <c:pt idx="360">
                  <c:v>1651.9514843479267</c:v>
                </c:pt>
                <c:pt idx="361">
                  <c:v>1322.6773709137115</c:v>
                </c:pt>
                <c:pt idx="362">
                  <c:v>580.41538639251473</c:v>
                </c:pt>
                <c:pt idx="363">
                  <c:v>284.62677601940629</c:v>
                </c:pt>
                <c:pt idx="364">
                  <c:v>301.36952754995957</c:v>
                </c:pt>
                <c:pt idx="365">
                  <c:v>2048.196603904355</c:v>
                </c:pt>
                <c:pt idx="366">
                  <c:v>1021.3078433637519</c:v>
                </c:pt>
                <c:pt idx="367">
                  <c:v>284.62677601940629</c:v>
                </c:pt>
                <c:pt idx="368">
                  <c:v>1155.2498556081784</c:v>
                </c:pt>
                <c:pt idx="369">
                  <c:v>111.61834353702206</c:v>
                </c:pt>
                <c:pt idx="370">
                  <c:v>10458.638789418967</c:v>
                </c:pt>
                <c:pt idx="371">
                  <c:v>1780.3125794155017</c:v>
                </c:pt>
                <c:pt idx="372">
                  <c:v>373.92145084902387</c:v>
                </c:pt>
                <c:pt idx="373">
                  <c:v>234.39852142774632</c:v>
                </c:pt>
                <c:pt idx="374">
                  <c:v>2450.0226406376341</c:v>
                </c:pt>
                <c:pt idx="375">
                  <c:v>22.323668707404412</c:v>
                </c:pt>
                <c:pt idx="376">
                  <c:v>1333.8392052674137</c:v>
                </c:pt>
                <c:pt idx="377">
                  <c:v>16.74275153055331</c:v>
                </c:pt>
                <c:pt idx="378">
                  <c:v>22876.179507912671</c:v>
                </c:pt>
                <c:pt idx="379">
                  <c:v>5.580917176851103</c:v>
                </c:pt>
                <c:pt idx="380">
                  <c:v>172.67421874999999</c:v>
                </c:pt>
                <c:pt idx="381">
                  <c:v>428.03750000000002</c:v>
                </c:pt>
                <c:pt idx="382">
                  <c:v>19.456250000000001</c:v>
                </c:pt>
                <c:pt idx="383">
                  <c:v>53.504687500000003</c:v>
                </c:pt>
                <c:pt idx="384">
                  <c:v>143.48984375000001</c:v>
                </c:pt>
                <c:pt idx="385">
                  <c:v>340.484375</c:v>
                </c:pt>
                <c:pt idx="386">
                  <c:v>342.91640624999997</c:v>
                </c:pt>
                <c:pt idx="387">
                  <c:v>4.8640625000000002</c:v>
                </c:pt>
                <c:pt idx="388">
                  <c:v>141.05781249999998</c:v>
                </c:pt>
                <c:pt idx="389">
                  <c:v>158.08203125</c:v>
                </c:pt>
                <c:pt idx="390">
                  <c:v>36.48046875</c:v>
                </c:pt>
                <c:pt idx="391">
                  <c:v>4460.3453124999996</c:v>
                </c:pt>
                <c:pt idx="392">
                  <c:v>437.765625</c:v>
                </c:pt>
                <c:pt idx="393">
                  <c:v>2.4320312500000001</c:v>
                </c:pt>
                <c:pt idx="394">
                  <c:v>24.3203125</c:v>
                </c:pt>
                <c:pt idx="395">
                  <c:v>53.504687500000003</c:v>
                </c:pt>
                <c:pt idx="396">
                  <c:v>12.16015625</c:v>
                </c:pt>
                <c:pt idx="397">
                  <c:v>3779.3765624999996</c:v>
                </c:pt>
                <c:pt idx="398">
                  <c:v>2.4320312500000001</c:v>
                </c:pt>
                <c:pt idx="399">
                  <c:v>20516.615624999999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2168.9999999999995</c:v>
                </c:pt>
                <c:pt idx="1">
                  <c:v>615.99999999999989</c:v>
                </c:pt>
                <c:pt idx="2">
                  <c:v>352.99999999999994</c:v>
                </c:pt>
                <c:pt idx="3">
                  <c:v>104.99999999999997</c:v>
                </c:pt>
                <c:pt idx="4">
                  <c:v>413.99999999999989</c:v>
                </c:pt>
                <c:pt idx="5">
                  <c:v>2946.9999999999995</c:v>
                </c:pt>
                <c:pt idx="6">
                  <c:v>1112.9999999999998</c:v>
                </c:pt>
                <c:pt idx="7">
                  <c:v>1.9999999999999996</c:v>
                </c:pt>
                <c:pt idx="8">
                  <c:v>361.99999999999994</c:v>
                </c:pt>
                <c:pt idx="9">
                  <c:v>187.99999999999997</c:v>
                </c:pt>
                <c:pt idx="10">
                  <c:v>113.99999999999997</c:v>
                </c:pt>
                <c:pt idx="11">
                  <c:v>910.99999999999977</c:v>
                </c:pt>
                <c:pt idx="12">
                  <c:v>205.99999999999994</c:v>
                </c:pt>
                <c:pt idx="13">
                  <c:v>14.999999999999996</c:v>
                </c:pt>
                <c:pt idx="14">
                  <c:v>148.99999999999997</c:v>
                </c:pt>
                <c:pt idx="15">
                  <c:v>7.9999999999999982</c:v>
                </c:pt>
                <c:pt idx="16">
                  <c:v>198.99999999999994</c:v>
                </c:pt>
                <c:pt idx="17">
                  <c:v>103.99999999999997</c:v>
                </c:pt>
                <c:pt idx="18">
                  <c:v>109.99999999999997</c:v>
                </c:pt>
                <c:pt idx="19">
                  <c:v>4.9999999999999991</c:v>
                </c:pt>
                <c:pt idx="20">
                  <c:v>1782.9999999999998</c:v>
                </c:pt>
                <c:pt idx="21">
                  <c:v>1443.9999999999998</c:v>
                </c:pt>
                <c:pt idx="22">
                  <c:v>459.99999999999994</c:v>
                </c:pt>
                <c:pt idx="23">
                  <c:v>127.99999999999999</c:v>
                </c:pt>
                <c:pt idx="24">
                  <c:v>398.99999999999994</c:v>
                </c:pt>
                <c:pt idx="25">
                  <c:v>3161.9999999999995</c:v>
                </c:pt>
                <c:pt idx="26">
                  <c:v>2732.9999999999995</c:v>
                </c:pt>
                <c:pt idx="27">
                  <c:v>7.9999999999999991</c:v>
                </c:pt>
                <c:pt idx="28">
                  <c:v>1033.9999999999998</c:v>
                </c:pt>
                <c:pt idx="29">
                  <c:v>193.99999999999997</c:v>
                </c:pt>
                <c:pt idx="30">
                  <c:v>187.99999999999997</c:v>
                </c:pt>
                <c:pt idx="31">
                  <c:v>1517.9999999999998</c:v>
                </c:pt>
                <c:pt idx="32">
                  <c:v>484.99999999999994</c:v>
                </c:pt>
                <c:pt idx="33">
                  <c:v>33.999999999999993</c:v>
                </c:pt>
                <c:pt idx="34">
                  <c:v>305.99999999999994</c:v>
                </c:pt>
                <c:pt idx="35">
                  <c:v>27.999999999999996</c:v>
                </c:pt>
                <c:pt idx="36">
                  <c:v>263.99999999999994</c:v>
                </c:pt>
                <c:pt idx="37">
                  <c:v>186.99999999999997</c:v>
                </c:pt>
                <c:pt idx="38">
                  <c:v>118.99999999999999</c:v>
                </c:pt>
                <c:pt idx="39">
                  <c:v>10.999999999999998</c:v>
                </c:pt>
                <c:pt idx="40">
                  <c:v>5159</c:v>
                </c:pt>
                <c:pt idx="41">
                  <c:v>2383</c:v>
                </c:pt>
                <c:pt idx="42">
                  <c:v>2724</c:v>
                </c:pt>
                <c:pt idx="43">
                  <c:v>445</c:v>
                </c:pt>
                <c:pt idx="44">
                  <c:v>1437</c:v>
                </c:pt>
                <c:pt idx="45">
                  <c:v>7895</c:v>
                </c:pt>
                <c:pt idx="46">
                  <c:v>4092</c:v>
                </c:pt>
                <c:pt idx="47">
                  <c:v>30</c:v>
                </c:pt>
                <c:pt idx="48">
                  <c:v>1721</c:v>
                </c:pt>
                <c:pt idx="49">
                  <c:v>590</c:v>
                </c:pt>
                <c:pt idx="50">
                  <c:v>885</c:v>
                </c:pt>
                <c:pt idx="51">
                  <c:v>3106</c:v>
                </c:pt>
                <c:pt idx="52">
                  <c:v>742</c:v>
                </c:pt>
                <c:pt idx="53">
                  <c:v>101</c:v>
                </c:pt>
                <c:pt idx="54">
                  <c:v>392</c:v>
                </c:pt>
                <c:pt idx="55">
                  <c:v>30</c:v>
                </c:pt>
                <c:pt idx="56">
                  <c:v>1419</c:v>
                </c:pt>
                <c:pt idx="57">
                  <c:v>499</c:v>
                </c:pt>
                <c:pt idx="58">
                  <c:v>565</c:v>
                </c:pt>
                <c:pt idx="59">
                  <c:v>25</c:v>
                </c:pt>
                <c:pt idx="60">
                  <c:v>1641</c:v>
                </c:pt>
                <c:pt idx="61">
                  <c:v>801</c:v>
                </c:pt>
                <c:pt idx="62">
                  <c:v>485</c:v>
                </c:pt>
                <c:pt idx="63">
                  <c:v>336</c:v>
                </c:pt>
                <c:pt idx="64">
                  <c:v>697</c:v>
                </c:pt>
                <c:pt idx="65">
                  <c:v>3273</c:v>
                </c:pt>
                <c:pt idx="66">
                  <c:v>1200</c:v>
                </c:pt>
                <c:pt idx="67">
                  <c:v>13</c:v>
                </c:pt>
                <c:pt idx="68">
                  <c:v>511</c:v>
                </c:pt>
                <c:pt idx="69">
                  <c:v>356</c:v>
                </c:pt>
                <c:pt idx="70">
                  <c:v>336</c:v>
                </c:pt>
                <c:pt idx="71">
                  <c:v>1139</c:v>
                </c:pt>
                <c:pt idx="72">
                  <c:v>216</c:v>
                </c:pt>
                <c:pt idx="73">
                  <c:v>55</c:v>
                </c:pt>
                <c:pt idx="74">
                  <c:v>155</c:v>
                </c:pt>
                <c:pt idx="75">
                  <c:v>49</c:v>
                </c:pt>
                <c:pt idx="76">
                  <c:v>464</c:v>
                </c:pt>
                <c:pt idx="77">
                  <c:v>176</c:v>
                </c:pt>
                <c:pt idx="78">
                  <c:v>180</c:v>
                </c:pt>
                <c:pt idx="79">
                  <c:v>15</c:v>
                </c:pt>
                <c:pt idx="80">
                  <c:v>1597</c:v>
                </c:pt>
                <c:pt idx="81">
                  <c:v>596</c:v>
                </c:pt>
                <c:pt idx="82">
                  <c:v>355</c:v>
                </c:pt>
                <c:pt idx="83">
                  <c:v>178</c:v>
                </c:pt>
                <c:pt idx="84">
                  <c:v>1037</c:v>
                </c:pt>
                <c:pt idx="85">
                  <c:v>4541</c:v>
                </c:pt>
                <c:pt idx="86">
                  <c:v>1157</c:v>
                </c:pt>
                <c:pt idx="87">
                  <c:v>7</c:v>
                </c:pt>
                <c:pt idx="88">
                  <c:v>353</c:v>
                </c:pt>
                <c:pt idx="89">
                  <c:v>462</c:v>
                </c:pt>
                <c:pt idx="90">
                  <c:v>177</c:v>
                </c:pt>
                <c:pt idx="91">
                  <c:v>1147</c:v>
                </c:pt>
                <c:pt idx="92">
                  <c:v>164</c:v>
                </c:pt>
                <c:pt idx="93">
                  <c:v>23</c:v>
                </c:pt>
                <c:pt idx="94">
                  <c:v>158</c:v>
                </c:pt>
                <c:pt idx="95">
                  <c:v>18</c:v>
                </c:pt>
                <c:pt idx="96">
                  <c:v>314</c:v>
                </c:pt>
                <c:pt idx="97">
                  <c:v>138</c:v>
                </c:pt>
                <c:pt idx="98">
                  <c:v>113</c:v>
                </c:pt>
                <c:pt idx="99">
                  <c:v>16</c:v>
                </c:pt>
                <c:pt idx="100">
                  <c:v>3447</c:v>
                </c:pt>
                <c:pt idx="101">
                  <c:v>1578</c:v>
                </c:pt>
                <c:pt idx="102">
                  <c:v>762</c:v>
                </c:pt>
                <c:pt idx="103">
                  <c:v>279</c:v>
                </c:pt>
                <c:pt idx="104">
                  <c:v>1374</c:v>
                </c:pt>
                <c:pt idx="105">
                  <c:v>13092</c:v>
                </c:pt>
                <c:pt idx="106">
                  <c:v>3592</c:v>
                </c:pt>
                <c:pt idx="107">
                  <c:v>15</c:v>
                </c:pt>
                <c:pt idx="108">
                  <c:v>1040</c:v>
                </c:pt>
                <c:pt idx="109">
                  <c:v>737</c:v>
                </c:pt>
                <c:pt idx="110">
                  <c:v>316</c:v>
                </c:pt>
                <c:pt idx="111">
                  <c:v>3735</c:v>
                </c:pt>
                <c:pt idx="112">
                  <c:v>569</c:v>
                </c:pt>
                <c:pt idx="113">
                  <c:v>62</c:v>
                </c:pt>
                <c:pt idx="114">
                  <c:v>264</c:v>
                </c:pt>
                <c:pt idx="115">
                  <c:v>38</c:v>
                </c:pt>
                <c:pt idx="116">
                  <c:v>550</c:v>
                </c:pt>
                <c:pt idx="117">
                  <c:v>505</c:v>
                </c:pt>
                <c:pt idx="118">
                  <c:v>196</c:v>
                </c:pt>
                <c:pt idx="119">
                  <c:v>43</c:v>
                </c:pt>
                <c:pt idx="120">
                  <c:v>5440.0000000000009</c:v>
                </c:pt>
                <c:pt idx="121">
                  <c:v>4266.0000000000009</c:v>
                </c:pt>
                <c:pt idx="122">
                  <c:v>1483.0000000000002</c:v>
                </c:pt>
                <c:pt idx="123">
                  <c:v>419.00000000000006</c:v>
                </c:pt>
                <c:pt idx="124">
                  <c:v>1511.0000000000002</c:v>
                </c:pt>
                <c:pt idx="125">
                  <c:v>10197.000000000002</c:v>
                </c:pt>
                <c:pt idx="126">
                  <c:v>29829.000000000004</c:v>
                </c:pt>
                <c:pt idx="127">
                  <c:v>24.000000000000004</c:v>
                </c:pt>
                <c:pt idx="128">
                  <c:v>6048.0000000000009</c:v>
                </c:pt>
                <c:pt idx="129">
                  <c:v>910.00000000000011</c:v>
                </c:pt>
                <c:pt idx="130">
                  <c:v>573.00000000000011</c:v>
                </c:pt>
                <c:pt idx="131">
                  <c:v>11081.000000000002</c:v>
                </c:pt>
                <c:pt idx="132">
                  <c:v>13719.000000000002</c:v>
                </c:pt>
                <c:pt idx="133">
                  <c:v>44.000000000000007</c:v>
                </c:pt>
                <c:pt idx="134">
                  <c:v>2024.0000000000002</c:v>
                </c:pt>
                <c:pt idx="135">
                  <c:v>55.000000000000007</c:v>
                </c:pt>
                <c:pt idx="136">
                  <c:v>995.00000000000011</c:v>
                </c:pt>
                <c:pt idx="137">
                  <c:v>2054.0000000000005</c:v>
                </c:pt>
                <c:pt idx="138">
                  <c:v>490.00000000000006</c:v>
                </c:pt>
                <c:pt idx="139">
                  <c:v>67.000000000000014</c:v>
                </c:pt>
                <c:pt idx="140">
                  <c:v>656</c:v>
                </c:pt>
                <c:pt idx="141">
                  <c:v>338</c:v>
                </c:pt>
                <c:pt idx="142">
                  <c:v>239</c:v>
                </c:pt>
                <c:pt idx="143">
                  <c:v>100</c:v>
                </c:pt>
                <c:pt idx="144">
                  <c:v>274</c:v>
                </c:pt>
                <c:pt idx="145">
                  <c:v>1161</c:v>
                </c:pt>
                <c:pt idx="146">
                  <c:v>483</c:v>
                </c:pt>
                <c:pt idx="147">
                  <c:v>16</c:v>
                </c:pt>
                <c:pt idx="148">
                  <c:v>223</c:v>
                </c:pt>
                <c:pt idx="149">
                  <c:v>94</c:v>
                </c:pt>
                <c:pt idx="150">
                  <c:v>220</c:v>
                </c:pt>
                <c:pt idx="151">
                  <c:v>359</c:v>
                </c:pt>
                <c:pt idx="152">
                  <c:v>130</c:v>
                </c:pt>
                <c:pt idx="153">
                  <c:v>33</c:v>
                </c:pt>
                <c:pt idx="154">
                  <c:v>55</c:v>
                </c:pt>
                <c:pt idx="155">
                  <c:v>5</c:v>
                </c:pt>
                <c:pt idx="156">
                  <c:v>412</c:v>
                </c:pt>
                <c:pt idx="157">
                  <c:v>41</c:v>
                </c:pt>
                <c:pt idx="158">
                  <c:v>129</c:v>
                </c:pt>
                <c:pt idx="159">
                  <c:v>0</c:v>
                </c:pt>
                <c:pt idx="160">
                  <c:v>5792</c:v>
                </c:pt>
                <c:pt idx="161">
                  <c:v>4224</c:v>
                </c:pt>
                <c:pt idx="162">
                  <c:v>1713</c:v>
                </c:pt>
                <c:pt idx="163">
                  <c:v>377</c:v>
                </c:pt>
                <c:pt idx="164">
                  <c:v>1719</c:v>
                </c:pt>
                <c:pt idx="165">
                  <c:v>9636</c:v>
                </c:pt>
                <c:pt idx="166">
                  <c:v>11514</c:v>
                </c:pt>
                <c:pt idx="167">
                  <c:v>34</c:v>
                </c:pt>
                <c:pt idx="168">
                  <c:v>10452</c:v>
                </c:pt>
                <c:pt idx="169">
                  <c:v>733</c:v>
                </c:pt>
                <c:pt idx="170">
                  <c:v>1404</c:v>
                </c:pt>
                <c:pt idx="171">
                  <c:v>5743</c:v>
                </c:pt>
                <c:pt idx="172">
                  <c:v>4283</c:v>
                </c:pt>
                <c:pt idx="173">
                  <c:v>108</c:v>
                </c:pt>
                <c:pt idx="174">
                  <c:v>5233</c:v>
                </c:pt>
                <c:pt idx="175">
                  <c:v>38</c:v>
                </c:pt>
                <c:pt idx="176">
                  <c:v>1670</c:v>
                </c:pt>
                <c:pt idx="177">
                  <c:v>786</c:v>
                </c:pt>
                <c:pt idx="178">
                  <c:v>1698</c:v>
                </c:pt>
                <c:pt idx="179">
                  <c:v>19</c:v>
                </c:pt>
                <c:pt idx="180">
                  <c:v>3391.9999999999991</c:v>
                </c:pt>
                <c:pt idx="181">
                  <c:v>1470.9999999999998</c:v>
                </c:pt>
                <c:pt idx="182">
                  <c:v>824.99999999999977</c:v>
                </c:pt>
                <c:pt idx="183">
                  <c:v>348.99999999999994</c:v>
                </c:pt>
                <c:pt idx="184">
                  <c:v>1675.9999999999995</c:v>
                </c:pt>
                <c:pt idx="185">
                  <c:v>8744.9999999999982</c:v>
                </c:pt>
                <c:pt idx="186">
                  <c:v>3066.9999999999995</c:v>
                </c:pt>
                <c:pt idx="187">
                  <c:v>9.9999999999999982</c:v>
                </c:pt>
                <c:pt idx="188">
                  <c:v>861.99999999999977</c:v>
                </c:pt>
                <c:pt idx="189">
                  <c:v>2033.9999999999995</c:v>
                </c:pt>
                <c:pt idx="190">
                  <c:v>285.99999999999994</c:v>
                </c:pt>
                <c:pt idx="191">
                  <c:v>3935.9999999999991</c:v>
                </c:pt>
                <c:pt idx="192">
                  <c:v>525.99999999999989</c:v>
                </c:pt>
                <c:pt idx="193">
                  <c:v>48.999999999999986</c:v>
                </c:pt>
                <c:pt idx="194">
                  <c:v>269.99999999999994</c:v>
                </c:pt>
                <c:pt idx="195">
                  <c:v>185.99999999999997</c:v>
                </c:pt>
                <c:pt idx="196">
                  <c:v>534.99999999999989</c:v>
                </c:pt>
                <c:pt idx="197">
                  <c:v>644.99999999999989</c:v>
                </c:pt>
                <c:pt idx="198">
                  <c:v>195.99999999999994</c:v>
                </c:pt>
                <c:pt idx="199">
                  <c:v>31.999999999999993</c:v>
                </c:pt>
                <c:pt idx="200">
                  <c:v>6381.9999999999991</c:v>
                </c:pt>
                <c:pt idx="201">
                  <c:v>3255.9999999999995</c:v>
                </c:pt>
                <c:pt idx="202">
                  <c:v>2865.9999999999995</c:v>
                </c:pt>
                <c:pt idx="203">
                  <c:v>808.99999999999989</c:v>
                </c:pt>
                <c:pt idx="204">
                  <c:v>2157.9999999999995</c:v>
                </c:pt>
                <c:pt idx="205">
                  <c:v>10077.999999999998</c:v>
                </c:pt>
                <c:pt idx="206">
                  <c:v>5139.9999999999991</c:v>
                </c:pt>
                <c:pt idx="207">
                  <c:v>102.99999999999999</c:v>
                </c:pt>
                <c:pt idx="208">
                  <c:v>4447.9999999999991</c:v>
                </c:pt>
                <c:pt idx="209">
                  <c:v>769.99999999999989</c:v>
                </c:pt>
                <c:pt idx="210">
                  <c:v>6024.9999999999991</c:v>
                </c:pt>
                <c:pt idx="211">
                  <c:v>3508.9999999999995</c:v>
                </c:pt>
                <c:pt idx="212">
                  <c:v>1171.9999999999998</c:v>
                </c:pt>
                <c:pt idx="213">
                  <c:v>347.99999999999994</c:v>
                </c:pt>
                <c:pt idx="214">
                  <c:v>1497.9999999999998</c:v>
                </c:pt>
                <c:pt idx="215">
                  <c:v>44.999999999999993</c:v>
                </c:pt>
                <c:pt idx="216">
                  <c:v>5871.9999999999991</c:v>
                </c:pt>
                <c:pt idx="217">
                  <c:v>489.99999999999994</c:v>
                </c:pt>
                <c:pt idx="218">
                  <c:v>5247.9999999999991</c:v>
                </c:pt>
                <c:pt idx="219">
                  <c:v>8.9999999999999982</c:v>
                </c:pt>
                <c:pt idx="220">
                  <c:v>9891</c:v>
                </c:pt>
                <c:pt idx="221">
                  <c:v>6034</c:v>
                </c:pt>
                <c:pt idx="222">
                  <c:v>2482</c:v>
                </c:pt>
                <c:pt idx="223">
                  <c:v>669</c:v>
                </c:pt>
                <c:pt idx="224">
                  <c:v>3192</c:v>
                </c:pt>
                <c:pt idx="225">
                  <c:v>22461</c:v>
                </c:pt>
                <c:pt idx="226">
                  <c:v>20857</c:v>
                </c:pt>
                <c:pt idx="227">
                  <c:v>42</c:v>
                </c:pt>
                <c:pt idx="228">
                  <c:v>4576</c:v>
                </c:pt>
                <c:pt idx="229">
                  <c:v>3579</c:v>
                </c:pt>
                <c:pt idx="230">
                  <c:v>948</c:v>
                </c:pt>
                <c:pt idx="231">
                  <c:v>33882</c:v>
                </c:pt>
                <c:pt idx="232">
                  <c:v>7880</c:v>
                </c:pt>
                <c:pt idx="233">
                  <c:v>103</c:v>
                </c:pt>
                <c:pt idx="234">
                  <c:v>1034</c:v>
                </c:pt>
                <c:pt idx="235">
                  <c:v>281</c:v>
                </c:pt>
                <c:pt idx="236">
                  <c:v>1363</c:v>
                </c:pt>
                <c:pt idx="237">
                  <c:v>10190</c:v>
                </c:pt>
                <c:pt idx="238">
                  <c:v>656</c:v>
                </c:pt>
                <c:pt idx="239">
                  <c:v>441</c:v>
                </c:pt>
                <c:pt idx="240">
                  <c:v>2279.9999999999995</c:v>
                </c:pt>
                <c:pt idx="241">
                  <c:v>1666.9999999999998</c:v>
                </c:pt>
                <c:pt idx="242">
                  <c:v>568.99999999999989</c:v>
                </c:pt>
                <c:pt idx="243">
                  <c:v>145.99999999999997</c:v>
                </c:pt>
                <c:pt idx="244">
                  <c:v>601.99999999999989</c:v>
                </c:pt>
                <c:pt idx="245">
                  <c:v>4387.9999999999991</c:v>
                </c:pt>
                <c:pt idx="246">
                  <c:v>17658.999999999996</c:v>
                </c:pt>
                <c:pt idx="247">
                  <c:v>9.9999999999999982</c:v>
                </c:pt>
                <c:pt idx="248">
                  <c:v>2683.9999999999995</c:v>
                </c:pt>
                <c:pt idx="249">
                  <c:v>411.99999999999994</c:v>
                </c:pt>
                <c:pt idx="250">
                  <c:v>306.99999999999994</c:v>
                </c:pt>
                <c:pt idx="251">
                  <c:v>6374.9999999999991</c:v>
                </c:pt>
                <c:pt idx="252">
                  <c:v>53443.999999999993</c:v>
                </c:pt>
                <c:pt idx="253">
                  <c:v>16.999999999999996</c:v>
                </c:pt>
                <c:pt idx="254">
                  <c:v>3554.9999999999995</c:v>
                </c:pt>
                <c:pt idx="255">
                  <c:v>14.999999999999998</c:v>
                </c:pt>
                <c:pt idx="256">
                  <c:v>522.99999999999989</c:v>
                </c:pt>
                <c:pt idx="257">
                  <c:v>5867.9999999999991</c:v>
                </c:pt>
                <c:pt idx="258">
                  <c:v>559.99999999999989</c:v>
                </c:pt>
                <c:pt idx="259">
                  <c:v>156.99999999999997</c:v>
                </c:pt>
                <c:pt idx="260">
                  <c:v>2109.9999999999995</c:v>
                </c:pt>
                <c:pt idx="261">
                  <c:v>996.99999999999966</c:v>
                </c:pt>
                <c:pt idx="262">
                  <c:v>889.99999999999966</c:v>
                </c:pt>
                <c:pt idx="263">
                  <c:v>287.99999999999994</c:v>
                </c:pt>
                <c:pt idx="264">
                  <c:v>811.99999999999966</c:v>
                </c:pt>
                <c:pt idx="265">
                  <c:v>3409.9999999999986</c:v>
                </c:pt>
                <c:pt idx="266">
                  <c:v>1640.9999999999993</c:v>
                </c:pt>
                <c:pt idx="267">
                  <c:v>47.999999999999979</c:v>
                </c:pt>
                <c:pt idx="268">
                  <c:v>883.99999999999966</c:v>
                </c:pt>
                <c:pt idx="269">
                  <c:v>277.99999999999994</c:v>
                </c:pt>
                <c:pt idx="270">
                  <c:v>1468.9999999999998</c:v>
                </c:pt>
                <c:pt idx="271">
                  <c:v>1236.9999999999998</c:v>
                </c:pt>
                <c:pt idx="272">
                  <c:v>302.99999999999994</c:v>
                </c:pt>
                <c:pt idx="273">
                  <c:v>3739.9999999999986</c:v>
                </c:pt>
                <c:pt idx="274">
                  <c:v>196.99999999999991</c:v>
                </c:pt>
                <c:pt idx="275">
                  <c:v>17.999999999999996</c:v>
                </c:pt>
                <c:pt idx="276">
                  <c:v>4610.9999999999991</c:v>
                </c:pt>
                <c:pt idx="277">
                  <c:v>186.99999999999997</c:v>
                </c:pt>
                <c:pt idx="278">
                  <c:v>1098.9999999999998</c:v>
                </c:pt>
                <c:pt idx="279">
                  <c:v>4.9999999999999991</c:v>
                </c:pt>
                <c:pt idx="280">
                  <c:v>1169</c:v>
                </c:pt>
                <c:pt idx="281">
                  <c:v>1038</c:v>
                </c:pt>
                <c:pt idx="282">
                  <c:v>344</c:v>
                </c:pt>
                <c:pt idx="283">
                  <c:v>101</c:v>
                </c:pt>
                <c:pt idx="284">
                  <c:v>369</c:v>
                </c:pt>
                <c:pt idx="285">
                  <c:v>2382</c:v>
                </c:pt>
                <c:pt idx="286">
                  <c:v>3825</c:v>
                </c:pt>
                <c:pt idx="287">
                  <c:v>7</c:v>
                </c:pt>
                <c:pt idx="288">
                  <c:v>2930</c:v>
                </c:pt>
                <c:pt idx="289">
                  <c:v>197</c:v>
                </c:pt>
                <c:pt idx="290">
                  <c:v>329</c:v>
                </c:pt>
                <c:pt idx="291">
                  <c:v>1625</c:v>
                </c:pt>
                <c:pt idx="292">
                  <c:v>8280</c:v>
                </c:pt>
                <c:pt idx="293">
                  <c:v>34</c:v>
                </c:pt>
                <c:pt idx="294">
                  <c:v>15153</c:v>
                </c:pt>
                <c:pt idx="295">
                  <c:v>9</c:v>
                </c:pt>
                <c:pt idx="296">
                  <c:v>449</c:v>
                </c:pt>
                <c:pt idx="297">
                  <c:v>465</c:v>
                </c:pt>
                <c:pt idx="298">
                  <c:v>2872</c:v>
                </c:pt>
                <c:pt idx="299">
                  <c:v>10</c:v>
                </c:pt>
                <c:pt idx="300">
                  <c:v>1635</c:v>
                </c:pt>
                <c:pt idx="301">
                  <c:v>787</c:v>
                </c:pt>
                <c:pt idx="302">
                  <c:v>429</c:v>
                </c:pt>
                <c:pt idx="303">
                  <c:v>136</c:v>
                </c:pt>
                <c:pt idx="304">
                  <c:v>815</c:v>
                </c:pt>
                <c:pt idx="305">
                  <c:v>3760</c:v>
                </c:pt>
                <c:pt idx="306">
                  <c:v>1288</c:v>
                </c:pt>
                <c:pt idx="307">
                  <c:v>4</c:v>
                </c:pt>
                <c:pt idx="308">
                  <c:v>401</c:v>
                </c:pt>
                <c:pt idx="309">
                  <c:v>1256</c:v>
                </c:pt>
                <c:pt idx="310">
                  <c:v>152</c:v>
                </c:pt>
                <c:pt idx="311">
                  <c:v>3358</c:v>
                </c:pt>
                <c:pt idx="312">
                  <c:v>443</c:v>
                </c:pt>
                <c:pt idx="313">
                  <c:v>25</c:v>
                </c:pt>
                <c:pt idx="314">
                  <c:v>95</c:v>
                </c:pt>
                <c:pt idx="315">
                  <c:v>396</c:v>
                </c:pt>
                <c:pt idx="316">
                  <c:v>287</c:v>
                </c:pt>
                <c:pt idx="317">
                  <c:v>1442</c:v>
                </c:pt>
                <c:pt idx="318">
                  <c:v>108</c:v>
                </c:pt>
                <c:pt idx="319">
                  <c:v>171</c:v>
                </c:pt>
                <c:pt idx="320">
                  <c:v>1781</c:v>
                </c:pt>
                <c:pt idx="321">
                  <c:v>831</c:v>
                </c:pt>
                <c:pt idx="322">
                  <c:v>802</c:v>
                </c:pt>
                <c:pt idx="323">
                  <c:v>213</c:v>
                </c:pt>
                <c:pt idx="324">
                  <c:v>602</c:v>
                </c:pt>
                <c:pt idx="325">
                  <c:v>2873</c:v>
                </c:pt>
                <c:pt idx="326">
                  <c:v>1420</c:v>
                </c:pt>
                <c:pt idx="327">
                  <c:v>31</c:v>
                </c:pt>
                <c:pt idx="328">
                  <c:v>978</c:v>
                </c:pt>
                <c:pt idx="329">
                  <c:v>213</c:v>
                </c:pt>
                <c:pt idx="330">
                  <c:v>1676</c:v>
                </c:pt>
                <c:pt idx="331">
                  <c:v>1053</c:v>
                </c:pt>
                <c:pt idx="332">
                  <c:v>324</c:v>
                </c:pt>
                <c:pt idx="333">
                  <c:v>843</c:v>
                </c:pt>
                <c:pt idx="334">
                  <c:v>407</c:v>
                </c:pt>
                <c:pt idx="335">
                  <c:v>17</c:v>
                </c:pt>
                <c:pt idx="336">
                  <c:v>4811</c:v>
                </c:pt>
                <c:pt idx="337">
                  <c:v>164</c:v>
                </c:pt>
                <c:pt idx="338">
                  <c:v>3916</c:v>
                </c:pt>
                <c:pt idx="339">
                  <c:v>2</c:v>
                </c:pt>
                <c:pt idx="340">
                  <c:v>1702</c:v>
                </c:pt>
                <c:pt idx="341">
                  <c:v>1052</c:v>
                </c:pt>
                <c:pt idx="342">
                  <c:v>427</c:v>
                </c:pt>
                <c:pt idx="343">
                  <c:v>104</c:v>
                </c:pt>
                <c:pt idx="344">
                  <c:v>533</c:v>
                </c:pt>
                <c:pt idx="345">
                  <c:v>3678</c:v>
                </c:pt>
                <c:pt idx="346">
                  <c:v>3897</c:v>
                </c:pt>
                <c:pt idx="347">
                  <c:v>3</c:v>
                </c:pt>
                <c:pt idx="348">
                  <c:v>847</c:v>
                </c:pt>
                <c:pt idx="349">
                  <c:v>775</c:v>
                </c:pt>
                <c:pt idx="350">
                  <c:v>161</c:v>
                </c:pt>
                <c:pt idx="351">
                  <c:v>11191</c:v>
                </c:pt>
                <c:pt idx="352">
                  <c:v>8543</c:v>
                </c:pt>
                <c:pt idx="353">
                  <c:v>21</c:v>
                </c:pt>
                <c:pt idx="354">
                  <c:v>459</c:v>
                </c:pt>
                <c:pt idx="355">
                  <c:v>66</c:v>
                </c:pt>
                <c:pt idx="356">
                  <c:v>336</c:v>
                </c:pt>
                <c:pt idx="357">
                  <c:v>16168</c:v>
                </c:pt>
                <c:pt idx="358">
                  <c:v>138</c:v>
                </c:pt>
                <c:pt idx="359">
                  <c:v>1414</c:v>
                </c:pt>
                <c:pt idx="360">
                  <c:v>2623</c:v>
                </c:pt>
                <c:pt idx="361">
                  <c:v>1099</c:v>
                </c:pt>
                <c:pt idx="362">
                  <c:v>971</c:v>
                </c:pt>
                <c:pt idx="363">
                  <c:v>211</c:v>
                </c:pt>
                <c:pt idx="364">
                  <c:v>754</c:v>
                </c:pt>
                <c:pt idx="365">
                  <c:v>3571</c:v>
                </c:pt>
                <c:pt idx="366">
                  <c:v>2216</c:v>
                </c:pt>
                <c:pt idx="367">
                  <c:v>34</c:v>
                </c:pt>
                <c:pt idx="368">
                  <c:v>1781</c:v>
                </c:pt>
                <c:pt idx="369">
                  <c:v>262</c:v>
                </c:pt>
                <c:pt idx="370">
                  <c:v>2582</c:v>
                </c:pt>
                <c:pt idx="371">
                  <c:v>1374</c:v>
                </c:pt>
                <c:pt idx="372">
                  <c:v>1208</c:v>
                </c:pt>
                <c:pt idx="373">
                  <c:v>338</c:v>
                </c:pt>
                <c:pt idx="374">
                  <c:v>3367</c:v>
                </c:pt>
                <c:pt idx="375">
                  <c:v>28</c:v>
                </c:pt>
                <c:pt idx="376">
                  <c:v>4306</c:v>
                </c:pt>
                <c:pt idx="377">
                  <c:v>244</c:v>
                </c:pt>
                <c:pt idx="378">
                  <c:v>21341</c:v>
                </c:pt>
                <c:pt idx="379">
                  <c:v>4</c:v>
                </c:pt>
                <c:pt idx="380">
                  <c:v>640</c:v>
                </c:pt>
                <c:pt idx="381">
                  <c:v>383</c:v>
                </c:pt>
                <c:pt idx="382">
                  <c:v>167</c:v>
                </c:pt>
                <c:pt idx="383">
                  <c:v>50</c:v>
                </c:pt>
                <c:pt idx="384">
                  <c:v>187</c:v>
                </c:pt>
                <c:pt idx="385">
                  <c:v>1461</c:v>
                </c:pt>
                <c:pt idx="386">
                  <c:v>900</c:v>
                </c:pt>
                <c:pt idx="387">
                  <c:v>4</c:v>
                </c:pt>
                <c:pt idx="388">
                  <c:v>262</c:v>
                </c:pt>
                <c:pt idx="389">
                  <c:v>271</c:v>
                </c:pt>
                <c:pt idx="390">
                  <c:v>66</c:v>
                </c:pt>
                <c:pt idx="391">
                  <c:v>4310</c:v>
                </c:pt>
                <c:pt idx="392">
                  <c:v>1461</c:v>
                </c:pt>
                <c:pt idx="393">
                  <c:v>8</c:v>
                </c:pt>
                <c:pt idx="394">
                  <c:v>80</c:v>
                </c:pt>
                <c:pt idx="395">
                  <c:v>69</c:v>
                </c:pt>
                <c:pt idx="396">
                  <c:v>106</c:v>
                </c:pt>
                <c:pt idx="397">
                  <c:v>7910</c:v>
                </c:pt>
                <c:pt idx="398">
                  <c:v>34</c:v>
                </c:pt>
                <c:pt idx="399">
                  <c:v>12761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3176.1152489219917</c:v>
                </c:pt>
                <c:pt idx="1">
                  <c:v>452.88318306546455</c:v>
                </c:pt>
                <c:pt idx="2">
                  <c:v>286.76009408075265</c:v>
                </c:pt>
                <c:pt idx="3">
                  <c:v>211.60917287338299</c:v>
                </c:pt>
                <c:pt idx="4">
                  <c:v>480.5703645629165</c:v>
                </c:pt>
                <c:pt idx="5">
                  <c:v>2663.9023912191296</c:v>
                </c:pt>
                <c:pt idx="6">
                  <c:v>357.95570364562917</c:v>
                </c:pt>
                <c:pt idx="7">
                  <c:v>5.9329674637397094</c:v>
                </c:pt>
                <c:pt idx="8">
                  <c:v>284.78243825950608</c:v>
                </c:pt>
                <c:pt idx="9">
                  <c:v>154.25715405723244</c:v>
                </c:pt>
                <c:pt idx="10">
                  <c:v>336.20148961191688</c:v>
                </c:pt>
                <c:pt idx="11">
                  <c:v>1188.5711485691886</c:v>
                </c:pt>
                <c:pt idx="12">
                  <c:v>235.34104272834182</c:v>
                </c:pt>
                <c:pt idx="13">
                  <c:v>19.776558212465702</c:v>
                </c:pt>
                <c:pt idx="14">
                  <c:v>33.620148961191688</c:v>
                </c:pt>
                <c:pt idx="15">
                  <c:v>9.8882791062328508</c:v>
                </c:pt>
                <c:pt idx="16">
                  <c:v>3.95531164249314</c:v>
                </c:pt>
                <c:pt idx="17">
                  <c:v>25.709525676205409</c:v>
                </c:pt>
                <c:pt idx="18">
                  <c:v>148.32418659349275</c:v>
                </c:pt>
                <c:pt idx="19">
                  <c:v>13.84359074872599</c:v>
                </c:pt>
                <c:pt idx="20">
                  <c:v>1079.1485587583149</c:v>
                </c:pt>
                <c:pt idx="21">
                  <c:v>5402.1662971175165</c:v>
                </c:pt>
                <c:pt idx="22">
                  <c:v>475.3392461197339</c:v>
                </c:pt>
                <c:pt idx="23">
                  <c:v>237.66962305986695</c:v>
                </c:pt>
                <c:pt idx="24">
                  <c:v>443.22172949002214</c:v>
                </c:pt>
                <c:pt idx="25">
                  <c:v>2331.7317073170734</c:v>
                </c:pt>
                <c:pt idx="26">
                  <c:v>1175.5011086474501</c:v>
                </c:pt>
                <c:pt idx="27">
                  <c:v>38.5410199556541</c:v>
                </c:pt>
                <c:pt idx="28">
                  <c:v>777.2439024390244</c:v>
                </c:pt>
                <c:pt idx="29">
                  <c:v>205.55210643015522</c:v>
                </c:pt>
                <c:pt idx="30">
                  <c:v>308.3281596452328</c:v>
                </c:pt>
                <c:pt idx="31">
                  <c:v>1387.4767184035477</c:v>
                </c:pt>
                <c:pt idx="32">
                  <c:v>301.9046563192905</c:v>
                </c:pt>
                <c:pt idx="33">
                  <c:v>6.4235033259423506</c:v>
                </c:pt>
                <c:pt idx="34">
                  <c:v>96.352549889135261</c:v>
                </c:pt>
                <c:pt idx="35">
                  <c:v>0</c:v>
                </c:pt>
                <c:pt idx="36">
                  <c:v>25.694013303769403</c:v>
                </c:pt>
                <c:pt idx="37">
                  <c:v>44.964523281596449</c:v>
                </c:pt>
                <c:pt idx="38">
                  <c:v>109.19955654101996</c:v>
                </c:pt>
                <c:pt idx="39">
                  <c:v>38.5410199556541</c:v>
                </c:pt>
                <c:pt idx="40">
                  <c:v>3971.509368892976</c:v>
                </c:pt>
                <c:pt idx="41">
                  <c:v>2739.5148867685944</c:v>
                </c:pt>
                <c:pt idx="42">
                  <c:v>7758.0227612369245</c:v>
                </c:pt>
                <c:pt idx="43">
                  <c:v>1456.3513047476722</c:v>
                </c:pt>
                <c:pt idx="44">
                  <c:v>1755.4937349120589</c:v>
                </c:pt>
                <c:pt idx="45">
                  <c:v>6100.9311415105185</c:v>
                </c:pt>
                <c:pt idx="46">
                  <c:v>885.61903667088177</c:v>
                </c:pt>
                <c:pt idx="47">
                  <c:v>358.18369927577885</c:v>
                </c:pt>
                <c:pt idx="48">
                  <c:v>1641.3472812967009</c:v>
                </c:pt>
                <c:pt idx="49">
                  <c:v>1153.2727899758593</c:v>
                </c:pt>
                <c:pt idx="50">
                  <c:v>2475.7972180710426</c:v>
                </c:pt>
                <c:pt idx="51">
                  <c:v>3137.0594321186345</c:v>
                </c:pt>
                <c:pt idx="52">
                  <c:v>271.58983791240377</c:v>
                </c:pt>
                <c:pt idx="53">
                  <c:v>125.95470743763651</c:v>
                </c:pt>
                <c:pt idx="54">
                  <c:v>78.72169214852282</c:v>
                </c:pt>
                <c:pt idx="55">
                  <c:v>78.72169214852282</c:v>
                </c:pt>
                <c:pt idx="56">
                  <c:v>27.552592251982986</c:v>
                </c:pt>
                <c:pt idx="57">
                  <c:v>31.488676859409129</c:v>
                </c:pt>
                <c:pt idx="58">
                  <c:v>141.69904586734108</c:v>
                </c:pt>
                <c:pt idx="59">
                  <c:v>51.169099896539834</c:v>
                </c:pt>
                <c:pt idx="60">
                  <c:v>939.31498312126723</c:v>
                </c:pt>
                <c:pt idx="61">
                  <c:v>584.32303297844715</c:v>
                </c:pt>
                <c:pt idx="62">
                  <c:v>951.88106985198647</c:v>
                </c:pt>
                <c:pt idx="63">
                  <c:v>1976.0171384056091</c:v>
                </c:pt>
                <c:pt idx="64">
                  <c:v>2230.4803947026744</c:v>
                </c:pt>
                <c:pt idx="65">
                  <c:v>1730.9784471565827</c:v>
                </c:pt>
                <c:pt idx="66">
                  <c:v>468.08673071929371</c:v>
                </c:pt>
                <c:pt idx="67">
                  <c:v>223.04803947026744</c:v>
                </c:pt>
                <c:pt idx="68">
                  <c:v>430.38847052713584</c:v>
                </c:pt>
                <c:pt idx="69">
                  <c:v>870.2015061023111</c:v>
                </c:pt>
                <c:pt idx="70">
                  <c:v>468.08673071929371</c:v>
                </c:pt>
                <c:pt idx="71">
                  <c:v>838.7862892755129</c:v>
                </c:pt>
                <c:pt idx="72">
                  <c:v>103.67021552843417</c:v>
                </c:pt>
                <c:pt idx="73">
                  <c:v>34.556738509478059</c:v>
                </c:pt>
                <c:pt idx="74">
                  <c:v>119.37782394183328</c:v>
                </c:pt>
                <c:pt idx="75">
                  <c:v>50.264346922877174</c:v>
                </c:pt>
                <c:pt idx="76">
                  <c:v>15.707608413399118</c:v>
                </c:pt>
                <c:pt idx="77">
                  <c:v>25.132173461438587</c:v>
                </c:pt>
                <c:pt idx="78">
                  <c:v>31.415216826798236</c:v>
                </c:pt>
                <c:pt idx="79">
                  <c:v>6.2830433653596467</c:v>
                </c:pt>
                <c:pt idx="80">
                  <c:v>1402.5383275261324</c:v>
                </c:pt>
                <c:pt idx="81">
                  <c:v>537.27526132404182</c:v>
                </c:pt>
                <c:pt idx="82">
                  <c:v>552.89372822299651</c:v>
                </c:pt>
                <c:pt idx="83">
                  <c:v>587.25435540069691</c:v>
                </c:pt>
                <c:pt idx="84">
                  <c:v>3039.3536585365855</c:v>
                </c:pt>
                <c:pt idx="85">
                  <c:v>2851.9320557491292</c:v>
                </c:pt>
                <c:pt idx="86">
                  <c:v>531.02787456445992</c:v>
                </c:pt>
                <c:pt idx="87">
                  <c:v>71.844947735191639</c:v>
                </c:pt>
                <c:pt idx="88">
                  <c:v>243.64808362369337</c:v>
                </c:pt>
                <c:pt idx="89">
                  <c:v>627.86236933797909</c:v>
                </c:pt>
                <c:pt idx="90">
                  <c:v>243.64808362369337</c:v>
                </c:pt>
                <c:pt idx="91">
                  <c:v>1502.4965156794424</c:v>
                </c:pt>
                <c:pt idx="92">
                  <c:v>37.484320557491287</c:v>
                </c:pt>
                <c:pt idx="93">
                  <c:v>21.865853658536587</c:v>
                </c:pt>
                <c:pt idx="94">
                  <c:v>49.979094076655052</c:v>
                </c:pt>
                <c:pt idx="95">
                  <c:v>49.979094076655052</c:v>
                </c:pt>
                <c:pt idx="96">
                  <c:v>12.494773519163763</c:v>
                </c:pt>
                <c:pt idx="97">
                  <c:v>31.236933797909405</c:v>
                </c:pt>
                <c:pt idx="98">
                  <c:v>153.0609756097561</c:v>
                </c:pt>
                <c:pt idx="99">
                  <c:v>3.1236933797909407</c:v>
                </c:pt>
                <c:pt idx="100">
                  <c:v>3079.1192107426691</c:v>
                </c:pt>
                <c:pt idx="101">
                  <c:v>1486.6234584817757</c:v>
                </c:pt>
                <c:pt idx="102">
                  <c:v>626.41107152644554</c:v>
                </c:pt>
                <c:pt idx="103">
                  <c:v>569.06357906275684</c:v>
                </c:pt>
                <c:pt idx="104">
                  <c:v>1636.6092080021924</c:v>
                </c:pt>
                <c:pt idx="105">
                  <c:v>15466.177582899425</c:v>
                </c:pt>
                <c:pt idx="106">
                  <c:v>794.04220334338174</c:v>
                </c:pt>
                <c:pt idx="107">
                  <c:v>52.936146889558778</c:v>
                </c:pt>
                <c:pt idx="108">
                  <c:v>780.8081666209921</c:v>
                </c:pt>
                <c:pt idx="109">
                  <c:v>891.09180597423949</c:v>
                </c:pt>
                <c:pt idx="110">
                  <c:v>330.85091805974241</c:v>
                </c:pt>
                <c:pt idx="111">
                  <c:v>5496.5365853658541</c:v>
                </c:pt>
                <c:pt idx="112">
                  <c:v>269.09208002192378</c:v>
                </c:pt>
                <c:pt idx="113">
                  <c:v>26.468073444779389</c:v>
                </c:pt>
                <c:pt idx="114">
                  <c:v>220.56727870649493</c:v>
                </c:pt>
                <c:pt idx="115">
                  <c:v>114.69498492737736</c:v>
                </c:pt>
                <c:pt idx="116">
                  <c:v>26.468073444779389</c:v>
                </c:pt>
                <c:pt idx="117">
                  <c:v>105.87229377911756</c:v>
                </c:pt>
                <c:pt idx="118">
                  <c:v>167.63113181693615</c:v>
                </c:pt>
                <c:pt idx="119">
                  <c:v>52.936146889558778</c:v>
                </c:pt>
                <c:pt idx="120">
                  <c:v>3269.050195850863</c:v>
                </c:pt>
                <c:pt idx="121">
                  <c:v>5760.5429058465115</c:v>
                </c:pt>
                <c:pt idx="122">
                  <c:v>2567.5940809516901</c:v>
                </c:pt>
                <c:pt idx="123">
                  <c:v>1187.8431379660526</c:v>
                </c:pt>
                <c:pt idx="124">
                  <c:v>2044.8107500362687</c:v>
                </c:pt>
                <c:pt idx="125">
                  <c:v>7580.3582982736107</c:v>
                </c:pt>
                <c:pt idx="126">
                  <c:v>36065.432322646164</c:v>
                </c:pt>
                <c:pt idx="127">
                  <c:v>181.98153924271</c:v>
                </c:pt>
                <c:pt idx="128">
                  <c:v>4248.4417525025392</c:v>
                </c:pt>
                <c:pt idx="129">
                  <c:v>1303.6495720295952</c:v>
                </c:pt>
                <c:pt idx="130">
                  <c:v>1803.2716161323081</c:v>
                </c:pt>
                <c:pt idx="131">
                  <c:v>12272.173255476569</c:v>
                </c:pt>
                <c:pt idx="132">
                  <c:v>10465.592884085303</c:v>
                </c:pt>
                <c:pt idx="133">
                  <c:v>82.718881473959087</c:v>
                </c:pt>
                <c:pt idx="134">
                  <c:v>794.1012621500073</c:v>
                </c:pt>
                <c:pt idx="135">
                  <c:v>115.80643406354272</c:v>
                </c:pt>
                <c:pt idx="136">
                  <c:v>82.718881473959087</c:v>
                </c:pt>
                <c:pt idx="137">
                  <c:v>919.833961990425</c:v>
                </c:pt>
                <c:pt idx="138">
                  <c:v>251.46539968083565</c:v>
                </c:pt>
                <c:pt idx="139">
                  <c:v>231.61286812708545</c:v>
                </c:pt>
                <c:pt idx="140">
                  <c:v>402.29305912596396</c:v>
                </c:pt>
                <c:pt idx="141">
                  <c:v>280.96658097686372</c:v>
                </c:pt>
                <c:pt idx="142">
                  <c:v>561.93316195372745</c:v>
                </c:pt>
                <c:pt idx="143">
                  <c:v>220.30334190231363</c:v>
                </c:pt>
                <c:pt idx="144">
                  <c:v>284.15938303341903</c:v>
                </c:pt>
                <c:pt idx="145">
                  <c:v>951.45501285347041</c:v>
                </c:pt>
                <c:pt idx="146">
                  <c:v>124.51928020565553</c:v>
                </c:pt>
                <c:pt idx="147">
                  <c:v>491.69151670951157</c:v>
                </c:pt>
                <c:pt idx="148">
                  <c:v>188.37532133676092</c:v>
                </c:pt>
                <c:pt idx="149">
                  <c:v>223.49614395886888</c:v>
                </c:pt>
                <c:pt idx="150">
                  <c:v>539.58354755784069</c:v>
                </c:pt>
                <c:pt idx="151">
                  <c:v>443.79948586118252</c:v>
                </c:pt>
                <c:pt idx="152">
                  <c:v>31.9280205655527</c:v>
                </c:pt>
                <c:pt idx="153">
                  <c:v>89.398457583547568</c:v>
                </c:pt>
                <c:pt idx="154">
                  <c:v>12.771208226221079</c:v>
                </c:pt>
                <c:pt idx="155">
                  <c:v>25.542416452442158</c:v>
                </c:pt>
                <c:pt idx="156">
                  <c:v>31.9280205655527</c:v>
                </c:pt>
                <c:pt idx="157">
                  <c:v>9.5784061696658096</c:v>
                </c:pt>
                <c:pt idx="158">
                  <c:v>35.120822622107966</c:v>
                </c:pt>
                <c:pt idx="159">
                  <c:v>19.156812339331619</c:v>
                </c:pt>
                <c:pt idx="160">
                  <c:v>3340.9518432414479</c:v>
                </c:pt>
                <c:pt idx="161">
                  <c:v>5058.8369312520754</c:v>
                </c:pt>
                <c:pt idx="162">
                  <c:v>1846.16871471272</c:v>
                </c:pt>
                <c:pt idx="163">
                  <c:v>981.64862172035873</c:v>
                </c:pt>
                <c:pt idx="164">
                  <c:v>1087.6220524742612</c:v>
                </c:pt>
                <c:pt idx="165">
                  <c:v>6224.5446695450019</c:v>
                </c:pt>
                <c:pt idx="166">
                  <c:v>7139.2627034207908</c:v>
                </c:pt>
                <c:pt idx="167">
                  <c:v>189.63666555961476</c:v>
                </c:pt>
                <c:pt idx="168">
                  <c:v>22594.650946529393</c:v>
                </c:pt>
                <c:pt idx="169">
                  <c:v>897.98538691464626</c:v>
                </c:pt>
                <c:pt idx="170">
                  <c:v>3357.6844902025905</c:v>
                </c:pt>
                <c:pt idx="171">
                  <c:v>4634.9432082364665</c:v>
                </c:pt>
                <c:pt idx="172">
                  <c:v>2214.2869478578546</c:v>
                </c:pt>
                <c:pt idx="173">
                  <c:v>150.59382265028228</c:v>
                </c:pt>
                <c:pt idx="174">
                  <c:v>6057.2181999335762</c:v>
                </c:pt>
                <c:pt idx="175">
                  <c:v>83.663234805712378</c:v>
                </c:pt>
                <c:pt idx="176">
                  <c:v>133.86117568913983</c:v>
                </c:pt>
                <c:pt idx="177">
                  <c:v>256.56725340418467</c:v>
                </c:pt>
                <c:pt idx="178">
                  <c:v>897.98538691464626</c:v>
                </c:pt>
                <c:pt idx="179">
                  <c:v>27.887744935237464</c:v>
                </c:pt>
                <c:pt idx="180">
                  <c:v>2727.5852023121388</c:v>
                </c:pt>
                <c:pt idx="181">
                  <c:v>931.61664739884384</c:v>
                </c:pt>
                <c:pt idx="182">
                  <c:v>655.83121387283234</c:v>
                </c:pt>
                <c:pt idx="183">
                  <c:v>1035.8769942196532</c:v>
                </c:pt>
                <c:pt idx="184">
                  <c:v>1930.4980346820807</c:v>
                </c:pt>
                <c:pt idx="185">
                  <c:v>7402.4846242774565</c:v>
                </c:pt>
                <c:pt idx="186">
                  <c:v>975.33872832369934</c:v>
                </c:pt>
                <c:pt idx="187">
                  <c:v>114.3500578034682</c:v>
                </c:pt>
                <c:pt idx="188">
                  <c:v>783.63421965317923</c:v>
                </c:pt>
                <c:pt idx="189">
                  <c:v>5505.6189595375718</c:v>
                </c:pt>
                <c:pt idx="190">
                  <c:v>750.0018497109827</c:v>
                </c:pt>
                <c:pt idx="191">
                  <c:v>4970.864277456647</c:v>
                </c:pt>
                <c:pt idx="192">
                  <c:v>285.87514450867053</c:v>
                </c:pt>
                <c:pt idx="193">
                  <c:v>20.179421965317918</c:v>
                </c:pt>
                <c:pt idx="194">
                  <c:v>73.991213872832375</c:v>
                </c:pt>
                <c:pt idx="195">
                  <c:v>639.01502890173413</c:v>
                </c:pt>
                <c:pt idx="196">
                  <c:v>97.533872832369937</c:v>
                </c:pt>
                <c:pt idx="197">
                  <c:v>36.995606936416188</c:v>
                </c:pt>
                <c:pt idx="198">
                  <c:v>110.98682080924856</c:v>
                </c:pt>
                <c:pt idx="199">
                  <c:v>43.72208092485549</c:v>
                </c:pt>
                <c:pt idx="200">
                  <c:v>3496.6215790066449</c:v>
                </c:pt>
                <c:pt idx="201">
                  <c:v>2435.0866088523485</c:v>
                </c:pt>
                <c:pt idx="202">
                  <c:v>4259.7058227277848</c:v>
                </c:pt>
                <c:pt idx="203">
                  <c:v>1437.9898637233923</c:v>
                </c:pt>
                <c:pt idx="204">
                  <c:v>1722.8746480459511</c:v>
                </c:pt>
                <c:pt idx="205">
                  <c:v>5721.4360851447236</c:v>
                </c:pt>
                <c:pt idx="206">
                  <c:v>1797.4873296542405</c:v>
                </c:pt>
                <c:pt idx="207">
                  <c:v>953.00743326951238</c:v>
                </c:pt>
                <c:pt idx="208">
                  <c:v>3252.4346210158801</c:v>
                </c:pt>
                <c:pt idx="209">
                  <c:v>739.34384502759315</c:v>
                </c:pt>
                <c:pt idx="210">
                  <c:v>23462.296880279311</c:v>
                </c:pt>
                <c:pt idx="211">
                  <c:v>3038.771032773961</c:v>
                </c:pt>
                <c:pt idx="212">
                  <c:v>579.94402522806615</c:v>
                </c:pt>
                <c:pt idx="213">
                  <c:v>373.06340804144611</c:v>
                </c:pt>
                <c:pt idx="214">
                  <c:v>752.90978713819129</c:v>
                </c:pt>
                <c:pt idx="215">
                  <c:v>23.74039869354657</c:v>
                </c:pt>
                <c:pt idx="216">
                  <c:v>1109.0157675413898</c:v>
                </c:pt>
                <c:pt idx="217">
                  <c:v>101.7445658294853</c:v>
                </c:pt>
                <c:pt idx="218">
                  <c:v>4890.5221308705932</c:v>
                </c:pt>
                <c:pt idx="219">
                  <c:v>78.004167135938729</c:v>
                </c:pt>
                <c:pt idx="220">
                  <c:v>6973.0545397142787</c:v>
                </c:pt>
                <c:pt idx="221">
                  <c:v>4386.4978557710019</c:v>
                </c:pt>
                <c:pt idx="222">
                  <c:v>1817.1161830092874</c:v>
                </c:pt>
                <c:pt idx="223">
                  <c:v>1635.0610644847272</c:v>
                </c:pt>
                <c:pt idx="224">
                  <c:v>2967.8419321739584</c:v>
                </c:pt>
                <c:pt idx="225">
                  <c:v>17669.651503591253</c:v>
                </c:pt>
                <c:pt idx="226">
                  <c:v>8154.6953090057614</c:v>
                </c:pt>
                <c:pt idx="227">
                  <c:v>120.22507827093582</c:v>
                </c:pt>
                <c:pt idx="228">
                  <c:v>2936.9269120471467</c:v>
                </c:pt>
                <c:pt idx="229">
                  <c:v>2115.9613775684707</c:v>
                </c:pt>
                <c:pt idx="230">
                  <c:v>2212.1414401852194</c:v>
                </c:pt>
                <c:pt idx="231">
                  <c:v>70891.576153016387</c:v>
                </c:pt>
                <c:pt idx="232">
                  <c:v>3276.9921334420796</c:v>
                </c:pt>
                <c:pt idx="233">
                  <c:v>72.135046962561503</c:v>
                </c:pt>
                <c:pt idx="234">
                  <c:v>419.07027283011917</c:v>
                </c:pt>
                <c:pt idx="235">
                  <c:v>676.69544055355311</c:v>
                </c:pt>
                <c:pt idx="236">
                  <c:v>116.79007603462337</c:v>
                </c:pt>
                <c:pt idx="237">
                  <c:v>2840.746849430398</c:v>
                </c:pt>
                <c:pt idx="238">
                  <c:v>140.83509168881056</c:v>
                </c:pt>
                <c:pt idx="239">
                  <c:v>1136.9857402194216</c:v>
                </c:pt>
                <c:pt idx="240">
                  <c:v>1258.0401538526567</c:v>
                </c:pt>
                <c:pt idx="241">
                  <c:v>1685.944968088254</c:v>
                </c:pt>
                <c:pt idx="242">
                  <c:v>449.30005494737736</c:v>
                </c:pt>
                <c:pt idx="243">
                  <c:v>393.67242909674962</c:v>
                </c:pt>
                <c:pt idx="244">
                  <c:v>265.30098482607042</c:v>
                </c:pt>
                <c:pt idx="245">
                  <c:v>3110.8679994927934</c:v>
                </c:pt>
                <c:pt idx="246">
                  <c:v>13568.861659410793</c:v>
                </c:pt>
                <c:pt idx="247">
                  <c:v>4.2790481423559745</c:v>
                </c:pt>
                <c:pt idx="248">
                  <c:v>1703.0611606576779</c:v>
                </c:pt>
                <c:pt idx="249">
                  <c:v>290.97527368020627</c:v>
                </c:pt>
                <c:pt idx="250">
                  <c:v>393.67242909674962</c:v>
                </c:pt>
                <c:pt idx="251">
                  <c:v>5866.5750031700409</c:v>
                </c:pt>
                <c:pt idx="252">
                  <c:v>67549.053975231407</c:v>
                </c:pt>
                <c:pt idx="253">
                  <c:v>12.837144427067924</c:v>
                </c:pt>
                <c:pt idx="254">
                  <c:v>2267.8955154486666</c:v>
                </c:pt>
                <c:pt idx="255">
                  <c:v>119.81334798596727</c:v>
                </c:pt>
                <c:pt idx="256">
                  <c:v>17.116192569423898</c:v>
                </c:pt>
                <c:pt idx="257">
                  <c:v>1822.8745086436452</c:v>
                </c:pt>
                <c:pt idx="258">
                  <c:v>119.81334798596727</c:v>
                </c:pt>
                <c:pt idx="259">
                  <c:v>338.044803246122</c:v>
                </c:pt>
                <c:pt idx="260">
                  <c:v>1682.7657512116316</c:v>
                </c:pt>
                <c:pt idx="261">
                  <c:v>3169.8610662358647</c:v>
                </c:pt>
                <c:pt idx="262">
                  <c:v>743.5476575121163</c:v>
                </c:pt>
                <c:pt idx="263">
                  <c:v>939.21809369951529</c:v>
                </c:pt>
                <c:pt idx="264">
                  <c:v>860.94991922455586</c:v>
                </c:pt>
                <c:pt idx="265">
                  <c:v>3052.458804523425</c:v>
                </c:pt>
                <c:pt idx="266">
                  <c:v>1291.4248788368336</c:v>
                </c:pt>
                <c:pt idx="267">
                  <c:v>1095.7544426494346</c:v>
                </c:pt>
                <c:pt idx="268">
                  <c:v>900.08400646203552</c:v>
                </c:pt>
                <c:pt idx="269">
                  <c:v>469.60904684975765</c:v>
                </c:pt>
                <c:pt idx="270">
                  <c:v>2661.1179321486266</c:v>
                </c:pt>
                <c:pt idx="271">
                  <c:v>2387.1793214862682</c:v>
                </c:pt>
                <c:pt idx="272">
                  <c:v>156.53634894991924</c:v>
                </c:pt>
                <c:pt idx="273">
                  <c:v>3052.458804523425</c:v>
                </c:pt>
                <c:pt idx="274">
                  <c:v>430.47495961227793</c:v>
                </c:pt>
                <c:pt idx="275">
                  <c:v>39.134087237479811</c:v>
                </c:pt>
                <c:pt idx="276">
                  <c:v>626.14539579967698</c:v>
                </c:pt>
                <c:pt idx="277">
                  <c:v>117.40226171243941</c:v>
                </c:pt>
                <c:pt idx="278">
                  <c:v>469.60904684975765</c:v>
                </c:pt>
                <c:pt idx="279">
                  <c:v>78.268174474959622</c:v>
                </c:pt>
                <c:pt idx="280">
                  <c:v>953.37663482733285</c:v>
                </c:pt>
                <c:pt idx="281">
                  <c:v>1922.0317413666423</c:v>
                </c:pt>
                <c:pt idx="282">
                  <c:v>357.5162380602498</c:v>
                </c:pt>
                <c:pt idx="283">
                  <c:v>345.29346069066861</c:v>
                </c:pt>
                <c:pt idx="284">
                  <c:v>455.29845701689936</c:v>
                </c:pt>
                <c:pt idx="285">
                  <c:v>2028.9810433504774</c:v>
                </c:pt>
                <c:pt idx="286">
                  <c:v>1592.01675238795</c:v>
                </c:pt>
                <c:pt idx="287">
                  <c:v>30.556943423952973</c:v>
                </c:pt>
                <c:pt idx="288">
                  <c:v>5011.3387215282883</c:v>
                </c:pt>
                <c:pt idx="289">
                  <c:v>220.00999265246142</c:v>
                </c:pt>
                <c:pt idx="290">
                  <c:v>690.58692138133722</c:v>
                </c:pt>
                <c:pt idx="291">
                  <c:v>1323.1156502571639</c:v>
                </c:pt>
                <c:pt idx="292">
                  <c:v>1595.0724467303455</c:v>
                </c:pt>
                <c:pt idx="293">
                  <c:v>3.0556943423952974</c:v>
                </c:pt>
                <c:pt idx="294">
                  <c:v>23852.750036737692</c:v>
                </c:pt>
                <c:pt idx="295">
                  <c:v>42.779720793534167</c:v>
                </c:pt>
                <c:pt idx="296">
                  <c:v>119.17207935341661</c:v>
                </c:pt>
                <c:pt idx="297">
                  <c:v>48.891109478324758</c:v>
                </c:pt>
                <c:pt idx="298">
                  <c:v>983.93357825128578</c:v>
                </c:pt>
                <c:pt idx="299">
                  <c:v>12.222777369581189</c:v>
                </c:pt>
                <c:pt idx="300">
                  <c:v>1908.2711426726921</c:v>
                </c:pt>
                <c:pt idx="301">
                  <c:v>597.70561652679146</c:v>
                </c:pt>
                <c:pt idx="302">
                  <c:v>367.3970303421562</c:v>
                </c:pt>
                <c:pt idx="303">
                  <c:v>460.61717236927052</c:v>
                </c:pt>
                <c:pt idx="304">
                  <c:v>537.38670109748227</c:v>
                </c:pt>
                <c:pt idx="305">
                  <c:v>3476.5629438347323</c:v>
                </c:pt>
                <c:pt idx="306">
                  <c:v>570.28792769528729</c:v>
                </c:pt>
                <c:pt idx="307">
                  <c:v>76.769528728211753</c:v>
                </c:pt>
                <c:pt idx="308">
                  <c:v>740.27759845061337</c:v>
                </c:pt>
                <c:pt idx="309">
                  <c:v>2703.3841187863136</c:v>
                </c:pt>
                <c:pt idx="310">
                  <c:v>466.10071013557132</c:v>
                </c:pt>
                <c:pt idx="311">
                  <c:v>3750.739832149774</c:v>
                </c:pt>
                <c:pt idx="312">
                  <c:v>43.868302130406711</c:v>
                </c:pt>
                <c:pt idx="313">
                  <c:v>5.4835377663008389</c:v>
                </c:pt>
                <c:pt idx="314">
                  <c:v>16.450613298902518</c:v>
                </c:pt>
                <c:pt idx="315">
                  <c:v>1107.6746287927695</c:v>
                </c:pt>
                <c:pt idx="316">
                  <c:v>60.318915429309236</c:v>
                </c:pt>
                <c:pt idx="317">
                  <c:v>43.868302130406711</c:v>
                </c:pt>
                <c:pt idx="318">
                  <c:v>49.351839896707553</c:v>
                </c:pt>
                <c:pt idx="319">
                  <c:v>5.4835377663008389</c:v>
                </c:pt>
                <c:pt idx="320">
                  <c:v>1663.5507246376812</c:v>
                </c:pt>
                <c:pt idx="321">
                  <c:v>591.4847020933978</c:v>
                </c:pt>
                <c:pt idx="322">
                  <c:v>628.45249597423515</c:v>
                </c:pt>
                <c:pt idx="323">
                  <c:v>702.38808373590985</c:v>
                </c:pt>
                <c:pt idx="324">
                  <c:v>665.4202898550725</c:v>
                </c:pt>
                <c:pt idx="325">
                  <c:v>2292.0032206119163</c:v>
                </c:pt>
                <c:pt idx="326">
                  <c:v>1219.9371980676328</c:v>
                </c:pt>
                <c:pt idx="327">
                  <c:v>628.45249597423515</c:v>
                </c:pt>
                <c:pt idx="328">
                  <c:v>924.19484702093393</c:v>
                </c:pt>
                <c:pt idx="329">
                  <c:v>628.45249597423515</c:v>
                </c:pt>
                <c:pt idx="330">
                  <c:v>5877.8792270531403</c:v>
                </c:pt>
                <c:pt idx="331">
                  <c:v>850.25925925925924</c:v>
                </c:pt>
                <c:pt idx="332">
                  <c:v>184.83896940418677</c:v>
                </c:pt>
                <c:pt idx="333">
                  <c:v>517.54911433172299</c:v>
                </c:pt>
                <c:pt idx="334">
                  <c:v>628.45249597423515</c:v>
                </c:pt>
                <c:pt idx="335">
                  <c:v>110.90338164251207</c:v>
                </c:pt>
                <c:pt idx="336">
                  <c:v>2994.391304347826</c:v>
                </c:pt>
                <c:pt idx="337">
                  <c:v>73.935587761674725</c:v>
                </c:pt>
                <c:pt idx="338">
                  <c:v>1737.4863123993559</c:v>
                </c:pt>
                <c:pt idx="339">
                  <c:v>36.967793880837363</c:v>
                </c:pt>
                <c:pt idx="340">
                  <c:v>916.51768279453245</c:v>
                </c:pt>
                <c:pt idx="341">
                  <c:v>1497.7240182252117</c:v>
                </c:pt>
                <c:pt idx="342">
                  <c:v>324.13430245172486</c:v>
                </c:pt>
                <c:pt idx="343">
                  <c:v>279.42612280321111</c:v>
                </c:pt>
                <c:pt idx="344">
                  <c:v>659.44564981557824</c:v>
                </c:pt>
                <c:pt idx="345">
                  <c:v>2671.3137339986984</c:v>
                </c:pt>
                <c:pt idx="346">
                  <c:v>2078.9303536558909</c:v>
                </c:pt>
                <c:pt idx="347">
                  <c:v>212.36385333044043</c:v>
                </c:pt>
                <c:pt idx="348">
                  <c:v>860.63245823389025</c:v>
                </c:pt>
                <c:pt idx="349">
                  <c:v>245.89498806682579</c:v>
                </c:pt>
                <c:pt idx="350">
                  <c:v>134.12453894554133</c:v>
                </c:pt>
                <c:pt idx="351">
                  <c:v>15189.604035582555</c:v>
                </c:pt>
                <c:pt idx="352">
                  <c:v>2961.916901714038</c:v>
                </c:pt>
                <c:pt idx="353">
                  <c:v>11.177044912128444</c:v>
                </c:pt>
                <c:pt idx="354">
                  <c:v>78.239314384899103</c:v>
                </c:pt>
                <c:pt idx="355">
                  <c:v>190.00976350618356</c:v>
                </c:pt>
                <c:pt idx="356">
                  <c:v>11.177044912128444</c:v>
                </c:pt>
                <c:pt idx="357">
                  <c:v>16262.600347146885</c:v>
                </c:pt>
                <c:pt idx="358">
                  <c:v>67.062269472770666</c:v>
                </c:pt>
                <c:pt idx="359">
                  <c:v>6862.7055760468656</c:v>
                </c:pt>
                <c:pt idx="360">
                  <c:v>1651.9514843479267</c:v>
                </c:pt>
                <c:pt idx="361">
                  <c:v>1322.6773709137115</c:v>
                </c:pt>
                <c:pt idx="362">
                  <c:v>580.41538639251473</c:v>
                </c:pt>
                <c:pt idx="363">
                  <c:v>284.62677601940629</c:v>
                </c:pt>
                <c:pt idx="364">
                  <c:v>301.36952754995957</c:v>
                </c:pt>
                <c:pt idx="365">
                  <c:v>2048.196603904355</c:v>
                </c:pt>
                <c:pt idx="366">
                  <c:v>1021.3078433637519</c:v>
                </c:pt>
                <c:pt idx="367">
                  <c:v>284.62677601940629</c:v>
                </c:pt>
                <c:pt idx="368">
                  <c:v>1155.2498556081784</c:v>
                </c:pt>
                <c:pt idx="369">
                  <c:v>111.61834353702206</c:v>
                </c:pt>
                <c:pt idx="370">
                  <c:v>10458.638789418967</c:v>
                </c:pt>
                <c:pt idx="371">
                  <c:v>1780.3125794155017</c:v>
                </c:pt>
                <c:pt idx="372">
                  <c:v>373.92145084902387</c:v>
                </c:pt>
                <c:pt idx="373">
                  <c:v>234.39852142774632</c:v>
                </c:pt>
                <c:pt idx="374">
                  <c:v>2450.0226406376341</c:v>
                </c:pt>
                <c:pt idx="375">
                  <c:v>22.323668707404412</c:v>
                </c:pt>
                <c:pt idx="376">
                  <c:v>1333.8392052674137</c:v>
                </c:pt>
                <c:pt idx="377">
                  <c:v>16.74275153055331</c:v>
                </c:pt>
                <c:pt idx="378">
                  <c:v>22876.179507912671</c:v>
                </c:pt>
                <c:pt idx="379">
                  <c:v>5.580917176851103</c:v>
                </c:pt>
                <c:pt idx="380">
                  <c:v>172.67421874999999</c:v>
                </c:pt>
                <c:pt idx="381">
                  <c:v>428.03750000000002</c:v>
                </c:pt>
                <c:pt idx="382">
                  <c:v>19.456250000000001</c:v>
                </c:pt>
                <c:pt idx="383">
                  <c:v>53.504687500000003</c:v>
                </c:pt>
                <c:pt idx="384">
                  <c:v>143.48984375000001</c:v>
                </c:pt>
                <c:pt idx="385">
                  <c:v>340.484375</c:v>
                </c:pt>
                <c:pt idx="386">
                  <c:v>342.91640624999997</c:v>
                </c:pt>
                <c:pt idx="387">
                  <c:v>4.8640625000000002</c:v>
                </c:pt>
                <c:pt idx="388">
                  <c:v>141.05781249999998</c:v>
                </c:pt>
                <c:pt idx="389">
                  <c:v>158.08203125</c:v>
                </c:pt>
                <c:pt idx="390">
                  <c:v>36.48046875</c:v>
                </c:pt>
                <c:pt idx="391">
                  <c:v>4460.3453124999996</c:v>
                </c:pt>
                <c:pt idx="392">
                  <c:v>437.765625</c:v>
                </c:pt>
                <c:pt idx="393">
                  <c:v>2.4320312500000001</c:v>
                </c:pt>
                <c:pt idx="394">
                  <c:v>24.3203125</c:v>
                </c:pt>
                <c:pt idx="395">
                  <c:v>53.504687500000003</c:v>
                </c:pt>
                <c:pt idx="396">
                  <c:v>12.16015625</c:v>
                </c:pt>
                <c:pt idx="397">
                  <c:v>3779.3765624999996</c:v>
                </c:pt>
                <c:pt idx="398">
                  <c:v>2.4320312500000001</c:v>
                </c:pt>
                <c:pt idx="399">
                  <c:v>20516.615624999999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2168.9999999999995</c:v>
                </c:pt>
                <c:pt idx="1">
                  <c:v>615.99999999999989</c:v>
                </c:pt>
                <c:pt idx="2">
                  <c:v>352.99999999999994</c:v>
                </c:pt>
                <c:pt idx="3">
                  <c:v>104.99999999999997</c:v>
                </c:pt>
                <c:pt idx="4">
                  <c:v>413.99999999999989</c:v>
                </c:pt>
                <c:pt idx="5">
                  <c:v>2946.9999999999995</c:v>
                </c:pt>
                <c:pt idx="6">
                  <c:v>1112.9999999999998</c:v>
                </c:pt>
                <c:pt idx="7">
                  <c:v>1.9999999999999996</c:v>
                </c:pt>
                <c:pt idx="8">
                  <c:v>361.99999999999994</c:v>
                </c:pt>
                <c:pt idx="9">
                  <c:v>187.99999999999997</c:v>
                </c:pt>
                <c:pt idx="10">
                  <c:v>113.99999999999997</c:v>
                </c:pt>
                <c:pt idx="11">
                  <c:v>910.99999999999977</c:v>
                </c:pt>
                <c:pt idx="12">
                  <c:v>205.99999999999994</c:v>
                </c:pt>
                <c:pt idx="13">
                  <c:v>14.999999999999996</c:v>
                </c:pt>
                <c:pt idx="14">
                  <c:v>148.99999999999997</c:v>
                </c:pt>
                <c:pt idx="15">
                  <c:v>7.9999999999999982</c:v>
                </c:pt>
                <c:pt idx="16">
                  <c:v>198.99999999999994</c:v>
                </c:pt>
                <c:pt idx="17">
                  <c:v>103.99999999999997</c:v>
                </c:pt>
                <c:pt idx="18">
                  <c:v>109.99999999999997</c:v>
                </c:pt>
                <c:pt idx="19">
                  <c:v>4.9999999999999991</c:v>
                </c:pt>
                <c:pt idx="20">
                  <c:v>1782.9999999999998</c:v>
                </c:pt>
                <c:pt idx="21">
                  <c:v>1443.9999999999998</c:v>
                </c:pt>
                <c:pt idx="22">
                  <c:v>459.99999999999994</c:v>
                </c:pt>
                <c:pt idx="23">
                  <c:v>127.99999999999999</c:v>
                </c:pt>
                <c:pt idx="24">
                  <c:v>398.99999999999994</c:v>
                </c:pt>
                <c:pt idx="25">
                  <c:v>3161.9999999999995</c:v>
                </c:pt>
                <c:pt idx="26">
                  <c:v>2732.9999999999995</c:v>
                </c:pt>
                <c:pt idx="27">
                  <c:v>7.9999999999999991</c:v>
                </c:pt>
                <c:pt idx="28">
                  <c:v>1033.9999999999998</c:v>
                </c:pt>
                <c:pt idx="29">
                  <c:v>193.99999999999997</c:v>
                </c:pt>
                <c:pt idx="30">
                  <c:v>187.99999999999997</c:v>
                </c:pt>
                <c:pt idx="31">
                  <c:v>1517.9999999999998</c:v>
                </c:pt>
                <c:pt idx="32">
                  <c:v>484.99999999999994</c:v>
                </c:pt>
                <c:pt idx="33">
                  <c:v>33.999999999999993</c:v>
                </c:pt>
                <c:pt idx="34">
                  <c:v>305.99999999999994</c:v>
                </c:pt>
                <c:pt idx="35">
                  <c:v>27.999999999999996</c:v>
                </c:pt>
                <c:pt idx="36">
                  <c:v>263.99999999999994</c:v>
                </c:pt>
                <c:pt idx="37">
                  <c:v>186.99999999999997</c:v>
                </c:pt>
                <c:pt idx="38">
                  <c:v>118.99999999999999</c:v>
                </c:pt>
                <c:pt idx="39">
                  <c:v>10.999999999999998</c:v>
                </c:pt>
                <c:pt idx="40">
                  <c:v>5159</c:v>
                </c:pt>
                <c:pt idx="41">
                  <c:v>2383</c:v>
                </c:pt>
                <c:pt idx="42">
                  <c:v>2724</c:v>
                </c:pt>
                <c:pt idx="43">
                  <c:v>445</c:v>
                </c:pt>
                <c:pt idx="44">
                  <c:v>1437</c:v>
                </c:pt>
                <c:pt idx="45">
                  <c:v>7895</c:v>
                </c:pt>
                <c:pt idx="46">
                  <c:v>4092</c:v>
                </c:pt>
                <c:pt idx="47">
                  <c:v>30</c:v>
                </c:pt>
                <c:pt idx="48">
                  <c:v>1721</c:v>
                </c:pt>
                <c:pt idx="49">
                  <c:v>590</c:v>
                </c:pt>
                <c:pt idx="50">
                  <c:v>885</c:v>
                </c:pt>
                <c:pt idx="51">
                  <c:v>3106</c:v>
                </c:pt>
                <c:pt idx="52">
                  <c:v>742</c:v>
                </c:pt>
                <c:pt idx="53">
                  <c:v>101</c:v>
                </c:pt>
                <c:pt idx="54">
                  <c:v>392</c:v>
                </c:pt>
                <c:pt idx="55">
                  <c:v>30</c:v>
                </c:pt>
                <c:pt idx="56">
                  <c:v>1419</c:v>
                </c:pt>
                <c:pt idx="57">
                  <c:v>499</c:v>
                </c:pt>
                <c:pt idx="58">
                  <c:v>565</c:v>
                </c:pt>
                <c:pt idx="59">
                  <c:v>25</c:v>
                </c:pt>
                <c:pt idx="60">
                  <c:v>1641</c:v>
                </c:pt>
                <c:pt idx="61">
                  <c:v>801</c:v>
                </c:pt>
                <c:pt idx="62">
                  <c:v>485</c:v>
                </c:pt>
                <c:pt idx="63">
                  <c:v>336</c:v>
                </c:pt>
                <c:pt idx="64">
                  <c:v>697</c:v>
                </c:pt>
                <c:pt idx="65">
                  <c:v>3273</c:v>
                </c:pt>
                <c:pt idx="66">
                  <c:v>1200</c:v>
                </c:pt>
                <c:pt idx="67">
                  <c:v>13</c:v>
                </c:pt>
                <c:pt idx="68">
                  <c:v>511</c:v>
                </c:pt>
                <c:pt idx="69">
                  <c:v>356</c:v>
                </c:pt>
                <c:pt idx="70">
                  <c:v>336</c:v>
                </c:pt>
                <c:pt idx="71">
                  <c:v>1139</c:v>
                </c:pt>
                <c:pt idx="72">
                  <c:v>216</c:v>
                </c:pt>
                <c:pt idx="73">
                  <c:v>55</c:v>
                </c:pt>
                <c:pt idx="74">
                  <c:v>155</c:v>
                </c:pt>
                <c:pt idx="75">
                  <c:v>49</c:v>
                </c:pt>
                <c:pt idx="76">
                  <c:v>464</c:v>
                </c:pt>
                <c:pt idx="77">
                  <c:v>176</c:v>
                </c:pt>
                <c:pt idx="78">
                  <c:v>180</c:v>
                </c:pt>
                <c:pt idx="79">
                  <c:v>15</c:v>
                </c:pt>
                <c:pt idx="80">
                  <c:v>1597</c:v>
                </c:pt>
                <c:pt idx="81">
                  <c:v>596</c:v>
                </c:pt>
                <c:pt idx="82">
                  <c:v>355</c:v>
                </c:pt>
                <c:pt idx="83">
                  <c:v>178</c:v>
                </c:pt>
                <c:pt idx="84">
                  <c:v>1037</c:v>
                </c:pt>
                <c:pt idx="85">
                  <c:v>4541</c:v>
                </c:pt>
                <c:pt idx="86">
                  <c:v>1157</c:v>
                </c:pt>
                <c:pt idx="87">
                  <c:v>7</c:v>
                </c:pt>
                <c:pt idx="88">
                  <c:v>353</c:v>
                </c:pt>
                <c:pt idx="89">
                  <c:v>462</c:v>
                </c:pt>
                <c:pt idx="90">
                  <c:v>177</c:v>
                </c:pt>
                <c:pt idx="91">
                  <c:v>1147</c:v>
                </c:pt>
                <c:pt idx="92">
                  <c:v>164</c:v>
                </c:pt>
                <c:pt idx="93">
                  <c:v>23</c:v>
                </c:pt>
                <c:pt idx="94">
                  <c:v>158</c:v>
                </c:pt>
                <c:pt idx="95">
                  <c:v>18</c:v>
                </c:pt>
                <c:pt idx="96">
                  <c:v>314</c:v>
                </c:pt>
                <c:pt idx="97">
                  <c:v>138</c:v>
                </c:pt>
                <c:pt idx="98">
                  <c:v>113</c:v>
                </c:pt>
                <c:pt idx="99">
                  <c:v>16</c:v>
                </c:pt>
                <c:pt idx="100">
                  <c:v>3447</c:v>
                </c:pt>
                <c:pt idx="101">
                  <c:v>1578</c:v>
                </c:pt>
                <c:pt idx="102">
                  <c:v>762</c:v>
                </c:pt>
                <c:pt idx="103">
                  <c:v>279</c:v>
                </c:pt>
                <c:pt idx="104">
                  <c:v>1374</c:v>
                </c:pt>
                <c:pt idx="105">
                  <c:v>13092</c:v>
                </c:pt>
                <c:pt idx="106">
                  <c:v>3592</c:v>
                </c:pt>
                <c:pt idx="107">
                  <c:v>15</c:v>
                </c:pt>
                <c:pt idx="108">
                  <c:v>1040</c:v>
                </c:pt>
                <c:pt idx="109">
                  <c:v>737</c:v>
                </c:pt>
                <c:pt idx="110">
                  <c:v>316</c:v>
                </c:pt>
                <c:pt idx="111">
                  <c:v>3735</c:v>
                </c:pt>
                <c:pt idx="112">
                  <c:v>569</c:v>
                </c:pt>
                <c:pt idx="113">
                  <c:v>62</c:v>
                </c:pt>
                <c:pt idx="114">
                  <c:v>264</c:v>
                </c:pt>
                <c:pt idx="115">
                  <c:v>38</c:v>
                </c:pt>
                <c:pt idx="116">
                  <c:v>550</c:v>
                </c:pt>
                <c:pt idx="117">
                  <c:v>505</c:v>
                </c:pt>
                <c:pt idx="118">
                  <c:v>196</c:v>
                </c:pt>
                <c:pt idx="119">
                  <c:v>43</c:v>
                </c:pt>
                <c:pt idx="120">
                  <c:v>5440.0000000000009</c:v>
                </c:pt>
                <c:pt idx="121">
                  <c:v>4266.0000000000009</c:v>
                </c:pt>
                <c:pt idx="122">
                  <c:v>1483.0000000000002</c:v>
                </c:pt>
                <c:pt idx="123">
                  <c:v>419.00000000000006</c:v>
                </c:pt>
                <c:pt idx="124">
                  <c:v>1511.0000000000002</c:v>
                </c:pt>
                <c:pt idx="125">
                  <c:v>10197.000000000002</c:v>
                </c:pt>
                <c:pt idx="126">
                  <c:v>29829.000000000004</c:v>
                </c:pt>
                <c:pt idx="127">
                  <c:v>24.000000000000004</c:v>
                </c:pt>
                <c:pt idx="128">
                  <c:v>6048.0000000000009</c:v>
                </c:pt>
                <c:pt idx="129">
                  <c:v>910.00000000000011</c:v>
                </c:pt>
                <c:pt idx="130">
                  <c:v>573.00000000000011</c:v>
                </c:pt>
                <c:pt idx="131">
                  <c:v>11081.000000000002</c:v>
                </c:pt>
                <c:pt idx="132">
                  <c:v>13719.000000000002</c:v>
                </c:pt>
                <c:pt idx="133">
                  <c:v>44.000000000000007</c:v>
                </c:pt>
                <c:pt idx="134">
                  <c:v>2024.0000000000002</c:v>
                </c:pt>
                <c:pt idx="135">
                  <c:v>55.000000000000007</c:v>
                </c:pt>
                <c:pt idx="136">
                  <c:v>995.00000000000011</c:v>
                </c:pt>
                <c:pt idx="137">
                  <c:v>2054.0000000000005</c:v>
                </c:pt>
                <c:pt idx="138">
                  <c:v>490.00000000000006</c:v>
                </c:pt>
                <c:pt idx="139">
                  <c:v>67.000000000000014</c:v>
                </c:pt>
                <c:pt idx="140">
                  <c:v>656</c:v>
                </c:pt>
                <c:pt idx="141">
                  <c:v>338</c:v>
                </c:pt>
                <c:pt idx="142">
                  <c:v>239</c:v>
                </c:pt>
                <c:pt idx="143">
                  <c:v>100</c:v>
                </c:pt>
                <c:pt idx="144">
                  <c:v>274</c:v>
                </c:pt>
                <c:pt idx="145">
                  <c:v>1161</c:v>
                </c:pt>
                <c:pt idx="146">
                  <c:v>483</c:v>
                </c:pt>
                <c:pt idx="147">
                  <c:v>16</c:v>
                </c:pt>
                <c:pt idx="148">
                  <c:v>223</c:v>
                </c:pt>
                <c:pt idx="149">
                  <c:v>94</c:v>
                </c:pt>
                <c:pt idx="150">
                  <c:v>220</c:v>
                </c:pt>
                <c:pt idx="151">
                  <c:v>359</c:v>
                </c:pt>
                <c:pt idx="152">
                  <c:v>130</c:v>
                </c:pt>
                <c:pt idx="153">
                  <c:v>33</c:v>
                </c:pt>
                <c:pt idx="154">
                  <c:v>55</c:v>
                </c:pt>
                <c:pt idx="155">
                  <c:v>5</c:v>
                </c:pt>
                <c:pt idx="156">
                  <c:v>412</c:v>
                </c:pt>
                <c:pt idx="157">
                  <c:v>41</c:v>
                </c:pt>
                <c:pt idx="158">
                  <c:v>129</c:v>
                </c:pt>
                <c:pt idx="159">
                  <c:v>0</c:v>
                </c:pt>
                <c:pt idx="160">
                  <c:v>5792</c:v>
                </c:pt>
                <c:pt idx="161">
                  <c:v>4224</c:v>
                </c:pt>
                <c:pt idx="162">
                  <c:v>1713</c:v>
                </c:pt>
                <c:pt idx="163">
                  <c:v>377</c:v>
                </c:pt>
                <c:pt idx="164">
                  <c:v>1719</c:v>
                </c:pt>
                <c:pt idx="165">
                  <c:v>9636</c:v>
                </c:pt>
                <c:pt idx="166">
                  <c:v>11514</c:v>
                </c:pt>
                <c:pt idx="167">
                  <c:v>34</c:v>
                </c:pt>
                <c:pt idx="168">
                  <c:v>10452</c:v>
                </c:pt>
                <c:pt idx="169">
                  <c:v>733</c:v>
                </c:pt>
                <c:pt idx="170">
                  <c:v>1404</c:v>
                </c:pt>
                <c:pt idx="171">
                  <c:v>5743</c:v>
                </c:pt>
                <c:pt idx="172">
                  <c:v>4283</c:v>
                </c:pt>
                <c:pt idx="173">
                  <c:v>108</c:v>
                </c:pt>
                <c:pt idx="174">
                  <c:v>5233</c:v>
                </c:pt>
                <c:pt idx="175">
                  <c:v>38</c:v>
                </c:pt>
                <c:pt idx="176">
                  <c:v>1670</c:v>
                </c:pt>
                <c:pt idx="177">
                  <c:v>786</c:v>
                </c:pt>
                <c:pt idx="178">
                  <c:v>1698</c:v>
                </c:pt>
                <c:pt idx="179">
                  <c:v>19</c:v>
                </c:pt>
                <c:pt idx="180">
                  <c:v>3391.9999999999991</c:v>
                </c:pt>
                <c:pt idx="181">
                  <c:v>1470.9999999999998</c:v>
                </c:pt>
                <c:pt idx="182">
                  <c:v>824.99999999999977</c:v>
                </c:pt>
                <c:pt idx="183">
                  <c:v>348.99999999999994</c:v>
                </c:pt>
                <c:pt idx="184">
                  <c:v>1675.9999999999995</c:v>
                </c:pt>
                <c:pt idx="185">
                  <c:v>8744.9999999999982</c:v>
                </c:pt>
                <c:pt idx="186">
                  <c:v>3066.9999999999995</c:v>
                </c:pt>
                <c:pt idx="187">
                  <c:v>9.9999999999999982</c:v>
                </c:pt>
                <c:pt idx="188">
                  <c:v>861.99999999999977</c:v>
                </c:pt>
                <c:pt idx="189">
                  <c:v>2033.9999999999995</c:v>
                </c:pt>
                <c:pt idx="190">
                  <c:v>285.99999999999994</c:v>
                </c:pt>
                <c:pt idx="191">
                  <c:v>3935.9999999999991</c:v>
                </c:pt>
                <c:pt idx="192">
                  <c:v>525.99999999999989</c:v>
                </c:pt>
                <c:pt idx="193">
                  <c:v>48.999999999999986</c:v>
                </c:pt>
                <c:pt idx="194">
                  <c:v>269.99999999999994</c:v>
                </c:pt>
                <c:pt idx="195">
                  <c:v>185.99999999999997</c:v>
                </c:pt>
                <c:pt idx="196">
                  <c:v>534.99999999999989</c:v>
                </c:pt>
                <c:pt idx="197">
                  <c:v>644.99999999999989</c:v>
                </c:pt>
                <c:pt idx="198">
                  <c:v>195.99999999999994</c:v>
                </c:pt>
                <c:pt idx="199">
                  <c:v>31.999999999999993</c:v>
                </c:pt>
                <c:pt idx="200">
                  <c:v>6381.9999999999991</c:v>
                </c:pt>
                <c:pt idx="201">
                  <c:v>3255.9999999999995</c:v>
                </c:pt>
                <c:pt idx="202">
                  <c:v>2865.9999999999995</c:v>
                </c:pt>
                <c:pt idx="203">
                  <c:v>808.99999999999989</c:v>
                </c:pt>
                <c:pt idx="204">
                  <c:v>2157.9999999999995</c:v>
                </c:pt>
                <c:pt idx="205">
                  <c:v>10077.999999999998</c:v>
                </c:pt>
                <c:pt idx="206">
                  <c:v>5139.9999999999991</c:v>
                </c:pt>
                <c:pt idx="207">
                  <c:v>102.99999999999999</c:v>
                </c:pt>
                <c:pt idx="208">
                  <c:v>4447.9999999999991</c:v>
                </c:pt>
                <c:pt idx="209">
                  <c:v>769.99999999999989</c:v>
                </c:pt>
                <c:pt idx="210">
                  <c:v>6024.9999999999991</c:v>
                </c:pt>
                <c:pt idx="211">
                  <c:v>3508.9999999999995</c:v>
                </c:pt>
                <c:pt idx="212">
                  <c:v>1171.9999999999998</c:v>
                </c:pt>
                <c:pt idx="213">
                  <c:v>347.99999999999994</c:v>
                </c:pt>
                <c:pt idx="214">
                  <c:v>1497.9999999999998</c:v>
                </c:pt>
                <c:pt idx="215">
                  <c:v>44.999999999999993</c:v>
                </c:pt>
                <c:pt idx="216">
                  <c:v>5871.9999999999991</c:v>
                </c:pt>
                <c:pt idx="217">
                  <c:v>489.99999999999994</c:v>
                </c:pt>
                <c:pt idx="218">
                  <c:v>5247.9999999999991</c:v>
                </c:pt>
                <c:pt idx="219">
                  <c:v>8.9999999999999982</c:v>
                </c:pt>
                <c:pt idx="220">
                  <c:v>9891</c:v>
                </c:pt>
                <c:pt idx="221">
                  <c:v>6034</c:v>
                </c:pt>
                <c:pt idx="222">
                  <c:v>2482</c:v>
                </c:pt>
                <c:pt idx="223">
                  <c:v>669</c:v>
                </c:pt>
                <c:pt idx="224">
                  <c:v>3192</c:v>
                </c:pt>
                <c:pt idx="225">
                  <c:v>22461</c:v>
                </c:pt>
                <c:pt idx="226">
                  <c:v>20857</c:v>
                </c:pt>
                <c:pt idx="227">
                  <c:v>42</c:v>
                </c:pt>
                <c:pt idx="228">
                  <c:v>4576</c:v>
                </c:pt>
                <c:pt idx="229">
                  <c:v>3579</c:v>
                </c:pt>
                <c:pt idx="230">
                  <c:v>948</c:v>
                </c:pt>
                <c:pt idx="231">
                  <c:v>33882</c:v>
                </c:pt>
                <c:pt idx="232">
                  <c:v>7880</c:v>
                </c:pt>
                <c:pt idx="233">
                  <c:v>103</c:v>
                </c:pt>
                <c:pt idx="234">
                  <c:v>1034</c:v>
                </c:pt>
                <c:pt idx="235">
                  <c:v>281</c:v>
                </c:pt>
                <c:pt idx="236">
                  <c:v>1363</c:v>
                </c:pt>
                <c:pt idx="237">
                  <c:v>10190</c:v>
                </c:pt>
                <c:pt idx="238">
                  <c:v>656</c:v>
                </c:pt>
                <c:pt idx="239">
                  <c:v>441</c:v>
                </c:pt>
                <c:pt idx="240">
                  <c:v>2279.9999999999995</c:v>
                </c:pt>
                <c:pt idx="241">
                  <c:v>1666.9999999999998</c:v>
                </c:pt>
                <c:pt idx="242">
                  <c:v>568.99999999999989</c:v>
                </c:pt>
                <c:pt idx="243">
                  <c:v>145.99999999999997</c:v>
                </c:pt>
                <c:pt idx="244">
                  <c:v>601.99999999999989</c:v>
                </c:pt>
                <c:pt idx="245">
                  <c:v>4387.9999999999991</c:v>
                </c:pt>
                <c:pt idx="246">
                  <c:v>17658.999999999996</c:v>
                </c:pt>
                <c:pt idx="247">
                  <c:v>9.9999999999999982</c:v>
                </c:pt>
                <c:pt idx="248">
                  <c:v>2683.9999999999995</c:v>
                </c:pt>
                <c:pt idx="249">
                  <c:v>411.99999999999994</c:v>
                </c:pt>
                <c:pt idx="250">
                  <c:v>306.99999999999994</c:v>
                </c:pt>
                <c:pt idx="251">
                  <c:v>6374.9999999999991</c:v>
                </c:pt>
                <c:pt idx="252">
                  <c:v>53443.999999999993</c:v>
                </c:pt>
                <c:pt idx="253">
                  <c:v>16.999999999999996</c:v>
                </c:pt>
                <c:pt idx="254">
                  <c:v>3554.9999999999995</c:v>
                </c:pt>
                <c:pt idx="255">
                  <c:v>14.999999999999998</c:v>
                </c:pt>
                <c:pt idx="256">
                  <c:v>522.99999999999989</c:v>
                </c:pt>
                <c:pt idx="257">
                  <c:v>5867.9999999999991</c:v>
                </c:pt>
                <c:pt idx="258">
                  <c:v>559.99999999999989</c:v>
                </c:pt>
                <c:pt idx="259">
                  <c:v>156.99999999999997</c:v>
                </c:pt>
                <c:pt idx="260">
                  <c:v>2109.9999999999995</c:v>
                </c:pt>
                <c:pt idx="261">
                  <c:v>996.99999999999966</c:v>
                </c:pt>
                <c:pt idx="262">
                  <c:v>889.99999999999966</c:v>
                </c:pt>
                <c:pt idx="263">
                  <c:v>287.99999999999994</c:v>
                </c:pt>
                <c:pt idx="264">
                  <c:v>811.99999999999966</c:v>
                </c:pt>
                <c:pt idx="265">
                  <c:v>3409.9999999999986</c:v>
                </c:pt>
                <c:pt idx="266">
                  <c:v>1640.9999999999993</c:v>
                </c:pt>
                <c:pt idx="267">
                  <c:v>47.999999999999979</c:v>
                </c:pt>
                <c:pt idx="268">
                  <c:v>883.99999999999966</c:v>
                </c:pt>
                <c:pt idx="269">
                  <c:v>277.99999999999994</c:v>
                </c:pt>
                <c:pt idx="270">
                  <c:v>1468.9999999999998</c:v>
                </c:pt>
                <c:pt idx="271">
                  <c:v>1236.9999999999998</c:v>
                </c:pt>
                <c:pt idx="272">
                  <c:v>302.99999999999994</c:v>
                </c:pt>
                <c:pt idx="273">
                  <c:v>3739.9999999999986</c:v>
                </c:pt>
                <c:pt idx="274">
                  <c:v>196.99999999999991</c:v>
                </c:pt>
                <c:pt idx="275">
                  <c:v>17.999999999999996</c:v>
                </c:pt>
                <c:pt idx="276">
                  <c:v>4610.9999999999991</c:v>
                </c:pt>
                <c:pt idx="277">
                  <c:v>186.99999999999997</c:v>
                </c:pt>
                <c:pt idx="278">
                  <c:v>1098.9999999999998</c:v>
                </c:pt>
                <c:pt idx="279">
                  <c:v>4.9999999999999991</c:v>
                </c:pt>
                <c:pt idx="280">
                  <c:v>1169</c:v>
                </c:pt>
                <c:pt idx="281">
                  <c:v>1038</c:v>
                </c:pt>
                <c:pt idx="282">
                  <c:v>344</c:v>
                </c:pt>
                <c:pt idx="283">
                  <c:v>101</c:v>
                </c:pt>
                <c:pt idx="284">
                  <c:v>369</c:v>
                </c:pt>
                <c:pt idx="285">
                  <c:v>2382</c:v>
                </c:pt>
                <c:pt idx="286">
                  <c:v>3825</c:v>
                </c:pt>
                <c:pt idx="287">
                  <c:v>7</c:v>
                </c:pt>
                <c:pt idx="288">
                  <c:v>2930</c:v>
                </c:pt>
                <c:pt idx="289">
                  <c:v>197</c:v>
                </c:pt>
                <c:pt idx="290">
                  <c:v>329</c:v>
                </c:pt>
                <c:pt idx="291">
                  <c:v>1625</c:v>
                </c:pt>
                <c:pt idx="292">
                  <c:v>8280</c:v>
                </c:pt>
                <c:pt idx="293">
                  <c:v>34</c:v>
                </c:pt>
                <c:pt idx="294">
                  <c:v>15153</c:v>
                </c:pt>
                <c:pt idx="295">
                  <c:v>9</c:v>
                </c:pt>
                <c:pt idx="296">
                  <c:v>449</c:v>
                </c:pt>
                <c:pt idx="297">
                  <c:v>465</c:v>
                </c:pt>
                <c:pt idx="298">
                  <c:v>2872</c:v>
                </c:pt>
                <c:pt idx="299">
                  <c:v>10</c:v>
                </c:pt>
                <c:pt idx="300">
                  <c:v>1635</c:v>
                </c:pt>
                <c:pt idx="301">
                  <c:v>787</c:v>
                </c:pt>
                <c:pt idx="302">
                  <c:v>429</c:v>
                </c:pt>
                <c:pt idx="303">
                  <c:v>136</c:v>
                </c:pt>
                <c:pt idx="304">
                  <c:v>815</c:v>
                </c:pt>
                <c:pt idx="305">
                  <c:v>3760</c:v>
                </c:pt>
                <c:pt idx="306">
                  <c:v>1288</c:v>
                </c:pt>
                <c:pt idx="307">
                  <c:v>4</c:v>
                </c:pt>
                <c:pt idx="308">
                  <c:v>401</c:v>
                </c:pt>
                <c:pt idx="309">
                  <c:v>1256</c:v>
                </c:pt>
                <c:pt idx="310">
                  <c:v>152</c:v>
                </c:pt>
                <c:pt idx="311">
                  <c:v>3358</c:v>
                </c:pt>
                <c:pt idx="312">
                  <c:v>443</c:v>
                </c:pt>
                <c:pt idx="313">
                  <c:v>25</c:v>
                </c:pt>
                <c:pt idx="314">
                  <c:v>95</c:v>
                </c:pt>
                <c:pt idx="315">
                  <c:v>396</c:v>
                </c:pt>
                <c:pt idx="316">
                  <c:v>287</c:v>
                </c:pt>
                <c:pt idx="317">
                  <c:v>1442</c:v>
                </c:pt>
                <c:pt idx="318">
                  <c:v>108</c:v>
                </c:pt>
                <c:pt idx="319">
                  <c:v>171</c:v>
                </c:pt>
                <c:pt idx="320">
                  <c:v>1781</c:v>
                </c:pt>
                <c:pt idx="321">
                  <c:v>831</c:v>
                </c:pt>
                <c:pt idx="322">
                  <c:v>802</c:v>
                </c:pt>
                <c:pt idx="323">
                  <c:v>213</c:v>
                </c:pt>
                <c:pt idx="324">
                  <c:v>602</c:v>
                </c:pt>
                <c:pt idx="325">
                  <c:v>2873</c:v>
                </c:pt>
                <c:pt idx="326">
                  <c:v>1420</c:v>
                </c:pt>
                <c:pt idx="327">
                  <c:v>31</c:v>
                </c:pt>
                <c:pt idx="328">
                  <c:v>978</c:v>
                </c:pt>
                <c:pt idx="329">
                  <c:v>213</c:v>
                </c:pt>
                <c:pt idx="330">
                  <c:v>1676</c:v>
                </c:pt>
                <c:pt idx="331">
                  <c:v>1053</c:v>
                </c:pt>
                <c:pt idx="332">
                  <c:v>324</c:v>
                </c:pt>
                <c:pt idx="333">
                  <c:v>843</c:v>
                </c:pt>
                <c:pt idx="334">
                  <c:v>407</c:v>
                </c:pt>
                <c:pt idx="335">
                  <c:v>17</c:v>
                </c:pt>
                <c:pt idx="336">
                  <c:v>4811</c:v>
                </c:pt>
                <c:pt idx="337">
                  <c:v>164</c:v>
                </c:pt>
                <c:pt idx="338">
                  <c:v>3916</c:v>
                </c:pt>
                <c:pt idx="339">
                  <c:v>2</c:v>
                </c:pt>
                <c:pt idx="340">
                  <c:v>1702</c:v>
                </c:pt>
                <c:pt idx="341">
                  <c:v>1052</c:v>
                </c:pt>
                <c:pt idx="342">
                  <c:v>427</c:v>
                </c:pt>
                <c:pt idx="343">
                  <c:v>104</c:v>
                </c:pt>
                <c:pt idx="344">
                  <c:v>533</c:v>
                </c:pt>
                <c:pt idx="345">
                  <c:v>3678</c:v>
                </c:pt>
                <c:pt idx="346">
                  <c:v>3897</c:v>
                </c:pt>
                <c:pt idx="347">
                  <c:v>3</c:v>
                </c:pt>
                <c:pt idx="348">
                  <c:v>847</c:v>
                </c:pt>
                <c:pt idx="349">
                  <c:v>775</c:v>
                </c:pt>
                <c:pt idx="350">
                  <c:v>161</c:v>
                </c:pt>
                <c:pt idx="351">
                  <c:v>11191</c:v>
                </c:pt>
                <c:pt idx="352">
                  <c:v>8543</c:v>
                </c:pt>
                <c:pt idx="353">
                  <c:v>21</c:v>
                </c:pt>
                <c:pt idx="354">
                  <c:v>459</c:v>
                </c:pt>
                <c:pt idx="355">
                  <c:v>66</c:v>
                </c:pt>
                <c:pt idx="356">
                  <c:v>336</c:v>
                </c:pt>
                <c:pt idx="357">
                  <c:v>16168</c:v>
                </c:pt>
                <c:pt idx="358">
                  <c:v>138</c:v>
                </c:pt>
                <c:pt idx="359">
                  <c:v>1414</c:v>
                </c:pt>
                <c:pt idx="360">
                  <c:v>2623</c:v>
                </c:pt>
                <c:pt idx="361">
                  <c:v>1099</c:v>
                </c:pt>
                <c:pt idx="362">
                  <c:v>971</c:v>
                </c:pt>
                <c:pt idx="363">
                  <c:v>211</c:v>
                </c:pt>
                <c:pt idx="364">
                  <c:v>754</c:v>
                </c:pt>
                <c:pt idx="365">
                  <c:v>3571</c:v>
                </c:pt>
                <c:pt idx="366">
                  <c:v>2216</c:v>
                </c:pt>
                <c:pt idx="367">
                  <c:v>34</c:v>
                </c:pt>
                <c:pt idx="368">
                  <c:v>1781</c:v>
                </c:pt>
                <c:pt idx="369">
                  <c:v>262</c:v>
                </c:pt>
                <c:pt idx="370">
                  <c:v>2582</c:v>
                </c:pt>
                <c:pt idx="371">
                  <c:v>1374</c:v>
                </c:pt>
                <c:pt idx="372">
                  <c:v>1208</c:v>
                </c:pt>
                <c:pt idx="373">
                  <c:v>338</c:v>
                </c:pt>
                <c:pt idx="374">
                  <c:v>3367</c:v>
                </c:pt>
                <c:pt idx="375">
                  <c:v>28</c:v>
                </c:pt>
                <c:pt idx="376">
                  <c:v>4306</c:v>
                </c:pt>
                <c:pt idx="377">
                  <c:v>244</c:v>
                </c:pt>
                <c:pt idx="378">
                  <c:v>21341</c:v>
                </c:pt>
                <c:pt idx="379">
                  <c:v>4</c:v>
                </c:pt>
                <c:pt idx="380">
                  <c:v>640</c:v>
                </c:pt>
                <c:pt idx="381">
                  <c:v>383</c:v>
                </c:pt>
                <c:pt idx="382">
                  <c:v>167</c:v>
                </c:pt>
                <c:pt idx="383">
                  <c:v>50</c:v>
                </c:pt>
                <c:pt idx="384">
                  <c:v>187</c:v>
                </c:pt>
                <c:pt idx="385">
                  <c:v>1461</c:v>
                </c:pt>
                <c:pt idx="386">
                  <c:v>900</c:v>
                </c:pt>
                <c:pt idx="387">
                  <c:v>4</c:v>
                </c:pt>
                <c:pt idx="388">
                  <c:v>262</c:v>
                </c:pt>
                <c:pt idx="389">
                  <c:v>271</c:v>
                </c:pt>
                <c:pt idx="390">
                  <c:v>66</c:v>
                </c:pt>
                <c:pt idx="391">
                  <c:v>4310</c:v>
                </c:pt>
                <c:pt idx="392">
                  <c:v>1461</c:v>
                </c:pt>
                <c:pt idx="393">
                  <c:v>8</c:v>
                </c:pt>
                <c:pt idx="394">
                  <c:v>80</c:v>
                </c:pt>
                <c:pt idx="395">
                  <c:v>69</c:v>
                </c:pt>
                <c:pt idx="396">
                  <c:v>106</c:v>
                </c:pt>
                <c:pt idx="397">
                  <c:v>7910</c:v>
                </c:pt>
                <c:pt idx="398">
                  <c:v>34</c:v>
                </c:pt>
                <c:pt idx="399">
                  <c:v>12761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2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orientation val="minMax"/>
          <c:max val="2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    <Relationship Id="rId2" Target="../charts/chart5.xml" Type="http://schemas.openxmlformats.org/officeDocument/2006/relationships/chart"/>
    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58</xdr:col>
      <xdr:colOff>542926</xdr:colOff>
      <xdr:row>24</xdr:row>
      <xdr:rowOff>104776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X101"/>
  <sheetViews>
    <sheetView workbookViewId="0">
      <selection activeCell="M9" sqref="M9:O14"/>
    </sheetView>
  </sheetViews>
  <sheetFormatPr defaultRowHeight="15" x14ac:dyDescent="0.25"/>
  <cols>
    <col min="1" max="1" customWidth="true" width="13.5703125" collapsed="true"/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1.5703125" collapsed="true"/>
    <col min="12" max="12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1</v>
      </c>
    </row>
    <row r="2" spans="1:23" x14ac:dyDescent="0.25">
      <c r="A2" t="s">
        <v>247</v>
      </c>
    </row>
    <row r="3" spans="1:23" x14ac:dyDescent="0.25">
      <c r="A3" t="s">
        <v>241</v>
      </c>
    </row>
    <row r="4" spans="1:23" x14ac:dyDescent="0.25">
      <c r="A4" t="s">
        <v>4</v>
      </c>
    </row>
    <row r="5" spans="1:23" x14ac:dyDescent="0.25">
      <c r="A5" t="s">
        <v>5</v>
      </c>
    </row>
    <row r="7" spans="1:23" x14ac:dyDescent="0.25">
      <c r="A7" t="s">
        <v>11</v>
      </c>
    </row>
    <row ht="15.75" r="9" spans="1:23" thickBot="1" x14ac:dyDescent="0.3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8" t="s">
        <v>251</v>
      </c>
      <c r="N9" s="26"/>
      <c r="O9" s="26"/>
    </row>
    <row r="10" spans="1:23" x14ac:dyDescent="0.2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9" t="s">
        <v>253</v>
      </c>
      <c r="M10" s="25"/>
      <c r="N10" s="29" t="s">
        <v>203</v>
      </c>
      <c r="O10" s="29" t="s">
        <v>253</v>
      </c>
    </row>
    <row r="11" spans="1:23" x14ac:dyDescent="0.25">
      <c r="A11">
        <v>0</v>
      </c>
      <c r="B11" s="58" t="n">
        <v>11664.870928503295</v>
      </c>
      <c r="C11" s="58" t="n">
        <v>2739.9002875738565</v>
      </c>
      <c r="D11" s="58" t="n">
        <v>736.5156933677908</v>
      </c>
      <c r="E11" s="58">
        <f>SUM(B11:D11)</f>
        <v>15141.286909444942</v>
      </c>
      <c r="F11" s="78">
        <f>IFERROR(E11/SUM($E$11:$E$100),0)</f>
        <v>1.9916259762426027E-2</v>
      </c>
      <c r="G11">
        <v>0</v>
      </c>
      <c r="H11" s="68" t="n">
        <v>11904.0</v>
      </c>
      <c r="I11" s="68" t="n">
        <v>1568.0</v>
      </c>
      <c r="J11" s="68" t="n">
        <v>947.0</v>
      </c>
      <c r="K11" s="58">
        <f>SUM(H11:J11)</f>
        <v>13497</v>
      </c>
      <c r="L11" s="78">
        <f>IFERROR(K11/SUM($K$11:$K$100),0)</f>
        <v>1.6128068598959926E-2</v>
      </c>
      <c r="M11" s="26" t="s">
        <v>8</v>
      </c>
      <c r="N11" s="65" t="n">
        <v>13.332632679976932</v>
      </c>
      <c r="O11" s="65" t="n">
        <v>14.14821907443328</v>
      </c>
    </row>
    <row r="12" spans="1:23" x14ac:dyDescent="0.25">
      <c r="A12">
        <v>1</v>
      </c>
      <c r="B12" s="58" t="n">
        <v>24285.934164562423</v>
      </c>
      <c r="C12" s="58" t="n">
        <v>6807.9750783199215</v>
      </c>
      <c r="D12" s="58" t="n">
        <v>4466.470950949163</v>
      </c>
      <c r="E12" s="58">
        <f ref="E12:E75" si="0" t="shared">SUM(B12:D12)</f>
        <v>35560.380193831508</v>
      </c>
      <c r="F12" s="78">
        <f ref="F12:F75" si="1" t="shared">IFERROR(E12/SUM($E$11:$E$100),0)</f>
        <v>4.6774740709073628E-2</v>
      </c>
      <c r="G12">
        <v>1</v>
      </c>
      <c r="H12" s="68" t="n">
        <v>28945.0</v>
      </c>
      <c r="I12" s="68" t="n">
        <v>4409.0</v>
      </c>
      <c r="J12" s="68" t="n">
        <v>2473.0</v>
      </c>
      <c r="K12" s="58">
        <f ref="K12:K75" si="2" t="shared">SUM(H12:J12)</f>
        <v>32763</v>
      </c>
      <c r="L12" s="78">
        <f ref="L12:L75" si="3" t="shared">IFERROR(K12/SUM($K$11:$K$100),0)</f>
        <v>3.9149730422147443E-2</v>
      </c>
      <c r="M12" s="26" t="s">
        <v>9</v>
      </c>
      <c r="N12" s="65" t="n">
        <v>9.629011211271344</v>
      </c>
      <c r="O12" s="65" t="n">
        <v>12.256852397113333</v>
      </c>
    </row>
    <row r="13" spans="1:23" x14ac:dyDescent="0.25">
      <c r="A13">
        <v>2</v>
      </c>
      <c r="B13" s="58" t="n">
        <v>34639.70139071102</v>
      </c>
      <c r="C13" s="58" t="n">
        <v>5184.661171546217</v>
      </c>
      <c r="D13" s="58" t="n">
        <v>967.0236273830906</v>
      </c>
      <c r="E13" s="58">
        <f si="0" t="shared"/>
        <v>40791.386189640332</v>
      </c>
      <c r="F13" s="78">
        <f si="1" t="shared"/>
        <v>5.3655402495249097E-2</v>
      </c>
      <c r="G13">
        <v>2</v>
      </c>
      <c r="H13" s="68" t="n">
        <v>32877.0</v>
      </c>
      <c r="I13" s="68" t="n">
        <v>5438.0</v>
      </c>
      <c r="J13" s="68" t="n">
        <v>3143.0</v>
      </c>
      <c r="K13" s="58">
        <f si="2" t="shared"/>
        <v>38561</v>
      </c>
      <c r="L13" s="78">
        <f si="3" t="shared"/>
        <v>4.6077976827776077E-2</v>
      </c>
      <c r="M13" s="27" t="s">
        <v>10</v>
      </c>
      <c r="N13" s="66" t="n">
        <v>8.687134567236335</v>
      </c>
      <c r="O13" s="66" t="n">
        <v>10.94699683827507</v>
      </c>
    </row>
    <row ht="15.75" r="14" spans="1:23" thickBot="1" x14ac:dyDescent="0.3">
      <c r="A14">
        <v>3</v>
      </c>
      <c r="B14" s="58" t="n">
        <v>37445.94210898328</v>
      </c>
      <c r="C14" s="58" t="n">
        <v>5668.239789450649</v>
      </c>
      <c r="D14" s="58" t="n">
        <v>3493.0188515165064</v>
      </c>
      <c r="E14" s="58">
        <f si="0" t="shared"/>
        <v>46607.20074995044</v>
      </c>
      <c r="F14" s="78">
        <f si="1" t="shared"/>
        <v>6.1305298716486586E-2</v>
      </c>
      <c r="G14">
        <v>3</v>
      </c>
      <c r="H14" s="68" t="n">
        <v>30155.0</v>
      </c>
      <c r="I14" s="68" t="n">
        <v>5714.0</v>
      </c>
      <c r="J14" s="68" t="n">
        <v>2780.0</v>
      </c>
      <c r="K14" s="58">
        <f si="2" t="shared"/>
        <v>35988</v>
      </c>
      <c r="L14" s="78">
        <f si="3" t="shared"/>
        <v>4.3003403181401043E-2</v>
      </c>
      <c r="M14" s="24" t="s">
        <v>3</v>
      </c>
      <c r="N14" s="67" t="n">
        <v>12.807650262767858</v>
      </c>
      <c r="O14" s="67" t="n">
        <v>13.812948778623548</v>
      </c>
      <c r="S14" s="8"/>
    </row>
    <row r="15" spans="1:23" x14ac:dyDescent="0.25">
      <c r="A15">
        <v>4</v>
      </c>
      <c r="B15" s="58" t="n">
        <v>36150.85627498398</v>
      </c>
      <c r="C15" s="58" t="n">
        <v>4116.236240221055</v>
      </c>
      <c r="D15" s="58" t="n">
        <v>2316.7792379255984</v>
      </c>
      <c r="E15" s="58">
        <f si="0" t="shared"/>
        <v>42583.871753130632</v>
      </c>
      <c r="F15" s="78">
        <f si="1" t="shared"/>
        <v>5.6013168272780356E-2</v>
      </c>
      <c r="G15">
        <v>4</v>
      </c>
      <c r="H15" s="68" t="n">
        <v>32276.0</v>
      </c>
      <c r="I15" s="68" t="n">
        <v>5358.0</v>
      </c>
      <c r="J15" s="68" t="n">
        <v>2578.0</v>
      </c>
      <c r="K15" s="58">
        <f si="2" t="shared"/>
        <v>37612</v>
      </c>
      <c r="L15" s="78">
        <f si="3" t="shared"/>
        <v>4.4943981339859287E-2</v>
      </c>
      <c r="W15" s="8"/>
    </row>
    <row r="16" spans="1:23" x14ac:dyDescent="0.25">
      <c r="A16">
        <v>5</v>
      </c>
      <c r="B16" s="58" t="n">
        <v>24877.76951771196</v>
      </c>
      <c r="C16" s="58" t="n">
        <v>3632.1715646259313</v>
      </c>
      <c r="D16" s="58" t="n">
        <v>3632.015397552455</v>
      </c>
      <c r="E16" s="58">
        <f si="0" t="shared"/>
        <v>32141.956479890348</v>
      </c>
      <c r="F16" s="78">
        <f si="1" t="shared"/>
        <v>4.2278279141964664E-2</v>
      </c>
      <c r="G16">
        <v>5</v>
      </c>
      <c r="H16" s="68" t="n">
        <v>33438.0</v>
      </c>
      <c r="I16" s="68" t="n">
        <v>5141.0</v>
      </c>
      <c r="J16" s="68" t="n">
        <v>2096.0</v>
      </c>
      <c r="K16" s="58">
        <f si="2" t="shared"/>
        <v>38960</v>
      </c>
      <c r="L16" s="78">
        <f si="3" t="shared"/>
        <v>4.6554756806362799E-2</v>
      </c>
      <c r="W16" s="8"/>
    </row>
    <row r="17" spans="1:23" x14ac:dyDescent="0.25">
      <c r="A17">
        <v>6</v>
      </c>
      <c r="B17" s="58" t="n">
        <v>33947.94673266964</v>
      </c>
      <c r="C17" s="58" t="n">
        <v>4529.986992042566</v>
      </c>
      <c r="D17" s="58" t="n">
        <v>1110.54295014488</v>
      </c>
      <c r="E17" s="58">
        <f si="0" t="shared"/>
        <v>39588.476674857084</v>
      </c>
      <c r="F17" s="78">
        <f si="1" t="shared"/>
        <v>5.2073142116035705E-2</v>
      </c>
      <c r="G17">
        <v>6</v>
      </c>
      <c r="H17" s="68" t="n">
        <v>32593.0</v>
      </c>
      <c r="I17" s="68" t="n">
        <v>4700.0</v>
      </c>
      <c r="J17" s="68" t="n">
        <v>1891.0</v>
      </c>
      <c r="K17" s="58">
        <f si="2" t="shared"/>
        <v>37877</v>
      </c>
      <c r="L17" s="78">
        <f si="3" t="shared"/>
        <v>4.5260639721627409E-2</v>
      </c>
      <c r="W17" s="8"/>
    </row>
    <row r="18" spans="1:23" x14ac:dyDescent="0.25">
      <c r="A18">
        <v>7</v>
      </c>
      <c r="B18" s="58" t="n">
        <v>30677.70436787681</v>
      </c>
      <c r="C18" s="58" t="n">
        <v>5766.76857628218</v>
      </c>
      <c r="D18" s="58" t="n">
        <v>920.1823563224287</v>
      </c>
      <c r="E18" s="58">
        <f si="0" t="shared"/>
        <v>37364.65530048142</v>
      </c>
      <c r="F18" s="78">
        <f si="1" t="shared"/>
        <v>4.914801399303096E-2</v>
      </c>
      <c r="G18">
        <v>7</v>
      </c>
      <c r="H18" s="68" t="n">
        <v>31103.0</v>
      </c>
      <c r="I18" s="68" t="n">
        <v>4260.0</v>
      </c>
      <c r="J18" s="68" t="n">
        <v>1804.0</v>
      </c>
      <c r="K18" s="58">
        <f si="2" t="shared"/>
        <v>36240</v>
      </c>
      <c r="L18" s="78">
        <f si="3" t="shared"/>
        <v>4.3304527378403179E-2</v>
      </c>
      <c r="W18" s="8"/>
    </row>
    <row r="19" spans="1:23" x14ac:dyDescent="0.25">
      <c r="A19">
        <v>8</v>
      </c>
      <c r="B19" s="58" t="n">
        <v>31201.872027541922</v>
      </c>
      <c r="C19" s="58" t="n">
        <v>3643.208146637272</v>
      </c>
      <c r="D19" s="58" t="n">
        <v>1621.8643769018408</v>
      </c>
      <c r="E19" s="58">
        <f si="0" t="shared"/>
        <v>36466.944551081033</v>
      </c>
      <c r="F19" s="78">
        <f si="1" t="shared"/>
        <v>4.7967200196719663E-2</v>
      </c>
      <c r="G19">
        <v>8</v>
      </c>
      <c r="H19" s="68" t="n">
        <v>30537.0</v>
      </c>
      <c r="I19" s="68" t="n">
        <v>3988.0</v>
      </c>
      <c r="J19" s="68" t="n">
        <v>1454.0</v>
      </c>
      <c r="K19" s="58">
        <f si="2" t="shared"/>
        <v>35029</v>
      </c>
      <c r="L19" s="78">
        <f si="3" t="shared"/>
        <v>4.1857458320587335E-2</v>
      </c>
      <c r="W19" s="8"/>
    </row>
    <row r="20" spans="1:23" x14ac:dyDescent="0.25">
      <c r="A20">
        <v>9</v>
      </c>
      <c r="B20" s="58" t="n">
        <v>28919.316388371142</v>
      </c>
      <c r="C20" s="58" t="n">
        <v>2287.6001074515575</v>
      </c>
      <c r="D20" s="58" t="n">
        <v>1015.2697490340429</v>
      </c>
      <c r="E20" s="58">
        <f si="0" t="shared"/>
        <v>32222.186244856744</v>
      </c>
      <c r="F20" s="78">
        <f si="1" t="shared"/>
        <v>4.2383810253640013E-2</v>
      </c>
      <c r="G20">
        <v>9</v>
      </c>
      <c r="H20" s="68" t="n">
        <v>29908.0</v>
      </c>
      <c r="I20" s="68" t="n">
        <v>3775.0</v>
      </c>
      <c r="J20" s="68" t="n">
        <v>1346.0</v>
      </c>
      <c r="K20" s="58">
        <f si="2" t="shared"/>
        <v>34733</v>
      </c>
      <c r="L20" s="78">
        <f si="3" t="shared"/>
        <v>4.1503756882838791E-2</v>
      </c>
      <c r="W20" s="8"/>
    </row>
    <row r="21" spans="1:23" x14ac:dyDescent="0.25">
      <c r="A21">
        <v>10</v>
      </c>
      <c r="B21" s="58" t="n">
        <v>29621.081882307124</v>
      </c>
      <c r="C21" s="58" t="n">
        <v>2324.511192761389</v>
      </c>
      <c r="D21" s="58" t="n">
        <v>1429.301569654235</v>
      </c>
      <c r="E21" s="58">
        <f si="0" t="shared"/>
        <v>33374.89464472275</v>
      </c>
      <c r="F21" s="78">
        <f si="1" t="shared"/>
        <v>4.3900038039254533E-2</v>
      </c>
      <c r="G21">
        <v>10</v>
      </c>
      <c r="H21" s="68" t="n">
        <v>30446.0</v>
      </c>
      <c r="I21" s="68" t="n">
        <v>3665.0</v>
      </c>
      <c r="J21" s="68" t="n">
        <v>1307.0</v>
      </c>
      <c r="K21" s="58">
        <f si="2" t="shared"/>
        <v>35678</v>
      </c>
      <c r="L21" s="78">
        <f si="3" t="shared"/>
        <v>4.2632972621596821E-2</v>
      </c>
      <c r="W21" s="8"/>
    </row>
    <row r="22" spans="1:23" x14ac:dyDescent="0.25">
      <c r="A22">
        <v>11</v>
      </c>
      <c r="B22" s="58" t="n">
        <v>34454.247792331866</v>
      </c>
      <c r="C22" s="58" t="n">
        <v>4788.373297723944</v>
      </c>
      <c r="D22" s="58" t="n">
        <v>943.4621508249895</v>
      </c>
      <c r="E22" s="58">
        <f si="0" t="shared"/>
        <v>40186.083240880798</v>
      </c>
      <c r="F22" s="78">
        <f si="1" t="shared"/>
        <v>5.2859210544422421E-2</v>
      </c>
      <c r="G22">
        <v>11</v>
      </c>
      <c r="H22" s="68" t="n">
        <v>30221.0</v>
      </c>
      <c r="I22" s="68" t="n">
        <v>3636.0</v>
      </c>
      <c r="J22" s="68" t="n">
        <v>1290.0</v>
      </c>
      <c r="K22" s="58">
        <f si="2" t="shared"/>
        <v>36309</v>
      </c>
      <c r="L22" s="78">
        <f si="3" t="shared"/>
        <v>4.3386978051391863E-2</v>
      </c>
      <c r="W22" s="8"/>
    </row>
    <row r="23" spans="1:23" x14ac:dyDescent="0.25">
      <c r="A23">
        <v>12</v>
      </c>
      <c r="B23" s="58" t="n">
        <v>23690.10345583859</v>
      </c>
      <c r="C23" s="58" t="n">
        <v>2434.6553783373593</v>
      </c>
      <c r="D23" s="58" t="n">
        <v>1394.460441642293</v>
      </c>
      <c r="E23" s="58">
        <f si="0" t="shared"/>
        <v>27519.219275818243</v>
      </c>
      <c r="F23" s="78">
        <f si="1" t="shared"/>
        <v>3.6197710461088509E-2</v>
      </c>
      <c r="G23">
        <v>12</v>
      </c>
      <c r="H23" s="68" t="n">
        <v>29845.0</v>
      </c>
      <c r="I23" s="68" t="n">
        <v>3534.0</v>
      </c>
      <c r="J23" s="68" t="n">
        <v>1278.0</v>
      </c>
      <c r="K23" s="58">
        <f si="2" t="shared"/>
        <v>35835</v>
      </c>
      <c r="L23" s="78">
        <f si="3" t="shared"/>
        <v>4.2820577776078311E-2</v>
      </c>
      <c r="W23" s="8"/>
    </row>
    <row r="24" spans="1:23" x14ac:dyDescent="0.25">
      <c r="A24">
        <v>13</v>
      </c>
      <c r="B24" s="58" t="n">
        <v>22597.315929995875</v>
      </c>
      <c r="C24" s="58" t="n">
        <v>2035.771002876403</v>
      </c>
      <c r="D24" s="58" t="n">
        <v>192.957493139601</v>
      </c>
      <c r="E24" s="58">
        <f si="0" t="shared"/>
        <v>24826.044426011878</v>
      </c>
      <c r="F24" s="78">
        <f si="1" t="shared"/>
        <v>3.2655213035660449E-2</v>
      </c>
      <c r="G24">
        <v>13</v>
      </c>
      <c r="H24" s="68" t="n">
        <v>25575.0</v>
      </c>
      <c r="I24" s="68" t="n">
        <v>2943.0</v>
      </c>
      <c r="J24" s="68" t="n">
        <v>956.0</v>
      </c>
      <c r="K24" s="58">
        <f si="2" t="shared"/>
        <v>29214</v>
      </c>
      <c r="L24" s="78">
        <f si="3" t="shared"/>
        <v>3.4908897981033957E-2</v>
      </c>
      <c r="W24" s="8"/>
    </row>
    <row r="25" spans="1:23" x14ac:dyDescent="0.25">
      <c r="A25">
        <v>14</v>
      </c>
      <c r="B25" s="58" t="n">
        <v>26034.957494758146</v>
      </c>
      <c r="C25" s="58" t="n">
        <v>1033.7060148593262</v>
      </c>
      <c r="D25" s="58" t="n">
        <v>282.777412026379</v>
      </c>
      <c r="E25" s="58">
        <f si="0" t="shared"/>
        <v>27351.440921643851</v>
      </c>
      <c r="F25" s="78">
        <f si="1" t="shared"/>
        <v>3.5977021341053066E-2</v>
      </c>
      <c r="G25">
        <v>14</v>
      </c>
      <c r="H25" s="68" t="n">
        <v>25566.0</v>
      </c>
      <c r="I25" s="68" t="n">
        <v>2932.0</v>
      </c>
      <c r="J25" s="68" t="n">
        <v>947.0</v>
      </c>
      <c r="K25" s="58">
        <f si="2" t="shared"/>
        <v>29000</v>
      </c>
      <c r="L25" s="78">
        <f si="3" t="shared"/>
        <v>3.4653181401040074E-2</v>
      </c>
      <c r="W25" s="8"/>
    </row>
    <row r="26" spans="1:23" x14ac:dyDescent="0.25">
      <c r="A26">
        <v>15</v>
      </c>
      <c r="B26" s="58" t="n">
        <v>24065.686254512835</v>
      </c>
      <c r="C26" s="58" t="n">
        <v>1368.531865217689</v>
      </c>
      <c r="D26" s="58" t="n">
        <v>405.6750673484461</v>
      </c>
      <c r="E26" s="58">
        <f si="0" t="shared"/>
        <v>25839.893187078971</v>
      </c>
      <c r="F26" s="78">
        <f si="1" t="shared"/>
        <v>3.3988790254425812E-2</v>
      </c>
      <c r="G26">
        <v>15</v>
      </c>
      <c r="H26" s="68" t="n">
        <v>23431.0</v>
      </c>
      <c r="I26" s="68" t="n">
        <v>2604.0</v>
      </c>
      <c r="J26" s="68" t="n">
        <v>935.0</v>
      </c>
      <c r="K26" s="58">
        <f si="2" t="shared"/>
        <v>27005</v>
      </c>
      <c r="L26" s="78">
        <f si="3" t="shared"/>
        <v>3.2269281508106457E-2</v>
      </c>
      <c r="W26" s="8"/>
    </row>
    <row r="27" spans="1:23" x14ac:dyDescent="0.25">
      <c r="A27">
        <v>16</v>
      </c>
      <c r="B27" s="58" t="n">
        <v>16927.926993351208</v>
      </c>
      <c r="C27" s="58" t="n">
        <v>1319.3362136102091</v>
      </c>
      <c r="D27" s="58" t="n">
        <v>193.0711412451435</v>
      </c>
      <c r="E27" s="58">
        <f si="0" t="shared"/>
        <v>18440.334348206557</v>
      </c>
      <c r="F27" s="78">
        <f si="1" t="shared"/>
        <v>2.4255698421233617E-2</v>
      </c>
      <c r="G27">
        <v>16</v>
      </c>
      <c r="H27" s="68" t="n">
        <v>22168.0</v>
      </c>
      <c r="I27" s="68" t="n">
        <v>2382.0</v>
      </c>
      <c r="J27" s="68" t="n">
        <v>820.0</v>
      </c>
      <c r="K27" s="58">
        <f si="2" t="shared"/>
        <v>25976</v>
      </c>
      <c r="L27" s="78">
        <f si="3" t="shared"/>
        <v>3.1039691037014379E-2</v>
      </c>
      <c r="W27" s="8"/>
    </row>
    <row r="28" spans="1:23" x14ac:dyDescent="0.25">
      <c r="A28">
        <v>17</v>
      </c>
      <c r="B28" s="58" t="n">
        <v>15249.640035077633</v>
      </c>
      <c r="C28" s="58" t="n">
        <v>984.0188547097288</v>
      </c>
      <c r="D28" s="58" t="n">
        <v>51.7457464099323</v>
      </c>
      <c r="E28" s="58">
        <f si="0" t="shared"/>
        <v>16285.404636197294</v>
      </c>
      <c r="F28" s="78">
        <f si="1" t="shared"/>
        <v>2.1421187710827974E-2</v>
      </c>
      <c r="G28">
        <v>17</v>
      </c>
      <c r="H28" s="68" t="n">
        <v>20410.0</v>
      </c>
      <c r="I28" s="68" t="n">
        <v>2094.0</v>
      </c>
      <c r="J28" s="68" t="n">
        <v>789.0</v>
      </c>
      <c r="K28" s="58">
        <f si="2" t="shared"/>
        <v>23757</v>
      </c>
      <c r="L28" s="78">
        <f si="3" t="shared"/>
        <v>2.8388125191189967E-2</v>
      </c>
      <c r="W28" s="8"/>
    </row>
    <row r="29" spans="1:23" x14ac:dyDescent="0.25">
      <c r="A29">
        <v>18</v>
      </c>
      <c r="B29" s="58" t="n">
        <v>22399.287433088022</v>
      </c>
      <c r="C29" s="58" t="n">
        <v>923.9580722687971</v>
      </c>
      <c r="D29" s="58" t="n">
        <v>518.512623234738</v>
      </c>
      <c r="E29" s="58">
        <f si="0" t="shared"/>
        <v>23841.758128591558</v>
      </c>
      <c r="F29" s="78">
        <f si="1" t="shared"/>
        <v>3.1360521131513823E-2</v>
      </c>
      <c r="G29">
        <v>18</v>
      </c>
      <c r="H29" s="68" t="n">
        <v>18576.0</v>
      </c>
      <c r="I29" s="68" t="n">
        <v>1889.0</v>
      </c>
      <c r="J29" s="68" t="n">
        <v>672.0</v>
      </c>
      <c r="K29" s="58">
        <f si="2" t="shared"/>
        <v>22008</v>
      </c>
      <c r="L29" s="78">
        <f si="3" t="shared"/>
        <v>2.6298179871520343E-2</v>
      </c>
      <c r="W29" s="8"/>
    </row>
    <row r="30" spans="1:23" x14ac:dyDescent="0.25">
      <c r="A30">
        <v>19</v>
      </c>
      <c r="B30" s="58" t="n">
        <v>13083.853630390582</v>
      </c>
      <c r="C30" s="58" t="n">
        <v>1217.372202266415</v>
      </c>
      <c r="D30" s="58" t="n">
        <v>741.9850003219491</v>
      </c>
      <c r="E30" s="58">
        <f si="0" t="shared"/>
        <v>15043.210832978946</v>
      </c>
      <c r="F30" s="78">
        <f si="1" t="shared"/>
        <v>1.9787254306875359E-2</v>
      </c>
      <c r="G30">
        <v>19</v>
      </c>
      <c r="H30" s="68" t="n">
        <v>16753.0</v>
      </c>
      <c r="I30" s="68" t="n">
        <v>1662.0</v>
      </c>
      <c r="J30" s="68" t="n">
        <v>485.0</v>
      </c>
      <c r="K30" s="58">
        <f si="2" t="shared"/>
        <v>19397</v>
      </c>
      <c r="L30" s="78">
        <f si="3" t="shared"/>
        <v>2.3178198608137045E-2</v>
      </c>
      <c r="W30" s="8"/>
    </row>
    <row r="31" spans="1:23" x14ac:dyDescent="0.25">
      <c r="A31">
        <v>20</v>
      </c>
      <c r="B31" s="58" t="n">
        <v>11790.733273958029</v>
      </c>
      <c r="C31" s="58" t="n">
        <v>1646.7518442591575</v>
      </c>
      <c r="D31" s="58" t="n">
        <v>0.0</v>
      </c>
      <c r="E31" s="58">
        <f si="0" t="shared"/>
        <v>13437.485118217186</v>
      </c>
      <c r="F31" s="78">
        <f si="1" t="shared"/>
        <v>1.7675145168883022E-2</v>
      </c>
      <c r="G31">
        <v>20</v>
      </c>
      <c r="H31" s="68" t="n">
        <v>15707.0</v>
      </c>
      <c r="I31" s="68" t="n">
        <v>1569.0</v>
      </c>
      <c r="J31" s="68" t="n">
        <v>437.0</v>
      </c>
      <c r="K31" s="58">
        <f si="2" t="shared"/>
        <v>18337</v>
      </c>
      <c r="L31" s="78">
        <f si="3" t="shared"/>
        <v>2.1911565081064545E-2</v>
      </c>
      <c r="W31" s="8"/>
    </row>
    <row r="32" spans="1:23" x14ac:dyDescent="0.25">
      <c r="A32">
        <v>21</v>
      </c>
      <c r="B32" s="58" t="n">
        <v>12377.52020505571</v>
      </c>
      <c r="C32" s="58" t="n">
        <v>892.1614861270666</v>
      </c>
      <c r="D32" s="58" t="n">
        <v>337.494788327408</v>
      </c>
      <c r="E32" s="58">
        <f si="0" t="shared"/>
        <v>13607.176479510184</v>
      </c>
      <c r="F32" s="78">
        <f si="1" t="shared"/>
        <v>1.7898350584060967E-2</v>
      </c>
      <c r="G32">
        <v>21</v>
      </c>
      <c r="H32" s="68" t="n">
        <v>13483.0</v>
      </c>
      <c r="I32" s="68" t="n">
        <v>1320.0</v>
      </c>
      <c r="J32" s="68" t="n">
        <v>437.0</v>
      </c>
      <c r="K32" s="58">
        <f si="2" t="shared"/>
        <v>15961</v>
      </c>
      <c r="L32" s="78">
        <f si="3" t="shared"/>
        <v>1.9072394080758642E-2</v>
      </c>
      <c r="W32" s="8"/>
    </row>
    <row r="33" spans="1:23" x14ac:dyDescent="0.25">
      <c r="A33">
        <v>22</v>
      </c>
      <c r="B33" s="58" t="n">
        <v>9236.414727172385</v>
      </c>
      <c r="C33" s="58" t="n">
        <v>757.8605865920337</v>
      </c>
      <c r="D33" s="58" t="n">
        <v>0.0</v>
      </c>
      <c r="E33" s="58">
        <f si="0" t="shared"/>
        <v>9994.2753137644195</v>
      </c>
      <c r="F33" s="78">
        <f si="1" t="shared"/>
        <v>1.3146080942563086E-2</v>
      </c>
      <c r="G33">
        <v>22</v>
      </c>
      <c r="H33" s="68" t="n">
        <v>12349.0</v>
      </c>
      <c r="I33" s="68" t="n">
        <v>1181.0</v>
      </c>
      <c r="J33" s="68" t="n">
        <v>320.0</v>
      </c>
      <c r="K33" s="58">
        <f si="2" t="shared"/>
        <v>14409</v>
      </c>
      <c r="L33" s="78">
        <f si="3" t="shared"/>
        <v>1.7217851407158154E-2</v>
      </c>
      <c r="W33" s="8"/>
    </row>
    <row r="34" spans="1:23" x14ac:dyDescent="0.25">
      <c r="A34">
        <v>23</v>
      </c>
      <c r="B34" s="58" t="n">
        <v>10956.775829954882</v>
      </c>
      <c r="C34" s="58" t="n">
        <v>738.249065631634</v>
      </c>
      <c r="D34" s="58" t="n">
        <v>58.3956621527386</v>
      </c>
      <c r="E34" s="58">
        <f si="0" t="shared"/>
        <v>11753.420557739255</v>
      </c>
      <c r="F34" s="78">
        <f si="1" t="shared"/>
        <v>1.5459992160835054E-2</v>
      </c>
      <c r="G34">
        <v>23</v>
      </c>
      <c r="H34" s="68" t="n">
        <v>12122.0</v>
      </c>
      <c r="I34" s="68" t="n">
        <v>1162.0</v>
      </c>
      <c r="J34" s="68" t="n">
        <v>358.0</v>
      </c>
      <c r="K34" s="58">
        <f si="2" t="shared"/>
        <v>14039</v>
      </c>
      <c r="L34" s="78">
        <f si="3" t="shared"/>
        <v>1.6775724609972467E-2</v>
      </c>
      <c r="W34" s="8"/>
    </row>
    <row r="35" spans="1:23" x14ac:dyDescent="0.25">
      <c r="A35">
        <v>24</v>
      </c>
      <c r="B35" s="58" t="n">
        <v>10552.806929926435</v>
      </c>
      <c r="C35" s="58" t="n">
        <v>427.50695571735713</v>
      </c>
      <c r="D35" s="58" t="n">
        <v>337.456422616343</v>
      </c>
      <c r="E35" s="58">
        <f si="0" t="shared"/>
        <v>11317.770308260137</v>
      </c>
      <c r="F35" s="78">
        <f si="1" t="shared"/>
        <v>1.4886954770679035E-2</v>
      </c>
      <c r="G35">
        <v>24</v>
      </c>
      <c r="H35" s="68" t="n">
        <v>11745.0</v>
      </c>
      <c r="I35" s="68" t="n">
        <v>1144.0</v>
      </c>
      <c r="J35" s="68" t="n">
        <v>428.0</v>
      </c>
      <c r="K35" s="58">
        <f si="2" t="shared"/>
        <v>13224</v>
      </c>
      <c r="L35" s="78">
        <f si="3" t="shared"/>
        <v>1.5801850718874272E-2</v>
      </c>
      <c r="W35" s="8"/>
    </row>
    <row r="36" spans="1:23" x14ac:dyDescent="0.25">
      <c r="A36">
        <v>25</v>
      </c>
      <c r="B36" s="58" t="n">
        <v>8009.300174447333</v>
      </c>
      <c r="C36" s="58" t="n">
        <v>116.5038256990086</v>
      </c>
      <c r="D36" s="58" t="n">
        <v>0.0</v>
      </c>
      <c r="E36" s="58">
        <f si="0" t="shared"/>
        <v>8125.8040001463414</v>
      </c>
      <c r="F36" s="78">
        <f si="1" t="shared"/>
        <v>1.0688366465371187E-2</v>
      </c>
      <c r="G36">
        <v>25</v>
      </c>
      <c r="H36" s="68" t="n">
        <v>11276.0</v>
      </c>
      <c r="I36" s="68" t="n">
        <v>1053.0</v>
      </c>
      <c r="J36" s="68" t="n">
        <v>369.0</v>
      </c>
      <c r="K36" s="58">
        <f si="2" t="shared"/>
        <v>13236</v>
      </c>
      <c r="L36" s="78">
        <f si="3" t="shared"/>
        <v>1.5816189966350567E-2</v>
      </c>
      <c r="W36" s="8"/>
    </row>
    <row r="37" spans="1:23" x14ac:dyDescent="0.25">
      <c r="A37">
        <v>26</v>
      </c>
      <c r="B37" s="58" t="n">
        <v>8037.689158785224</v>
      </c>
      <c r="C37" s="58" t="n">
        <v>1059.954029477466</v>
      </c>
      <c r="D37" s="58" t="n">
        <v>0.0</v>
      </c>
      <c r="E37" s="58">
        <f si="0" t="shared"/>
        <v>9097.6431882626894</v>
      </c>
      <c r="F37" s="78">
        <f si="1" t="shared"/>
        <v>1.1966685926166606E-2</v>
      </c>
      <c r="G37">
        <v>26</v>
      </c>
      <c r="H37" s="68" t="n">
        <v>10413.0</v>
      </c>
      <c r="I37" s="68" t="n">
        <v>991.0</v>
      </c>
      <c r="J37" s="68" t="n">
        <v>317.0</v>
      </c>
      <c r="K37" s="58">
        <f si="2" t="shared"/>
        <v>12368</v>
      </c>
      <c r="L37" s="78">
        <f si="3" t="shared"/>
        <v>1.4778984398898746E-2</v>
      </c>
      <c r="W37" s="8"/>
    </row>
    <row r="38" spans="1:23" x14ac:dyDescent="0.25">
      <c r="A38">
        <v>27</v>
      </c>
      <c r="B38" s="58" t="n">
        <v>6208.902697302952</v>
      </c>
      <c r="C38" s="58" t="n">
        <v>544.3116446571861</v>
      </c>
      <c r="D38" s="58" t="n">
        <v>0.0</v>
      </c>
      <c r="E38" s="58">
        <f si="0" t="shared"/>
        <v>6753.214341960138</v>
      </c>
      <c r="F38" s="78">
        <f si="1" t="shared"/>
        <v>8.8829154265560109E-3</v>
      </c>
      <c r="G38">
        <v>27</v>
      </c>
      <c r="H38" s="68" t="n">
        <v>10219.0</v>
      </c>
      <c r="I38" s="68" t="n">
        <v>906.0</v>
      </c>
      <c r="J38" s="68" t="n">
        <v>308.0</v>
      </c>
      <c r="K38" s="58">
        <f si="2" t="shared"/>
        <v>11950</v>
      </c>
      <c r="L38" s="78">
        <f si="3" t="shared"/>
        <v>1.4279500611807893E-2</v>
      </c>
      <c r="W38" s="8"/>
    </row>
    <row r="39" spans="1:23" x14ac:dyDescent="0.25">
      <c r="A39">
        <v>28</v>
      </c>
      <c r="B39" s="58" t="n">
        <v>7885.060285918571</v>
      </c>
      <c r="C39" s="58" t="n">
        <v>87.9364666509702</v>
      </c>
      <c r="D39" s="58" t="n">
        <v>276.4772046450116</v>
      </c>
      <c r="E39" s="58">
        <f si="0" t="shared"/>
        <v>8249.4739572145518</v>
      </c>
      <c r="F39" s="78">
        <f si="1" t="shared"/>
        <v>1.0851037115792727E-2</v>
      </c>
      <c r="G39">
        <v>28</v>
      </c>
      <c r="H39" s="68" t="n">
        <v>9033.0</v>
      </c>
      <c r="I39" s="68" t="n">
        <v>840.0</v>
      </c>
      <c r="J39" s="68" t="n">
        <v>288.0</v>
      </c>
      <c r="K39" s="58">
        <f si="2" t="shared"/>
        <v>10877</v>
      </c>
      <c r="L39" s="78">
        <f si="3" t="shared"/>
        <v>1.299733289996941E-2</v>
      </c>
      <c r="W39" s="8"/>
    </row>
    <row r="40" spans="1:23" x14ac:dyDescent="0.25">
      <c r="A40">
        <v>29</v>
      </c>
      <c r="B40" s="58" t="n">
        <v>7104.5195220748255</v>
      </c>
      <c r="C40" s="58" t="n">
        <v>200.0761242961561</v>
      </c>
      <c r="D40" s="58" t="n">
        <v>0.0</v>
      </c>
      <c r="E40" s="58">
        <f si="0" t="shared"/>
        <v>7304.5956463709817</v>
      </c>
      <c r="F40" s="78">
        <f si="1" t="shared"/>
        <v>9.6081809441086567E-3</v>
      </c>
      <c r="G40">
        <v>29</v>
      </c>
      <c r="H40" s="68" t="n">
        <v>8827.0</v>
      </c>
      <c r="I40" s="68" t="n">
        <v>762.0</v>
      </c>
      <c r="J40" s="68" t="n">
        <v>280.0</v>
      </c>
      <c r="K40" s="58">
        <f si="2" t="shared"/>
        <v>10693</v>
      </c>
      <c r="L40" s="78">
        <f si="3" t="shared"/>
        <v>1.2777464438666258E-2</v>
      </c>
      <c r="W40" s="8"/>
    </row>
    <row r="41" spans="1:23" x14ac:dyDescent="0.25">
      <c r="A41">
        <v>30</v>
      </c>
      <c r="B41" s="58" t="n">
        <v>5743.344970132374</v>
      </c>
      <c r="C41" s="58" t="n">
        <v>410.912636556146</v>
      </c>
      <c r="D41" s="58" t="n">
        <v>49.9281464489731</v>
      </c>
      <c r="E41" s="58">
        <f si="0" t="shared"/>
        <v>6204.1857531374935</v>
      </c>
      <c r="F41" s="78">
        <f si="1" t="shared"/>
        <v>8.1607445795608916E-3</v>
      </c>
      <c r="G41">
        <v>30</v>
      </c>
      <c r="H41" s="68" t="n">
        <v>8681.0</v>
      </c>
      <c r="I41" s="68" t="n">
        <v>776.0</v>
      </c>
      <c r="J41" s="68" t="n">
        <v>321.0</v>
      </c>
      <c r="K41" s="58">
        <f si="2" t="shared"/>
        <v>10045</v>
      </c>
      <c r="L41" s="78">
        <f si="3" t="shared"/>
        <v>1.2003145074946467E-2</v>
      </c>
      <c r="W41" s="8"/>
    </row>
    <row r="42" spans="1:23" x14ac:dyDescent="0.25">
      <c r="A42">
        <v>31</v>
      </c>
      <c r="B42" s="58" t="n">
        <v>7085.684523219037</v>
      </c>
      <c r="C42" s="58" t="n">
        <v>168.5238592874577</v>
      </c>
      <c r="D42" s="58" t="n">
        <v>0.0</v>
      </c>
      <c r="E42" s="58">
        <f si="0" t="shared"/>
        <v>7254.2083825064947</v>
      </c>
      <c r="F42" s="78">
        <f si="1" t="shared"/>
        <v>9.5419034974262972E-3</v>
      </c>
      <c r="G42">
        <v>31</v>
      </c>
      <c r="H42" s="68" t="n">
        <v>7281.0</v>
      </c>
      <c r="I42" s="68" t="n">
        <v>611.0</v>
      </c>
      <c r="J42" s="68" t="n">
        <v>265.0</v>
      </c>
      <c r="K42" s="58">
        <f si="2" t="shared"/>
        <v>8502</v>
      </c>
      <c r="L42" s="78">
        <f si="3" t="shared"/>
        <v>1.0159356836953197E-2</v>
      </c>
      <c r="W42" s="8"/>
    </row>
    <row r="43" spans="1:23" x14ac:dyDescent="0.25">
      <c r="A43">
        <v>32</v>
      </c>
      <c r="B43" s="58" t="n">
        <v>3356.3138302213683</v>
      </c>
      <c r="C43" s="58" t="n">
        <v>198.79827030824842</v>
      </c>
      <c r="D43" s="58" t="n">
        <v>0.0</v>
      </c>
      <c r="E43" s="58">
        <f si="0" t="shared"/>
        <v>3555.1121005296168</v>
      </c>
      <c r="F43" s="78">
        <f si="1" t="shared"/>
        <v>4.6762561532682481E-3</v>
      </c>
      <c r="G43">
        <v>32</v>
      </c>
      <c r="H43" s="68" t="n">
        <v>6164.0</v>
      </c>
      <c r="I43" s="68" t="n">
        <v>531.0</v>
      </c>
      <c r="J43" s="68" t="n">
        <v>186.0</v>
      </c>
      <c r="K43" s="58">
        <f si="2" t="shared"/>
        <v>8024</v>
      </c>
      <c r="L43" s="78">
        <f si="3" t="shared"/>
        <v>9.5881768124808815E-3</v>
      </c>
      <c r="W43" s="8"/>
    </row>
    <row r="44" spans="1:23" x14ac:dyDescent="0.25">
      <c r="A44">
        <v>33</v>
      </c>
      <c r="B44" s="58" t="n">
        <v>2364.46522144446</v>
      </c>
      <c r="C44" s="58" t="n">
        <v>58.6319883200791</v>
      </c>
      <c r="D44" s="58" t="n">
        <v>1494.615555874743</v>
      </c>
      <c r="E44" s="58">
        <f si="0" t="shared"/>
        <v>3917.7127656392822</v>
      </c>
      <c r="F44" s="78">
        <f si="1" t="shared"/>
        <v>5.1532069619771017E-3</v>
      </c>
      <c r="G44">
        <v>33</v>
      </c>
      <c r="H44" s="68" t="n">
        <v>5463.0</v>
      </c>
      <c r="I44" s="68" t="n">
        <v>493.0</v>
      </c>
      <c r="J44" s="68" t="n">
        <v>151.0</v>
      </c>
      <c r="K44" s="58">
        <f si="2" t="shared"/>
        <v>7201</v>
      </c>
      <c r="L44" s="78">
        <f si="3" t="shared"/>
        <v>8.6047434230651573E-3</v>
      </c>
      <c r="W44" s="8"/>
    </row>
    <row r="45" spans="1:23" x14ac:dyDescent="0.25">
      <c r="A45">
        <v>34</v>
      </c>
      <c r="B45" s="58" t="n">
        <v>2939.041188553242</v>
      </c>
      <c r="C45" s="58" t="n">
        <v>261.8554145778288</v>
      </c>
      <c r="D45" s="58" t="n">
        <v>39.0833472025335</v>
      </c>
      <c r="E45" s="58">
        <f si="0" t="shared"/>
        <v>3239.9799503336044</v>
      </c>
      <c r="F45" s="78">
        <f si="1" t="shared"/>
        <v>4.2617435824192943E-3</v>
      </c>
      <c r="G45">
        <v>34</v>
      </c>
      <c r="H45" s="68" t="n">
        <v>4837.0</v>
      </c>
      <c r="I45" s="68" t="n">
        <v>448.0</v>
      </c>
      <c r="J45" s="68" t="n">
        <v>197.0</v>
      </c>
      <c r="K45" s="58">
        <f si="2" t="shared"/>
        <v>5555</v>
      </c>
      <c r="L45" s="78">
        <f si="3" t="shared"/>
        <v>6.6378766442337107E-3</v>
      </c>
      <c r="W45" s="8"/>
    </row>
    <row r="46" spans="1:23" x14ac:dyDescent="0.25">
      <c r="A46">
        <v>35</v>
      </c>
      <c r="B46" s="58" t="n">
        <v>2012.7476990088212</v>
      </c>
      <c r="C46" s="58" t="n">
        <v>154.088821013381</v>
      </c>
      <c r="D46" s="58" t="n">
        <v>0.0</v>
      </c>
      <c r="E46" s="58">
        <f si="0" t="shared"/>
        <v>2166.8365200222024</v>
      </c>
      <c r="F46" s="78">
        <f si="1" t="shared"/>
        <v>2.8501724624578457E-3</v>
      </c>
      <c r="G46">
        <v>35</v>
      </c>
      <c r="H46" s="68" t="n">
        <v>3682.0</v>
      </c>
      <c r="I46" s="68" t="n">
        <v>339.0</v>
      </c>
      <c r="J46" s="68" t="n">
        <v>152.0</v>
      </c>
      <c r="K46" s="58">
        <f si="2" t="shared"/>
        <v>5024</v>
      </c>
      <c r="L46" s="78">
        <f si="3" t="shared"/>
        <v>6.0033649434077701E-3</v>
      </c>
      <c r="W46" s="8"/>
    </row>
    <row r="47" spans="1:23" x14ac:dyDescent="0.25">
      <c r="A47">
        <v>36</v>
      </c>
      <c r="B47" s="58" t="n">
        <v>3720.5872016426533</v>
      </c>
      <c r="C47" s="58" t="n">
        <v>384.8816323577323</v>
      </c>
      <c r="D47" s="58" t="n">
        <v>0.0</v>
      </c>
      <c r="E47" s="58">
        <f si="0" t="shared"/>
        <v>4105.4688340003859</v>
      </c>
      <c r="F47" s="78">
        <f si="1" t="shared"/>
        <v>5.4001739900649834E-3</v>
      </c>
      <c r="G47">
        <v>36</v>
      </c>
      <c r="H47" s="68" t="n">
        <v>3116.0</v>
      </c>
      <c r="I47" s="68" t="n">
        <v>244.0</v>
      </c>
      <c r="J47" s="68" t="n">
        <v>113.0</v>
      </c>
      <c r="K47" s="58">
        <f si="2" t="shared"/>
        <v>3963</v>
      </c>
      <c r="L47" s="78">
        <f si="3" t="shared"/>
        <v>4.7355364790455795E-3</v>
      </c>
      <c r="W47" s="8"/>
    </row>
    <row r="48" spans="1:23" x14ac:dyDescent="0.25">
      <c r="A48">
        <v>37</v>
      </c>
      <c r="B48" s="58" t="n">
        <v>1078.5075801362025</v>
      </c>
      <c r="C48" s="58" t="n">
        <v>168.542453711817</v>
      </c>
      <c r="D48" s="58" t="n">
        <v>0.0</v>
      </c>
      <c r="E48" s="58">
        <f si="0" t="shared"/>
        <v>1247.0500338480194</v>
      </c>
      <c r="F48" s="78">
        <f si="1" t="shared"/>
        <v>1.6403211008019793E-3</v>
      </c>
      <c r="G48">
        <v>37</v>
      </c>
      <c r="H48" s="68" t="n">
        <v>2862.0</v>
      </c>
      <c r="I48" s="68" t="n">
        <v>188.0</v>
      </c>
      <c r="J48" s="68" t="n">
        <v>70.0</v>
      </c>
      <c r="K48" s="58">
        <f si="2" t="shared"/>
        <v>3482</v>
      </c>
      <c r="L48" s="78">
        <f si="3" t="shared"/>
        <v>4.1607716427041908E-3</v>
      </c>
      <c r="W48" s="8"/>
    </row>
    <row r="49" spans="1:23" x14ac:dyDescent="0.25">
      <c r="A49">
        <v>38</v>
      </c>
      <c r="B49" s="58" t="n">
        <v>1486.4625936553234</v>
      </c>
      <c r="C49" s="58" t="n">
        <v>0.0</v>
      </c>
      <c r="D49" s="58" t="n">
        <v>40.3603351609789</v>
      </c>
      <c r="E49" s="58">
        <f si="0" t="shared"/>
        <v>1526.8229288163022</v>
      </c>
      <c r="F49" s="78">
        <f si="1" t="shared"/>
        <v>2.0083234828979484E-3</v>
      </c>
      <c r="G49">
        <v>38</v>
      </c>
      <c r="H49" s="68" t="n">
        <v>2343.0</v>
      </c>
      <c r="I49" s="68" t="n">
        <v>248.0</v>
      </c>
      <c r="J49" s="68" t="n">
        <v>75.0</v>
      </c>
      <c r="K49" s="58">
        <f si="2" t="shared"/>
        <v>3200</v>
      </c>
      <c r="L49" s="78">
        <f si="3" t="shared"/>
        <v>3.8237993270113183E-3</v>
      </c>
      <c r="W49" s="8"/>
    </row>
    <row r="50" spans="1:23" x14ac:dyDescent="0.25">
      <c r="A50">
        <v>39</v>
      </c>
      <c r="B50" s="58" t="n">
        <v>1548.3533850416688</v>
      </c>
      <c r="C50" s="58" t="n">
        <v>0.0</v>
      </c>
      <c r="D50" s="58" t="n">
        <v>0.0</v>
      </c>
      <c r="E50" s="58">
        <f si="0" t="shared"/>
        <v>1548.3533850416688</v>
      </c>
      <c r="F50" s="78">
        <f si="1" t="shared"/>
        <v>2.0366438074220458E-3</v>
      </c>
      <c r="G50">
        <v>39</v>
      </c>
      <c r="H50" s="68" t="n">
        <v>2050.0</v>
      </c>
      <c r="I50" s="68" t="n">
        <v>189.0</v>
      </c>
      <c r="J50" s="68" t="n">
        <v>51.0</v>
      </c>
      <c r="K50" s="58">
        <f si="2" t="shared"/>
        <v>2707</v>
      </c>
      <c r="L50" s="78">
        <f si="3" t="shared"/>
        <v>3.2346952431936372E-3</v>
      </c>
      <c r="W50" s="8"/>
    </row>
    <row r="51" spans="1:23" x14ac:dyDescent="0.25">
      <c r="A51">
        <v>40</v>
      </c>
      <c r="B51" s="58" t="n">
        <v>2069.8578167243872</v>
      </c>
      <c r="C51" s="58" t="n">
        <v>0.0</v>
      </c>
      <c r="D51" s="58" t="n">
        <v>0.0</v>
      </c>
      <c r="E51" s="58">
        <f si="0" t="shared"/>
        <v>2069.8578167243872</v>
      </c>
      <c r="F51" s="78">
        <f si="1" t="shared"/>
        <v>2.7226104488817268E-3</v>
      </c>
      <c r="G51">
        <v>40</v>
      </c>
      <c r="H51" s="68" t="n">
        <v>1821.0</v>
      </c>
      <c r="I51" s="68" t="n">
        <v>172.0</v>
      </c>
      <c r="J51" s="68" t="n">
        <v>76.0</v>
      </c>
      <c r="K51" s="58">
        <f si="2" t="shared"/>
        <v>2197</v>
      </c>
      <c r="L51" s="78">
        <f si="3" t="shared"/>
        <v>2.6252772254512081E-3</v>
      </c>
      <c r="W51" s="8"/>
    </row>
    <row r="52" spans="1:23" x14ac:dyDescent="0.25">
      <c r="A52">
        <v>41</v>
      </c>
      <c r="B52" s="58" t="n">
        <v>1452.2239985570902</v>
      </c>
      <c r="C52" s="58" t="n">
        <v>0.0</v>
      </c>
      <c r="D52" s="58" t="n">
        <v>0.0</v>
      </c>
      <c r="E52" s="58">
        <f si="0" t="shared"/>
        <v>1452.2239985570902</v>
      </c>
      <c r="F52" s="78">
        <f si="1" t="shared"/>
        <v>1.910198952141267E-3</v>
      </c>
      <c r="G52">
        <v>41</v>
      </c>
      <c r="H52" s="68" t="n">
        <v>1487.0</v>
      </c>
      <c r="I52" s="68" t="n">
        <v>135.0</v>
      </c>
      <c r="J52" s="68" t="n">
        <v>38.0</v>
      </c>
      <c r="K52" s="58">
        <f si="2" t="shared"/>
        <v>2101</v>
      </c>
      <c r="L52" s="78">
        <f si="3" t="shared"/>
        <v>2.5105632456408687E-3</v>
      </c>
      <c r="W52" s="8"/>
    </row>
    <row r="53" spans="1:23" x14ac:dyDescent="0.25">
      <c r="A53">
        <v>42</v>
      </c>
      <c r="B53" s="58" t="n">
        <v>400.348298667581</v>
      </c>
      <c r="C53" s="58" t="n">
        <v>34.3759374919</v>
      </c>
      <c r="D53" s="58" t="n">
        <v>0.0</v>
      </c>
      <c r="E53" s="58">
        <f si="0" t="shared"/>
        <v>434.72423615948099</v>
      </c>
      <c r="F53" s="78">
        <f si="1" t="shared"/>
        <v>5.7181934825986701E-4</v>
      </c>
      <c r="G53">
        <v>42</v>
      </c>
      <c r="H53" s="68" t="n">
        <v>1376.0</v>
      </c>
      <c r="I53" s="68" t="n">
        <v>130.0</v>
      </c>
      <c r="J53" s="68" t="n">
        <v>33.0</v>
      </c>
      <c r="K53" s="58">
        <f si="2" t="shared"/>
        <v>2011</v>
      </c>
      <c r="L53" s="78">
        <f si="3" t="shared"/>
        <v>2.4030188895686755E-3</v>
      </c>
      <c r="W53" s="8"/>
    </row>
    <row r="54" spans="1:23" x14ac:dyDescent="0.25">
      <c r="A54">
        <v>43</v>
      </c>
      <c r="B54" s="58" t="n">
        <v>2124.223982776458</v>
      </c>
      <c r="C54" s="58" t="n">
        <v>89.2814452077962</v>
      </c>
      <c r="D54" s="58" t="n">
        <v>0.0</v>
      </c>
      <c r="E54" s="58">
        <f si="0" t="shared"/>
        <v>2213.5054279842543</v>
      </c>
      <c r="F54" s="78">
        <f si="1" t="shared"/>
        <v>2.9115589284405478E-3</v>
      </c>
      <c r="G54">
        <v>43</v>
      </c>
      <c r="H54" s="68" t="n">
        <v>1216.0</v>
      </c>
      <c r="I54" s="68" t="n">
        <v>112.0</v>
      </c>
      <c r="J54" s="68" t="n">
        <v>32.0</v>
      </c>
      <c r="K54" s="58">
        <f si="2" t="shared"/>
        <v>1673</v>
      </c>
      <c r="L54" s="78">
        <f si="3" t="shared"/>
        <v>1.9991300856531048E-3</v>
      </c>
      <c r="W54" s="8"/>
    </row>
    <row r="55" spans="1:23" x14ac:dyDescent="0.25">
      <c r="A55">
        <v>44</v>
      </c>
      <c r="B55" s="58" t="n">
        <v>773.258929954727</v>
      </c>
      <c r="C55" s="58" t="n">
        <v>0.0</v>
      </c>
      <c r="D55" s="58" t="n">
        <v>0.0</v>
      </c>
      <c r="E55" s="58">
        <f si="0" t="shared"/>
        <v>773.25892995472702</v>
      </c>
      <c r="F55" s="78">
        <f si="1" t="shared"/>
        <v>1.0171147145350866E-3</v>
      </c>
      <c r="G55">
        <v>44</v>
      </c>
      <c r="H55" s="68" t="n">
        <v>1010.0</v>
      </c>
      <c r="I55" s="68" t="n">
        <v>94.0</v>
      </c>
      <c r="J55" s="68" t="n">
        <v>35.0</v>
      </c>
      <c r="K55" s="58">
        <f si="2" t="shared"/>
        <v>1503</v>
      </c>
      <c r="L55" s="78">
        <f si="3" t="shared"/>
        <v>1.7959907464056286E-3</v>
      </c>
      <c r="W55" s="8"/>
    </row>
    <row r="56" spans="1:23" x14ac:dyDescent="0.25">
      <c r="A56">
        <v>45</v>
      </c>
      <c r="B56" s="58" t="n">
        <v>1158.9410592908507</v>
      </c>
      <c r="C56" s="58" t="n">
        <v>0.0</v>
      </c>
      <c r="D56" s="58" t="n">
        <v>0.0</v>
      </c>
      <c r="E56" s="58">
        <f si="0" t="shared"/>
        <v>1158.9410592908507</v>
      </c>
      <c r="F56" s="78">
        <f si="1" t="shared"/>
        <v>1.5244259833541397E-3</v>
      </c>
      <c r="G56">
        <v>45</v>
      </c>
      <c r="H56" s="68" t="n">
        <v>950.0</v>
      </c>
      <c r="I56" s="68" t="n">
        <v>80.0</v>
      </c>
      <c r="J56" s="68" t="n">
        <v>19.0</v>
      </c>
      <c r="K56" s="58">
        <f si="2" t="shared"/>
        <v>1214</v>
      </c>
      <c r="L56" s="78">
        <f si="3" t="shared"/>
        <v>1.450653869684919E-3</v>
      </c>
      <c r="W56" s="8"/>
    </row>
    <row r="57" spans="1:23" x14ac:dyDescent="0.25">
      <c r="A57">
        <v>46</v>
      </c>
      <c r="B57" s="58" t="n">
        <v>1412.9095582500338</v>
      </c>
      <c r="C57" s="58" t="n">
        <v>0.0</v>
      </c>
      <c r="D57" s="58" t="n">
        <v>0.0</v>
      </c>
      <c r="E57" s="58">
        <f si="0" t="shared"/>
        <v>1412.9095582500338</v>
      </c>
      <c r="F57" s="78">
        <f si="1" t="shared"/>
        <v>1.858486266802658E-3</v>
      </c>
      <c r="G57">
        <v>46</v>
      </c>
      <c r="H57" s="68" t="n">
        <v>880.0</v>
      </c>
      <c r="I57" s="68" t="n">
        <v>78.0</v>
      </c>
      <c r="J57" s="68" t="n">
        <v>24.0</v>
      </c>
      <c r="K57" s="58">
        <f si="2" t="shared"/>
        <v>1213</v>
      </c>
      <c r="L57" s="78">
        <f si="3" t="shared"/>
        <v>1.4494589323952279E-3</v>
      </c>
      <c r="W57" s="8"/>
    </row>
    <row r="58" spans="1:23" x14ac:dyDescent="0.25">
      <c r="A58">
        <v>47</v>
      </c>
      <c r="B58" s="58" t="n">
        <v>274.34896485761</v>
      </c>
      <c r="C58" s="58" t="n">
        <v>0.0</v>
      </c>
      <c r="D58" s="58" t="n">
        <v>0.0</v>
      </c>
      <c r="E58" s="58">
        <f si="0" t="shared"/>
        <v>274.34896485760999</v>
      </c>
      <c r="F58" s="78">
        <f si="1" t="shared"/>
        <v>3.6086795543438738E-4</v>
      </c>
      <c r="G58">
        <v>47</v>
      </c>
      <c r="H58" s="68" t="n">
        <v>752.0</v>
      </c>
      <c r="I58" s="68" t="n">
        <v>76.0</v>
      </c>
      <c r="J58" s="68" t="n">
        <v>16.0</v>
      </c>
      <c r="K58" s="58">
        <f si="2" t="shared"/>
        <v>1046</v>
      </c>
      <c r="L58" s="78">
        <f si="3" t="shared"/>
        <v>1.2499044050168248E-3</v>
      </c>
      <c r="W58" s="8"/>
    </row>
    <row r="59" spans="1:23" x14ac:dyDescent="0.25">
      <c r="A59">
        <v>48</v>
      </c>
      <c r="B59" s="58" t="n">
        <v>657.1108924453991</v>
      </c>
      <c r="C59" s="58" t="n">
        <v>0.0</v>
      </c>
      <c r="D59" s="58" t="n">
        <v>0.0</v>
      </c>
      <c r="E59" s="58">
        <f si="0" t="shared"/>
        <v>657.11089244539914</v>
      </c>
      <c r="F59" s="78">
        <f si="1" t="shared"/>
        <v>8.6433810447766749E-4</v>
      </c>
      <c r="G59">
        <v>48</v>
      </c>
      <c r="H59" s="68" t="n">
        <v>595.0</v>
      </c>
      <c r="I59" s="68" t="n">
        <v>58.0</v>
      </c>
      <c r="J59" s="68" t="n">
        <v>22.0</v>
      </c>
      <c r="K59" s="58">
        <f si="2" t="shared"/>
        <v>872</v>
      </c>
      <c r="L59" s="78">
        <f si="3" t="shared"/>
        <v>1.0419853166105844E-3</v>
      </c>
      <c r="W59" s="8"/>
    </row>
    <row r="60" spans="1:23" x14ac:dyDescent="0.25">
      <c r="A60">
        <v>49</v>
      </c>
      <c r="B60" s="58" t="n">
        <v>329.853387402041</v>
      </c>
      <c r="C60" s="58" t="n">
        <v>0.0</v>
      </c>
      <c r="D60" s="58" t="n">
        <v>0.0</v>
      </c>
      <c r="E60" s="58">
        <f si="0" t="shared"/>
        <v>329.85338740204099</v>
      </c>
      <c r="F60" s="78">
        <f si="1" t="shared"/>
        <v>4.3387631357261035E-4</v>
      </c>
      <c r="G60">
        <v>49</v>
      </c>
      <c r="H60" s="68" t="n">
        <v>481.0</v>
      </c>
      <c r="I60" s="68" t="n">
        <v>52.0</v>
      </c>
      <c r="J60" s="68" t="n">
        <v>9.0</v>
      </c>
      <c r="K60" s="58">
        <f si="2" t="shared"/>
        <v>662</v>
      </c>
      <c r="L60" s="78">
        <f si="3" t="shared"/>
        <v>7.9104848577546654E-4</v>
      </c>
      <c r="W60" s="8"/>
    </row>
    <row r="61" spans="1:23" x14ac:dyDescent="0.25">
      <c r="A61">
        <v>50</v>
      </c>
      <c r="B61" s="58" t="n">
        <v>463.602417826706</v>
      </c>
      <c r="C61" s="58" t="n">
        <v>0.0</v>
      </c>
      <c r="D61" s="58" t="n">
        <v>0.0</v>
      </c>
      <c r="E61" s="58">
        <f si="0" t="shared"/>
        <v>463.60241782670602</v>
      </c>
      <c r="F61" s="78">
        <f si="1" t="shared"/>
        <v>6.0980458498318768E-4</v>
      </c>
      <c r="G61">
        <v>50</v>
      </c>
      <c r="H61" s="68" t="n">
        <v>372.0</v>
      </c>
      <c r="I61" s="68" t="n">
        <v>46.0</v>
      </c>
      <c r="J61" s="68" t="n">
        <v>9.0</v>
      </c>
      <c r="K61" s="58">
        <f si="2" t="shared"/>
        <v>640</v>
      </c>
      <c r="L61" s="78">
        <f si="3" t="shared"/>
        <v>7.6475986540226369E-4</v>
      </c>
      <c r="W61" s="8"/>
    </row>
    <row r="62" spans="1:23" x14ac:dyDescent="0.25">
      <c r="A62">
        <v>51</v>
      </c>
      <c r="B62" s="58" t="n">
        <v>1043.32189076939</v>
      </c>
      <c r="C62" s="58" t="n">
        <v>52.7410147010353</v>
      </c>
      <c r="D62" s="58" t="n">
        <v>0.0</v>
      </c>
      <c r="E62" s="58">
        <f si="0" t="shared"/>
        <v>1096.0629054704252</v>
      </c>
      <c r="F62" s="78">
        <f si="1" t="shared"/>
        <v>1.4417185059541701E-3</v>
      </c>
      <c r="G62">
        <v>51</v>
      </c>
      <c r="H62" s="68" t="n">
        <v>382.0</v>
      </c>
      <c r="I62" s="68" t="n">
        <v>39.0</v>
      </c>
      <c r="J62" s="68" t="n">
        <v>10.0</v>
      </c>
      <c r="K62" s="58">
        <f si="2" t="shared"/>
        <v>552</v>
      </c>
      <c r="L62" s="78">
        <f si="3" t="shared"/>
        <v>6.5960538390945247E-4</v>
      </c>
      <c r="W62" s="8"/>
    </row>
    <row r="63" spans="1:23" x14ac:dyDescent="0.25">
      <c r="A63">
        <v>52</v>
      </c>
      <c r="B63" s="58" t="n">
        <v>1108.179405040038</v>
      </c>
      <c r="C63" s="58" t="n">
        <v>0.0</v>
      </c>
      <c r="D63" s="58" t="n">
        <v>0.0</v>
      </c>
      <c r="E63" s="58">
        <f si="0" t="shared"/>
        <v>1108.1794050400381</v>
      </c>
      <c r="F63" s="78">
        <f si="1" t="shared"/>
        <v>1.4576560781224383E-3</v>
      </c>
      <c r="G63">
        <v>52</v>
      </c>
      <c r="H63" s="68" t="n">
        <v>317.0</v>
      </c>
      <c r="I63" s="68" t="n">
        <v>33.0</v>
      </c>
      <c r="J63" s="68" t="n">
        <v>7.0</v>
      </c>
      <c r="K63" s="58">
        <f si="2" t="shared"/>
        <v>456</v>
      </c>
      <c r="L63" s="78">
        <f si="3" t="shared"/>
        <v>5.4489140409911283E-4</v>
      </c>
      <c r="W63" s="8"/>
    </row>
    <row r="64" spans="1:23" x14ac:dyDescent="0.25">
      <c r="A64">
        <v>53</v>
      </c>
      <c r="B64" s="58" t="n">
        <v>181.8857984292659</v>
      </c>
      <c r="C64" s="58" t="n">
        <v>0.0</v>
      </c>
      <c r="D64" s="58" t="n">
        <v>0.0</v>
      </c>
      <c r="E64" s="58">
        <f si="0" t="shared"/>
        <v>181.88579842926589</v>
      </c>
      <c r="F64" s="78">
        <f si="1" t="shared"/>
        <v>2.3924550338940212E-4</v>
      </c>
      <c r="G64">
        <v>53</v>
      </c>
      <c r="H64" s="68" t="n">
        <v>272.0</v>
      </c>
      <c r="I64" s="68" t="n">
        <v>28.0</v>
      </c>
      <c r="J64" s="68" t="n">
        <v>8.0</v>
      </c>
      <c r="K64" s="58">
        <f si="2" t="shared"/>
        <v>427</v>
      </c>
      <c r="L64" s="78">
        <f si="3" t="shared"/>
        <v>5.1023822269807275E-4</v>
      </c>
      <c r="W64" s="8"/>
    </row>
    <row r="65" spans="1:23" x14ac:dyDescent="0.25">
      <c r="A65">
        <v>54</v>
      </c>
      <c r="B65" s="58" t="n">
        <v>0.0</v>
      </c>
      <c r="C65" s="58" t="n">
        <v>0.0</v>
      </c>
      <c r="D65" s="58" t="n">
        <v>0.0</v>
      </c>
      <c r="E65" s="58">
        <f si="0" t="shared"/>
        <v>0</v>
      </c>
      <c r="F65" s="78">
        <f si="1" t="shared"/>
        <v>0</v>
      </c>
      <c r="G65">
        <v>54</v>
      </c>
      <c r="H65" s="68" t="n">
        <v>214.0</v>
      </c>
      <c r="I65" s="68" t="n">
        <v>20.0</v>
      </c>
      <c r="J65" s="68" t="n">
        <v>8.0</v>
      </c>
      <c r="K65" s="58">
        <f si="2" t="shared"/>
        <v>334</v>
      </c>
      <c r="L65" s="78">
        <f si="3" t="shared"/>
        <v>3.9910905475680638E-4</v>
      </c>
      <c r="W65" s="8"/>
    </row>
    <row r="66" spans="1:23" x14ac:dyDescent="0.25">
      <c r="A66">
        <v>55</v>
      </c>
      <c r="B66" s="58" t="n">
        <v>471.545064549243</v>
      </c>
      <c r="C66" s="58" t="n">
        <v>0.0</v>
      </c>
      <c r="D66" s="58" t="n">
        <v>0.0</v>
      </c>
      <c r="E66" s="58">
        <f si="0" t="shared"/>
        <v>471.54506454924302</v>
      </c>
      <c r="F66" s="78">
        <f si="1" t="shared"/>
        <v>6.2025203349092006E-4</v>
      </c>
      <c r="G66">
        <v>55</v>
      </c>
      <c r="H66" s="68" t="n">
        <v>186.0</v>
      </c>
      <c r="I66" s="68" t="n">
        <v>15.0</v>
      </c>
      <c r="J66" s="68" t="n">
        <v>11.0</v>
      </c>
      <c r="K66" s="58">
        <f si="2" t="shared"/>
        <v>385</v>
      </c>
      <c r="L66" s="78">
        <f si="3" t="shared"/>
        <v>4.6005085653104925E-4</v>
      </c>
      <c r="W66" s="8"/>
    </row>
    <row r="67" spans="1:23" x14ac:dyDescent="0.25">
      <c r="A67">
        <v>56</v>
      </c>
      <c r="B67" s="58" t="n">
        <v>292.92053866585</v>
      </c>
      <c r="C67" s="58" t="n">
        <v>0.0</v>
      </c>
      <c r="D67" s="58" t="n">
        <v>0.0</v>
      </c>
      <c r="E67" s="58">
        <f si="0" t="shared"/>
        <v>292.92053866585002</v>
      </c>
      <c r="F67" s="78">
        <f si="1" t="shared"/>
        <v>3.8529628113576829E-4</v>
      </c>
      <c r="G67">
        <v>56</v>
      </c>
      <c r="H67" s="68" t="n">
        <v>170.0</v>
      </c>
      <c r="I67" s="68" t="n">
        <v>20.0</v>
      </c>
      <c r="J67" s="68" t="n">
        <v>10.0</v>
      </c>
      <c r="K67" s="58">
        <f si="2" t="shared"/>
        <v>277</v>
      </c>
      <c r="L67" s="78">
        <f si="3" t="shared"/>
        <v>3.3099762924441723E-4</v>
      </c>
      <c r="W67" s="8"/>
    </row>
    <row r="68" spans="1:23" x14ac:dyDescent="0.25">
      <c r="A68">
        <v>57</v>
      </c>
      <c r="B68" s="58" t="n">
        <v>0.0</v>
      </c>
      <c r="C68" s="58" t="n">
        <v>0.0</v>
      </c>
      <c r="D68" s="58" t="n">
        <v>0.0</v>
      </c>
      <c r="E68" s="58">
        <f si="0" t="shared"/>
        <v>0</v>
      </c>
      <c r="F68" s="78">
        <f si="1" t="shared"/>
        <v>0</v>
      </c>
      <c r="G68">
        <v>57</v>
      </c>
      <c r="H68" s="68" t="n">
        <v>147.0</v>
      </c>
      <c r="I68" s="68" t="n">
        <v>12.0</v>
      </c>
      <c r="J68" s="68" t="n">
        <v>2.0</v>
      </c>
      <c r="K68" s="58">
        <f si="2" t="shared"/>
        <v>238</v>
      </c>
      <c r="L68" s="78">
        <f si="3" t="shared"/>
        <v>2.8439507494646679E-4</v>
      </c>
      <c r="W68" s="8"/>
    </row>
    <row r="69" spans="1:23" x14ac:dyDescent="0.25">
      <c r="A69">
        <v>58</v>
      </c>
      <c r="B69" s="58" t="n">
        <v>0.0</v>
      </c>
      <c r="C69" s="58" t="n">
        <v>0.0</v>
      </c>
      <c r="D69" s="58" t="n">
        <v>0.0</v>
      </c>
      <c r="E69" s="58">
        <f si="0" t="shared"/>
        <v>0</v>
      </c>
      <c r="F69" s="78">
        <f si="1" t="shared"/>
        <v>0</v>
      </c>
      <c r="G69">
        <v>58</v>
      </c>
      <c r="H69" s="68" t="n">
        <v>126.0</v>
      </c>
      <c r="I69" s="68" t="n">
        <v>10.0</v>
      </c>
      <c r="J69" s="68" t="n">
        <v>4.0</v>
      </c>
      <c r="K69" s="58">
        <f si="2" t="shared"/>
        <v>177</v>
      </c>
      <c r="L69" s="78">
        <f si="3" t="shared"/>
        <v>2.1150390027531356E-4</v>
      </c>
      <c r="W69" s="8"/>
    </row>
    <row r="70" spans="1:23" x14ac:dyDescent="0.25">
      <c r="A70">
        <v>59</v>
      </c>
      <c r="B70" s="58" t="n">
        <v>0.0</v>
      </c>
      <c r="C70" s="58" t="n">
        <v>43.2878375258177</v>
      </c>
      <c r="D70" s="58" t="n">
        <v>0.0</v>
      </c>
      <c r="E70" s="58">
        <f si="0" t="shared"/>
        <v>43.2878375258177</v>
      </c>
      <c r="F70" s="78">
        <f si="1" t="shared"/>
        <v>5.6939137463942496E-5</v>
      </c>
      <c r="G70">
        <v>59</v>
      </c>
      <c r="H70" s="68" t="n">
        <v>84.0</v>
      </c>
      <c r="I70" s="68" t="n">
        <v>10.0</v>
      </c>
      <c r="J70" s="68" t="n">
        <v>1.0</v>
      </c>
      <c r="K70" s="58">
        <f si="2" t="shared"/>
        <v>119</v>
      </c>
      <c r="L70" s="78">
        <f si="3" t="shared"/>
        <v>1.4219753747323339E-4</v>
      </c>
      <c r="W70" s="8"/>
    </row>
    <row r="71" spans="1:23" x14ac:dyDescent="0.25">
      <c r="A71">
        <v>60</v>
      </c>
      <c r="B71" s="58" t="n">
        <v>125.099167264476</v>
      </c>
      <c r="C71" s="58" t="n">
        <v>0.0</v>
      </c>
      <c r="D71" s="58" t="n">
        <v>0.0</v>
      </c>
      <c r="E71" s="58">
        <f si="0" t="shared"/>
        <v>125.09916726447599</v>
      </c>
      <c r="F71" s="78">
        <f si="1" t="shared"/>
        <v>1.6455057791344777E-4</v>
      </c>
      <c r="G71">
        <v>60</v>
      </c>
      <c r="H71" s="68" t="n">
        <v>81.0</v>
      </c>
      <c r="I71" s="68" t="n">
        <v>5.0</v>
      </c>
      <c r="J71" s="68" t="n">
        <v>0.0</v>
      </c>
      <c r="K71" s="58">
        <f si="2" t="shared"/>
        <v>106</v>
      </c>
      <c r="L71" s="78">
        <f si="3" t="shared"/>
        <v>1.2666335270724991E-4</v>
      </c>
      <c r="W71" s="8"/>
    </row>
    <row r="72" spans="1:23" x14ac:dyDescent="0.25">
      <c r="A72">
        <v>61</v>
      </c>
      <c r="B72" s="58" t="n">
        <v>0.0</v>
      </c>
      <c r="C72" s="58" t="n">
        <v>0.0</v>
      </c>
      <c r="D72" s="58" t="n">
        <v>0.0</v>
      </c>
      <c r="E72" s="58">
        <f si="0" t="shared"/>
        <v>0</v>
      </c>
      <c r="F72" s="78">
        <f si="1" t="shared"/>
        <v>0</v>
      </c>
      <c r="G72">
        <v>61</v>
      </c>
      <c r="H72" s="68" t="n">
        <v>58.0</v>
      </c>
      <c r="I72" s="68" t="n">
        <v>6.0</v>
      </c>
      <c r="J72" s="68" t="n">
        <v>3.0</v>
      </c>
      <c r="K72" s="58">
        <f si="2" t="shared"/>
        <v>71</v>
      </c>
      <c r="L72" s="78">
        <f si="3" t="shared"/>
        <v>8.4840547568063626E-5</v>
      </c>
      <c r="W72" s="8"/>
    </row>
    <row r="73" spans="1:23" x14ac:dyDescent="0.25">
      <c r="A73">
        <v>62</v>
      </c>
      <c r="B73" s="58" t="n">
        <v>0.0</v>
      </c>
      <c r="C73" s="58" t="n">
        <v>0.0</v>
      </c>
      <c r="D73" s="58" t="n">
        <v>0.0</v>
      </c>
      <c r="E73" s="58">
        <f si="0" t="shared"/>
        <v>0</v>
      </c>
      <c r="F73" s="78">
        <f si="1" t="shared"/>
        <v>0</v>
      </c>
      <c r="G73">
        <v>62</v>
      </c>
      <c r="H73" s="68" t="n">
        <v>55.0</v>
      </c>
      <c r="I73" s="68" t="n">
        <v>3.0</v>
      </c>
      <c r="J73" s="68" t="n">
        <v>3.0</v>
      </c>
      <c r="K73" s="58">
        <f si="2" t="shared"/>
        <v>64</v>
      </c>
      <c r="L73" s="78">
        <f si="3" t="shared"/>
        <v>7.6475986540226371E-5</v>
      </c>
      <c r="W73" s="8"/>
    </row>
    <row r="74" spans="1:23" x14ac:dyDescent="0.25">
      <c r="A74">
        <v>63</v>
      </c>
      <c r="B74" s="58" t="n">
        <v>104.975169832936</v>
      </c>
      <c r="C74" s="58" t="n">
        <v>0.0</v>
      </c>
      <c r="D74" s="58" t="n">
        <v>0.0</v>
      </c>
      <c r="E74" s="58">
        <f si="0" t="shared"/>
        <v>104.975169832936</v>
      </c>
      <c r="F74" s="78">
        <f si="1" t="shared"/>
        <v>1.3808025457158349E-4</v>
      </c>
      <c r="G74">
        <v>63</v>
      </c>
      <c r="H74" s="68" t="n">
        <v>33.0</v>
      </c>
      <c r="I74" s="68" t="n">
        <v>2.0</v>
      </c>
      <c r="J74" s="68" t="n">
        <v>1.0</v>
      </c>
      <c r="K74" s="58">
        <f si="2" t="shared"/>
        <v>50</v>
      </c>
      <c r="L74" s="78">
        <f si="3" t="shared"/>
        <v>5.9746864484551849E-5</v>
      </c>
      <c r="W74" s="8"/>
    </row>
    <row r="75" spans="1:23" x14ac:dyDescent="0.25">
      <c r="A75">
        <v>64</v>
      </c>
      <c r="B75" s="58" t="n">
        <v>0.0</v>
      </c>
      <c r="C75" s="58" t="n">
        <v>0.0</v>
      </c>
      <c r="D75" s="58" t="n">
        <v>0.0</v>
      </c>
      <c r="E75" s="58">
        <f si="0" t="shared"/>
        <v>0</v>
      </c>
      <c r="F75" s="78">
        <f si="1" t="shared"/>
        <v>0</v>
      </c>
      <c r="G75">
        <v>64</v>
      </c>
      <c r="H75" s="68" t="n">
        <v>15.0</v>
      </c>
      <c r="I75" s="68" t="n">
        <v>4.0</v>
      </c>
      <c r="J75" s="68" t="n">
        <v>0.0</v>
      </c>
      <c r="K75" s="58">
        <f si="2" t="shared"/>
        <v>46</v>
      </c>
      <c r="L75" s="78">
        <f si="3" t="shared"/>
        <v>5.4967115325787701E-5</v>
      </c>
      <c r="W75" s="8"/>
    </row>
    <row r="76" spans="1:23" x14ac:dyDescent="0.25">
      <c r="A76">
        <v>65</v>
      </c>
      <c r="B76" s="58" t="n">
        <v>0.0</v>
      </c>
      <c r="C76" s="58" t="n">
        <v>0.0</v>
      </c>
      <c r="D76" s="58" t="n">
        <v>0.0</v>
      </c>
      <c r="E76" s="58">
        <f ref="E76:E101" si="4" t="shared">SUM(B76:D76)</f>
        <v>0</v>
      </c>
      <c r="F76" s="78">
        <f ref="F76:F101" si="5" t="shared">IFERROR(E76/SUM($E$11:$E$100),0)</f>
        <v>0</v>
      </c>
      <c r="G76">
        <v>65</v>
      </c>
      <c r="H76" s="68" t="n">
        <v>14.0</v>
      </c>
      <c r="I76" s="68" t="n">
        <v>1.0</v>
      </c>
      <c r="J76" s="68" t="n">
        <v>1.0</v>
      </c>
      <c r="K76" s="58">
        <f ref="K76:K101" si="6" t="shared">SUM(H76:J76)</f>
        <v>17</v>
      </c>
      <c r="L76" s="78">
        <f ref="L76:L101" si="7" t="shared">IFERROR(K76/SUM($K$11:$K$100),0)</f>
        <v>2.031393392474763E-5</v>
      </c>
      <c r="W76" s="8"/>
    </row>
    <row r="77" spans="1:23" x14ac:dyDescent="0.25">
      <c r="A77">
        <v>66</v>
      </c>
      <c r="B77" s="58" t="n">
        <v>0.0</v>
      </c>
      <c r="C77" s="58" t="n">
        <v>0.0</v>
      </c>
      <c r="D77" s="58" t="n">
        <v>0.0</v>
      </c>
      <c r="E77" s="58">
        <f si="4" t="shared"/>
        <v>0</v>
      </c>
      <c r="F77" s="78">
        <f si="5" t="shared"/>
        <v>0</v>
      </c>
      <c r="G77">
        <v>66</v>
      </c>
      <c r="H77" s="68" t="n">
        <v>16.0</v>
      </c>
      <c r="I77" s="68" t="n">
        <v>2.0</v>
      </c>
      <c r="J77" s="68" t="n">
        <v>0.0</v>
      </c>
      <c r="K77" s="58">
        <f si="6" t="shared"/>
        <v>27</v>
      </c>
      <c r="L77" s="78">
        <f si="7" t="shared"/>
        <v>3.2263306821657998E-5</v>
      </c>
      <c r="W77" s="8"/>
    </row>
    <row r="78" spans="1:23" x14ac:dyDescent="0.25">
      <c r="A78">
        <v>67</v>
      </c>
      <c r="B78" s="58" t="n">
        <v>0.0</v>
      </c>
      <c r="C78" s="58" t="n">
        <v>0.0</v>
      </c>
      <c r="D78" s="58" t="n">
        <v>0.0</v>
      </c>
      <c r="E78" s="58">
        <f si="4" t="shared"/>
        <v>0</v>
      </c>
      <c r="F78" s="78">
        <f si="5" t="shared"/>
        <v>0</v>
      </c>
      <c r="G78">
        <v>67</v>
      </c>
      <c r="H78" s="68" t="n">
        <v>18.0</v>
      </c>
      <c r="I78" s="68" t="n">
        <v>0.0</v>
      </c>
      <c r="J78" s="68" t="n">
        <v>0.0</v>
      </c>
      <c r="K78" s="58">
        <f si="6" t="shared"/>
        <v>23</v>
      </c>
      <c r="L78" s="78">
        <f si="7" t="shared"/>
        <v>2.7483557662893851E-5</v>
      </c>
      <c r="W78" s="8"/>
    </row>
    <row r="79" spans="1:23" x14ac:dyDescent="0.25">
      <c r="A79">
        <v>68</v>
      </c>
      <c r="B79" s="58" t="n">
        <v>0.0</v>
      </c>
      <c r="C79" s="58" t="n">
        <v>0.0</v>
      </c>
      <c r="D79" s="58" t="n">
        <v>0.0</v>
      </c>
      <c r="E79" s="58">
        <f si="4" t="shared"/>
        <v>0</v>
      </c>
      <c r="F79" s="78">
        <f si="5" t="shared"/>
        <v>0</v>
      </c>
      <c r="G79">
        <v>68</v>
      </c>
      <c r="H79" s="68" t="n">
        <v>14.0</v>
      </c>
      <c r="I79" s="68" t="n">
        <v>4.0</v>
      </c>
      <c r="J79" s="68" t="n">
        <v>0.0</v>
      </c>
      <c r="K79" s="58">
        <f si="6" t="shared"/>
        <v>20</v>
      </c>
      <c r="L79" s="78">
        <f si="7" t="shared"/>
        <v>2.389874579382074E-5</v>
      </c>
      <c r="W79" s="8"/>
    </row>
    <row r="80" spans="1:23" x14ac:dyDescent="0.25">
      <c r="A80">
        <v>69</v>
      </c>
      <c r="B80" s="58" t="n">
        <v>0.0</v>
      </c>
      <c r="C80" s="58" t="n">
        <v>0.0</v>
      </c>
      <c r="D80" s="58" t="n">
        <v>0.0</v>
      </c>
      <c r="E80" s="58">
        <f si="4" t="shared"/>
        <v>0</v>
      </c>
      <c r="F80" s="78">
        <f si="5" t="shared"/>
        <v>0</v>
      </c>
      <c r="G80">
        <v>69</v>
      </c>
      <c r="H80" s="68" t="n">
        <v>8.0</v>
      </c>
      <c r="I80" s="68" t="n">
        <v>2.0</v>
      </c>
      <c r="J80" s="68" t="n">
        <v>0.0</v>
      </c>
      <c r="K80" s="58">
        <f si="6" t="shared"/>
        <v>31</v>
      </c>
      <c r="L80" s="78">
        <f si="7" t="shared"/>
        <v>3.7043055980422145E-5</v>
      </c>
      <c r="W80" s="8"/>
    </row>
    <row r="81" spans="1:23" x14ac:dyDescent="0.25">
      <c r="A81">
        <v>70</v>
      </c>
      <c r="B81" s="58" t="n">
        <v>0.0</v>
      </c>
      <c r="C81" s="58" t="n">
        <v>0.0</v>
      </c>
      <c r="D81" s="58" t="n">
        <v>0.0</v>
      </c>
      <c r="E81" s="58">
        <f si="4" t="shared"/>
        <v>0</v>
      </c>
      <c r="F81" s="78">
        <f si="5" t="shared"/>
        <v>0</v>
      </c>
      <c r="G81">
        <v>70</v>
      </c>
      <c r="H81" s="68" t="n">
        <v>11.0</v>
      </c>
      <c r="I81" s="68" t="n">
        <v>1.0</v>
      </c>
      <c r="J81" s="68" t="n">
        <v>0.0</v>
      </c>
      <c r="K81" s="58">
        <f si="6" t="shared"/>
        <v>15</v>
      </c>
      <c r="L81" s="78">
        <f si="7" t="shared"/>
        <v>1.7924059345365556E-5</v>
      </c>
      <c r="W81" s="8"/>
    </row>
    <row r="82" spans="1:23" x14ac:dyDescent="0.25">
      <c r="A82">
        <v>71</v>
      </c>
      <c r="B82" s="58" t="n">
        <v>0.0</v>
      </c>
      <c r="C82" s="58" t="n">
        <v>0.0</v>
      </c>
      <c r="D82" s="58" t="n">
        <v>0.0</v>
      </c>
      <c r="E82" s="58">
        <f si="4" t="shared"/>
        <v>0</v>
      </c>
      <c r="F82" s="78">
        <f si="5" t="shared"/>
        <v>0</v>
      </c>
      <c r="G82">
        <v>71</v>
      </c>
      <c r="H82" s="68" t="n">
        <v>10.0</v>
      </c>
      <c r="I82" s="68" t="n">
        <v>0.0</v>
      </c>
      <c r="J82" s="68" t="n">
        <v>0.0</v>
      </c>
      <c r="K82" s="58">
        <f si="6" t="shared"/>
        <v>13</v>
      </c>
      <c r="L82" s="78">
        <f si="7" t="shared"/>
        <v>1.5534184765983482E-5</v>
      </c>
      <c r="W82" s="8"/>
    </row>
    <row r="83" spans="1:23" x14ac:dyDescent="0.25">
      <c r="A83">
        <v>72</v>
      </c>
      <c r="B83" s="58" t="n">
        <v>0.0</v>
      </c>
      <c r="C83" s="58" t="n">
        <v>0.0</v>
      </c>
      <c r="D83" s="58" t="n">
        <v>0.0</v>
      </c>
      <c r="E83" s="58">
        <f si="4" t="shared"/>
        <v>0</v>
      </c>
      <c r="F83" s="78">
        <f si="5" t="shared"/>
        <v>0</v>
      </c>
      <c r="G83">
        <v>72</v>
      </c>
      <c r="H83" s="68" t="n">
        <v>8.0</v>
      </c>
      <c r="I83" s="68" t="n">
        <v>1.0</v>
      </c>
      <c r="J83" s="68" t="n">
        <v>1.0</v>
      </c>
      <c r="K83" s="58">
        <f si="6" t="shared"/>
        <v>7</v>
      </c>
      <c r="L83" s="78">
        <f si="7" t="shared"/>
        <v>8.3645610278372596E-6</v>
      </c>
      <c r="W83" s="8"/>
    </row>
    <row r="84" spans="1:23" x14ac:dyDescent="0.25">
      <c r="A84">
        <v>73</v>
      </c>
      <c r="B84" s="58" t="n">
        <v>0.0</v>
      </c>
      <c r="C84" s="58" t="n">
        <v>0.0</v>
      </c>
      <c r="D84" s="58" t="n">
        <v>0.0</v>
      </c>
      <c r="E84" s="58">
        <f si="4" t="shared"/>
        <v>0</v>
      </c>
      <c r="F84" s="78">
        <f si="5" t="shared"/>
        <v>0</v>
      </c>
      <c r="G84">
        <v>73</v>
      </c>
      <c r="H84" s="68" t="n">
        <v>3.0</v>
      </c>
      <c r="I84" s="58" t="n">
        <v>0.0</v>
      </c>
      <c r="J84" s="68" t="n">
        <v>1.0</v>
      </c>
      <c r="K84" s="58">
        <f si="6" t="shared"/>
        <v>11</v>
      </c>
      <c r="L84" s="78">
        <f si="7" t="shared"/>
        <v>1.3144310186601407E-5</v>
      </c>
      <c r="W84" s="8"/>
    </row>
    <row r="85" spans="1:23" x14ac:dyDescent="0.25">
      <c r="A85">
        <v>74</v>
      </c>
      <c r="B85" s="58" t="n">
        <v>0.0</v>
      </c>
      <c r="C85" s="58" t="n">
        <v>0.0</v>
      </c>
      <c r="D85" s="58" t="n">
        <v>0.0</v>
      </c>
      <c r="E85" s="58">
        <f si="4" t="shared"/>
        <v>0</v>
      </c>
      <c r="F85" s="78">
        <f si="5" t="shared"/>
        <v>0</v>
      </c>
      <c r="G85">
        <v>74</v>
      </c>
      <c r="H85" s="68" t="n">
        <v>13.0</v>
      </c>
      <c r="I85" s="68" t="n">
        <v>0.0</v>
      </c>
      <c r="J85" s="68" t="n">
        <v>0.0</v>
      </c>
      <c r="K85" s="58">
        <f si="6" t="shared"/>
        <v>7</v>
      </c>
      <c r="L85" s="78">
        <f si="7" t="shared"/>
        <v>8.3645610278372596E-6</v>
      </c>
      <c r="W85" s="8"/>
    </row>
    <row r="86" spans="1:23" x14ac:dyDescent="0.25">
      <c r="A86">
        <v>75</v>
      </c>
      <c r="B86" s="58" t="n">
        <v>0.0</v>
      </c>
      <c r="C86" s="58" t="n">
        <v>0.0</v>
      </c>
      <c r="D86" s="58" t="n">
        <v>0.0</v>
      </c>
      <c r="E86" s="58">
        <f si="4" t="shared"/>
        <v>0</v>
      </c>
      <c r="F86" s="78">
        <f si="5" t="shared"/>
        <v>0</v>
      </c>
      <c r="G86">
        <v>75</v>
      </c>
      <c r="H86" s="68" t="n">
        <v>5.0</v>
      </c>
      <c r="I86" s="58" t="n">
        <v>0.0</v>
      </c>
      <c r="J86" s="68" t="n">
        <v>0.0</v>
      </c>
      <c r="K86" s="58">
        <f si="6" t="shared"/>
        <v>4</v>
      </c>
      <c r="L86" s="78">
        <f si="7" t="shared"/>
        <v>4.7797491587641482E-6</v>
      </c>
      <c r="W86" s="8"/>
    </row>
    <row r="87" spans="1:23" x14ac:dyDescent="0.25">
      <c r="A87">
        <v>76</v>
      </c>
      <c r="B87" s="58" t="n">
        <v>0.0</v>
      </c>
      <c r="C87" s="58" t="n">
        <v>0.0</v>
      </c>
      <c r="D87" s="58" t="n">
        <v>0.0</v>
      </c>
      <c r="E87" s="58">
        <f si="4" t="shared"/>
        <v>0</v>
      </c>
      <c r="F87" s="78">
        <f si="5" t="shared"/>
        <v>0</v>
      </c>
      <c r="G87">
        <v>76</v>
      </c>
      <c r="H87" s="68" t="n">
        <v>8.0</v>
      </c>
      <c r="I87" s="58" t="n">
        <v>0.0</v>
      </c>
      <c r="J87" s="68" t="n">
        <v>0.0</v>
      </c>
      <c r="K87" s="58">
        <f si="6" t="shared"/>
        <v>3</v>
      </c>
      <c r="L87" s="78">
        <f si="7" t="shared"/>
        <v>3.5848118690731109E-6</v>
      </c>
      <c r="W87" s="8"/>
    </row>
    <row r="88" spans="1:23" x14ac:dyDescent="0.25">
      <c r="A88">
        <v>77</v>
      </c>
      <c r="B88" s="58" t="n">
        <v>0.0</v>
      </c>
      <c r="C88" s="58" t="n">
        <v>0.0</v>
      </c>
      <c r="D88" s="58" t="n">
        <v>0.0</v>
      </c>
      <c r="E88" s="58">
        <f si="4" t="shared"/>
        <v>0</v>
      </c>
      <c r="F88" s="78">
        <f si="5" t="shared"/>
        <v>0</v>
      </c>
      <c r="G88">
        <v>77</v>
      </c>
      <c r="H88" s="68" t="n">
        <v>4.0</v>
      </c>
      <c r="I88" s="58" t="n">
        <v>0.0</v>
      </c>
      <c r="J88" s="58" t="n">
        <v>0.0</v>
      </c>
      <c r="K88" s="58">
        <f si="6" t="shared"/>
        <v>6</v>
      </c>
      <c r="L88" s="78">
        <f si="7" t="shared"/>
        <v>7.1696237381462219E-6</v>
      </c>
      <c r="W88" s="8"/>
    </row>
    <row r="89" spans="1:23" x14ac:dyDescent="0.25">
      <c r="A89">
        <v>78</v>
      </c>
      <c r="B89" s="58" t="n">
        <v>0.0</v>
      </c>
      <c r="C89" s="58" t="n">
        <v>0.0</v>
      </c>
      <c r="D89" s="58" t="n">
        <v>0.0</v>
      </c>
      <c r="E89" s="58">
        <f si="4" t="shared"/>
        <v>0</v>
      </c>
      <c r="F89" s="78">
        <f si="5" t="shared"/>
        <v>0</v>
      </c>
      <c r="G89">
        <v>78</v>
      </c>
      <c r="H89" s="68" t="n">
        <v>0.0</v>
      </c>
      <c r="I89" s="58" t="n">
        <v>0.0</v>
      </c>
      <c r="J89" s="58" t="n">
        <v>0.0</v>
      </c>
      <c r="K89" s="58">
        <f si="6" t="shared"/>
        <v>4</v>
      </c>
      <c r="L89" s="78">
        <f si="7" t="shared"/>
        <v>4.7797491587641482E-6</v>
      </c>
      <c r="W89" s="8"/>
    </row>
    <row r="90" spans="1:23" x14ac:dyDescent="0.25">
      <c r="A90">
        <v>79</v>
      </c>
      <c r="B90" s="58" t="n">
        <v>0.0</v>
      </c>
      <c r="C90" s="58" t="n">
        <v>0.0</v>
      </c>
      <c r="D90" s="58" t="n">
        <v>0.0</v>
      </c>
      <c r="E90" s="58">
        <f si="4" t="shared"/>
        <v>0</v>
      </c>
      <c r="F90" s="78">
        <f si="5" t="shared"/>
        <v>0</v>
      </c>
      <c r="G90">
        <v>79</v>
      </c>
      <c r="H90" s="68" t="n">
        <v>0.0</v>
      </c>
      <c r="I90" s="58" t="n">
        <v>0.0</v>
      </c>
      <c r="J90" s="58" t="n">
        <v>0.0</v>
      </c>
      <c r="K90" s="58">
        <f si="6" t="shared"/>
        <v>1</v>
      </c>
      <c r="L90" s="78">
        <f si="7" t="shared"/>
        <v>1.1949372896910371E-6</v>
      </c>
      <c r="W90" s="8"/>
    </row>
    <row r="91" spans="1:23" x14ac:dyDescent="0.25">
      <c r="A91">
        <v>80</v>
      </c>
      <c r="B91" s="58" t="n">
        <v>0.0</v>
      </c>
      <c r="C91" s="58" t="n">
        <v>0.0</v>
      </c>
      <c r="D91" s="58" t="n">
        <v>0.0</v>
      </c>
      <c r="E91" s="58">
        <f si="4" t="shared"/>
        <v>0</v>
      </c>
      <c r="F91" s="78">
        <f si="5" t="shared"/>
        <v>0</v>
      </c>
      <c r="G91">
        <v>80</v>
      </c>
      <c r="H91" s="68" t="n">
        <v>3.0</v>
      </c>
      <c r="I91" s="58" t="n">
        <v>0.0</v>
      </c>
      <c r="J91" s="58" t="n">
        <v>0.0</v>
      </c>
      <c r="K91" s="58">
        <f si="6" t="shared"/>
        <v>0</v>
      </c>
      <c r="L91" s="78">
        <f si="7" t="shared"/>
        <v>0</v>
      </c>
      <c r="W91" s="8"/>
    </row>
    <row r="92" spans="1:23" x14ac:dyDescent="0.25">
      <c r="A92">
        <v>81</v>
      </c>
      <c r="B92" s="58" t="n">
        <v>0.0</v>
      </c>
      <c r="C92" s="58" t="n">
        <v>0.0</v>
      </c>
      <c r="D92" s="58" t="n">
        <v>0.0</v>
      </c>
      <c r="E92" s="58">
        <f si="4" t="shared"/>
        <v>0</v>
      </c>
      <c r="F92" s="78">
        <f si="5" t="shared"/>
        <v>0</v>
      </c>
      <c r="G92">
        <v>81</v>
      </c>
      <c r="H92" s="68" t="n">
        <v>2.0</v>
      </c>
      <c r="I92" s="58" t="n">
        <v>0.0</v>
      </c>
      <c r="J92" s="58" t="n">
        <v>0.0</v>
      </c>
      <c r="K92" s="58">
        <f si="6" t="shared"/>
        <v>1</v>
      </c>
      <c r="L92" s="78">
        <f si="7" t="shared"/>
        <v>1.1949372896910371E-6</v>
      </c>
      <c r="W92" s="8"/>
    </row>
    <row r="93" spans="1:23" x14ac:dyDescent="0.25">
      <c r="A93">
        <v>82</v>
      </c>
      <c r="B93" s="58" t="n">
        <v>0.0</v>
      </c>
      <c r="C93" s="58" t="n">
        <v>0.0</v>
      </c>
      <c r="D93" s="58" t="n">
        <v>0.0</v>
      </c>
      <c r="E93" s="58">
        <f si="4" t="shared"/>
        <v>0</v>
      </c>
      <c r="F93" s="78">
        <f si="5" t="shared"/>
        <v>0</v>
      </c>
      <c r="G93">
        <v>82</v>
      </c>
      <c r="H93" s="68" t="n">
        <v>1.0</v>
      </c>
      <c r="I93" s="58" t="n">
        <v>0.0</v>
      </c>
      <c r="J93" s="58" t="n">
        <v>0.0</v>
      </c>
      <c r="K93" s="58">
        <f si="6" t="shared"/>
        <v>0</v>
      </c>
      <c r="L93" s="78">
        <f si="7" t="shared"/>
        <v>0</v>
      </c>
      <c r="W93" s="8"/>
    </row>
    <row r="94" spans="1:23" x14ac:dyDescent="0.25">
      <c r="A94">
        <v>83</v>
      </c>
      <c r="B94" s="58" t="n">
        <v>0.0</v>
      </c>
      <c r="C94" s="58" t="n">
        <v>0.0</v>
      </c>
      <c r="D94" s="58" t="n">
        <v>0.0</v>
      </c>
      <c r="E94" s="58">
        <f si="4" t="shared"/>
        <v>0</v>
      </c>
      <c r="F94" s="78">
        <f si="5" t="shared"/>
        <v>0</v>
      </c>
      <c r="G94">
        <v>83</v>
      </c>
      <c r="H94" s="68" t="n">
        <v>1.0</v>
      </c>
      <c r="I94" s="58" t="n">
        <v>0.0</v>
      </c>
      <c r="J94" s="58" t="n">
        <v>0.0</v>
      </c>
      <c r="K94" s="58">
        <f si="6" t="shared"/>
        <v>1</v>
      </c>
      <c r="L94" s="78">
        <f si="7" t="shared"/>
        <v>1.1949372896910371E-6</v>
      </c>
      <c r="W94" s="8"/>
    </row>
    <row r="95" spans="1:23" x14ac:dyDescent="0.25">
      <c r="A95">
        <v>84</v>
      </c>
      <c r="B95" s="58" t="n">
        <v>0.0</v>
      </c>
      <c r="C95" s="58" t="n">
        <v>0.0</v>
      </c>
      <c r="D95" s="58" t="n">
        <v>0.0</v>
      </c>
      <c r="E95" s="58">
        <f si="4" t="shared"/>
        <v>0</v>
      </c>
      <c r="F95" s="78">
        <f si="5" t="shared"/>
        <v>0</v>
      </c>
      <c r="G95">
        <v>84</v>
      </c>
      <c r="H95" s="68" t="n">
        <v>0.0</v>
      </c>
      <c r="I95" s="58" t="n">
        <v>0.0</v>
      </c>
      <c r="J95" s="58" t="n">
        <v>0.0</v>
      </c>
      <c r="K95" s="58">
        <f si="6" t="shared"/>
        <v>0</v>
      </c>
      <c r="L95" s="78">
        <f si="7" t="shared"/>
        <v>0</v>
      </c>
      <c r="W95" s="8"/>
    </row>
    <row r="96" spans="1:23" x14ac:dyDescent="0.25">
      <c r="A96">
        <v>85</v>
      </c>
      <c r="B96" s="58" t="n">
        <v>0.0</v>
      </c>
      <c r="C96" s="58" t="n">
        <v>0.0</v>
      </c>
      <c r="D96" s="58" t="n">
        <v>0.0</v>
      </c>
      <c r="E96" s="58">
        <f si="4" t="shared"/>
        <v>0</v>
      </c>
      <c r="F96" s="78">
        <f si="5" t="shared"/>
        <v>0</v>
      </c>
      <c r="G96">
        <v>85</v>
      </c>
      <c r="H96" s="68" t="n">
        <v>0.0</v>
      </c>
      <c r="I96" s="58" t="n">
        <v>0.0</v>
      </c>
      <c r="J96" s="58" t="n">
        <v>0.0</v>
      </c>
      <c r="K96" s="58">
        <f si="6" t="shared"/>
        <v>2</v>
      </c>
      <c r="L96" s="78">
        <f si="7" t="shared"/>
        <v>2.3898745793820741E-6</v>
      </c>
      <c r="W96" s="8"/>
    </row>
    <row r="97" spans="1:23" x14ac:dyDescent="0.25">
      <c r="A97">
        <v>86</v>
      </c>
      <c r="B97" s="58" t="n">
        <v>0.0</v>
      </c>
      <c r="C97" s="58" t="n">
        <v>0.0</v>
      </c>
      <c r="D97" s="58" t="n">
        <v>0.0</v>
      </c>
      <c r="E97" s="58">
        <f si="4" t="shared"/>
        <v>0</v>
      </c>
      <c r="F97" s="78">
        <f si="5" t="shared"/>
        <v>0</v>
      </c>
      <c r="G97">
        <v>86</v>
      </c>
      <c r="H97" s="68" t="n">
        <v>0.0</v>
      </c>
      <c r="I97" s="58" t="n">
        <v>1.0</v>
      </c>
      <c r="J97" s="58" t="n">
        <v>0.0</v>
      </c>
      <c r="K97" s="58">
        <f si="6" t="shared"/>
        <v>1</v>
      </c>
      <c r="L97" s="78">
        <f si="7" t="shared"/>
        <v>1.1949372896910371E-6</v>
      </c>
      <c r="W97" s="8"/>
    </row>
    <row r="98" spans="1:23" x14ac:dyDescent="0.25">
      <c r="A98">
        <v>87</v>
      </c>
      <c r="B98" s="58" t="n">
        <v>0.0</v>
      </c>
      <c r="C98" s="58" t="n">
        <v>0.0</v>
      </c>
      <c r="D98" s="58" t="n">
        <v>0.0</v>
      </c>
      <c r="E98" s="58">
        <f si="4" t="shared"/>
        <v>0</v>
      </c>
      <c r="F98" s="78">
        <f si="5" t="shared"/>
        <v>0</v>
      </c>
      <c r="G98">
        <v>87</v>
      </c>
      <c r="H98" s="68" t="n">
        <v>1.0</v>
      </c>
      <c r="I98" s="58" t="n">
        <v>0.0</v>
      </c>
      <c r="J98" s="58" t="n">
        <v>0.0</v>
      </c>
      <c r="K98" s="58">
        <f si="6" t="shared"/>
        <v>0</v>
      </c>
      <c r="L98" s="78">
        <f si="7" t="shared"/>
        <v>0</v>
      </c>
      <c r="W98" s="8"/>
    </row>
    <row r="99" spans="1:23" x14ac:dyDescent="0.25">
      <c r="A99">
        <v>88</v>
      </c>
      <c r="B99" s="58" t="n">
        <v>0.0</v>
      </c>
      <c r="C99" s="58" t="n">
        <v>0.0</v>
      </c>
      <c r="D99" s="58" t="n">
        <v>0.0</v>
      </c>
      <c r="E99" s="58">
        <f si="4" t="shared"/>
        <v>0</v>
      </c>
      <c r="F99" s="78">
        <f si="5" t="shared"/>
        <v>0</v>
      </c>
      <c r="G99">
        <v>88</v>
      </c>
      <c r="H99" s="68" t="n">
        <v>0.0</v>
      </c>
      <c r="I99" s="58" t="n">
        <v>0.0</v>
      </c>
      <c r="J99" s="58" t="n">
        <v>0.0</v>
      </c>
      <c r="K99" s="58">
        <f si="6" t="shared"/>
        <v>0</v>
      </c>
      <c r="L99" s="78">
        <f si="7" t="shared"/>
        <v>0</v>
      </c>
      <c r="W99" s="8"/>
    </row>
    <row r="100" spans="1:23" x14ac:dyDescent="0.25">
      <c r="A100">
        <v>89</v>
      </c>
      <c r="B100" s="58" t="n">
        <v>0.0</v>
      </c>
      <c r="C100" s="58" t="n">
        <v>0.0</v>
      </c>
      <c r="D100" s="58" t="n">
        <v>0.0</v>
      </c>
      <c r="E100" s="58">
        <f si="4" t="shared"/>
        <v>0</v>
      </c>
      <c r="F100" s="78">
        <f si="5" t="shared"/>
        <v>0</v>
      </c>
      <c r="G100">
        <v>89</v>
      </c>
      <c r="H100" s="68" t="n">
        <v>1.0</v>
      </c>
      <c r="I100" s="58" t="n">
        <v>1.0</v>
      </c>
      <c r="J100" s="58" t="n">
        <v>0.0</v>
      </c>
      <c r="K100" s="58">
        <f si="6" t="shared"/>
        <v>0</v>
      </c>
      <c r="L100" s="78">
        <f si="7" t="shared"/>
        <v>0</v>
      </c>
      <c r="W100" s="8"/>
    </row>
    <row ht="15.75" r="101" spans="1:23" thickBot="1" x14ac:dyDescent="0.3">
      <c r="A101" s="1">
        <v>90</v>
      </c>
      <c r="B101" s="59">
        <v>0</v>
      </c>
      <c r="C101" s="59">
        <v>0</v>
      </c>
      <c r="D101" s="59">
        <v>0</v>
      </c>
      <c r="E101" s="58">
        <f si="4" t="shared"/>
        <v>0</v>
      </c>
      <c r="F101" s="78">
        <f si="5" t="shared"/>
        <v>0</v>
      </c>
      <c r="G101" s="1">
        <v>90</v>
      </c>
      <c r="H101" s="6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  <c r="W101" s="9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X101"/>
  <sheetViews>
    <sheetView workbookViewId="0">
      <selection activeCell="I100" sqref="I100"/>
    </sheetView>
  </sheetViews>
  <sheetFormatPr defaultRowHeight="15" x14ac:dyDescent="0.25"/>
  <cols>
    <col min="2" max="3" bestFit="true" customWidth="true" width="10.5703125" collapsed="true"/>
    <col min="4" max="4" bestFit="true" customWidth="true" width="9.5703125" collapsed="true"/>
    <col min="5" max="5" bestFit="true" customWidth="true" width="10.5703125" collapsed="true"/>
    <col min="8" max="8" bestFit="true" customWidth="true" width="10.5703125" collapsed="true"/>
    <col min="9" max="10" bestFit="true" customWidth="true" width="9.5703125" collapsed="true"/>
    <col min="11" max="11" bestFit="true" customWidth="true" width="10.5703125" collapsed="true"/>
    <col min="15" max="15" bestFit="true" customWidth="true" width="15.7109375" collapsed="true"/>
  </cols>
  <sheetData>
    <row r="1" spans="1:23" x14ac:dyDescent="0.25">
      <c r="A1" t="s">
        <v>0</v>
      </c>
    </row>
    <row r="2" spans="1:23" x14ac:dyDescent="0.25">
      <c r="A2" t="s">
        <v>247</v>
      </c>
    </row>
    <row r="3" spans="1:23" x14ac:dyDescent="0.25">
      <c r="A3" t="s">
        <v>248</v>
      </c>
    </row>
    <row r="4" spans="1:23" x14ac:dyDescent="0.25">
      <c r="A4" t="s">
        <v>6</v>
      </c>
    </row>
    <row r="5" spans="1:23" x14ac:dyDescent="0.25">
      <c r="A5" t="s">
        <v>7</v>
      </c>
    </row>
    <row r="7" spans="1:23" x14ac:dyDescent="0.25">
      <c r="A7" t="s">
        <v>11</v>
      </c>
    </row>
    <row ht="15.75" r="9" spans="1:23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10" t="s">
        <v>40</v>
      </c>
      <c r="W9" s="8"/>
    </row>
    <row r="10" spans="1:23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9" t="s">
        <v>253</v>
      </c>
      <c r="M10" s="2"/>
      <c r="N10" s="5" t="s">
        <v>203</v>
      </c>
      <c r="O10" s="29" t="s">
        <v>253</v>
      </c>
      <c r="W10" s="8"/>
    </row>
    <row r="11" spans="1:23" x14ac:dyDescent="0.25">
      <c r="A11">
        <v>0</v>
      </c>
      <c r="B11" s="58" t="n">
        <v>0.0</v>
      </c>
      <c r="C11" s="58" t="n">
        <v>0.0</v>
      </c>
      <c r="D11" s="58" t="n">
        <v>0.0</v>
      </c>
      <c r="E11" s="58">
        <f>SUM(B11:D11)</f>
        <v>0</v>
      </c>
      <c r="F11" s="78">
        <f>E11/SUM($E$11:$E$101)</f>
        <v>0</v>
      </c>
      <c r="G11">
        <v>0</v>
      </c>
      <c r="H11" s="68" t="n">
        <v>308.0</v>
      </c>
      <c r="I11" s="68" t="n">
        <v>60.0</v>
      </c>
      <c r="J11" s="68" t="n">
        <v>35.0</v>
      </c>
      <c r="K11" s="58">
        <f>SUM(H11:J11)</f>
        <v>357</v>
      </c>
      <c r="L11" s="78">
        <f>K11/SUM($K$11:$K$101)</f>
        <v>4.2659261241970024E-4</v>
      </c>
      <c r="M11" t="s">
        <v>8</v>
      </c>
      <c r="N11" s="62" t="n">
        <v>27.69663716921259</v>
      </c>
      <c r="O11" s="62" t="n">
        <v>41.83963718342941</v>
      </c>
      <c r="W11" s="8"/>
    </row>
    <row r="12" spans="1:23" x14ac:dyDescent="0.25">
      <c r="A12">
        <v>1</v>
      </c>
      <c r="B12" s="58" t="n">
        <v>0.0</v>
      </c>
      <c r="C12" s="58" t="n">
        <v>0.0</v>
      </c>
      <c r="D12" s="58" t="n">
        <v>0.0</v>
      </c>
      <c r="E12" s="58">
        <f ref="E12:E75" si="0" t="shared">SUM(B12:D12)</f>
        <v>0</v>
      </c>
      <c r="F12" s="78">
        <f ref="F12:F75" si="1" t="shared">E12/SUM($E$11:$E$101)</f>
        <v>0</v>
      </c>
      <c r="G12">
        <v>1</v>
      </c>
      <c r="H12" s="68" t="n">
        <v>699.0</v>
      </c>
      <c r="I12" s="68" t="n">
        <v>121.0</v>
      </c>
      <c r="J12" s="68" t="n">
        <v>48.0</v>
      </c>
      <c r="K12" s="58">
        <f ref="K12:K75" si="2" t="shared">SUM(H12:J12)</f>
        <v>843</v>
      </c>
      <c r="L12" s="78">
        <f ref="L12:L75" si="3" t="shared">K12/SUM($K$11:$K$101)</f>
        <v>1.0073321352095442E-3</v>
      </c>
      <c r="M12" t="s">
        <v>9</v>
      </c>
      <c r="N12" s="62" t="n">
        <v>20.916819092397528</v>
      </c>
      <c r="O12" s="62" t="n">
        <v>37.57399036146344</v>
      </c>
      <c r="W12" s="8"/>
    </row>
    <row r="13" spans="1:23" x14ac:dyDescent="0.25">
      <c r="A13">
        <v>2</v>
      </c>
      <c r="B13" s="58" t="n">
        <v>257.945421260659</v>
      </c>
      <c r="C13" s="58" t="n">
        <v>195.1706990884744</v>
      </c>
      <c r="D13" s="58" t="n">
        <v>0.0</v>
      </c>
      <c r="E13" s="58">
        <f si="0" t="shared"/>
        <v>453.11612034913338</v>
      </c>
      <c r="F13" s="78">
        <f si="1" t="shared"/>
        <v>5.9601131722738512E-4</v>
      </c>
      <c r="G13">
        <v>2</v>
      </c>
      <c r="H13" s="68" t="n">
        <v>1261.0</v>
      </c>
      <c r="I13" s="68" t="n">
        <v>212.0</v>
      </c>
      <c r="J13" s="68" t="n">
        <v>106.0</v>
      </c>
      <c r="K13" s="58">
        <f si="2" t="shared"/>
        <v>1559</v>
      </c>
      <c r="L13" s="78">
        <f si="3" t="shared"/>
        <v>1.8629072346283268E-3</v>
      </c>
      <c r="M13" s="6" t="s">
        <v>10</v>
      </c>
      <c r="N13" s="63" t="n">
        <v>18.492864262128883</v>
      </c>
      <c r="O13" s="63" t="n">
        <v>34.470161882427604</v>
      </c>
      <c r="W13" s="8"/>
    </row>
    <row ht="15.75" r="14" spans="1:23" thickBot="1" x14ac:dyDescent="0.3">
      <c r="A14">
        <v>3</v>
      </c>
      <c r="B14" s="58" t="n">
        <v>3455.5333412031414</v>
      </c>
      <c r="C14" s="58" t="n">
        <v>1843.9597114224352</v>
      </c>
      <c r="D14" s="58" t="n">
        <v>285.3955847086598</v>
      </c>
      <c r="E14" s="58">
        <f si="0" t="shared"/>
        <v>5584.8886373342366</v>
      </c>
      <c r="F14" s="78">
        <f si="1" t="shared"/>
        <v>7.3461452458170092E-3</v>
      </c>
      <c r="G14">
        <v>3</v>
      </c>
      <c r="H14" s="68" t="n">
        <v>2491.0</v>
      </c>
      <c r="I14" s="68" t="n">
        <v>406.0</v>
      </c>
      <c r="J14" s="68" t="n">
        <v>185.0</v>
      </c>
      <c r="K14" s="58">
        <f si="2" t="shared"/>
        <v>3925</v>
      </c>
      <c r="L14" s="78">
        <f si="3" t="shared"/>
        <v>4.69012886203732E-3</v>
      </c>
      <c r="M14" s="1" t="s">
        <v>3</v>
      </c>
      <c r="N14" s="64" t="n">
        <v>26.70885392117092</v>
      </c>
      <c r="O14" s="64" t="n">
        <v>41.07713074270191</v>
      </c>
      <c r="W14" s="8"/>
    </row>
    <row r="15" spans="1:23" x14ac:dyDescent="0.25">
      <c r="A15">
        <v>4</v>
      </c>
      <c r="B15" s="58" t="n">
        <v>9106.231029605813</v>
      </c>
      <c r="C15" s="58" t="n">
        <v>1485.390809172647</v>
      </c>
      <c r="D15" s="58" t="n">
        <v>297.9687374524559</v>
      </c>
      <c r="E15" s="58">
        <f si="0" t="shared"/>
        <v>10889.590576230918</v>
      </c>
      <c r="F15" s="78">
        <f si="1" t="shared"/>
        <v>1.4323743808552676E-2</v>
      </c>
      <c r="G15">
        <v>4</v>
      </c>
      <c r="H15" s="68" t="n">
        <v>4822.0</v>
      </c>
      <c r="I15" s="68" t="n">
        <v>793.0</v>
      </c>
      <c r="J15" s="68" t="n">
        <v>376.0</v>
      </c>
      <c r="K15" s="58">
        <f si="2" t="shared"/>
        <v>7769</v>
      </c>
      <c r="L15" s="78">
        <f si="3" t="shared"/>
        <v>9.2834678036096668E-3</v>
      </c>
      <c r="W15" s="8"/>
    </row>
    <row r="16" spans="1:23" x14ac:dyDescent="0.25">
      <c r="A16">
        <v>5</v>
      </c>
      <c r="B16" s="58" t="n">
        <v>8543.552739095465</v>
      </c>
      <c r="C16" s="58" t="n">
        <v>3466.092849320419</v>
      </c>
      <c r="D16" s="58" t="n">
        <v>3735.4065575242885</v>
      </c>
      <c r="E16" s="58">
        <f si="0" t="shared"/>
        <v>15745.052145940172</v>
      </c>
      <c r="F16" s="78">
        <f si="1" t="shared"/>
        <v>2.0710429066361544E-2</v>
      </c>
      <c r="G16">
        <v>5</v>
      </c>
      <c r="H16" s="68" t="n">
        <v>6865.0</v>
      </c>
      <c r="I16" s="68" t="n">
        <v>1099.0</v>
      </c>
      <c r="J16" s="68" t="n">
        <v>572.0</v>
      </c>
      <c r="K16" s="58">
        <f si="2" t="shared"/>
        <v>11784</v>
      </c>
      <c r="L16" s="78">
        <f si="3" t="shared"/>
        <v>1.408114102171918E-2</v>
      </c>
      <c r="W16" s="8"/>
    </row>
    <row r="17" spans="1:23" x14ac:dyDescent="0.25">
      <c r="A17">
        <v>6</v>
      </c>
      <c r="B17" s="58" t="n">
        <v>14067.64829934162</v>
      </c>
      <c r="C17" s="58" t="n">
        <v>3387.477914970085</v>
      </c>
      <c r="D17" s="58" t="n">
        <v>877.6832803048848</v>
      </c>
      <c r="E17" s="58">
        <f si="0" t="shared"/>
        <v>18332.809494616591</v>
      </c>
      <c r="F17" s="78">
        <f si="1" t="shared"/>
        <v>2.4114264411837855E-2</v>
      </c>
      <c r="G17">
        <v>6</v>
      </c>
      <c r="H17" s="68" t="n">
        <v>7837.0</v>
      </c>
      <c r="I17" s="68" t="n">
        <v>1311.0</v>
      </c>
      <c r="J17" s="68" t="n">
        <v>723.0</v>
      </c>
      <c r="K17" s="58">
        <f si="2" t="shared"/>
        <v>17002</v>
      </c>
      <c r="L17" s="78">
        <f si="3" t="shared"/>
        <v>2.0316323799327012E-2</v>
      </c>
      <c r="W17" s="8"/>
    </row>
    <row r="18" spans="1:23" x14ac:dyDescent="0.25">
      <c r="A18">
        <v>7</v>
      </c>
      <c r="B18" s="58" t="n">
        <v>16229.301544575157</v>
      </c>
      <c r="C18" s="58" t="n">
        <v>2717.9057065594216</v>
      </c>
      <c r="D18" s="58" t="n">
        <v>721.5984846499321</v>
      </c>
      <c r="E18" s="58">
        <f si="0" t="shared"/>
        <v>19668.80573578451</v>
      </c>
      <c r="F18" s="78">
        <f si="1" t="shared"/>
        <v>2.5871581893493086E-2</v>
      </c>
      <c r="G18">
        <v>7</v>
      </c>
      <c r="H18" s="68" t="n">
        <v>9292.0</v>
      </c>
      <c r="I18" s="68" t="n">
        <v>1622.0</v>
      </c>
      <c r="J18" s="68" t="n">
        <v>849.0</v>
      </c>
      <c r="K18" s="58">
        <f si="2" t="shared"/>
        <v>17911</v>
      </c>
      <c r="L18" s="78">
        <f si="3" t="shared"/>
        <v>2.1402521795656163E-2</v>
      </c>
      <c r="W18" s="8"/>
    </row>
    <row r="19" spans="1:23" x14ac:dyDescent="0.25">
      <c r="A19">
        <v>8</v>
      </c>
      <c r="B19" s="58" t="n">
        <v>19248.19901911994</v>
      </c>
      <c r="C19" s="58" t="n">
        <v>2944.5637996402006</v>
      </c>
      <c r="D19" s="58" t="n">
        <v>978.2803852360228</v>
      </c>
      <c r="E19" s="58">
        <f si="0" t="shared"/>
        <v>23171.043203996163</v>
      </c>
      <c r="F19" s="78">
        <f si="1" t="shared"/>
        <v>3.0478288812380839E-2</v>
      </c>
      <c r="G19">
        <v>8</v>
      </c>
      <c r="H19" s="68" t="n">
        <v>9896.0</v>
      </c>
      <c r="I19" s="68" t="n">
        <v>1661.0</v>
      </c>
      <c r="J19" s="68" t="n">
        <v>813.0</v>
      </c>
      <c r="K19" s="58">
        <f si="2" t="shared"/>
        <v>20597</v>
      </c>
      <c r="L19" s="78">
        <f si="3" t="shared"/>
        <v>2.4612123355766291E-2</v>
      </c>
      <c r="W19" s="8"/>
    </row>
    <row r="20" spans="1:23" x14ac:dyDescent="0.25">
      <c r="A20">
        <v>9</v>
      </c>
      <c r="B20" s="58" t="n">
        <v>16435.813734187075</v>
      </c>
      <c r="C20" s="58" t="n">
        <v>1969.6336648675428</v>
      </c>
      <c r="D20" s="58" t="n">
        <v>550.8605704112381</v>
      </c>
      <c r="E20" s="58">
        <f si="0" t="shared"/>
        <v>18956.307969465855</v>
      </c>
      <c r="F20" s="78">
        <f si="1" t="shared"/>
        <v>2.4934390049826286E-2</v>
      </c>
      <c r="G20">
        <v>9</v>
      </c>
      <c r="H20" s="68" t="n">
        <v>10317.0</v>
      </c>
      <c r="I20" s="68" t="n">
        <v>1742.0</v>
      </c>
      <c r="J20" s="68" t="n">
        <v>901.0</v>
      </c>
      <c r="K20" s="58">
        <f si="2" t="shared"/>
        <v>20575</v>
      </c>
      <c r="L20" s="78">
        <f si="3" t="shared"/>
        <v>2.4585834735393088E-2</v>
      </c>
      <c r="W20" s="8"/>
    </row>
    <row r="21" spans="1:23" x14ac:dyDescent="0.25">
      <c r="A21">
        <v>10</v>
      </c>
      <c r="B21" s="58" t="n">
        <v>17383.96427021123</v>
      </c>
      <c r="C21" s="58" t="n">
        <v>3583.8313788263495</v>
      </c>
      <c r="D21" s="58" t="n">
        <v>1645.2315122031282</v>
      </c>
      <c r="E21" s="58">
        <f si="0" t="shared"/>
        <v>22613.027161240709</v>
      </c>
      <c r="F21" s="78">
        <f si="1" t="shared"/>
        <v>2.9744296218119505E-2</v>
      </c>
      <c r="G21">
        <v>10</v>
      </c>
      <c r="H21" s="68" t="n">
        <v>9189.0</v>
      </c>
      <c r="I21" s="68" t="n">
        <v>1554.0</v>
      </c>
      <c r="J21" s="68" t="n">
        <v>863.0</v>
      </c>
      <c r="K21" s="58">
        <f si="2" t="shared"/>
        <v>23016</v>
      </c>
      <c r="L21" s="78">
        <f si="3" t="shared"/>
        <v>2.7502676659528907E-2</v>
      </c>
      <c r="W21" s="8"/>
    </row>
    <row r="22" spans="1:23" x14ac:dyDescent="0.25">
      <c r="A22">
        <v>11</v>
      </c>
      <c r="B22" s="58" t="n">
        <v>20210.922552528136</v>
      </c>
      <c r="C22" s="58" t="n">
        <v>1621.1678563943815</v>
      </c>
      <c r="D22" s="58" t="n">
        <v>2147.9557993989806</v>
      </c>
      <c r="E22" s="58">
        <f si="0" t="shared"/>
        <v>23980.046208321499</v>
      </c>
      <c r="F22" s="78">
        <f si="1" t="shared"/>
        <v>3.1542419891798922E-2</v>
      </c>
      <c r="G22">
        <v>11</v>
      </c>
      <c r="H22" s="68" t="n">
        <v>10020.0</v>
      </c>
      <c r="I22" s="68" t="n">
        <v>1746.0</v>
      </c>
      <c r="J22" s="68" t="n">
        <v>890.0</v>
      </c>
      <c r="K22" s="58">
        <f si="2" t="shared"/>
        <v>24891</v>
      </c>
      <c r="L22" s="78">
        <f si="3" t="shared"/>
        <v>2.9743184077699603E-2</v>
      </c>
      <c r="W22" s="8"/>
    </row>
    <row r="23" spans="1:23" x14ac:dyDescent="0.25">
      <c r="A23">
        <v>12</v>
      </c>
      <c r="B23" s="58" t="n">
        <v>17756.424823069156</v>
      </c>
      <c r="C23" s="58" t="n">
        <v>2229.7150043306115</v>
      </c>
      <c r="D23" s="58" t="n">
        <v>2796.302033243846</v>
      </c>
      <c r="E23" s="58">
        <f si="0" t="shared"/>
        <v>22782.441860643612</v>
      </c>
      <c r="F23" s="78">
        <f si="1" t="shared"/>
        <v>2.9967137723010139E-2</v>
      </c>
      <c r="G23">
        <v>12</v>
      </c>
      <c r="H23" s="68" t="n">
        <v>10128.0</v>
      </c>
      <c r="I23" s="68" t="n">
        <v>1735.0</v>
      </c>
      <c r="J23" s="68" t="n">
        <v>966.0</v>
      </c>
      <c r="K23" s="58">
        <f si="2" t="shared"/>
        <v>25327</v>
      </c>
      <c r="L23" s="78">
        <f si="3" t="shared"/>
        <v>3.0264176736004896E-2</v>
      </c>
      <c r="W23" s="8"/>
    </row>
    <row r="24" spans="1:23" x14ac:dyDescent="0.25">
      <c r="A24">
        <v>13</v>
      </c>
      <c r="B24" s="58" t="n">
        <v>16808.44746017562</v>
      </c>
      <c r="C24" s="58" t="n">
        <v>2674.308826467229</v>
      </c>
      <c r="D24" s="58" t="n">
        <v>1269.4748557462453</v>
      </c>
      <c r="E24" s="58">
        <f si="0" t="shared"/>
        <v>20752.231142389093</v>
      </c>
      <c r="F24" s="78">
        <f si="1" t="shared"/>
        <v>2.7296677525073053E-2</v>
      </c>
      <c r="G24">
        <v>13</v>
      </c>
      <c r="H24" s="68" t="n">
        <v>9848.0</v>
      </c>
      <c r="I24" s="68" t="n">
        <v>1705.0</v>
      </c>
      <c r="J24" s="68" t="n">
        <v>1000.0</v>
      </c>
      <c r="K24" s="58">
        <f si="2" t="shared"/>
        <v>25465</v>
      </c>
      <c r="L24" s="78">
        <f si="3" t="shared"/>
        <v>3.0429078081982256E-2</v>
      </c>
      <c r="W24" s="8"/>
    </row>
    <row r="25" spans="1:23" x14ac:dyDescent="0.25">
      <c r="A25">
        <v>14</v>
      </c>
      <c r="B25" s="58" t="n">
        <v>13824.393520055042</v>
      </c>
      <c r="C25" s="58" t="n">
        <v>2524.4995867413045</v>
      </c>
      <c r="D25" s="58" t="n">
        <v>806.5800810241219</v>
      </c>
      <c r="E25" s="58">
        <f si="0" t="shared"/>
        <v>17155.473187820469</v>
      </c>
      <c r="F25" s="78">
        <f si="1" t="shared"/>
        <v>2.2565642035541674E-2</v>
      </c>
      <c r="G25">
        <v>14</v>
      </c>
      <c r="H25" s="68" t="n">
        <v>9900.0</v>
      </c>
      <c r="I25" s="68" t="n">
        <v>1656.0</v>
      </c>
      <c r="J25" s="68" t="n">
        <v>748.0</v>
      </c>
      <c r="K25" s="58">
        <f si="2" t="shared"/>
        <v>25339</v>
      </c>
      <c r="L25" s="78">
        <f si="3" t="shared"/>
        <v>3.0278515983481188E-2</v>
      </c>
      <c r="W25" s="8"/>
    </row>
    <row r="26" spans="1:23" x14ac:dyDescent="0.25">
      <c r="A26">
        <v>15</v>
      </c>
      <c r="B26" s="58" t="n">
        <v>17259.470860239348</v>
      </c>
      <c r="C26" s="58" t="n">
        <v>1552.1933397759135</v>
      </c>
      <c r="D26" s="58" t="n">
        <v>1171.8704218406197</v>
      </c>
      <c r="E26" s="58">
        <f si="0" t="shared"/>
        <v>19983.534621855881</v>
      </c>
      <c r="F26" s="78">
        <f si="1" t="shared"/>
        <v>2.6285564026400584E-2</v>
      </c>
      <c r="G26">
        <v>15</v>
      </c>
      <c r="H26" s="68" t="n">
        <v>11251.0</v>
      </c>
      <c r="I26" s="68" t="n">
        <v>1819.0</v>
      </c>
      <c r="J26" s="68" t="n">
        <v>904.0</v>
      </c>
      <c r="K26" s="58">
        <f si="2" t="shared"/>
        <v>26482</v>
      </c>
      <c r="L26" s="78">
        <f si="3" t="shared"/>
        <v>3.1644329305598039E-2</v>
      </c>
      <c r="W26" s="8"/>
    </row>
    <row r="27" spans="1:23" x14ac:dyDescent="0.25">
      <c r="A27">
        <v>16</v>
      </c>
      <c r="B27" s="58" t="n">
        <v>21261.059038943185</v>
      </c>
      <c r="C27" s="58" t="n">
        <v>3346.2706496368046</v>
      </c>
      <c r="D27" s="58" t="n">
        <v>380.8347892756883</v>
      </c>
      <c r="E27" s="58">
        <f si="0" t="shared"/>
        <v>24988.16447785568</v>
      </c>
      <c r="F27" s="78">
        <f si="1" t="shared"/>
        <v>3.2868459444933981E-2</v>
      </c>
      <c r="G27">
        <v>16</v>
      </c>
      <c r="H27" s="68" t="n">
        <v>10787.0</v>
      </c>
      <c r="I27" s="68" t="n">
        <v>1738.0</v>
      </c>
      <c r="J27" s="68" t="n">
        <v>1054.0</v>
      </c>
      <c r="K27" s="58">
        <f si="2" t="shared"/>
        <v>27341</v>
      </c>
      <c r="L27" s="78">
        <f si="3" t="shared"/>
        <v>3.2670780437442641E-2</v>
      </c>
      <c r="W27" s="8"/>
    </row>
    <row r="28" spans="1:23" x14ac:dyDescent="0.25">
      <c r="A28">
        <v>17</v>
      </c>
      <c r="B28" s="58" t="n">
        <v>21438.73761433902</v>
      </c>
      <c r="C28" s="58" t="n">
        <v>1583.3165180307283</v>
      </c>
      <c r="D28" s="58" t="n">
        <v>526.296882480031</v>
      </c>
      <c r="E28" s="58">
        <f si="0" t="shared"/>
        <v>23548.351014849781</v>
      </c>
      <c r="F28" s="78">
        <f si="1" t="shared"/>
        <v>3.097458482845233E-2</v>
      </c>
      <c r="G28">
        <v>17</v>
      </c>
      <c r="H28" s="68" t="n">
        <v>11118.0</v>
      </c>
      <c r="I28" s="68" t="n">
        <v>1686.0</v>
      </c>
      <c r="J28" s="68" t="n">
        <v>840.0</v>
      </c>
      <c r="K28" s="58">
        <f si="2" t="shared"/>
        <v>27023</v>
      </c>
      <c r="L28" s="78">
        <f si="3" t="shared"/>
        <v>3.2290790379320894E-2</v>
      </c>
      <c r="W28" s="8"/>
    </row>
    <row r="29" spans="1:23" x14ac:dyDescent="0.25">
      <c r="A29">
        <v>18</v>
      </c>
      <c r="B29" s="58" t="n">
        <v>16825.744361960533</v>
      </c>
      <c r="C29" s="58" t="n">
        <v>2804.2603100605347</v>
      </c>
      <c r="D29" s="58" t="n">
        <v>1800.2959718139787</v>
      </c>
      <c r="E29" s="58">
        <f si="0" t="shared"/>
        <v>21430.300643835046</v>
      </c>
      <c r="F29" s="78">
        <f si="1" t="shared"/>
        <v>2.818858376848175E-2</v>
      </c>
      <c r="G29">
        <v>18</v>
      </c>
      <c r="H29" s="68" t="n">
        <v>10979.0</v>
      </c>
      <c r="I29" s="68" t="n">
        <v>1630.0</v>
      </c>
      <c r="J29" s="68" t="n">
        <v>740.0</v>
      </c>
      <c r="K29" s="58">
        <f si="2" t="shared"/>
        <v>29725</v>
      </c>
      <c r="L29" s="78">
        <f si="3" t="shared"/>
        <v>3.5519510936066076E-2</v>
      </c>
      <c r="W29" s="8"/>
    </row>
    <row r="30" spans="1:23" x14ac:dyDescent="0.25">
      <c r="A30">
        <v>19</v>
      </c>
      <c r="B30" s="58" t="n">
        <v>17899.88314507114</v>
      </c>
      <c r="C30" s="58" t="n">
        <v>2067.7201494485766</v>
      </c>
      <c r="D30" s="58" t="n">
        <v>68.9228000295889</v>
      </c>
      <c r="E30" s="58">
        <f si="0" t="shared"/>
        <v>20036.526094549306</v>
      </c>
      <c r="F30" s="78">
        <f si="1" t="shared"/>
        <v>2.6355266948065548E-2</v>
      </c>
      <c r="G30">
        <v>19</v>
      </c>
      <c r="H30" s="68" t="n">
        <v>9871.0</v>
      </c>
      <c r="I30" s="68" t="n">
        <v>1477.0</v>
      </c>
      <c r="J30" s="68" t="n">
        <v>617.0</v>
      </c>
      <c r="K30" s="58">
        <f si="2" t="shared"/>
        <v>28219</v>
      </c>
      <c r="L30" s="78">
        <f si="3" t="shared"/>
        <v>3.3719935377791374E-2</v>
      </c>
      <c r="W30" s="8"/>
    </row>
    <row r="31" spans="1:23" x14ac:dyDescent="0.25">
      <c r="A31">
        <v>20</v>
      </c>
      <c r="B31" s="58" t="n">
        <v>20417.1642296943</v>
      </c>
      <c r="C31" s="58" t="n">
        <v>686.6404431201559</v>
      </c>
      <c r="D31" s="58" t="n">
        <v>967.6031864492064</v>
      </c>
      <c r="E31" s="58">
        <f si="0" t="shared"/>
        <v>22071.407859263662</v>
      </c>
      <c r="F31" s="78">
        <f si="1" t="shared"/>
        <v>2.9031871258799177E-2</v>
      </c>
      <c r="G31">
        <v>20</v>
      </c>
      <c r="H31" s="68" t="n">
        <v>10640.0</v>
      </c>
      <c r="I31" s="68" t="n">
        <v>1448.0</v>
      </c>
      <c r="J31" s="68" t="n">
        <v>590.0</v>
      </c>
      <c r="K31" s="58">
        <f si="2" t="shared"/>
        <v>27243</v>
      </c>
      <c r="L31" s="78">
        <f si="3" t="shared"/>
        <v>3.2553676583052922E-2</v>
      </c>
      <c r="W31" s="8"/>
    </row>
    <row r="32" spans="1:23" x14ac:dyDescent="0.25">
      <c r="A32">
        <v>21</v>
      </c>
      <c r="B32" s="58" t="n">
        <v>14409.493693280254</v>
      </c>
      <c r="C32" s="58" t="n">
        <v>1578.58863704109</v>
      </c>
      <c r="D32" s="58" t="n">
        <v>239.6800294063919</v>
      </c>
      <c r="E32" s="58">
        <f si="0" t="shared"/>
        <v>16227.762359727736</v>
      </c>
      <c r="F32" s="78">
        <f si="1" t="shared"/>
        <v>2.1345367302805132E-2</v>
      </c>
      <c r="G32">
        <v>21</v>
      </c>
      <c r="H32" s="68" t="n">
        <v>11278.0</v>
      </c>
      <c r="I32" s="68" t="n">
        <v>1672.0</v>
      </c>
      <c r="J32" s="68" t="n">
        <v>646.0</v>
      </c>
      <c r="K32" s="58">
        <f si="2" t="shared"/>
        <v>27087</v>
      </c>
      <c r="L32" s="78">
        <f si="3" t="shared"/>
        <v>3.2367266365861118E-2</v>
      </c>
      <c r="W32" s="8"/>
    </row>
    <row r="33" spans="1:23" x14ac:dyDescent="0.25">
      <c r="A33">
        <v>22</v>
      </c>
      <c r="B33" s="58" t="n">
        <v>13951.083364939179</v>
      </c>
      <c r="C33" s="58" t="n">
        <v>3347.4546397515996</v>
      </c>
      <c r="D33" s="58" t="n">
        <v>760.9171084319938</v>
      </c>
      <c r="E33" s="58">
        <f si="0" t="shared"/>
        <v>18059.455113122771</v>
      </c>
      <c r="F33" s="78">
        <f si="1" t="shared"/>
        <v>2.3754704692668133E-2</v>
      </c>
      <c r="G33">
        <v>22</v>
      </c>
      <c r="H33" s="68" t="n">
        <v>11706.0</v>
      </c>
      <c r="I33" s="68" t="n">
        <v>1739.0</v>
      </c>
      <c r="J33" s="68" t="n">
        <v>631.0</v>
      </c>
      <c r="K33" s="58">
        <f si="2" t="shared"/>
        <v>26873</v>
      </c>
      <c r="L33" s="78">
        <f si="3" t="shared"/>
        <v>3.2111549785867236E-2</v>
      </c>
      <c r="W33" s="8"/>
    </row>
    <row r="34" spans="1:23" x14ac:dyDescent="0.25">
      <c r="A34">
        <v>23</v>
      </c>
      <c r="B34" s="58" t="n">
        <v>13035.112058533854</v>
      </c>
      <c r="C34" s="58" t="n">
        <v>965.3869835570488</v>
      </c>
      <c r="D34" s="58" t="n">
        <v>58.3956621527386</v>
      </c>
      <c r="E34" s="58">
        <f si="0" t="shared"/>
        <v>14058.894704243641</v>
      </c>
      <c r="F34" s="78">
        <f si="1" t="shared"/>
        <v>1.849252316377754E-2</v>
      </c>
      <c r="G34">
        <v>23</v>
      </c>
      <c r="H34" s="68" t="n">
        <v>11022.0</v>
      </c>
      <c r="I34" s="68" t="n">
        <v>1553.0</v>
      </c>
      <c r="J34" s="68" t="n">
        <v>716.0</v>
      </c>
      <c r="K34" s="58">
        <f si="2" t="shared"/>
        <v>26330</v>
      </c>
      <c r="L34" s="78">
        <f si="3" t="shared"/>
        <v>3.1462698837565008E-2</v>
      </c>
      <c r="W34" s="8"/>
    </row>
    <row r="35" spans="1:23" x14ac:dyDescent="0.25">
      <c r="A35">
        <v>24</v>
      </c>
      <c r="B35" s="58" t="n">
        <v>15148.758640931956</v>
      </c>
      <c r="C35" s="58" t="n">
        <v>656.2547599590331</v>
      </c>
      <c r="D35" s="58" t="n">
        <v>635.4317363490251</v>
      </c>
      <c r="E35" s="58">
        <f si="0" t="shared"/>
        <v>16440.445137240014</v>
      </c>
      <c r="F35" s="78">
        <f si="1" t="shared"/>
        <v>2.1625121954392014E-2</v>
      </c>
      <c r="G35">
        <v>24</v>
      </c>
      <c r="H35" s="68" t="n">
        <v>12103.0</v>
      </c>
      <c r="I35" s="68" t="n">
        <v>1633.0</v>
      </c>
      <c r="J35" s="68" t="n">
        <v>655.0</v>
      </c>
      <c r="K35" s="58">
        <f si="2" t="shared"/>
        <v>24965</v>
      </c>
      <c r="L35" s="78">
        <f si="3" t="shared"/>
        <v>2.9831609437136739E-2</v>
      </c>
      <c r="W35" s="8"/>
    </row>
    <row r="36" spans="1:23" x14ac:dyDescent="0.25">
      <c r="A36">
        <v>25</v>
      </c>
      <c r="B36" s="58" t="n">
        <v>16270.12286579213</v>
      </c>
      <c r="C36" s="58" t="n">
        <v>1899.7468109792885</v>
      </c>
      <c r="D36" s="58" t="n">
        <v>0.0</v>
      </c>
      <c r="E36" s="58">
        <f si="0" t="shared"/>
        <v>18169.869676771417</v>
      </c>
      <c r="F36" s="78">
        <f si="1" t="shared"/>
        <v>2.3899939714257322E-2</v>
      </c>
      <c r="G36">
        <v>25</v>
      </c>
      <c r="H36" s="68" t="n">
        <v>11734.0</v>
      </c>
      <c r="I36" s="68" t="n">
        <v>1518.0</v>
      </c>
      <c r="J36" s="68" t="n">
        <v>653.0</v>
      </c>
      <c r="K36" s="58">
        <f si="2" t="shared"/>
        <v>23501</v>
      </c>
      <c r="L36" s="78">
        <f si="3" t="shared"/>
        <v>2.8082221245029061E-2</v>
      </c>
      <c r="W36" s="8"/>
    </row>
    <row r="37" spans="1:23" x14ac:dyDescent="0.25">
      <c r="A37">
        <v>26</v>
      </c>
      <c r="B37" s="58" t="n">
        <v>15910.997564148822</v>
      </c>
      <c r="C37" s="58" t="n">
        <v>601.579712324857</v>
      </c>
      <c r="D37" s="58" t="n">
        <v>0.0</v>
      </c>
      <c r="E37" s="58">
        <f si="0" t="shared"/>
        <v>16512.577276473679</v>
      </c>
      <c r="F37" s="78">
        <f si="1" t="shared"/>
        <v>2.1720001764198738E-2</v>
      </c>
      <c r="G37">
        <v>26</v>
      </c>
      <c r="H37" s="68" t="n">
        <v>12481.0</v>
      </c>
      <c r="I37" s="68" t="n">
        <v>1567.0</v>
      </c>
      <c r="J37" s="68" t="n">
        <v>620.0</v>
      </c>
      <c r="K37" s="58">
        <f si="2" t="shared"/>
        <v>22221</v>
      </c>
      <c r="L37" s="78">
        <f si="3" t="shared"/>
        <v>2.6552701514224532E-2</v>
      </c>
      <c r="W37" s="8"/>
    </row>
    <row r="38" spans="1:23" x14ac:dyDescent="0.25">
      <c r="A38">
        <v>27</v>
      </c>
      <c r="B38" s="58" t="n">
        <v>12544.635744165973</v>
      </c>
      <c r="C38" s="58" t="n">
        <v>1468.61009262243</v>
      </c>
      <c r="D38" s="58" t="n">
        <v>101.5343448758353</v>
      </c>
      <c r="E38" s="58">
        <f si="0" t="shared"/>
        <v>14114.780181664239</v>
      </c>
      <c r="F38" s="78">
        <f si="1" t="shared"/>
        <v>1.8566032746675776E-2</v>
      </c>
      <c r="G38">
        <v>27</v>
      </c>
      <c r="H38" s="68" t="n">
        <v>12033.0</v>
      </c>
      <c r="I38" s="68" t="n">
        <v>1585.0</v>
      </c>
      <c r="J38" s="68" t="n">
        <v>506.0</v>
      </c>
      <c r="K38" s="58">
        <f si="2" t="shared"/>
        <v>21582</v>
      </c>
      <c r="L38" s="78">
        <f si="3" t="shared"/>
        <v>2.5789136586111962E-2</v>
      </c>
      <c r="W38" s="8"/>
    </row>
    <row r="39" spans="1:23" x14ac:dyDescent="0.25">
      <c r="A39">
        <v>28</v>
      </c>
      <c r="B39" s="58" t="n">
        <v>11051.128564127346</v>
      </c>
      <c r="C39" s="58" t="n">
        <v>382.2875755398966</v>
      </c>
      <c r="D39" s="58" t="n">
        <v>325.6280038138546</v>
      </c>
      <c r="E39" s="58">
        <f si="0" t="shared"/>
        <v>11759.044143481096</v>
      </c>
      <c r="F39" s="78">
        <f si="1" t="shared"/>
        <v>1.5467389206746725E-2</v>
      </c>
      <c r="G39">
        <v>28</v>
      </c>
      <c r="H39" s="68" t="n">
        <v>12641.0</v>
      </c>
      <c r="I39" s="68" t="n">
        <v>1576.0</v>
      </c>
      <c r="J39" s="68" t="n">
        <v>531.0</v>
      </c>
      <c r="K39" s="58">
        <f si="2" t="shared"/>
        <v>19748</v>
      </c>
      <c r="L39" s="78">
        <f si="3" t="shared"/>
        <v>2.3597621596818601E-2</v>
      </c>
      <c r="W39" s="8"/>
    </row>
    <row r="40" spans="1:23" x14ac:dyDescent="0.25">
      <c r="A40">
        <v>29</v>
      </c>
      <c r="B40" s="58" t="n">
        <v>12871.78041530644</v>
      </c>
      <c r="C40" s="58" t="n">
        <v>129.4249224980688</v>
      </c>
      <c r="D40" s="58" t="n">
        <v>1919.6605532149972</v>
      </c>
      <c r="E40" s="58">
        <f si="0" t="shared"/>
        <v>14920.865891019506</v>
      </c>
      <c r="F40" s="78">
        <f si="1" t="shared"/>
        <v>1.9626326529781132E-2</v>
      </c>
      <c r="G40">
        <v>29</v>
      </c>
      <c r="H40" s="68" t="n">
        <v>12391.0</v>
      </c>
      <c r="I40" s="68" t="n">
        <v>1428.0</v>
      </c>
      <c r="J40" s="68" t="n">
        <v>553.0</v>
      </c>
      <c r="K40" s="58">
        <f si="2" t="shared"/>
        <v>18025</v>
      </c>
      <c r="L40" s="78">
        <f si="3" t="shared"/>
        <v>2.1538744646680943E-2</v>
      </c>
      <c r="W40" s="8"/>
    </row>
    <row r="41" spans="1:23" x14ac:dyDescent="0.25">
      <c r="A41">
        <v>30</v>
      </c>
      <c r="B41" s="58" t="n">
        <v>12537.037022128417</v>
      </c>
      <c r="C41" s="58" t="n">
        <v>3084.2756533077854</v>
      </c>
      <c r="D41" s="58" t="n">
        <v>68.1488891680358</v>
      </c>
      <c r="E41" s="58">
        <f si="0" t="shared"/>
        <v>15689.461564604238</v>
      </c>
      <c r="F41" s="78">
        <f si="1" t="shared"/>
        <v>2.0637307378300798E-2</v>
      </c>
      <c r="G41">
        <v>30</v>
      </c>
      <c r="H41" s="68" t="n">
        <v>12781.0</v>
      </c>
      <c r="I41" s="68" t="n">
        <v>1488.0</v>
      </c>
      <c r="J41" s="68" t="n">
        <v>505.0</v>
      </c>
      <c r="K41" s="58">
        <f si="2" t="shared"/>
        <v>18010</v>
      </c>
      <c r="L41" s="78">
        <f si="3" t="shared"/>
        <v>2.1520820587335576E-2</v>
      </c>
      <c r="W41" s="8"/>
    </row>
    <row r="42" spans="1:23" x14ac:dyDescent="0.25">
      <c r="A42">
        <v>31</v>
      </c>
      <c r="B42" s="58" t="n">
        <v>13949.193005787942</v>
      </c>
      <c r="C42" s="58" t="n">
        <v>1037.323563512189</v>
      </c>
      <c r="D42" s="58" t="n">
        <v>51.7457464099323</v>
      </c>
      <c r="E42" s="58">
        <f si="0" t="shared"/>
        <v>15038.262315710062</v>
      </c>
      <c r="F42" s="78">
        <f si="1" t="shared"/>
        <v>1.9780745219770999E-2</v>
      </c>
      <c r="G42">
        <v>31</v>
      </c>
      <c r="H42" s="68" t="n">
        <v>11973.0</v>
      </c>
      <c r="I42" s="68" t="n">
        <v>1469.0</v>
      </c>
      <c r="J42" s="68" t="n">
        <v>460.0</v>
      </c>
      <c r="K42" s="58">
        <f si="2" t="shared"/>
        <v>16614</v>
      </c>
      <c r="L42" s="78">
        <f si="3" t="shared"/>
        <v>1.9852688130926888E-2</v>
      </c>
      <c r="W42" s="8"/>
    </row>
    <row r="43" spans="1:23" x14ac:dyDescent="0.25">
      <c r="A43">
        <v>32</v>
      </c>
      <c r="B43" s="58" t="n">
        <v>6775.330802611381</v>
      </c>
      <c r="C43" s="58" t="n">
        <v>640.0423687462834</v>
      </c>
      <c r="D43" s="58" t="n">
        <v>318.806867980183</v>
      </c>
      <c r="E43" s="58">
        <f si="0" t="shared"/>
        <v>7734.1800393378471</v>
      </c>
      <c r="F43" s="78">
        <f si="1" t="shared"/>
        <v>1.0173239542587189E-2</v>
      </c>
      <c r="G43">
        <v>32</v>
      </c>
      <c r="H43" s="68" t="n">
        <v>11588.0</v>
      </c>
      <c r="I43" s="68" t="n">
        <v>1343.0</v>
      </c>
      <c r="J43" s="68" t="n">
        <v>494.0</v>
      </c>
      <c r="K43" s="58">
        <f si="2" t="shared"/>
        <v>16083</v>
      </c>
      <c r="L43" s="78">
        <f si="3" t="shared"/>
        <v>1.9218176430100948E-2</v>
      </c>
      <c r="W43" s="8"/>
    </row>
    <row r="44" spans="1:23" x14ac:dyDescent="0.25">
      <c r="A44">
        <v>33</v>
      </c>
      <c r="B44" s="58" t="n">
        <v>14947.071661461194</v>
      </c>
      <c r="C44" s="58" t="n">
        <v>424.7096707097777</v>
      </c>
      <c r="D44" s="58" t="n">
        <v>278.0770034558621</v>
      </c>
      <c r="E44" s="58">
        <f si="0" t="shared"/>
        <v>15649.858335626834</v>
      </c>
      <c r="F44" s="78">
        <f si="1" t="shared"/>
        <v>2.0585214831579896E-2</v>
      </c>
      <c r="G44">
        <v>33</v>
      </c>
      <c r="H44" s="68" t="n">
        <v>12069.0</v>
      </c>
      <c r="I44" s="68" t="n">
        <v>1406.0</v>
      </c>
      <c r="J44" s="68" t="n">
        <v>628.0</v>
      </c>
      <c r="K44" s="58">
        <f si="2" t="shared"/>
        <v>15057</v>
      </c>
      <c r="L44" s="78">
        <f si="3" t="shared"/>
        <v>1.7992170770877943E-2</v>
      </c>
      <c r="W44" s="8"/>
    </row>
    <row r="45" spans="1:23" x14ac:dyDescent="0.25">
      <c r="A45">
        <v>34</v>
      </c>
      <c r="B45" s="58" t="n">
        <v>9850.072007781448</v>
      </c>
      <c r="C45" s="58" t="n">
        <v>876.9122023848998</v>
      </c>
      <c r="D45" s="58" t="n">
        <v>0.0</v>
      </c>
      <c r="E45" s="58">
        <f si="0" t="shared"/>
        <v>10726.984210166347</v>
      </c>
      <c r="F45" s="78">
        <f si="1" t="shared"/>
        <v>1.4109857720472145E-2</v>
      </c>
      <c r="G45">
        <v>34</v>
      </c>
      <c r="H45" s="68" t="n">
        <v>12487.0</v>
      </c>
      <c r="I45" s="68" t="n">
        <v>1440.0</v>
      </c>
      <c r="J45" s="68" t="n">
        <v>502.0</v>
      </c>
      <c r="K45" s="58">
        <f si="2" t="shared"/>
        <v>14189</v>
      </c>
      <c r="L45" s="78">
        <f si="3" t="shared"/>
        <v>1.6954965203426126E-2</v>
      </c>
      <c r="W45" s="8"/>
    </row>
    <row r="46" spans="1:23" x14ac:dyDescent="0.25">
      <c r="A46">
        <v>35</v>
      </c>
      <c r="B46" s="58" t="n">
        <v>6788.102341199074</v>
      </c>
      <c r="C46" s="58" t="n">
        <v>119.0317758551287</v>
      </c>
      <c r="D46" s="58" t="n">
        <v>0.0</v>
      </c>
      <c r="E46" s="58">
        <f si="0" t="shared"/>
        <v>6907.1341170542028</v>
      </c>
      <c r="F46" s="78">
        <f si="1" t="shared"/>
        <v>9.0853755108065426E-3</v>
      </c>
      <c r="G46">
        <v>35</v>
      </c>
      <c r="H46" s="68" t="n">
        <v>11707.0</v>
      </c>
      <c r="I46" s="68" t="n">
        <v>1342.0</v>
      </c>
      <c r="J46" s="68" t="n">
        <v>489.0</v>
      </c>
      <c r="K46" s="58">
        <f si="2" t="shared"/>
        <v>13519</v>
      </c>
      <c r="L46" s="78">
        <f si="3" t="shared"/>
        <v>1.6154357219333129E-2</v>
      </c>
      <c r="W46" s="8"/>
    </row>
    <row r="47" spans="1:23" x14ac:dyDescent="0.25">
      <c r="A47">
        <v>36</v>
      </c>
      <c r="B47" s="58" t="n">
        <v>8664.261126730426</v>
      </c>
      <c r="C47" s="58" t="n">
        <v>580.2250883078094</v>
      </c>
      <c r="D47" s="58" t="n">
        <v>0.0</v>
      </c>
      <c r="E47" s="58">
        <f si="0" t="shared"/>
        <v>9244.4862150382341</v>
      </c>
      <c r="F47" s="78">
        <f si="1" t="shared"/>
        <v>1.215983753098419E-2</v>
      </c>
      <c r="G47">
        <v>36</v>
      </c>
      <c r="H47" s="68" t="n">
        <v>11799.0</v>
      </c>
      <c r="I47" s="68" t="n">
        <v>1336.0</v>
      </c>
      <c r="J47" s="68" t="n">
        <v>465.0</v>
      </c>
      <c r="K47" s="58">
        <f si="2" t="shared"/>
        <v>12933</v>
      </c>
      <c r="L47" s="78">
        <f si="3" t="shared"/>
        <v>1.5454123967574182E-2</v>
      </c>
      <c r="W47" s="8"/>
    </row>
    <row r="48" spans="1:23" x14ac:dyDescent="0.25">
      <c r="A48">
        <v>37</v>
      </c>
      <c r="B48" s="58" t="n">
        <v>8680.872334878048</v>
      </c>
      <c r="C48" s="58" t="n">
        <v>938.2563441749679</v>
      </c>
      <c r="D48" s="58" t="n">
        <v>71.691743880085</v>
      </c>
      <c r="E48" s="58">
        <f si="0" t="shared"/>
        <v>9690.8204229331004</v>
      </c>
      <c r="F48" s="78">
        <f si="1" t="shared"/>
        <v>1.2746928184404527E-2</v>
      </c>
      <c r="G48">
        <v>37</v>
      </c>
      <c r="H48" s="68" t="n">
        <v>10381.0</v>
      </c>
      <c r="I48" s="68" t="n">
        <v>1193.0</v>
      </c>
      <c r="J48" s="68" t="n">
        <v>395.0</v>
      </c>
      <c r="K48" s="58">
        <f si="2" t="shared"/>
        <v>13040</v>
      </c>
      <c r="L48" s="78">
        <f si="3" t="shared"/>
        <v>1.5581982257571122E-2</v>
      </c>
      <c r="W48" s="8"/>
    </row>
    <row r="49" spans="1:23" x14ac:dyDescent="0.25">
      <c r="A49">
        <v>38</v>
      </c>
      <c r="B49" s="58" t="n">
        <v>7851.007722536484</v>
      </c>
      <c r="C49" s="58" t="n">
        <v>884.4153138185707</v>
      </c>
      <c r="D49" s="58" t="n">
        <v>448.63830295657</v>
      </c>
      <c r="E49" s="58">
        <f si="0" t="shared"/>
        <v>9184.0613393116237</v>
      </c>
      <c r="F49" s="78">
        <f si="1" t="shared"/>
        <v>1.2080357000149471E-2</v>
      </c>
      <c r="G49">
        <v>38</v>
      </c>
      <c r="H49" s="68" t="n">
        <v>10196.0</v>
      </c>
      <c r="I49" s="68" t="n">
        <v>1172.0</v>
      </c>
      <c r="J49" s="68" t="n">
        <v>431.0</v>
      </c>
      <c r="K49" s="58">
        <f si="2" t="shared"/>
        <v>11256</v>
      </c>
      <c r="L49" s="78">
        <f si="3" t="shared"/>
        <v>1.3450214132762312E-2</v>
      </c>
      <c r="W49" s="8"/>
    </row>
    <row r="50" spans="1:23" x14ac:dyDescent="0.25">
      <c r="A50">
        <v>39</v>
      </c>
      <c r="B50" s="58" t="n">
        <v>12030.619466569213</v>
      </c>
      <c r="C50" s="58" t="n">
        <v>1005.9717443779173</v>
      </c>
      <c r="D50" s="58" t="n">
        <v>0.0</v>
      </c>
      <c r="E50" s="58">
        <f si="0" t="shared"/>
        <v>13036.59121094713</v>
      </c>
      <c r="F50" s="78">
        <f si="1" t="shared"/>
        <v>1.7147824919150245E-2</v>
      </c>
      <c r="G50">
        <v>39</v>
      </c>
      <c r="H50" s="68" t="n">
        <v>10670.0</v>
      </c>
      <c r="I50" s="68" t="n">
        <v>1185.0</v>
      </c>
      <c r="J50" s="68" t="n">
        <v>407.0</v>
      </c>
      <c r="K50" s="58">
        <f si="2" t="shared"/>
        <v>10920</v>
      </c>
      <c r="L50" s="78">
        <f si="3" t="shared"/>
        <v>1.3048715203426124E-2</v>
      </c>
      <c r="W50" s="8"/>
    </row>
    <row r="51" spans="1:23" x14ac:dyDescent="0.25">
      <c r="A51">
        <v>40</v>
      </c>
      <c r="B51" s="58" t="n">
        <v>8203.12322439326</v>
      </c>
      <c r="C51" s="58" t="n">
        <v>456.6686581005148</v>
      </c>
      <c r="D51" s="58" t="n">
        <v>230.175739217511</v>
      </c>
      <c r="E51" s="58">
        <f si="0" t="shared"/>
        <v>8889.9676217112865</v>
      </c>
      <c r="F51" s="78">
        <f si="1" t="shared"/>
        <v>1.1693517565083206E-2</v>
      </c>
      <c r="G51">
        <v>40</v>
      </c>
      <c r="H51" s="68" t="n">
        <v>10549.0</v>
      </c>
      <c r="I51" s="68" t="n">
        <v>1154.0</v>
      </c>
      <c r="J51" s="68" t="n">
        <v>376.0</v>
      </c>
      <c r="K51" s="58">
        <f si="2" t="shared"/>
        <v>9253</v>
      </c>
      <c r="L51" s="78">
        <f si="3" t="shared"/>
        <v>1.1056754741511165E-2</v>
      </c>
      <c r="W51" s="8"/>
    </row>
    <row r="52" spans="1:23" x14ac:dyDescent="0.25">
      <c r="A52">
        <v>41</v>
      </c>
      <c r="B52" s="58" t="n">
        <v>11057.196180396837</v>
      </c>
      <c r="C52" s="58" t="n">
        <v>266.78904879117306</v>
      </c>
      <c r="D52" s="58" t="n">
        <v>73.5714351637304</v>
      </c>
      <c r="E52" s="58">
        <f si="0" t="shared"/>
        <v>11397.556664351741</v>
      </c>
      <c r="F52" s="78">
        <f si="1" t="shared"/>
        <v>1.4991902639570336E-2</v>
      </c>
      <c r="G52">
        <v>41</v>
      </c>
      <c r="H52" s="68" t="n">
        <v>10420.0</v>
      </c>
      <c r="I52" s="68" t="n">
        <v>1123.0</v>
      </c>
      <c r="J52" s="68" t="n">
        <v>363.0</v>
      </c>
      <c r="K52" s="58">
        <f si="2" t="shared"/>
        <v>9177</v>
      </c>
      <c r="L52" s="78">
        <f si="3" t="shared"/>
        <v>1.0965939507494646E-2</v>
      </c>
      <c r="W52" s="8"/>
    </row>
    <row r="53" spans="1:23" x14ac:dyDescent="0.25">
      <c r="A53">
        <v>42</v>
      </c>
      <c r="B53" s="58" t="n">
        <v>8620.527167694863</v>
      </c>
      <c r="C53" s="58" t="n">
        <v>634.297124572506</v>
      </c>
      <c r="D53" s="58" t="n">
        <v>365.033257044256</v>
      </c>
      <c r="E53" s="58">
        <f si="0" t="shared"/>
        <v>9619.8575493116241</v>
      </c>
      <c r="F53" s="78">
        <f si="1" t="shared"/>
        <v>1.2653586381096387E-2</v>
      </c>
      <c r="G53">
        <v>42</v>
      </c>
      <c r="H53" s="68" t="n">
        <v>9581.0</v>
      </c>
      <c r="I53" s="68" t="n">
        <v>1126.0</v>
      </c>
      <c r="J53" s="68" t="n">
        <v>337.0</v>
      </c>
      <c r="K53" s="58">
        <f si="2" t="shared"/>
        <v>9125</v>
      </c>
      <c r="L53" s="78">
        <f si="3" t="shared"/>
        <v>1.0903802768430712E-2</v>
      </c>
      <c r="W53" s="8"/>
    </row>
    <row r="54" spans="1:23" x14ac:dyDescent="0.25">
      <c r="A54">
        <v>43</v>
      </c>
      <c r="B54" s="58" t="n">
        <v>8566.641749023927</v>
      </c>
      <c r="C54" s="58" t="n">
        <v>1041.1590750767232</v>
      </c>
      <c r="D54" s="58" t="n">
        <v>0.0</v>
      </c>
      <c r="E54" s="58">
        <f si="0" t="shared"/>
        <v>9607.8008241006501</v>
      </c>
      <c r="F54" s="78">
        <f si="1" t="shared"/>
        <v>1.2637727433794084E-2</v>
      </c>
      <c r="G54">
        <v>43</v>
      </c>
      <c r="H54" s="68" t="n">
        <v>9040.0</v>
      </c>
      <c r="I54" s="68" t="n">
        <v>932.0</v>
      </c>
      <c r="J54" s="68" t="n">
        <v>309.0</v>
      </c>
      <c r="K54" s="58">
        <f si="2" t="shared"/>
        <v>7342</v>
      </c>
      <c r="L54" s="78">
        <f si="3" t="shared"/>
        <v>8.7732295809115936E-3</v>
      </c>
      <c r="W54" s="8"/>
    </row>
    <row r="55" spans="1:23" x14ac:dyDescent="0.25">
      <c r="A55">
        <v>44</v>
      </c>
      <c r="B55" s="58" t="n">
        <v>7098.636441479222</v>
      </c>
      <c r="C55" s="58" t="n">
        <v>516.8510183980547</v>
      </c>
      <c r="D55" s="58" t="n">
        <v>194.07811905738112</v>
      </c>
      <c r="E55" s="58">
        <f si="0" t="shared"/>
        <v>7809.5655789346574</v>
      </c>
      <c r="F55" s="78">
        <f si="1" t="shared"/>
        <v>1.0272398748665252E-2</v>
      </c>
      <c r="G55">
        <v>44</v>
      </c>
      <c r="H55" s="68" t="n">
        <v>9616.0</v>
      </c>
      <c r="I55" s="68" t="n">
        <v>1040.0</v>
      </c>
      <c r="J55" s="68" t="n">
        <v>328.0</v>
      </c>
      <c r="K55" s="58">
        <f si="2" t="shared"/>
        <v>6725</v>
      </c>
      <c r="L55" s="78">
        <f si="3" t="shared"/>
        <v>8.0359532731722246E-3</v>
      </c>
      <c r="W55" s="8"/>
    </row>
    <row r="56" spans="1:23" x14ac:dyDescent="0.25">
      <c r="A56">
        <v>45</v>
      </c>
      <c r="B56" s="58" t="n">
        <v>7682.06687958393</v>
      </c>
      <c r="C56" s="58" t="n">
        <v>256.0159603124378</v>
      </c>
      <c r="D56" s="58" t="n">
        <v>168.982310735466</v>
      </c>
      <c r="E56" s="58">
        <f si="0" t="shared"/>
        <v>8107.0651506318336</v>
      </c>
      <c r="F56" s="78">
        <f si="1" t="shared"/>
        <v>1.066371811171328E-2</v>
      </c>
      <c r="G56">
        <v>45</v>
      </c>
      <c r="H56" s="68" t="n">
        <v>8678.0</v>
      </c>
      <c r="I56" s="68" t="n">
        <v>895.0</v>
      </c>
      <c r="J56" s="68" t="n">
        <v>295.0</v>
      </c>
      <c r="K56" s="58">
        <f si="2" t="shared"/>
        <v>5812</v>
      </c>
      <c r="L56" s="78">
        <f si="3" t="shared"/>
        <v>6.9449755276843068E-3</v>
      </c>
      <c r="W56" s="8"/>
    </row>
    <row r="57" spans="1:23" x14ac:dyDescent="0.25">
      <c r="A57">
        <v>46</v>
      </c>
      <c r="B57" s="58" t="n">
        <v>7338.0121858839775</v>
      </c>
      <c r="C57" s="58" t="n">
        <v>205.4733105646292</v>
      </c>
      <c r="D57" s="58" t="n">
        <v>0.0</v>
      </c>
      <c r="E57" s="58">
        <f si="0" t="shared"/>
        <v>7543.4854964486067</v>
      </c>
      <c r="F57" s="78">
        <f si="1" t="shared"/>
        <v>9.922407359419844E-3</v>
      </c>
      <c r="G57">
        <v>46</v>
      </c>
      <c r="H57" s="68" t="n">
        <v>8382.0</v>
      </c>
      <c r="I57" s="68" t="n">
        <v>884.0</v>
      </c>
      <c r="J57" s="68" t="n">
        <v>287.0</v>
      </c>
      <c r="K57" s="58">
        <f si="2" t="shared"/>
        <v>5432</v>
      </c>
      <c r="L57" s="78">
        <f si="3" t="shared"/>
        <v>6.4908993576017135E-3</v>
      </c>
      <c r="W57" s="8"/>
    </row>
    <row r="58" spans="1:23" x14ac:dyDescent="0.25">
      <c r="A58">
        <v>47</v>
      </c>
      <c r="B58" s="58" t="n">
        <v>6328.939774558415</v>
      </c>
      <c r="C58" s="58" t="n">
        <v>181.82318152598782</v>
      </c>
      <c r="D58" s="58" t="n">
        <v>0.0</v>
      </c>
      <c r="E58" s="58">
        <f si="0" t="shared"/>
        <v>6510.7629560844025</v>
      </c>
      <c r="F58" s="78">
        <f si="1" t="shared"/>
        <v>8.5640043056096713E-3</v>
      </c>
      <c r="G58">
        <v>47</v>
      </c>
      <c r="H58" s="68" t="n">
        <v>7815.0</v>
      </c>
      <c r="I58" s="68" t="n">
        <v>869.0</v>
      </c>
      <c r="J58" s="68" t="n">
        <v>277.0</v>
      </c>
      <c r="K58" s="58">
        <f si="2" t="shared"/>
        <v>4588</v>
      </c>
      <c r="L58" s="78">
        <f si="3" t="shared"/>
        <v>5.4823722851024782E-3</v>
      </c>
      <c r="W58" s="8"/>
    </row>
    <row r="59" spans="1:23" x14ac:dyDescent="0.25">
      <c r="A59">
        <v>48</v>
      </c>
      <c r="B59" s="58" t="n">
        <v>3073.844193901535</v>
      </c>
      <c r="C59" s="58" t="n">
        <v>541.8264136620628</v>
      </c>
      <c r="D59" s="58" t="n">
        <v>1003.06021566327</v>
      </c>
      <c r="E59" s="58">
        <f si="0" t="shared"/>
        <v>4618.7308232268679</v>
      </c>
      <c r="F59" s="78">
        <f si="1" t="shared"/>
        <v>6.0752988433717178E-3</v>
      </c>
      <c r="G59">
        <v>48</v>
      </c>
      <c r="H59" s="68" t="n">
        <v>7530.0</v>
      </c>
      <c r="I59" s="68" t="n">
        <v>842.0</v>
      </c>
      <c r="J59" s="68" t="n">
        <v>238.0</v>
      </c>
      <c r="K59" s="58">
        <f si="2" t="shared"/>
        <v>4081</v>
      </c>
      <c r="L59" s="78">
        <f si="3" t="shared"/>
        <v>4.8765390792291224E-3</v>
      </c>
      <c r="W59" s="8"/>
    </row>
    <row r="60" spans="1:23" x14ac:dyDescent="0.25">
      <c r="A60">
        <v>49</v>
      </c>
      <c r="B60" s="58" t="n">
        <v>4671.174765960227</v>
      </c>
      <c r="C60" s="58" t="n">
        <v>397.29948972911296</v>
      </c>
      <c r="D60" s="58" t="n">
        <v>0.0</v>
      </c>
      <c r="E60" s="58">
        <f si="0" t="shared"/>
        <v>5068.4742556893398</v>
      </c>
      <c r="F60" s="78">
        <f si="1" t="shared"/>
        <v>6.6668738581599461E-3</v>
      </c>
      <c r="G60">
        <v>49</v>
      </c>
      <c r="H60" s="68" t="n">
        <v>7579.0</v>
      </c>
      <c r="I60" s="68" t="n">
        <v>785.0</v>
      </c>
      <c r="J60" s="68" t="n">
        <v>252.0</v>
      </c>
      <c r="K60" s="58">
        <f si="2" t="shared"/>
        <v>3667</v>
      </c>
      <c r="L60" s="78">
        <f si="3" t="shared"/>
        <v>4.3818350412970324E-3</v>
      </c>
      <c r="W60" s="8"/>
    </row>
    <row r="61" spans="1:23" x14ac:dyDescent="0.25">
      <c r="A61">
        <v>50</v>
      </c>
      <c r="B61" s="58" t="n">
        <v>6299.520041048924</v>
      </c>
      <c r="C61" s="58" t="n">
        <v>490.737534067387</v>
      </c>
      <c r="D61" s="58" t="n">
        <v>49.9281464489731</v>
      </c>
      <c r="E61" s="58">
        <f si="0" t="shared"/>
        <v>6840.1857215652844</v>
      </c>
      <c r="F61" s="78">
        <f si="1" t="shared"/>
        <v>8.9973141958595813E-3</v>
      </c>
      <c r="G61">
        <v>50</v>
      </c>
      <c r="H61" s="68" t="n">
        <v>7056.0</v>
      </c>
      <c r="I61" s="68" t="n">
        <v>756.0</v>
      </c>
      <c r="J61" s="68" t="n">
        <v>223.0</v>
      </c>
      <c r="K61" s="58">
        <f si="2" t="shared"/>
        <v>3065</v>
      </c>
      <c r="L61" s="78">
        <f si="3" t="shared"/>
        <v>3.6624827929030283E-3</v>
      </c>
      <c r="W61" s="8"/>
    </row>
    <row r="62" spans="1:23" x14ac:dyDescent="0.25">
      <c r="A62">
        <v>51</v>
      </c>
      <c r="B62" s="58" t="n">
        <v>3827.44840119186</v>
      </c>
      <c r="C62" s="58" t="n">
        <v>303.3468370971715</v>
      </c>
      <c r="D62" s="58" t="n">
        <v>0.0</v>
      </c>
      <c r="E62" s="58">
        <f si="0" t="shared"/>
        <v>4130.7952382890317</v>
      </c>
      <c r="F62" s="78">
        <f si="1" t="shared"/>
        <v>5.4334873569985634E-3</v>
      </c>
      <c r="G62">
        <v>51</v>
      </c>
      <c r="H62" s="68" t="n">
        <v>7042.0</v>
      </c>
      <c r="I62" s="68" t="n">
        <v>759.0</v>
      </c>
      <c r="J62" s="68" t="n">
        <v>252.0</v>
      </c>
      <c r="K62" s="58">
        <f si="2" t="shared"/>
        <v>2728</v>
      </c>
      <c r="L62" s="78">
        <f si="3" t="shared"/>
        <v>3.2597889262771492E-3</v>
      </c>
      <c r="W62" s="8"/>
    </row>
    <row r="63" spans="1:23" x14ac:dyDescent="0.25">
      <c r="A63">
        <v>52</v>
      </c>
      <c r="B63" s="58" t="n">
        <v>2768.9990355440077</v>
      </c>
      <c r="C63" s="58" t="n">
        <v>603.9729959983617</v>
      </c>
      <c r="D63" s="58" t="n">
        <v>0.0</v>
      </c>
      <c r="E63" s="58">
        <f si="0" t="shared"/>
        <v>3372.9720315423692</v>
      </c>
      <c r="F63" s="78">
        <f si="1" t="shared"/>
        <v>4.4366761922787134E-3</v>
      </c>
      <c r="G63">
        <v>52</v>
      </c>
      <c r="H63" s="68" t="n">
        <v>7157.0</v>
      </c>
      <c r="I63" s="68" t="n">
        <v>738.0</v>
      </c>
      <c r="J63" s="68" t="n">
        <v>257.0</v>
      </c>
      <c r="K63" s="58">
        <f si="2" t="shared"/>
        <v>2575</v>
      </c>
      <c r="L63" s="78">
        <f si="3" t="shared"/>
        <v>3.0769635209544205E-3</v>
      </c>
      <c r="W63" s="8"/>
    </row>
    <row r="64" spans="1:23" x14ac:dyDescent="0.25">
      <c r="A64">
        <v>53</v>
      </c>
      <c r="B64" s="58" t="n">
        <v>2661.689011179615</v>
      </c>
      <c r="C64" s="58" t="n">
        <v>0.0</v>
      </c>
      <c r="D64" s="58" t="n">
        <v>58.3956621527386</v>
      </c>
      <c r="E64" s="58">
        <f si="0" t="shared"/>
        <v>2720.0846733323538</v>
      </c>
      <c r="F64" s="78">
        <f si="1" t="shared"/>
        <v>3.5778935604270173E-3</v>
      </c>
      <c r="G64">
        <v>53</v>
      </c>
      <c r="H64" s="68" t="n">
        <v>6601.0</v>
      </c>
      <c r="I64" s="68" t="n">
        <v>676.0</v>
      </c>
      <c r="J64" s="68" t="n">
        <v>277.0</v>
      </c>
      <c r="K64" s="58">
        <f si="2" t="shared"/>
        <v>2224</v>
      </c>
      <c r="L64" s="78">
        <f si="3" t="shared"/>
        <v>2.6575405322728663E-3</v>
      </c>
      <c r="W64" s="8"/>
    </row>
    <row r="65" spans="1:23" x14ac:dyDescent="0.25">
      <c r="A65">
        <v>54</v>
      </c>
      <c r="B65" s="58" t="n">
        <v>3023.413494608129</v>
      </c>
      <c r="C65" s="58" t="n">
        <v>31.3853304267619</v>
      </c>
      <c r="D65" s="58" t="n">
        <v>0.0</v>
      </c>
      <c r="E65" s="58">
        <f si="0" t="shared"/>
        <v>3054.7988250348908</v>
      </c>
      <c r="F65" s="78">
        <f si="1" t="shared"/>
        <v>4.0181635342632221E-3</v>
      </c>
      <c r="G65">
        <v>54</v>
      </c>
      <c r="H65" s="68" t="n">
        <v>7430.0</v>
      </c>
      <c r="I65" s="68" t="n">
        <v>800.0</v>
      </c>
      <c r="J65" s="68" t="n">
        <v>237.0</v>
      </c>
      <c r="K65" s="58">
        <f si="2" t="shared"/>
        <v>1977</v>
      </c>
      <c r="L65" s="78">
        <f si="3" t="shared"/>
        <v>2.36239102171918E-3</v>
      </c>
      <c r="W65" s="8"/>
    </row>
    <row r="66" spans="1:23" x14ac:dyDescent="0.25">
      <c r="A66">
        <v>55</v>
      </c>
      <c r="B66" s="58" t="n">
        <v>3340.8926689584255</v>
      </c>
      <c r="C66" s="58" t="n">
        <v>86.1860224324366</v>
      </c>
      <c r="D66" s="58" t="n">
        <v>39.0833472025335</v>
      </c>
      <c r="E66" s="58">
        <f si="0" t="shared"/>
        <v>3466.1620385933952</v>
      </c>
      <c r="F66" s="78">
        <f si="1" t="shared"/>
        <v>4.5592547022026489E-3</v>
      </c>
      <c r="G66">
        <v>55</v>
      </c>
      <c r="H66" s="68" t="n">
        <v>6757.0</v>
      </c>
      <c r="I66" s="68" t="n">
        <v>714.0</v>
      </c>
      <c r="J66" s="68" t="n">
        <v>228.0</v>
      </c>
      <c r="K66" s="58">
        <f si="2" t="shared"/>
        <v>1835</v>
      </c>
      <c r="L66" s="78">
        <f si="3" t="shared"/>
        <v>2.1927099265830531E-3</v>
      </c>
      <c r="W66" s="8"/>
    </row>
    <row r="67" spans="1:23" x14ac:dyDescent="0.25">
      <c r="A67">
        <v>56</v>
      </c>
      <c r="B67" s="58" t="n">
        <v>3347.6073384122865</v>
      </c>
      <c r="C67" s="58" t="n">
        <v>108.3182187689852</v>
      </c>
      <c r="D67" s="58" t="n">
        <v>0.0</v>
      </c>
      <c r="E67" s="58">
        <f si="0" t="shared"/>
        <v>3455.9255571812719</v>
      </c>
      <c r="F67" s="78">
        <f si="1" t="shared"/>
        <v>4.5457900327807972E-3</v>
      </c>
      <c r="G67">
        <v>56</v>
      </c>
      <c r="H67" s="68" t="n">
        <v>6182.0</v>
      </c>
      <c r="I67" s="68" t="n">
        <v>615.0</v>
      </c>
      <c r="J67" s="68" t="n">
        <v>208.0</v>
      </c>
      <c r="K67" s="58">
        <f si="2" t="shared"/>
        <v>1590</v>
      </c>
      <c r="L67" s="78">
        <f si="3" t="shared"/>
        <v>1.8999502906087489E-3</v>
      </c>
      <c r="W67" s="8"/>
    </row>
    <row r="68" spans="1:23" x14ac:dyDescent="0.25">
      <c r="A68">
        <v>57</v>
      </c>
      <c r="B68" s="58" t="n">
        <v>2852.9108695512728</v>
      </c>
      <c r="C68" s="58" t="n">
        <v>269.683131101451</v>
      </c>
      <c r="D68" s="58" t="n">
        <v>0.0</v>
      </c>
      <c r="E68" s="58">
        <f si="0" t="shared"/>
        <v>3122.5940006527239</v>
      </c>
      <c r="F68" s="78">
        <f si="1" t="shared"/>
        <v>4.1073386708496513E-3</v>
      </c>
      <c r="G68">
        <v>57</v>
      </c>
      <c r="H68" s="68" t="n">
        <v>6533.0</v>
      </c>
      <c r="I68" s="68" t="n">
        <v>655.0</v>
      </c>
      <c r="J68" s="68" t="n">
        <v>199.0</v>
      </c>
      <c r="K68" s="58">
        <f si="2" t="shared"/>
        <v>1377</v>
      </c>
      <c r="L68" s="78">
        <f si="3" t="shared"/>
        <v>1.6454286479045579E-3</v>
      </c>
      <c r="W68" s="8"/>
    </row>
    <row r="69" spans="1:23" x14ac:dyDescent="0.25">
      <c r="A69">
        <v>58</v>
      </c>
      <c r="B69" s="58" t="n">
        <v>2287.4096154838185</v>
      </c>
      <c r="C69" s="58" t="n">
        <v>144.147188982958</v>
      </c>
      <c r="D69" s="58" t="n">
        <v>0.0</v>
      </c>
      <c r="E69" s="58">
        <f si="0" t="shared"/>
        <v>2431.5568044667766</v>
      </c>
      <c r="F69" s="78">
        <f si="1" t="shared"/>
        <v>3.1983752262594303E-3</v>
      </c>
      <c r="G69">
        <v>58</v>
      </c>
      <c r="H69" s="68" t="n">
        <v>5773.0</v>
      </c>
      <c r="I69" s="68" t="n">
        <v>581.0</v>
      </c>
      <c r="J69" s="68" t="n">
        <v>244.0</v>
      </c>
      <c r="K69" s="58">
        <f si="2" t="shared"/>
        <v>1235</v>
      </c>
      <c r="L69" s="78">
        <f si="3" t="shared"/>
        <v>1.4757475527684308E-3</v>
      </c>
      <c r="W69" s="8"/>
    </row>
    <row r="70" spans="1:23" x14ac:dyDescent="0.25">
      <c r="A70">
        <v>59</v>
      </c>
      <c r="B70" s="58" t="n">
        <v>2692.122059638971</v>
      </c>
      <c r="C70" s="58" t="n">
        <v>120.37639297949761</v>
      </c>
      <c r="D70" s="58" t="n">
        <v>0.0</v>
      </c>
      <c r="E70" s="58">
        <f si="0" t="shared"/>
        <v>2812.4984526184689</v>
      </c>
      <c r="F70" s="78">
        <f si="1" t="shared"/>
        <v>3.699451050546412E-3</v>
      </c>
      <c r="G70">
        <v>59</v>
      </c>
      <c r="H70" s="68" t="n">
        <v>6229.0</v>
      </c>
      <c r="I70" s="68" t="n">
        <v>591.0</v>
      </c>
      <c r="J70" s="68" t="n">
        <v>184.0</v>
      </c>
      <c r="K70" s="58">
        <f si="2" t="shared"/>
        <v>1105</v>
      </c>
      <c r="L70" s="78">
        <f si="3" t="shared"/>
        <v>1.3204057051085958E-3</v>
      </c>
      <c r="W70" s="8"/>
    </row>
    <row r="71" spans="1:23" x14ac:dyDescent="0.25">
      <c r="A71">
        <v>60</v>
      </c>
      <c r="B71" s="58" t="n">
        <v>1395.9416912253644</v>
      </c>
      <c r="C71" s="58" t="n">
        <v>0.0</v>
      </c>
      <c r="D71" s="58" t="n">
        <v>0.0</v>
      </c>
      <c r="E71" s="58">
        <f si="0" t="shared"/>
        <v>1395.9416912253644</v>
      </c>
      <c r="F71" s="78">
        <f si="1" t="shared"/>
        <v>1.8361673946157239E-3</v>
      </c>
      <c r="G71">
        <v>60</v>
      </c>
      <c r="H71" s="68" t="n">
        <v>6036.0</v>
      </c>
      <c r="I71" s="68" t="n">
        <v>599.0</v>
      </c>
      <c r="J71" s="68" t="n">
        <v>197.0</v>
      </c>
      <c r="K71" s="58">
        <f si="2" t="shared"/>
        <v>1065</v>
      </c>
      <c r="L71" s="78">
        <f si="3" t="shared"/>
        <v>1.2726082135209543E-3</v>
      </c>
      <c r="W71" s="8"/>
    </row>
    <row r="72" spans="1:23" x14ac:dyDescent="0.25">
      <c r="A72">
        <v>61</v>
      </c>
      <c r="B72" s="58" t="n">
        <v>2678.049240183707</v>
      </c>
      <c r="C72" s="58" t="n">
        <v>0.0</v>
      </c>
      <c r="D72" s="58" t="n">
        <v>46.3014654275006</v>
      </c>
      <c r="E72" s="58">
        <f si="0" t="shared"/>
        <v>2724.3507056112076</v>
      </c>
      <c r="F72" s="78">
        <f si="1" t="shared"/>
        <v>3.583504933326077E-3</v>
      </c>
      <c r="G72">
        <v>61</v>
      </c>
      <c r="H72" s="68" t="n">
        <v>5520.0</v>
      </c>
      <c r="I72" s="68" t="n">
        <v>557.0</v>
      </c>
      <c r="J72" s="68" t="n">
        <v>166.0</v>
      </c>
      <c r="K72" s="58">
        <f si="2" t="shared"/>
        <v>856</v>
      </c>
      <c r="L72" s="78">
        <f si="3" t="shared"/>
        <v>1.0228663199755277E-3</v>
      </c>
      <c r="W72" s="8"/>
    </row>
    <row r="73" spans="1:23" x14ac:dyDescent="0.25">
      <c r="A73">
        <v>62</v>
      </c>
      <c r="B73" s="58" t="n">
        <v>3977.1613405168127</v>
      </c>
      <c r="C73" s="58" t="n">
        <v>151.5149282435344</v>
      </c>
      <c r="D73" s="58" t="n">
        <v>0.0</v>
      </c>
      <c r="E73" s="58">
        <f si="0" t="shared"/>
        <v>4128.6762687603468</v>
      </c>
      <c r="F73" s="78">
        <f si="1" t="shared"/>
        <v>5.4307001469143515E-3</v>
      </c>
      <c r="G73">
        <v>62</v>
      </c>
      <c r="H73" s="68" t="n">
        <v>5502.0</v>
      </c>
      <c r="I73" s="68" t="n">
        <v>528.0</v>
      </c>
      <c r="J73" s="68" t="n">
        <v>208.0</v>
      </c>
      <c r="K73" s="58">
        <f si="2" t="shared"/>
        <v>711</v>
      </c>
      <c r="L73" s="78">
        <f si="3" t="shared"/>
        <v>8.4960041297032737E-4</v>
      </c>
      <c r="W73" s="8"/>
    </row>
    <row r="74" spans="1:23" x14ac:dyDescent="0.25">
      <c r="A74">
        <v>63</v>
      </c>
      <c r="B74" s="58" t="n">
        <v>1985.999739730108</v>
      </c>
      <c r="C74" s="58" t="n">
        <v>0.0</v>
      </c>
      <c r="D74" s="58" t="n">
        <v>0.0</v>
      </c>
      <c r="E74" s="58">
        <f si="0" t="shared"/>
        <v>1985.9997397301081</v>
      </c>
      <c r="F74" s="78">
        <f si="1" t="shared"/>
        <v>2.6123067967163517E-3</v>
      </c>
      <c r="G74">
        <v>63</v>
      </c>
      <c r="H74" s="68" t="n">
        <v>4942.0</v>
      </c>
      <c r="I74" s="68" t="n">
        <v>459.0</v>
      </c>
      <c r="J74" s="68" t="n">
        <v>166.0</v>
      </c>
      <c r="K74" s="58">
        <f si="2" t="shared"/>
        <v>690</v>
      </c>
      <c r="L74" s="78">
        <f si="3" t="shared"/>
        <v>8.2450672988681551E-4</v>
      </c>
      <c r="W74" s="8"/>
    </row>
    <row r="75" spans="1:23" x14ac:dyDescent="0.25">
      <c r="A75">
        <v>64</v>
      </c>
      <c r="B75" s="58" t="n">
        <v>1211.1935623981935</v>
      </c>
      <c r="C75" s="58" t="n">
        <v>514.079989806547</v>
      </c>
      <c r="D75" s="58" t="n">
        <v>0.0</v>
      </c>
      <c r="E75" s="58">
        <f si="0" t="shared"/>
        <v>1725.2735522047406</v>
      </c>
      <c r="F75" s="78">
        <f si="1" t="shared"/>
        <v>2.2693577126207927E-3</v>
      </c>
      <c r="G75">
        <v>64</v>
      </c>
      <c r="H75" s="68" t="n">
        <v>4889.0</v>
      </c>
      <c r="I75" s="68" t="n">
        <v>442.0</v>
      </c>
      <c r="J75" s="68" t="n">
        <v>190.0</v>
      </c>
      <c r="K75" s="58">
        <f si="2" t="shared"/>
        <v>667</v>
      </c>
      <c r="L75" s="78">
        <f si="3" t="shared"/>
        <v>7.9702317222392165E-4</v>
      </c>
      <c r="W75" s="8"/>
    </row>
    <row r="76" spans="1:23" x14ac:dyDescent="0.25">
      <c r="A76">
        <v>65</v>
      </c>
      <c r="B76" s="58" t="n">
        <v>1827.6137552007854</v>
      </c>
      <c r="C76" s="58" t="n">
        <v>0.0</v>
      </c>
      <c r="D76" s="58" t="n">
        <v>0.0</v>
      </c>
      <c r="E76" s="58">
        <f ref="E76:E101" si="4" t="shared">SUM(B76:D76)</f>
        <v>1827.6137552007854</v>
      </c>
      <c r="F76" s="78">
        <f ref="F76:F101" si="5" t="shared">E76/SUM($E$11:$E$101)</f>
        <v>2.403972034322683E-3</v>
      </c>
      <c r="G76">
        <v>65</v>
      </c>
      <c r="H76" s="68" t="n">
        <v>4797.0</v>
      </c>
      <c r="I76" s="68" t="n">
        <v>423.0</v>
      </c>
      <c r="J76" s="68" t="n">
        <v>145.0</v>
      </c>
      <c r="K76" s="58">
        <f ref="K76:K101" si="6" t="shared">SUM(H76:J76)</f>
        <v>534</v>
      </c>
      <c r="L76" s="78">
        <f ref="L76:L101" si="7" t="shared">K76/SUM($K$11:$K$101)</f>
        <v>6.3809651269501372E-4</v>
      </c>
      <c r="W76" s="8"/>
    </row>
    <row r="77" spans="1:23" x14ac:dyDescent="0.25">
      <c r="A77">
        <v>66</v>
      </c>
      <c r="B77" s="58" t="n">
        <v>1386.1863407619978</v>
      </c>
      <c r="C77" s="58" t="n">
        <v>0.0</v>
      </c>
      <c r="D77" s="58" t="n">
        <v>0.0</v>
      </c>
      <c r="E77" s="58">
        <f si="4" t="shared"/>
        <v>1386.1863407619978</v>
      </c>
      <c r="F77" s="78">
        <f si="5" t="shared"/>
        <v>1.8233355861265318E-3</v>
      </c>
      <c r="G77">
        <v>66</v>
      </c>
      <c r="H77" s="68" t="n">
        <v>5590.0</v>
      </c>
      <c r="I77" s="68" t="n">
        <v>560.0</v>
      </c>
      <c r="J77" s="68" t="n">
        <v>185.0</v>
      </c>
      <c r="K77" s="58">
        <f si="6" t="shared"/>
        <v>429</v>
      </c>
      <c r="L77" s="78">
        <f si="7" t="shared"/>
        <v>5.1262809727745486E-4</v>
      </c>
      <c r="W77" s="8"/>
    </row>
    <row r="78" spans="1:23" x14ac:dyDescent="0.25">
      <c r="A78">
        <v>67</v>
      </c>
      <c r="B78" s="58" t="n">
        <v>1090.4639151810231</v>
      </c>
      <c r="C78" s="58" t="n">
        <v>0.0</v>
      </c>
      <c r="D78" s="58" t="n">
        <v>0.0</v>
      </c>
      <c r="E78" s="58">
        <f si="4" t="shared"/>
        <v>1090.4639151810231</v>
      </c>
      <c r="F78" s="78">
        <f si="5" t="shared"/>
        <v>1.4343538119438177E-3</v>
      </c>
      <c r="G78">
        <v>67</v>
      </c>
      <c r="H78" s="68" t="n">
        <v>4905.0</v>
      </c>
      <c r="I78" s="68" t="n">
        <v>503.0</v>
      </c>
      <c r="J78" s="68" t="n">
        <v>200.0</v>
      </c>
      <c r="K78" s="58">
        <f si="6" t="shared"/>
        <v>358</v>
      </c>
      <c r="L78" s="78">
        <f si="7" t="shared"/>
        <v>4.2778754970939124E-4</v>
      </c>
      <c r="W78" s="8"/>
    </row>
    <row r="79" spans="1:23" x14ac:dyDescent="0.25">
      <c r="A79">
        <v>68</v>
      </c>
      <c r="B79" s="58" t="n">
        <v>1545.935542191621</v>
      </c>
      <c r="C79" s="58" t="n">
        <v>0.0</v>
      </c>
      <c r="D79" s="58" t="n">
        <v>0.0</v>
      </c>
      <c r="E79" s="58">
        <f si="4" t="shared"/>
        <v>1545.9355421916209</v>
      </c>
      <c r="F79" s="78">
        <f si="5" t="shared"/>
        <v>2.0334634709979192E-3</v>
      </c>
      <c r="G79">
        <v>68</v>
      </c>
      <c r="H79" s="68" t="n">
        <v>5013.0</v>
      </c>
      <c r="I79" s="68" t="n">
        <v>485.0</v>
      </c>
      <c r="J79" s="68" t="n">
        <v>160.0</v>
      </c>
      <c r="K79" s="58">
        <f si="6" t="shared"/>
        <v>352</v>
      </c>
      <c r="L79" s="78">
        <f si="7" t="shared"/>
        <v>4.2061792597124502E-4</v>
      </c>
      <c r="W79" s="8"/>
    </row>
    <row r="80" spans="1:23" x14ac:dyDescent="0.25">
      <c r="A80">
        <v>69</v>
      </c>
      <c r="B80" s="58" t="n">
        <v>1242.5324954955531</v>
      </c>
      <c r="C80" s="58" t="n">
        <v>0.0</v>
      </c>
      <c r="D80" s="58" t="n">
        <v>0.0</v>
      </c>
      <c r="E80" s="58">
        <f si="4" t="shared"/>
        <v>1242.5324954955531</v>
      </c>
      <c r="F80" s="78">
        <f si="5" t="shared"/>
        <v>1.6343789065979782E-3</v>
      </c>
      <c r="G80">
        <v>69</v>
      </c>
      <c r="H80" s="68" t="n">
        <v>4871.0</v>
      </c>
      <c r="I80" s="68" t="n">
        <v>495.0</v>
      </c>
      <c r="J80" s="68" t="n">
        <v>189.0</v>
      </c>
      <c r="K80" s="58">
        <f si="6" t="shared"/>
        <v>300</v>
      </c>
      <c r="L80" s="78">
        <f si="7" t="shared"/>
        <v>3.5848118690731109E-4</v>
      </c>
      <c r="W80" s="8"/>
    </row>
    <row r="81" spans="1:23" x14ac:dyDescent="0.25">
      <c r="A81">
        <v>70</v>
      </c>
      <c r="B81" s="58" t="n">
        <v>1727.9369589288483</v>
      </c>
      <c r="C81" s="58" t="n">
        <v>89.2814452077962</v>
      </c>
      <c r="D81" s="58" t="n">
        <v>0.0</v>
      </c>
      <c r="E81" s="58">
        <f si="4" t="shared"/>
        <v>1817.2184041366445</v>
      </c>
      <c r="F81" s="78">
        <f si="5" t="shared"/>
        <v>2.390298393941039E-3</v>
      </c>
      <c r="G81">
        <v>70</v>
      </c>
      <c r="H81" s="68" t="n">
        <v>4843.0</v>
      </c>
      <c r="I81" s="68" t="n">
        <v>445.0</v>
      </c>
      <c r="J81" s="68" t="n">
        <v>169.0</v>
      </c>
      <c r="K81" s="58">
        <f si="6" t="shared"/>
        <v>257</v>
      </c>
      <c r="L81" s="78">
        <f si="7" t="shared"/>
        <v>3.0709888345059654E-4</v>
      </c>
      <c r="W81" s="8"/>
    </row>
    <row r="82" spans="1:23" x14ac:dyDescent="0.25">
      <c r="A82">
        <v>71</v>
      </c>
      <c r="B82" s="58" t="n">
        <v>1318.2921442383454</v>
      </c>
      <c r="C82" s="58" t="n">
        <v>0.0</v>
      </c>
      <c r="D82" s="58" t="n">
        <v>0.0</v>
      </c>
      <c r="E82" s="58">
        <f si="4" t="shared"/>
        <v>1318.2921442383454</v>
      </c>
      <c r="F82" s="78">
        <f si="5" t="shared"/>
        <v>1.7340302012927775E-3</v>
      </c>
      <c r="G82">
        <v>71</v>
      </c>
      <c r="H82" s="68" t="n">
        <v>4772.0</v>
      </c>
      <c r="I82" s="68" t="n">
        <v>488.0</v>
      </c>
      <c r="J82" s="68" t="n">
        <v>190.0</v>
      </c>
      <c r="K82" s="58">
        <f si="6" t="shared"/>
        <v>225</v>
      </c>
      <c r="L82" s="78">
        <f si="7" t="shared"/>
        <v>2.6886089018048331E-4</v>
      </c>
      <c r="W82" s="8"/>
    </row>
    <row r="83" spans="1:23" x14ac:dyDescent="0.25">
      <c r="A83">
        <v>72</v>
      </c>
      <c r="B83" s="58" t="n">
        <v>1525.1347890214067</v>
      </c>
      <c r="C83" s="58" t="n">
        <v>154.088821013381</v>
      </c>
      <c r="D83" s="58" t="n">
        <v>0.0</v>
      </c>
      <c r="E83" s="58">
        <f si="4" t="shared"/>
        <v>1679.2236100347877</v>
      </c>
      <c r="F83" s="78">
        <f si="5" t="shared"/>
        <v>2.2087854101615232E-3</v>
      </c>
      <c r="G83">
        <v>72</v>
      </c>
      <c r="H83" s="68" t="n">
        <v>5026.0</v>
      </c>
      <c r="I83" s="68" t="n">
        <v>520.0</v>
      </c>
      <c r="J83" s="68" t="n">
        <v>187.0</v>
      </c>
      <c r="K83" s="58">
        <f si="6" t="shared"/>
        <v>208</v>
      </c>
      <c r="L83" s="78">
        <f si="7" t="shared"/>
        <v>2.4854695625573572E-4</v>
      </c>
      <c r="W83" s="8"/>
    </row>
    <row r="84" spans="1:23" x14ac:dyDescent="0.25">
      <c r="A84">
        <v>73</v>
      </c>
      <c r="B84" s="58" t="n">
        <v>738.4953406698928</v>
      </c>
      <c r="C84" s="58" t="n">
        <v>239.3123972626912</v>
      </c>
      <c r="D84" s="58" t="n">
        <v>0.0</v>
      </c>
      <c r="E84" s="58">
        <f si="4" t="shared"/>
        <v>977.80773793258402</v>
      </c>
      <c r="F84" s="78">
        <f si="5" t="shared"/>
        <v>1.2861702590304758E-3</v>
      </c>
      <c r="G84">
        <v>73</v>
      </c>
      <c r="H84" s="68" t="n">
        <v>5261.0</v>
      </c>
      <c r="I84" s="68" t="n">
        <v>539.0</v>
      </c>
      <c r="J84" s="68" t="n">
        <v>189.0</v>
      </c>
      <c r="K84" s="58">
        <f si="6" t="shared"/>
        <v>167</v>
      </c>
      <c r="L84" s="78">
        <f si="7" t="shared"/>
        <v>1.9955452737840319E-4</v>
      </c>
      <c r="W84" s="8"/>
    </row>
    <row r="85" spans="1:23" x14ac:dyDescent="0.25">
      <c r="A85">
        <v>74</v>
      </c>
      <c r="B85" s="58" t="n">
        <v>484.9712745468303</v>
      </c>
      <c r="C85" s="58" t="n">
        <v>0.0</v>
      </c>
      <c r="D85" s="58" t="n">
        <v>0.0</v>
      </c>
      <c r="E85" s="58">
        <f si="4" t="shared"/>
        <v>484.97127454683027</v>
      </c>
      <c r="F85" s="78">
        <f si="5" t="shared"/>
        <v>6.3791234780476061E-4</v>
      </c>
      <c r="G85">
        <v>74</v>
      </c>
      <c r="H85" s="68" t="n">
        <v>5473.0</v>
      </c>
      <c r="I85" s="68" t="n">
        <v>547.0</v>
      </c>
      <c r="J85" s="68" t="n">
        <v>205.0</v>
      </c>
      <c r="K85" s="58">
        <f si="6" t="shared"/>
        <v>143</v>
      </c>
      <c r="L85" s="78">
        <f si="7" t="shared"/>
        <v>1.7087603242581831E-4</v>
      </c>
      <c r="W85" s="8"/>
    </row>
    <row r="86" spans="1:23" x14ac:dyDescent="0.25">
      <c r="A86">
        <v>75</v>
      </c>
      <c r="B86" s="58" t="n">
        <v>1275.8318755400342</v>
      </c>
      <c r="C86" s="58" t="n">
        <v>40.0221492826555</v>
      </c>
      <c r="D86" s="58" t="n">
        <v>491.555340211473</v>
      </c>
      <c r="E86" s="58">
        <f si="4" t="shared"/>
        <v>1807.4093650341624</v>
      </c>
      <c r="F86" s="78">
        <f si="5" t="shared"/>
        <v>2.3773959655045917E-3</v>
      </c>
      <c r="G86">
        <v>75</v>
      </c>
      <c r="H86" s="68" t="n">
        <v>5078.0</v>
      </c>
      <c r="I86" s="68" t="n">
        <v>566.0</v>
      </c>
      <c r="J86" s="68" t="n">
        <v>196.0</v>
      </c>
      <c r="K86" s="58">
        <f si="6" t="shared"/>
        <v>100</v>
      </c>
      <c r="L86" s="78">
        <f si="7" t="shared"/>
        <v>1.194937289691037E-4</v>
      </c>
      <c r="W86" s="8"/>
    </row>
    <row r="87" spans="1:23" x14ac:dyDescent="0.25">
      <c r="A87">
        <v>76</v>
      </c>
      <c r="B87" s="58" t="n">
        <v>2191.347237130365</v>
      </c>
      <c r="C87" s="58" t="n">
        <v>34.3759374919</v>
      </c>
      <c r="D87" s="58" t="n">
        <v>0.0</v>
      </c>
      <c r="E87" s="58">
        <f si="4" t="shared"/>
        <v>2225.7231746222651</v>
      </c>
      <c r="F87" s="78">
        <f si="5" t="shared"/>
        <v>2.9276296770637958E-3</v>
      </c>
      <c r="G87">
        <v>76</v>
      </c>
      <c r="H87" s="68" t="n">
        <v>5247.0</v>
      </c>
      <c r="I87" s="68" t="n">
        <v>572.0</v>
      </c>
      <c r="J87" s="68" t="n">
        <v>170.0</v>
      </c>
      <c r="K87" s="58">
        <f si="6" t="shared"/>
        <v>107</v>
      </c>
      <c r="L87" s="78">
        <f si="7" t="shared"/>
        <v>1.2785828999694097E-4</v>
      </c>
      <c r="W87" s="8"/>
    </row>
    <row r="88" spans="1:23" x14ac:dyDescent="0.25">
      <c r="A88">
        <v>77</v>
      </c>
      <c r="B88" s="58" t="n">
        <v>1110.8291893035064</v>
      </c>
      <c r="C88" s="58" t="n">
        <v>43.2878375258177</v>
      </c>
      <c r="D88" s="58" t="n">
        <v>0.0</v>
      </c>
      <c r="E88" s="58">
        <f si="4" t="shared"/>
        <v>1154.117026829324</v>
      </c>
      <c r="F88" s="78">
        <f si="5" t="shared"/>
        <v>1.5180806387225555E-3</v>
      </c>
      <c r="G88">
        <v>77</v>
      </c>
      <c r="H88" s="68" t="n">
        <v>4201.0</v>
      </c>
      <c r="I88" s="68" t="n">
        <v>434.0</v>
      </c>
      <c r="J88" s="68" t="n">
        <v>110.0</v>
      </c>
      <c r="K88" s="58">
        <f si="6" t="shared"/>
        <v>83</v>
      </c>
      <c r="L88" s="78">
        <f si="7" t="shared"/>
        <v>9.9179795044356068E-5</v>
      </c>
      <c r="W88" s="8"/>
    </row>
    <row r="89" spans="1:23" x14ac:dyDescent="0.25">
      <c r="A89">
        <v>78</v>
      </c>
      <c r="B89" s="58" t="n">
        <v>1472.4036241298593</v>
      </c>
      <c r="C89" s="58" t="n">
        <v>0.0</v>
      </c>
      <c r="D89" s="58" t="n">
        <v>0.0</v>
      </c>
      <c r="E89" s="58">
        <f si="4" t="shared"/>
        <v>1472.4036241298593</v>
      </c>
      <c r="F89" s="78">
        <f si="5" t="shared"/>
        <v>1.9367424465760157E-3</v>
      </c>
      <c r="G89">
        <v>78</v>
      </c>
      <c r="H89" s="68" t="n">
        <v>4117.0</v>
      </c>
      <c r="I89" s="68" t="n">
        <v>444.0</v>
      </c>
      <c r="J89" s="68" t="n">
        <v>146.0</v>
      </c>
      <c r="K89" s="58">
        <f si="6" t="shared"/>
        <v>51</v>
      </c>
      <c r="L89" s="78">
        <f si="7" t="shared"/>
        <v>6.0941801774242889E-5</v>
      </c>
      <c r="W89" s="8"/>
    </row>
    <row r="90" spans="1:23" x14ac:dyDescent="0.25">
      <c r="A90">
        <v>79</v>
      </c>
      <c r="B90" s="58" t="n">
        <v>992.152895235709</v>
      </c>
      <c r="C90" s="58" t="n">
        <v>24.5368584837138</v>
      </c>
      <c r="D90" s="58" t="n">
        <v>0.0</v>
      </c>
      <c r="E90" s="58">
        <f si="4" t="shared"/>
        <v>1016.6897537194228</v>
      </c>
      <c r="F90" s="78">
        <f si="5" t="shared"/>
        <v>1.3373141499777098E-3</v>
      </c>
      <c r="G90">
        <v>79</v>
      </c>
      <c r="H90" s="68" t="n">
        <v>3642.0</v>
      </c>
      <c r="I90" s="68" t="n">
        <v>360.0</v>
      </c>
      <c r="J90" s="68" t="n">
        <v>114.0</v>
      </c>
      <c r="K90" s="58">
        <f si="6" t="shared"/>
        <v>53</v>
      </c>
      <c r="L90" s="78">
        <f si="7" t="shared"/>
        <v>6.3331676353624956E-5</v>
      </c>
      <c r="W90" s="8"/>
    </row>
    <row r="91" spans="1:23" x14ac:dyDescent="0.25">
      <c r="A91">
        <v>80</v>
      </c>
      <c r="B91" s="58" t="n">
        <v>552.8372199860698</v>
      </c>
      <c r="C91" s="58" t="n">
        <v>0.0</v>
      </c>
      <c r="D91" s="58" t="n">
        <v>40.3603351609789</v>
      </c>
      <c r="E91" s="58">
        <f si="4" t="shared"/>
        <v>593.19755514704877</v>
      </c>
      <c r="F91" s="78">
        <f si="5" t="shared"/>
        <v>7.8026898700235818E-4</v>
      </c>
      <c r="G91">
        <v>80</v>
      </c>
      <c r="H91" s="68" t="n">
        <v>4082.0</v>
      </c>
      <c r="I91" s="68" t="n">
        <v>429.0</v>
      </c>
      <c r="J91" s="68" t="n">
        <v>122.0</v>
      </c>
      <c r="K91" s="58">
        <f si="6" t="shared"/>
        <v>41</v>
      </c>
      <c r="L91" s="78">
        <f si="7" t="shared"/>
        <v>4.8992428877332521E-5</v>
      </c>
      <c r="W91" s="8"/>
    </row>
    <row r="92" spans="1:23" x14ac:dyDescent="0.25">
      <c r="A92">
        <v>81</v>
      </c>
      <c r="B92" s="58" t="n">
        <v>628.945404159974</v>
      </c>
      <c r="C92" s="58" t="n">
        <v>0.0</v>
      </c>
      <c r="D92" s="58" t="n">
        <v>0.0</v>
      </c>
      <c r="E92" s="58">
        <f si="4" t="shared"/>
        <v>628.94540415997403</v>
      </c>
      <c r="F92" s="78">
        <f si="5" t="shared"/>
        <v>8.2729031690300834E-4</v>
      </c>
      <c r="G92">
        <v>81</v>
      </c>
      <c r="H92" s="68" t="n">
        <v>3314.0</v>
      </c>
      <c r="I92" s="68" t="n">
        <v>355.0</v>
      </c>
      <c r="J92" s="68" t="n">
        <v>110.0</v>
      </c>
      <c r="K92" s="58">
        <f si="6" t="shared"/>
        <v>46</v>
      </c>
      <c r="L92" s="78">
        <f si="7" t="shared"/>
        <v>5.4967115325787701E-5</v>
      </c>
      <c r="W92" s="8"/>
    </row>
    <row r="93" spans="1:23" x14ac:dyDescent="0.25">
      <c r="A93">
        <v>82</v>
      </c>
      <c r="B93" s="58" t="n">
        <v>648.7420671588176</v>
      </c>
      <c r="C93" s="58" t="n">
        <v>0.0</v>
      </c>
      <c r="D93" s="58" t="n">
        <v>0.0</v>
      </c>
      <c r="E93" s="58">
        <f si="4" t="shared"/>
        <v>648.74206715881758</v>
      </c>
      <c r="F93" s="78">
        <f si="5" t="shared"/>
        <v>8.5333007726632541E-4</v>
      </c>
      <c r="G93">
        <v>82</v>
      </c>
      <c r="H93" s="68" t="n">
        <v>3249.0</v>
      </c>
      <c r="I93" s="68" t="n">
        <v>324.0</v>
      </c>
      <c r="J93" s="68" t="n">
        <v>183.0</v>
      </c>
      <c r="K93" s="58">
        <f si="6" t="shared"/>
        <v>33</v>
      </c>
      <c r="L93" s="78">
        <f si="7" t="shared"/>
        <v>3.9432930559804219E-5</v>
      </c>
      <c r="W93" s="8"/>
    </row>
    <row r="94" spans="1:23" x14ac:dyDescent="0.25">
      <c r="A94">
        <v>83</v>
      </c>
      <c r="B94" s="58" t="n">
        <v>1219.9221647493969</v>
      </c>
      <c r="C94" s="58" t="n">
        <v>0.0</v>
      </c>
      <c r="D94" s="58" t="n">
        <v>0.0</v>
      </c>
      <c r="E94" s="58">
        <f si="4" t="shared"/>
        <v>1219.9221647493969</v>
      </c>
      <c r="F94" s="78">
        <f si="5" t="shared"/>
        <v>1.6046381571393627E-3</v>
      </c>
      <c r="G94">
        <v>83</v>
      </c>
      <c r="H94" s="68" t="n">
        <v>3134.0</v>
      </c>
      <c r="I94" s="68" t="n">
        <v>348.0</v>
      </c>
      <c r="J94" s="58" t="n">
        <v>117.0</v>
      </c>
      <c r="K94" s="58">
        <f si="6" t="shared"/>
        <v>25</v>
      </c>
      <c r="L94" s="78">
        <f si="7" t="shared"/>
        <v>2.9873432242275924E-5</v>
      </c>
      <c r="W94" s="8"/>
    </row>
    <row ht="15.75" r="95" spans="1:23" thickBot="1" x14ac:dyDescent="0.3">
      <c r="A95">
        <v>84</v>
      </c>
      <c r="B95" s="58" t="n">
        <v>119.907178229892</v>
      </c>
      <c r="C95" s="58" t="n">
        <v>0.0</v>
      </c>
      <c r="D95" s="58" t="n">
        <v>0.0</v>
      </c>
      <c r="E95" s="58">
        <f si="4" t="shared"/>
        <v>119.907178229892</v>
      </c>
      <c r="F95" s="78">
        <f si="5" t="shared"/>
        <v>1.5772123752019903E-4</v>
      </c>
      <c r="G95">
        <v>84</v>
      </c>
      <c r="H95" s="68" t="n">
        <v>2668.0</v>
      </c>
      <c r="I95" s="68" t="n">
        <v>268.0</v>
      </c>
      <c r="J95" s="68" t="n">
        <v>71.0</v>
      </c>
      <c r="K95" s="58">
        <f si="6" t="shared"/>
        <v>11</v>
      </c>
      <c r="L95" s="78">
        <f si="7" t="shared"/>
        <v>1.3144310186601407E-5</v>
      </c>
      <c r="W95" s="9"/>
    </row>
    <row r="96" spans="1:23" x14ac:dyDescent="0.25">
      <c r="A96">
        <v>85</v>
      </c>
      <c r="B96" s="58" t="n">
        <v>247.115215594625</v>
      </c>
      <c r="C96" s="58" t="n">
        <v>0.0</v>
      </c>
      <c r="D96" s="58" t="n">
        <v>0.0</v>
      </c>
      <c r="E96" s="58">
        <f si="4" t="shared"/>
        <v>247.115215594625</v>
      </c>
      <c r="F96" s="78">
        <f si="5" t="shared"/>
        <v>3.2504574112260094E-4</v>
      </c>
      <c r="G96">
        <v>85</v>
      </c>
      <c r="H96" s="68" t="n">
        <v>2997.0</v>
      </c>
      <c r="I96" s="68" t="n">
        <v>301.0</v>
      </c>
      <c r="J96" s="58" t="n">
        <v>95.0</v>
      </c>
      <c r="K96" s="58">
        <f si="6" t="shared"/>
        <v>7</v>
      </c>
      <c r="L96" s="78">
        <f si="7" t="shared"/>
        <v>8.3645610278372596E-6</v>
      </c>
    </row>
    <row r="97" spans="1:12" x14ac:dyDescent="0.25">
      <c r="A97">
        <v>86</v>
      </c>
      <c r="B97" s="58" t="n">
        <v>1139.598834923847</v>
      </c>
      <c r="C97" s="58" t="n">
        <v>52.7410147010353</v>
      </c>
      <c r="D97" s="58" t="n">
        <v>0.0</v>
      </c>
      <c r="E97" s="58">
        <f si="4" t="shared"/>
        <v>1192.3398496248824</v>
      </c>
      <c r="F97" s="78">
        <f si="5" t="shared"/>
        <v>1.5683574528535034E-3</v>
      </c>
      <c r="G97">
        <v>86</v>
      </c>
      <c r="H97" s="68" t="n">
        <v>3129.0</v>
      </c>
      <c r="I97" s="68" t="n">
        <v>291.0</v>
      </c>
      <c r="J97" s="68" t="n">
        <v>198.0</v>
      </c>
      <c r="K97" s="58">
        <f si="6" t="shared"/>
        <v>21</v>
      </c>
      <c r="L97" s="78">
        <f si="7" t="shared"/>
        <v>2.5093683083511777E-5</v>
      </c>
    </row>
    <row r="98" spans="1:12" x14ac:dyDescent="0.25">
      <c r="A98">
        <v>87</v>
      </c>
      <c r="B98" s="58" t="n">
        <v>698.2289783846812</v>
      </c>
      <c r="C98" s="58" t="n">
        <v>0.0</v>
      </c>
      <c r="D98" s="58" t="n">
        <v>0.0</v>
      </c>
      <c r="E98" s="58">
        <f si="4" t="shared"/>
        <v>698.22897838468123</v>
      </c>
      <c r="F98" s="78">
        <f si="5" t="shared"/>
        <v>9.1842323511406529E-4</v>
      </c>
      <c r="G98">
        <v>87</v>
      </c>
      <c r="H98" s="68" t="n">
        <v>2801.0</v>
      </c>
      <c r="I98" s="68" t="n">
        <v>291.0</v>
      </c>
      <c r="J98" s="68" t="n">
        <v>103.0</v>
      </c>
      <c r="K98" s="58">
        <f si="6" t="shared"/>
        <v>14</v>
      </c>
      <c r="L98" s="78">
        <f si="7" t="shared"/>
        <v>1.6729122055674519E-5</v>
      </c>
    </row>
    <row r="99" spans="1:12" x14ac:dyDescent="0.25">
      <c r="A99">
        <v>88</v>
      </c>
      <c r="B99" s="58" t="n">
        <v>396.713474644984</v>
      </c>
      <c r="C99" s="58" t="n">
        <v>0.0</v>
      </c>
      <c r="D99" s="58" t="n">
        <v>0.0</v>
      </c>
      <c r="E99" s="58">
        <f si="4" t="shared"/>
        <v>396.71347464498399</v>
      </c>
      <c r="F99" s="78">
        <f si="5" t="shared"/>
        <v>5.2182147128825268E-4</v>
      </c>
      <c r="G99">
        <v>88</v>
      </c>
      <c r="H99" s="68" t="n">
        <v>2649.0</v>
      </c>
      <c r="I99" s="68" t="n">
        <v>264.0</v>
      </c>
      <c r="J99" s="68" t="n">
        <v>84.0</v>
      </c>
      <c r="K99" s="58">
        <f si="6" t="shared"/>
        <v>12</v>
      </c>
      <c r="L99" s="78">
        <f si="7" t="shared"/>
        <v>1.4339247476292444E-5</v>
      </c>
    </row>
    <row r="100" spans="1:12" x14ac:dyDescent="0.25">
      <c r="A100">
        <v>89</v>
      </c>
      <c r="B100" s="58" t="n">
        <v>1606.0761469820259</v>
      </c>
      <c r="C100" s="58" t="n">
        <v>0.0</v>
      </c>
      <c r="D100" s="58" t="n">
        <v>0.0</v>
      </c>
      <c r="E100" s="58">
        <f si="4" t="shared"/>
        <v>1606.0761469820259</v>
      </c>
      <c r="F100" s="78">
        <f si="5" t="shared"/>
        <v>2.1125700829020865E-3</v>
      </c>
      <c r="G100">
        <v>89</v>
      </c>
      <c r="H100" s="68" t="n">
        <v>37344.0</v>
      </c>
      <c r="I100" s="68" t="n">
        <v>3702.0</v>
      </c>
      <c r="J100" s="58" t="n">
        <v>1455.0</v>
      </c>
      <c r="K100" s="58">
        <f si="6" t="shared"/>
        <v>39</v>
      </c>
      <c r="L100" s="78">
        <f si="7" t="shared"/>
        <v>4.6602554297950447E-5</v>
      </c>
    </row>
    <row ht="15.75" r="101" spans="1:12" thickBot="1" x14ac:dyDescent="0.3">
      <c r="A101" s="1">
        <v>90</v>
      </c>
      <c r="B101" s="59">
        <v>0</v>
      </c>
      <c r="C101" s="59">
        <v>0</v>
      </c>
      <c r="D101" s="59">
        <v>0</v>
      </c>
      <c r="E101" s="59">
        <f si="4" t="shared"/>
        <v>0</v>
      </c>
      <c r="F101" s="78">
        <f si="5" t="shared"/>
        <v>0</v>
      </c>
      <c r="G101" s="1">
        <v>90</v>
      </c>
      <c r="H101" s="59">
        <v>0</v>
      </c>
      <c r="I101" s="59">
        <v>0</v>
      </c>
      <c r="J101" s="59">
        <v>0</v>
      </c>
      <c r="K101" s="59">
        <f si="6" t="shared"/>
        <v>0</v>
      </c>
      <c r="L101" s="78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L39"/>
  <sheetViews>
    <sheetView topLeftCell="A8" workbookViewId="0">
      <selection activeCell="H21" sqref="H21"/>
    </sheetView>
  </sheetViews>
  <sheetFormatPr defaultRowHeight="15" x14ac:dyDescent="0.25"/>
  <cols>
    <col min="1" max="1" customWidth="true" width="12.14062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customWidth="true" width="10.85546875" collapsed="true"/>
    <col min="13" max="13" customWidth="true" width="10.85546875" collapsed="true"/>
    <col min="17" max="17" bestFit="true" customWidth="true" width="9.5703125" collapsed="true"/>
  </cols>
  <sheetData>
    <row r="1" spans="1:11" x14ac:dyDescent="0.25">
      <c r="A1" t="s">
        <v>23</v>
      </c>
    </row>
    <row r="2" spans="1:11" x14ac:dyDescent="0.25">
      <c r="A2" t="s">
        <v>249</v>
      </c>
    </row>
    <row r="3" spans="1:11" x14ac:dyDescent="0.25">
      <c r="A3" t="s">
        <v>250</v>
      </c>
    </row>
    <row r="4" spans="1:11" x14ac:dyDescent="0.25">
      <c r="A4" t="s">
        <v>6</v>
      </c>
    </row>
    <row r="5" spans="1:11" x14ac:dyDescent="0.25">
      <c r="A5" t="s">
        <v>7</v>
      </c>
    </row>
    <row r="7" spans="1:11" x14ac:dyDescent="0.25">
      <c r="A7" t="s">
        <v>11</v>
      </c>
    </row>
    <row ht="15.75" r="9" spans="1:11" thickBot="1" x14ac:dyDescent="0.3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2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25">
      <c r="A11" t="s">
        <v>24</v>
      </c>
      <c r="B11" s="58">
        <f>SUM(TDFD!B11:B15)</f>
        <v>12819.709792069614</v>
      </c>
      <c r="C11" s="58">
        <f>SUM(TDFD!C11:C15)</f>
        <v>3524.5212196835569</v>
      </c>
      <c r="D11" s="58">
        <f>SUM(TDFD!D11:D15)</f>
        <v>583.36432216111575</v>
      </c>
      <c r="E11" s="58">
        <f>SUM(TDFD!E11:E15)</f>
        <v>16927.595333914287</v>
      </c>
      <c r="G11" t="s">
        <v>24</v>
      </c>
      <c r="H11" s="11">
        <f>SUM(TDFD!H11:H15)</f>
        <v>11684</v>
      </c>
      <c r="I11" s="11">
        <f>SUM(TDFD!I11:I15)</f>
        <v>1837</v>
      </c>
      <c r="J11" s="11">
        <f>SUM(TDFD!J11:J15)</f>
        <v>932</v>
      </c>
      <c r="K11" s="11">
        <f>SUM(TDFD!K11:K15)</f>
        <v>14453</v>
      </c>
    </row>
    <row r="12" spans="1:11" x14ac:dyDescent="0.25">
      <c r="A12" t="s">
        <v>25</v>
      </c>
      <c r="B12" s="58">
        <f>SUM(TDFD!B16:B20)</f>
        <v>74524.515336319251</v>
      </c>
      <c r="C12" s="58">
        <f>SUM(TDFD!C16:C20)</f>
        <v>14485.673935357667</v>
      </c>
      <c r="D12" s="58">
        <f>SUM(TDFD!D16:D20)</f>
        <v>6863.8292781263663</v>
      </c>
      <c r="E12" s="58">
        <f>SUM(TDFD!E16:E20)</f>
        <v>95874.018549803281</v>
      </c>
      <c r="G12" t="s">
        <v>25</v>
      </c>
      <c r="H12" s="11">
        <f>SUM(TDFD!H16:H20)</f>
        <v>69736</v>
      </c>
      <c r="I12" s="11">
        <f>SUM(TDFD!I16:I20)</f>
        <v>11564</v>
      </c>
      <c r="J12" s="11">
        <f>SUM(TDFD!J16:J20)</f>
        <v>6569</v>
      </c>
      <c r="K12" s="11">
        <f>SUM(TDFD!K16:K20)</f>
        <v>87869</v>
      </c>
    </row>
    <row r="13" spans="1:11" x14ac:dyDescent="0.25">
      <c r="A13" t="s">
        <v>26</v>
      </c>
      <c r="B13" s="58">
        <f>SUM(TDFD!B21:B25)</f>
        <v>85984.152626039198</v>
      </c>
      <c r="C13" s="58">
        <f>SUM(TDFD!C21:C25)</f>
        <v>12633.522652759875</v>
      </c>
      <c r="D13" s="58">
        <f>SUM(TDFD!D21:D25)</f>
        <v>8665.5442816163231</v>
      </c>
      <c r="E13" s="58">
        <f>SUM(TDFD!E21:E25)</f>
        <v>107283.21956041537</v>
      </c>
      <c r="G13" t="s">
        <v>26</v>
      </c>
      <c r="H13" s="11">
        <f>SUM(TDFD!H21:H25)</f>
        <v>100845</v>
      </c>
      <c r="I13" s="11">
        <f>SUM(TDFD!I21:I25)</f>
        <v>15683</v>
      </c>
      <c r="J13" s="11">
        <f>SUM(TDFD!J21:J25)</f>
        <v>7510</v>
      </c>
      <c r="K13" s="11">
        <f>SUM(TDFD!K21:K25)</f>
        <v>124038</v>
      </c>
    </row>
    <row r="14" spans="1:11" x14ac:dyDescent="0.25">
      <c r="A14" t="s">
        <v>27</v>
      </c>
      <c r="B14" s="58">
        <f>SUM(TDFD!B26:B30)</f>
        <v>94684.895020553231</v>
      </c>
      <c r="C14" s="58">
        <f>SUM(TDFD!C26:C30)</f>
        <v>11353.760966952557</v>
      </c>
      <c r="D14" s="58">
        <f>SUM(TDFD!D26:D30)</f>
        <v>3948.2208654399064</v>
      </c>
      <c r="E14" s="58">
        <f>SUM(TDFD!E26:E30)</f>
        <v>109986.87685294569</v>
      </c>
      <c r="G14" t="s">
        <v>27</v>
      </c>
      <c r="H14" s="11">
        <f>SUM(TDFD!H26:H30)</f>
        <v>117356</v>
      </c>
      <c r="I14" s="11">
        <f>SUM(TDFD!I26:I30)</f>
        <v>15055</v>
      </c>
      <c r="J14" s="11">
        <f>SUM(TDFD!J26:J30)</f>
        <v>6379</v>
      </c>
      <c r="K14" s="11">
        <f>SUM(TDFD!K26:K30)</f>
        <v>138790</v>
      </c>
    </row>
    <row r="15" spans="1:11" x14ac:dyDescent="0.25">
      <c r="A15" t="s">
        <v>28</v>
      </c>
      <c r="B15" s="58">
        <f>SUM(TDFD!B31:B35)</f>
        <v>76961.611987379554</v>
      </c>
      <c r="C15" s="58">
        <f>SUM(TDFD!C31:C35)</f>
        <v>7234.3254634289278</v>
      </c>
      <c r="D15" s="58">
        <f>SUM(TDFD!D31:D35)</f>
        <v>2662.0277227893557</v>
      </c>
      <c r="E15" s="58">
        <f>SUM(TDFD!E31:E35)</f>
        <v>86857.965173597826</v>
      </c>
      <c r="G15" t="s">
        <v>28</v>
      </c>
      <c r="H15" s="11">
        <f>SUM(TDFD!H31:H35)</f>
        <v>114514</v>
      </c>
      <c r="I15" s="11">
        <f>SUM(TDFD!I31:I35)</f>
        <v>13410</v>
      </c>
      <c r="J15" s="11">
        <f>SUM(TDFD!J31:J35)</f>
        <v>4574</v>
      </c>
      <c r="K15" s="11">
        <f>SUM(TDFD!K31:K35)</f>
        <v>132498</v>
      </c>
    </row>
    <row r="16" spans="1:11" x14ac:dyDescent="0.25">
      <c r="A16" t="s">
        <v>29</v>
      </c>
      <c r="B16" s="58">
        <f>SUM(TDFD!B36:B40)</f>
        <v>68648.6651535407</v>
      </c>
      <c r="C16" s="58">
        <f>SUM(TDFD!C36:C40)</f>
        <v>4481.6491139645404</v>
      </c>
      <c r="D16" s="58">
        <f>SUM(TDFD!D36:D40)</f>
        <v>2346.8229019046871</v>
      </c>
      <c r="E16" s="58">
        <f>SUM(TDFD!E36:E40)</f>
        <v>75477.137169409936</v>
      </c>
      <c r="G16" t="s">
        <v>29</v>
      </c>
      <c r="H16" s="11">
        <f>SUM(TDFD!H36:H40)</f>
        <v>91712</v>
      </c>
      <c r="I16" s="11">
        <f>SUM(TDFD!I36:I40)</f>
        <v>10094</v>
      </c>
      <c r="J16" s="11">
        <f>SUM(TDFD!J36:J40)</f>
        <v>3271</v>
      </c>
      <c r="K16" s="11">
        <f>SUM(TDFD!K36:K40)</f>
        <v>105077</v>
      </c>
    </row>
    <row r="17" spans="1:11" x14ac:dyDescent="0.25">
      <c r="A17" t="s">
        <v>30</v>
      </c>
      <c r="B17" s="58">
        <f>SUM(TDFD!B41:B45)</f>
        <v>58058.704499770385</v>
      </c>
      <c r="C17" s="58">
        <f>SUM(TDFD!C41:C45)</f>
        <v>6063.2634586609356</v>
      </c>
      <c r="D17" s="58">
        <f>SUM(TDFD!D41:D45)</f>
        <v>716.77850701401326</v>
      </c>
      <c r="E17" s="58">
        <f>SUM(TDFD!E41:E45)</f>
        <v>64838.746465445329</v>
      </c>
      <c r="G17" t="s">
        <v>30</v>
      </c>
      <c r="H17" s="11">
        <f>SUM(TDFD!H41:H45)</f>
        <v>70436</v>
      </c>
      <c r="I17" s="11">
        <f>SUM(TDFD!I41:I45)</f>
        <v>7220</v>
      </c>
      <c r="J17" s="11">
        <f>SUM(TDFD!J41:J45)</f>
        <v>2297</v>
      </c>
      <c r="K17" s="11">
        <f>SUM(TDFD!K41:K45)</f>
        <v>79953</v>
      </c>
    </row>
    <row r="18" spans="1:11" x14ac:dyDescent="0.25">
      <c r="A18" t="s">
        <v>31</v>
      </c>
      <c r="B18" s="58">
        <f>SUM(TDFD!B46:B50)</f>
        <v>44014.862991913244</v>
      </c>
      <c r="C18" s="58">
        <f>SUM(TDFD!C46:C50)</f>
        <v>3527.9002665343942</v>
      </c>
      <c r="D18" s="58">
        <f>SUM(TDFD!D46:D50)</f>
        <v>520.33004683665501</v>
      </c>
      <c r="E18" s="58">
        <f>SUM(TDFD!E46:E50)</f>
        <v>48063.093305284288</v>
      </c>
      <c r="G18" t="s">
        <v>31</v>
      </c>
      <c r="H18" s="11">
        <f>SUM(TDFD!H46:H50)</f>
        <v>54537</v>
      </c>
      <c r="I18" s="11">
        <f>SUM(TDFD!I46:I50)</f>
        <v>5419</v>
      </c>
      <c r="J18" s="11">
        <f>SUM(TDFD!J46:J50)</f>
        <v>1712</v>
      </c>
      <c r="K18" s="11">
        <f>SUM(TDFD!K46:K50)</f>
        <v>61668</v>
      </c>
    </row>
    <row r="19" spans="1:11" x14ac:dyDescent="0.25">
      <c r="A19" t="s">
        <v>32</v>
      </c>
      <c r="B19" s="58">
        <f>SUM(TDFD!B51:B55)</f>
        <v>43546.124762988111</v>
      </c>
      <c r="C19" s="58">
        <f>SUM(TDFD!C51:C55)</f>
        <v>2915.7649249389719</v>
      </c>
      <c r="D19" s="58">
        <f>SUM(TDFD!D51:D55)</f>
        <v>862.85855048287863</v>
      </c>
      <c r="E19" s="58">
        <f>SUM(TDFD!E51:E55)</f>
        <v>47324.748238409964</v>
      </c>
      <c r="G19" t="s">
        <v>32</v>
      </c>
      <c r="H19" s="11">
        <f>SUM(TDFD!H51:H55)</f>
        <v>36980</v>
      </c>
      <c r="I19" s="11">
        <f>SUM(TDFD!I51:I55)</f>
        <v>3481</v>
      </c>
      <c r="J19" s="11">
        <f>SUM(TDFD!J51:J55)</f>
        <v>1161</v>
      </c>
      <c r="K19" s="11">
        <f>SUM(TDFD!K51:K55)</f>
        <v>41622</v>
      </c>
    </row>
    <row r="20" spans="1:11" x14ac:dyDescent="0.25">
      <c r="A20" t="s">
        <v>33</v>
      </c>
      <c r="B20" s="58">
        <f>SUM(TDFD!B56:B70)</f>
        <v>62196.050335505395</v>
      </c>
      <c r="C20" s="58">
        <f>SUM(TDFD!C56:C70)</f>
        <v>3740.5920076492416</v>
      </c>
      <c r="D20" s="58">
        <f>SUM(TDFD!D56:D70)</f>
        <v>1319.4496822029814</v>
      </c>
      <c r="E20" s="58">
        <f>SUM(TDFD!E56:E70)</f>
        <v>67256.092025357619</v>
      </c>
      <c r="G20" t="s">
        <v>33</v>
      </c>
      <c r="H20" s="11">
        <f>SUM(TDFD!H56:H70)</f>
        <v>38265</v>
      </c>
      <c r="I20" s="11">
        <f>SUM(TDFD!I56:I70)</f>
        <v>3907</v>
      </c>
      <c r="J20" s="11">
        <f>SUM(TDFD!J56:J70)</f>
        <v>1119</v>
      </c>
      <c r="K20" s="11">
        <f>SUM(TDFD!K56:K70)</f>
        <v>43291</v>
      </c>
    </row>
    <row r="21" spans="1:11" x14ac:dyDescent="0.25">
      <c r="A21" t="s">
        <v>34</v>
      </c>
      <c r="B21" s="58">
        <f>SUM(TDFD!B71:B100)</f>
        <v>38436.559636444275</v>
      </c>
      <c r="C21" s="58">
        <f>SUM(TDFD!C71:C100)</f>
        <v>1343.2413790190719</v>
      </c>
      <c r="D21" s="58">
        <f>SUM(TDFD!D71:D100)</f>
        <v>578.21714079995252</v>
      </c>
      <c r="E21" s="58">
        <f>SUM(TDFD!E71:E100)</f>
        <v>40358.018156263308</v>
      </c>
      <c r="G21" t="s">
        <v>34</v>
      </c>
      <c r="H21" s="11">
        <f>SUM(TDFD!H71:H100)</f>
        <v>6719</v>
      </c>
      <c r="I21" s="11">
        <f>SUM(TDFD!I71:I100)</f>
        <v>731</v>
      </c>
      <c r="J21" s="11">
        <f>SUM(TDFD!J71:J100)</f>
        <v>155</v>
      </c>
      <c r="K21" s="11">
        <f>SUM(TDFD!K71:K100)</f>
        <v>7605</v>
      </c>
    </row>
    <row ht="15.75" r="22" spans="1:11" thickBot="1" x14ac:dyDescent="0.3">
      <c r="A22" s="6" t="s">
        <v>35</v>
      </c>
      <c r="B22" s="60">
        <f>TDFD!B101</f>
        <v>0</v>
      </c>
      <c r="C22" s="60">
        <f>TDFD!C101</f>
        <v>0</v>
      </c>
      <c r="D22" s="60">
        <f>TDFD!D101</f>
        <v>0</v>
      </c>
      <c r="E22" s="60">
        <f>TDFD!E101</f>
        <v>0</v>
      </c>
      <c r="G22" s="1" t="s">
        <v>35</v>
      </c>
      <c r="H22" s="12">
        <f>TDFD!H101</f>
        <v>0</v>
      </c>
      <c r="I22" s="12">
        <f>TDFD!I101</f>
        <v>0</v>
      </c>
      <c r="J22" s="12">
        <f>TDFD!J101</f>
        <v>0</v>
      </c>
      <c r="K22" s="12">
        <f>TDFD!K101</f>
        <v>0</v>
      </c>
    </row>
    <row r="23" spans="1:11" x14ac:dyDescent="0.25">
      <c r="A23" s="53" t="s">
        <v>218</v>
      </c>
      <c r="B23" s="143">
        <f>SUM(B11:B22)</f>
        <v>659875.85214252304</v>
      </c>
      <c r="C23" s="143">
        <f>SUM(C11:C22)</f>
        <v>71304.215388949742</v>
      </c>
      <c r="D23" s="143">
        <f>SUM(D11:D22)</f>
        <v>29067.443299374234</v>
      </c>
      <c r="E23" s="143">
        <f>SUM(E11:E22)</f>
        <v>760247.51083084685</v>
      </c>
      <c r="G23" s="53" t="s">
        <v>218</v>
      </c>
      <c r="H23" s="143">
        <f>SUM(H11:H22)</f>
        <v>712784</v>
      </c>
      <c r="I23" s="143">
        <f>SUM(I11:I22)</f>
        <v>88401</v>
      </c>
      <c r="J23" s="143">
        <f>SUM(J11:J22)</f>
        <v>35679</v>
      </c>
      <c r="K23" s="143">
        <f>SUM(K11:K22)</f>
        <v>836864</v>
      </c>
    </row>
    <row ht="15.75" r="25" spans="1:11" thickBot="1" x14ac:dyDescent="0.3">
      <c r="A25" s="4" t="s">
        <v>204</v>
      </c>
      <c r="B25" s="1"/>
      <c r="C25" s="1"/>
      <c r="D25" s="1"/>
      <c r="E25" s="1"/>
      <c r="F25" s="95"/>
      <c r="G25" s="4" t="s">
        <v>13</v>
      </c>
      <c r="H25" s="1"/>
      <c r="I25" s="1"/>
      <c r="J25" s="1"/>
      <c r="K25" s="1"/>
    </row>
    <row r="26" spans="1:11" x14ac:dyDescent="0.2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F26" s="95"/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25">
      <c r="A27" s="95" t="s">
        <v>24</v>
      </c>
      <c r="B27" s="78">
        <f>B11/B$23</f>
        <v>1.9427457074608565E-2</v>
      </c>
      <c r="C27" s="78">
        <f>C11/C$23</f>
        <v>4.942935281537035E-2</v>
      </c>
      <c r="D27" s="78">
        <f>D11/D$23</f>
        <v>2.0069337235919697E-2</v>
      </c>
      <c r="E27" s="78">
        <f>E11/E$23</f>
        <v>2.2265900371597053E-2</v>
      </c>
      <c r="F27" s="95"/>
      <c r="G27" s="95" t="s">
        <v>24</v>
      </c>
      <c r="H27" s="78">
        <f ref="H27:K39" si="0" t="shared">H11/H$23</f>
        <v>1.6392062672562796E-2</v>
      </c>
      <c r="I27" s="78">
        <f si="0" t="shared"/>
        <v>2.0780307915068835E-2</v>
      </c>
      <c r="J27" s="78">
        <f si="0" t="shared"/>
        <v>2.6121808346646486E-2</v>
      </c>
      <c r="K27" s="78">
        <f si="0" t="shared"/>
        <v>1.7270428647904557E-2</v>
      </c>
    </row>
    <row r="28" spans="1:11" x14ac:dyDescent="0.25">
      <c r="A28" s="95" t="s">
        <v>25</v>
      </c>
      <c r="B28" s="78">
        <f ref="B28:E38" si="1" t="shared">B12/B$23</f>
        <v>0.11293717612843196</v>
      </c>
      <c r="C28" s="78">
        <f si="1" t="shared"/>
        <v>0.20315312154185153</v>
      </c>
      <c r="D28" s="78">
        <f si="1" t="shared"/>
        <v>0.23613460624774424</v>
      </c>
      <c r="E28" s="78">
        <f si="1" t="shared"/>
        <v>0.12610895423389951</v>
      </c>
      <c r="F28" s="95"/>
      <c r="G28" s="95" t="s">
        <v>25</v>
      </c>
      <c r="H28" s="78">
        <f si="0" t="shared"/>
        <v>9.7836090596870859E-2</v>
      </c>
      <c r="I28" s="78">
        <f si="0" t="shared"/>
        <v>0.13081299985294284</v>
      </c>
      <c r="J28" s="78">
        <f si="0" t="shared"/>
        <v>0.18411390453768323</v>
      </c>
      <c r="K28" s="78">
        <f si="0" t="shared"/>
        <v>0.10499794470786174</v>
      </c>
    </row>
    <row r="29" spans="1:11" x14ac:dyDescent="0.25">
      <c r="A29" s="95" t="s">
        <v>26</v>
      </c>
      <c r="B29" s="78">
        <f si="1" t="shared"/>
        <v>0.13030352959099939</v>
      </c>
      <c r="C29" s="78">
        <f si="1" t="shared"/>
        <v>0.1771777809186543</v>
      </c>
      <c r="D29" s="78">
        <f si="1" t="shared"/>
        <v>0.2981185580158292</v>
      </c>
      <c r="E29" s="78">
        <f si="1" t="shared"/>
        <v>0.14111617339354315</v>
      </c>
      <c r="F29" s="95"/>
      <c r="G29" s="95" t="s">
        <v>26</v>
      </c>
      <c r="H29" s="78">
        <f si="0" t="shared"/>
        <v>0.1414804484949157</v>
      </c>
      <c r="I29" s="78">
        <f si="0" t="shared"/>
        <v>0.17740749539032363</v>
      </c>
      <c r="J29" s="78">
        <f si="0" t="shared"/>
        <v>0.21048796210656129</v>
      </c>
      <c r="K29" s="78">
        <f si="0" t="shared"/>
        <v>0.14821763153869685</v>
      </c>
    </row>
    <row r="30" spans="1:11" x14ac:dyDescent="0.25">
      <c r="A30" s="95" t="s">
        <v>27</v>
      </c>
      <c r="B30" s="78">
        <f si="1" t="shared"/>
        <v>0.14348895282820981</v>
      </c>
      <c r="C30" s="78">
        <f si="1" t="shared"/>
        <v>0.15922987028214447</v>
      </c>
      <c r="D30" s="78">
        <f si="1" t="shared"/>
        <v>0.13582965742036568</v>
      </c>
      <c r="E30" s="78">
        <f si="1" t="shared"/>
        <v>0.14467245901633408</v>
      </c>
      <c r="F30" s="95"/>
      <c r="G30" s="95" t="s">
        <v>27</v>
      </c>
      <c r="H30" s="78">
        <f si="0" t="shared"/>
        <v>0.16464454869918516</v>
      </c>
      <c r="I30" s="78">
        <f si="0" t="shared"/>
        <v>0.17030350335403446</v>
      </c>
      <c r="J30" s="78">
        <f si="0" t="shared"/>
        <v>0.1787886431794613</v>
      </c>
      <c r="K30" s="78">
        <f si="0" t="shared"/>
        <v>0.16584534643621904</v>
      </c>
    </row>
    <row r="31" spans="1:11" x14ac:dyDescent="0.25">
      <c r="A31" s="95" t="s">
        <v>28</v>
      </c>
      <c r="B31" s="78">
        <f si="1" t="shared"/>
        <v>0.11663044152547201</v>
      </c>
      <c r="C31" s="78">
        <f si="1" t="shared"/>
        <v>0.10145719189205266</v>
      </c>
      <c r="D31" s="78">
        <f si="1" t="shared"/>
        <v>9.1581075616879726E-2</v>
      </c>
      <c r="E31" s="78">
        <f si="1" t="shared"/>
        <v>0.11424958837244191</v>
      </c>
      <c r="F31" s="95"/>
      <c r="G31" s="95" t="s">
        <v>28</v>
      </c>
      <c r="H31" s="78">
        <f si="0" t="shared"/>
        <v>0.1606573660463759</v>
      </c>
      <c r="I31" s="78">
        <f si="0" t="shared"/>
        <v>0.15169511657107951</v>
      </c>
      <c r="J31" s="78">
        <f si="0" t="shared"/>
        <v>0.12819866027635304</v>
      </c>
      <c r="K31" s="78">
        <f si="0" t="shared"/>
        <v>0.15832680100948301</v>
      </c>
    </row>
    <row r="32" spans="1:11" x14ac:dyDescent="0.25">
      <c r="A32" s="95" t="s">
        <v>29</v>
      </c>
      <c r="B32" s="78">
        <f si="1" t="shared"/>
        <v>0.10403269786376974</v>
      </c>
      <c r="C32" s="78">
        <f si="1" t="shared"/>
        <v>6.2852512849599029E-2</v>
      </c>
      <c r="D32" s="78">
        <f si="1" t="shared"/>
        <v>8.0737162802179088E-2</v>
      </c>
      <c r="E32" s="78">
        <f si="1" t="shared"/>
        <v>9.9279689961659617E-2</v>
      </c>
      <c r="F32" s="95"/>
      <c r="G32" s="95" t="s">
        <v>29</v>
      </c>
      <c r="H32" s="78">
        <f si="0" t="shared"/>
        <v>0.12866731015286539</v>
      </c>
      <c r="I32" s="78">
        <f si="0" t="shared"/>
        <v>0.11418422868519587</v>
      </c>
      <c r="J32" s="78">
        <f si="0" t="shared"/>
        <v>9.1678578435494262E-2</v>
      </c>
      <c r="K32" s="78">
        <f si="0" t="shared"/>
        <v>0.1255604255888651</v>
      </c>
    </row>
    <row r="33" spans="1:11" x14ac:dyDescent="0.25">
      <c r="A33" s="95" t="s">
        <v>30</v>
      </c>
      <c r="B33" s="78">
        <f si="1" t="shared"/>
        <v>8.7984284182035188E-2</v>
      </c>
      <c r="C33" s="78">
        <f si="1" t="shared"/>
        <v>8.5033730833262627E-2</v>
      </c>
      <c r="D33" s="78">
        <f si="1" t="shared"/>
        <v>2.4659152152863892E-2</v>
      </c>
      <c r="E33" s="78">
        <f si="1" t="shared"/>
        <v>8.5286364692710961E-2</v>
      </c>
      <c r="F33" s="95"/>
      <c r="G33" s="95" t="s">
        <v>30</v>
      </c>
      <c r="H33" s="78">
        <f si="0" t="shared"/>
        <v>9.881815528968102E-2</v>
      </c>
      <c r="I33" s="78">
        <f si="0" t="shared"/>
        <v>8.1673284238866078E-2</v>
      </c>
      <c r="J33" s="78">
        <f si="0" t="shared"/>
        <v>6.4379607051767151E-2</v>
      </c>
      <c r="K33" s="78">
        <f si="0" t="shared"/>
        <v>9.5538821122667483E-2</v>
      </c>
    </row>
    <row r="34" spans="1:11" x14ac:dyDescent="0.25">
      <c r="A34" s="95" t="s">
        <v>31</v>
      </c>
      <c r="B34" s="78">
        <f si="1" t="shared"/>
        <v>6.6701733135109034E-2</v>
      </c>
      <c r="C34" s="78">
        <f si="1" t="shared"/>
        <v>4.9476741975077183E-2</v>
      </c>
      <c r="D34" s="78">
        <f si="1" t="shared"/>
        <v>1.7900784787902441E-2</v>
      </c>
      <c r="E34" s="78">
        <f si="1" t="shared"/>
        <v>6.3220323145494917E-2</v>
      </c>
      <c r="F34" s="95"/>
      <c r="G34" s="95" t="s">
        <v>31</v>
      </c>
      <c r="H34" s="78">
        <f si="0" t="shared"/>
        <v>7.6512660216839889E-2</v>
      </c>
      <c r="I34" s="78">
        <f si="0" t="shared"/>
        <v>6.13002115360686E-2</v>
      </c>
      <c r="J34" s="78">
        <f si="0" t="shared"/>
        <v>4.7983407606715434E-2</v>
      </c>
      <c r="K34" s="78">
        <f si="0" t="shared"/>
        <v>7.3689392780666871E-2</v>
      </c>
    </row>
    <row r="35" spans="1:11" x14ac:dyDescent="0.25">
      <c r="A35" s="95" t="s">
        <v>32</v>
      </c>
      <c r="B35" s="78">
        <f si="1" t="shared"/>
        <v>6.5991390079815831E-2</v>
      </c>
      <c r="C35" s="78">
        <f si="1" t="shared"/>
        <v>4.0891901117403477E-2</v>
      </c>
      <c r="D35" s="78">
        <f si="1" t="shared"/>
        <v>2.9684707443858826E-2</v>
      </c>
      <c r="E35" s="78">
        <f si="1" t="shared"/>
        <v>6.2249132768209224E-2</v>
      </c>
      <c r="F35" s="95"/>
      <c r="G35" s="95" t="s">
        <v>32</v>
      </c>
      <c r="H35" s="78">
        <f si="0" t="shared"/>
        <v>5.1881074771599811E-2</v>
      </c>
      <c r="I35" s="78">
        <f si="0" t="shared"/>
        <v>3.9377382608794018E-2</v>
      </c>
      <c r="J35" s="78">
        <f si="0" t="shared"/>
        <v>3.2540149667871859E-2</v>
      </c>
      <c r="K35" s="78">
        <f si="0" t="shared"/>
        <v>4.973567987152034E-2</v>
      </c>
    </row>
    <row r="36" spans="1:11" x14ac:dyDescent="0.25">
      <c r="A36" s="95" t="s">
        <v>33</v>
      </c>
      <c r="B36" s="78">
        <f si="1" t="shared"/>
        <v>9.4254169376805752E-2</v>
      </c>
      <c r="C36" s="78">
        <f si="1" t="shared"/>
        <v>5.2459619494374721E-2</v>
      </c>
      <c r="D36" s="78">
        <f si="1" t="shared"/>
        <v>4.5392698236772222E-2</v>
      </c>
      <c r="E36" s="78">
        <f si="1" t="shared"/>
        <v>8.8466047000740428E-2</v>
      </c>
      <c r="F36" s="95"/>
      <c r="G36" s="95" t="s">
        <v>33</v>
      </c>
      <c r="H36" s="78">
        <f si="0" t="shared"/>
        <v>5.3683864957687039E-2</v>
      </c>
      <c r="I36" s="78">
        <f si="0" t="shared"/>
        <v>4.4196332620671713E-2</v>
      </c>
      <c r="J36" s="78">
        <f si="0" t="shared"/>
        <v>3.136298663079122E-2</v>
      </c>
      <c r="K36" s="78">
        <f si="0" t="shared"/>
        <v>5.1730030208014685E-2</v>
      </c>
    </row>
    <row r="37" spans="1:11" x14ac:dyDescent="0.25">
      <c r="A37" s="95" t="s">
        <v>34</v>
      </c>
      <c r="B37" s="78">
        <f si="1" t="shared"/>
        <v>5.8248168214742567E-2</v>
      </c>
      <c r="C37" s="78">
        <f si="1" t="shared"/>
        <v>1.8838176280209635E-2</v>
      </c>
      <c r="D37" s="78">
        <f si="1" t="shared"/>
        <v>1.9892260039685031E-2</v>
      </c>
      <c r="E37" s="78">
        <f si="1" t="shared"/>
        <v>5.3085367043369205E-2</v>
      </c>
      <c r="F37" s="95"/>
      <c r="G37" s="95" t="s">
        <v>34</v>
      </c>
      <c r="H37" s="78">
        <f si="0" t="shared"/>
        <v>9.4264181014164176E-3</v>
      </c>
      <c r="I37" s="78">
        <f si="0" t="shared"/>
        <v>8.2691372269544459E-3</v>
      </c>
      <c r="J37" s="78">
        <f si="0" t="shared"/>
        <v>4.344292160654727E-3</v>
      </c>
      <c r="K37" s="78">
        <f si="0" t="shared"/>
        <v>9.0874980881003372E-3</v>
      </c>
    </row>
    <row r="38" spans="1:11" x14ac:dyDescent="0.25">
      <c r="A38" s="6" t="s">
        <v>35</v>
      </c>
      <c r="B38" s="197">
        <f si="1" t="shared"/>
        <v>0</v>
      </c>
      <c r="C38" s="197">
        <f si="1" t="shared"/>
        <v>0</v>
      </c>
      <c r="D38" s="197">
        <f si="1" t="shared"/>
        <v>0</v>
      </c>
      <c r="E38" s="197">
        <f si="1" t="shared"/>
        <v>0</v>
      </c>
      <c r="F38" s="95"/>
      <c r="G38" s="6" t="s">
        <v>35</v>
      </c>
      <c r="H38" s="197">
        <f si="0" t="shared"/>
        <v>0</v>
      </c>
      <c r="I38" s="197">
        <f si="0" t="shared"/>
        <v>0</v>
      </c>
      <c r="J38" s="197">
        <f si="0" t="shared"/>
        <v>0</v>
      </c>
      <c r="K38" s="197">
        <f si="0" t="shared"/>
        <v>0</v>
      </c>
    </row>
    <row r="39" spans="1:11" x14ac:dyDescent="0.25">
      <c r="A39" s="53" t="s">
        <v>218</v>
      </c>
      <c r="B39" s="198">
        <f>B23/B$23</f>
        <v>1</v>
      </c>
      <c r="C39" s="198">
        <f>C23/C$23</f>
        <v>1</v>
      </c>
      <c r="D39" s="198">
        <f>D23/D$23</f>
        <v>1</v>
      </c>
      <c r="E39" s="198">
        <f>E23/E$23</f>
        <v>1</v>
      </c>
      <c r="G39" s="53" t="s">
        <v>218</v>
      </c>
      <c r="H39" s="198">
        <f si="0" t="shared"/>
        <v>1</v>
      </c>
      <c r="I39" s="198">
        <f si="0" t="shared"/>
        <v>1</v>
      </c>
      <c r="J39" s="198">
        <f si="0" t="shared"/>
        <v>1</v>
      </c>
      <c r="K39" s="198">
        <f si="0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CS109"/>
  <sheetViews>
    <sheetView topLeftCell="M28" workbookViewId="0" zoomScaleNormal="100">
      <selection activeCell="Z34" sqref="Z34"/>
    </sheetView>
  </sheetViews>
  <sheetFormatPr defaultRowHeight="15" x14ac:dyDescent="0.25"/>
  <cols>
    <col min="1" max="1" customWidth="true" width="10.85546875" collapsed="true"/>
    <col min="2" max="2" bestFit="true" customWidth="true" width="10.7109375" collapsed="true"/>
    <col min="3" max="3" customWidth="true" width="8.0" collapsed="true"/>
    <col min="4" max="6" bestFit="true" customWidth="true" width="10.7109375" collapsed="true"/>
    <col min="7" max="7" bestFit="true" customWidth="true" width="11.5703125" collapsed="true"/>
    <col min="8" max="8" customWidth="true" style="95" width="8.0" collapsed="true"/>
    <col min="9" max="9" bestFit="true" customWidth="true" width="9.7109375" collapsed="true"/>
    <col min="10" max="10" bestFit="true" customWidth="true" width="10.7109375" collapsed="true"/>
    <col min="11" max="11" customWidth="true" style="95" width="9.7109375" collapsed="true"/>
    <col min="12" max="12" customWidth="true" style="95" width="9.0" collapsed="true"/>
    <col min="13" max="13" customWidth="true" style="95" width="8.7109375" collapsed="true"/>
    <col min="14" max="14" customWidth="true" style="95" width="8.140625" collapsed="true"/>
    <col min="15" max="15" customWidth="true" style="95" width="9.7109375" collapsed="true"/>
    <col min="16" max="16" customWidth="true" style="95" width="9.140625" collapsed="true"/>
    <col min="17" max="18" customWidth="true" style="95" width="7.5703125" collapsed="true"/>
    <col min="19" max="19" customWidth="true" style="95" width="10.85546875" collapsed="true"/>
    <col min="20" max="20" customWidth="true" style="95" width="8.85546875" collapsed="true"/>
    <col min="21" max="21" customWidth="true" style="95" width="8.5703125" collapsed="true"/>
    <col min="22" max="22" customWidth="true" style="95" width="7.5703125" collapsed="true"/>
    <col min="23" max="23" customWidth="true" style="95" width="9.42578125" collapsed="true"/>
    <col min="24" max="26" customWidth="true" width="9.140625" collapsed="true"/>
    <col min="27" max="27" customWidth="true" width="8.0" collapsed="true"/>
    <col min="28" max="28" customWidth="true" width="9.0" collapsed="true"/>
    <col min="29" max="29" customWidth="true" width="8.85546875" collapsed="true"/>
    <col min="30" max="30" customWidth="true" width="9.0" collapsed="true"/>
    <col min="31" max="31" customWidth="true" width="9.7109375" collapsed="true"/>
    <col min="32" max="36" customWidth="true" style="95" width="8.0" collapsed="true"/>
    <col min="37" max="37" customWidth="true" width="8.7109375" collapsed="true"/>
    <col min="38" max="38" customWidth="true" width="9.28515625" collapsed="true"/>
    <col min="39" max="39" customWidth="true" style="95" width="9.140625" collapsed="true"/>
    <col min="40" max="40" customWidth="true" style="95" width="8.28515625" collapsed="true"/>
    <col min="41" max="41" customWidth="true" style="95" width="7.5703125" collapsed="true"/>
    <col min="42" max="42" bestFit="true" customWidth="true" style="95" width="8.0" collapsed="true"/>
    <col min="43" max="43" customWidth="true" style="95" width="8.42578125" collapsed="true"/>
    <col min="44" max="45" customWidth="true" style="95" width="8.85546875" collapsed="true"/>
    <col min="46" max="47" bestFit="true" customWidth="true" style="95" width="10.5703125" collapsed="true"/>
    <col min="48" max="48" customWidth="true" width="9.140625" collapsed="true"/>
    <col min="49" max="49" customWidth="true" width="11.5703125" collapsed="true"/>
    <col min="50" max="51" bestFit="true" customWidth="true" width="10.5703125" collapsed="true"/>
    <col min="52" max="52" customWidth="true" width="9.140625" collapsed="true"/>
    <col min="53" max="55" bestFit="true" customWidth="true" width="10.5703125" collapsed="true"/>
    <col min="56" max="56" customWidth="true" style="95" width="9.5703125" collapsed="true"/>
    <col min="57" max="57" bestFit="true" customWidth="true" width="9.5703125" collapsed="true"/>
    <col min="58" max="59" bestFit="true" customWidth="true" width="10.5703125" collapsed="true"/>
    <col min="60" max="61" bestFit="true" customWidth="true" width="11.5703125" collapsed="true"/>
    <col min="62" max="64" bestFit="true" customWidth="true" width="10.5703125" collapsed="true"/>
    <col min="65" max="65" bestFit="true" customWidth="true" width="9.5703125" collapsed="true"/>
    <col min="66" max="69" bestFit="true" customWidth="true" width="10.5703125" collapsed="true"/>
    <col min="70" max="70" bestFit="true" customWidth="true" width="9.28515625" collapsed="true"/>
    <col min="71" max="71" bestFit="true" customWidth="true" width="11.5703125" collapsed="true"/>
    <col min="75" max="75" bestFit="true" customWidth="true" width="19.28515625" collapsed="true"/>
    <col min="76" max="76" bestFit="true" customWidth="true" width="10.5703125" collapsed="true"/>
    <col min="77" max="77" customWidth="true" width="11.42578125" collapsed="true"/>
    <col min="82" max="82" bestFit="true" customWidth="true" width="11.5703125" collapsed="true"/>
    <col min="84" max="84" bestFit="true" customWidth="true" width="8.0" collapsed="true"/>
    <col min="88" max="88" customWidth="true" width="11.85546875" collapsed="true"/>
    <col min="89" max="89" bestFit="true" customWidth="true" width="15.7109375" collapsed="true"/>
    <col min="90" max="90" customWidth="true" width="13.5703125" collapsed="true"/>
    <col min="92" max="92" customWidth="true" width="11.140625" collapsed="true"/>
    <col min="93" max="93" customWidth="true" width="14.140625" collapsed="true"/>
    <col min="94" max="94" bestFit="true" customWidth="true" width="10.28515625" collapsed="true"/>
    <col min="96" max="96" bestFit="true" customWidth="true" width="10.5703125" collapsed="true"/>
  </cols>
  <sheetData>
    <row r="1" spans="1:96" x14ac:dyDescent="0.25">
      <c r="A1" t="s">
        <v>319</v>
      </c>
    </row>
    <row r="2" spans="1:96" x14ac:dyDescent="0.25">
      <c r="A2" t="s">
        <v>247</v>
      </c>
    </row>
    <row r="3" spans="1:96" x14ac:dyDescent="0.25">
      <c r="A3" t="s">
        <v>16</v>
      </c>
    </row>
    <row ht="15.75" r="5" spans="1:96" thickBot="1" x14ac:dyDescent="0.3">
      <c r="A5" s="4" t="s">
        <v>320</v>
      </c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1"/>
      <c r="W5" s="1"/>
      <c r="X5" s="7"/>
      <c r="Y5" s="4" t="s">
        <v>427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7"/>
      <c r="AN5" s="7"/>
      <c r="AO5" s="7"/>
      <c r="AP5" s="7"/>
      <c r="AQ5" s="7"/>
      <c r="AR5" s="7"/>
      <c r="AS5" s="7"/>
      <c r="AT5" s="7"/>
      <c r="AU5" s="7"/>
      <c r="AW5" s="4" t="s">
        <v>321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2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79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359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25">
      <c r="A7" s="31">
        <v>1</v>
      </c>
      <c r="B7" s="77" t="n">
        <v>1352.1149327994015</v>
      </c>
      <c r="C7" s="77" t="n">
        <v>183.0840762651814</v>
      </c>
      <c r="D7" s="77" t="n">
        <v>176.01220019771688</v>
      </c>
      <c r="E7" s="77" t="n">
        <v>0.0</v>
      </c>
      <c r="F7" s="77" t="n">
        <v>167.509106865658</v>
      </c>
      <c r="G7" s="77" t="n">
        <v>2095.642327751806</v>
      </c>
      <c r="H7" s="77" t="n">
        <v>0.0</v>
      </c>
      <c r="I7" s="77" t="n">
        <v>0.0</v>
      </c>
      <c r="J7" s="77" t="n">
        <v>664.526078999147</v>
      </c>
      <c r="K7" s="77" t="n">
        <v>91.7327429079068</v>
      </c>
      <c r="L7" s="77" t="n">
        <v>435.70460821785</v>
      </c>
      <c r="M7" s="77" t="n">
        <v>394.2222574139278</v>
      </c>
      <c r="N7" s="77" t="n">
        <v>24.5368584837138</v>
      </c>
      <c r="O7" s="77" t="n">
        <v>0.0</v>
      </c>
      <c r="P7" s="77" t="n">
        <v>0.0</v>
      </c>
      <c r="Q7" s="77" t="n">
        <v>0.0</v>
      </c>
      <c r="R7" s="77" t="n">
        <v>0.0</v>
      </c>
      <c r="S7" s="77" t="n">
        <v>0.0</v>
      </c>
      <c r="T7" s="77" t="n">
        <v>0.0</v>
      </c>
      <c r="U7" s="77" t="n">
        <v>0.0</v>
      </c>
      <c r="V7" s="77"/>
      <c r="W7" s="77">
        <f>SUM(B7:V7)</f>
        <v>5585.08518990231</v>
      </c>
      <c r="X7" s="15"/>
      <c r="Y7" s="31">
        <v>1</v>
      </c>
      <c r="Z7" s="77">
        <v>2558</v>
      </c>
      <c r="AA7" s="77">
        <v>900</v>
      </c>
      <c r="AB7" s="77">
        <v>462</v>
      </c>
      <c r="AC7" s="77">
        <v>412</v>
      </c>
      <c r="AD7" s="77">
        <v>454</v>
      </c>
      <c r="AE7" s="77">
        <v>2741</v>
      </c>
      <c r="AF7" s="77">
        <v>552</v>
      </c>
      <c r="AG7" s="77">
        <v>74</v>
      </c>
      <c r="AH7" s="77">
        <v>607</v>
      </c>
      <c r="AI7" s="77">
        <v>273</v>
      </c>
      <c r="AJ7" s="77">
        <v>353</v>
      </c>
      <c r="AK7" s="77">
        <v>1732</v>
      </c>
      <c r="AL7" s="77">
        <v>126</v>
      </c>
      <c r="AM7" s="77">
        <v>34</v>
      </c>
      <c r="AN7" s="77">
        <v>112</v>
      </c>
      <c r="AO7" s="77">
        <v>48</v>
      </c>
      <c r="AP7" s="77">
        <v>22</v>
      </c>
      <c r="AQ7" s="77">
        <v>71</v>
      </c>
      <c r="AR7" s="77">
        <v>66</v>
      </c>
      <c r="AS7" s="77">
        <v>26</v>
      </c>
      <c r="AT7" s="77">
        <v>0</v>
      </c>
      <c r="AU7" s="77">
        <f>SUM(Z7:AT7)</f>
        <v>11623</v>
      </c>
      <c r="AV7" s="14"/>
      <c r="AW7" s="31">
        <v>1</v>
      </c>
      <c r="AX7" s="77" t="n">
        <v>2183.0</v>
      </c>
      <c r="AY7" s="77" t="n">
        <v>606.0</v>
      </c>
      <c r="AZ7" s="77" t="n">
        <v>401.0</v>
      </c>
      <c r="BA7" s="77" t="n">
        <v>113.0</v>
      </c>
      <c r="BB7" s="77" t="n">
        <v>475.0</v>
      </c>
      <c r="BC7" s="77" t="n">
        <v>3039.0</v>
      </c>
      <c r="BD7" s="77" t="n">
        <v>1122.0</v>
      </c>
      <c r="BE7" s="77" t="n">
        <v>9.0</v>
      </c>
      <c r="BF7" s="77" t="n">
        <v>371.0</v>
      </c>
      <c r="BG7" s="77" t="n">
        <v>152.0</v>
      </c>
      <c r="BH7" s="77" t="n">
        <v>156.0</v>
      </c>
      <c r="BI7" s="77" t="n">
        <v>784.0</v>
      </c>
      <c r="BJ7" s="77" t="n">
        <v>138.0</v>
      </c>
      <c r="BK7" s="77" t="n">
        <v>12.0</v>
      </c>
      <c r="BL7" s="77" t="n">
        <v>98.0</v>
      </c>
      <c r="BM7" s="77" t="n">
        <v>16.0</v>
      </c>
      <c r="BN7" s="77" t="n">
        <v>210.0</v>
      </c>
      <c r="BO7" s="77" t="n">
        <v>100.0</v>
      </c>
      <c r="BP7" s="77" t="n">
        <v>77.0</v>
      </c>
      <c r="BQ7" s="77" t="n">
        <v>0.0</v>
      </c>
      <c r="BR7" s="77"/>
      <c r="BS7" s="77">
        <f>SUM(AX7:BR7)</f>
        <v>10090</v>
      </c>
      <c r="BT7" s="102"/>
      <c r="BU7" t="s">
        <v>346</v>
      </c>
      <c r="BV7" s="95" t="s">
        <v>343</v>
      </c>
      <c r="BW7" s="108">
        <f>B28</f>
        <v>79760.849468333327</v>
      </c>
      <c r="BX7" s="108">
        <f ref="BX7:CR7" si="0" t="shared">C28</f>
        <v>31813.912026640864</v>
      </c>
      <c r="BY7" s="108">
        <f si="0" t="shared"/>
        <v>19232.15320397434</v>
      </c>
      <c r="BZ7" s="108">
        <f si="0" t="shared"/>
        <v>23614.438020947026</v>
      </c>
      <c r="CA7" s="108">
        <f si="0" t="shared"/>
        <v>22008.912637957234</v>
      </c>
      <c r="CB7" s="108">
        <f si="0" t="shared"/>
        <v>110838.59727059442</v>
      </c>
      <c r="CC7" s="108">
        <f si="0" t="shared"/>
        <v>72229.704798876643</v>
      </c>
      <c r="CD7" s="108">
        <f si="0" t="shared"/>
        <v>3529.6254281499482</v>
      </c>
      <c r="CE7" s="108">
        <f si="0" t="shared"/>
        <v>52290.12647409238</v>
      </c>
      <c r="CF7" s="108">
        <f si="0" t="shared"/>
        <v>13278.808202931854</v>
      </c>
      <c r="CG7" s="108">
        <f si="0" t="shared"/>
        <v>39311.716334055673</v>
      </c>
      <c r="CH7" s="108">
        <f si="0" t="shared"/>
        <v>146512.17303057498</v>
      </c>
      <c r="CI7" s="108">
        <f si="0" t="shared"/>
        <v>58480.272152515652</v>
      </c>
      <c r="CJ7" s="108">
        <f si="0" t="shared"/>
        <v>13268.259284250174</v>
      </c>
      <c r="CK7" s="108">
        <f si="0" t="shared"/>
        <v>17511.615512480701</v>
      </c>
      <c r="CL7" s="108">
        <f si="0" t="shared"/>
        <v>1961.4873955809485</v>
      </c>
      <c r="CM7" s="108">
        <f si="0" t="shared"/>
        <v>9020.5569668027474</v>
      </c>
      <c r="CN7" s="108">
        <f si="0" t="shared"/>
        <v>12709.794043032649</v>
      </c>
      <c r="CO7" s="108">
        <f si="0" t="shared"/>
        <v>16752.227960566343</v>
      </c>
      <c r="CP7" s="108">
        <f si="0" t="shared"/>
        <v>16122.280618489045</v>
      </c>
      <c r="CQ7" s="108">
        <f si="0" t="shared"/>
        <v>0</v>
      </c>
      <c r="CR7" s="108">
        <f si="0" t="shared"/>
        <v>760247.51083084685</v>
      </c>
    </row>
    <row r="8" spans="1:96" x14ac:dyDescent="0.25">
      <c r="A8">
        <v>2</v>
      </c>
      <c r="B8" s="77" t="n">
        <v>780.5645807917219</v>
      </c>
      <c r="C8" s="77" t="n">
        <v>621.2828533603629</v>
      </c>
      <c r="D8" s="77" t="n">
        <v>271.5396856204466</v>
      </c>
      <c r="E8" s="77" t="n">
        <v>1998.8188693691516</v>
      </c>
      <c r="F8" s="77" t="n">
        <v>45.8663714539534</v>
      </c>
      <c r="G8" s="77" t="n">
        <v>1690.6853696752305</v>
      </c>
      <c r="H8" s="77" t="n">
        <v>749.667834134616</v>
      </c>
      <c r="I8" s="77" t="n">
        <v>0.0</v>
      </c>
      <c r="J8" s="77" t="n">
        <v>766.162826711661</v>
      </c>
      <c r="K8" s="77" t="n">
        <v>84.4474716712314</v>
      </c>
      <c r="L8" s="77" t="n">
        <v>122.6431346245068</v>
      </c>
      <c r="M8" s="77" t="n">
        <v>868.5529960687418</v>
      </c>
      <c r="N8" s="77" t="n">
        <v>0.0</v>
      </c>
      <c r="O8" s="77" t="n">
        <v>0.0</v>
      </c>
      <c r="P8" s="77" t="n">
        <v>0.0</v>
      </c>
      <c r="Q8" s="77" t="n">
        <v>0.0</v>
      </c>
      <c r="R8" s="77" t="n">
        <v>0.0</v>
      </c>
      <c r="S8" s="77" t="n">
        <v>0.0</v>
      </c>
      <c r="T8" s="77" t="n">
        <v>178.5003663470784</v>
      </c>
      <c r="U8" s="77" t="n">
        <v>0.0</v>
      </c>
      <c r="V8" s="77"/>
      <c r="W8" s="77">
        <f ref="W8:W27" si="1" t="shared">SUM(B8:V8)</f>
        <v>8178.7323598287021</v>
      </c>
      <c r="X8" s="15"/>
      <c r="Y8" s="95">
        <v>2</v>
      </c>
      <c r="Z8" s="77">
        <v>1874</v>
      </c>
      <c r="AA8" s="77">
        <v>2639</v>
      </c>
      <c r="AB8" s="77">
        <v>772</v>
      </c>
      <c r="AC8" s="77">
        <v>480</v>
      </c>
      <c r="AD8" s="77">
        <v>594</v>
      </c>
      <c r="AE8" s="77">
        <v>3513</v>
      </c>
      <c r="AF8" s="77">
        <v>1458</v>
      </c>
      <c r="AG8" s="77">
        <v>127</v>
      </c>
      <c r="AH8" s="77">
        <v>1490</v>
      </c>
      <c r="AI8" s="77">
        <v>455</v>
      </c>
      <c r="AJ8" s="77">
        <v>915</v>
      </c>
      <c r="AK8" s="77">
        <v>2760</v>
      </c>
      <c r="AL8" s="77">
        <v>283</v>
      </c>
      <c r="AM8" s="77">
        <v>67</v>
      </c>
      <c r="AN8" s="77">
        <v>277</v>
      </c>
      <c r="AO8" s="77">
        <v>83</v>
      </c>
      <c r="AP8" s="77">
        <v>56</v>
      </c>
      <c r="AQ8" s="77">
        <v>176</v>
      </c>
      <c r="AR8" s="77">
        <v>144</v>
      </c>
      <c r="AS8" s="77">
        <v>57</v>
      </c>
      <c r="AT8" s="77">
        <v>0</v>
      </c>
      <c r="AU8" s="77">
        <f ref="AU8:AU27" si="2" t="shared">SUM(Z8:AT8)</f>
        <v>18220</v>
      </c>
      <c r="AV8" s="14"/>
      <c r="AW8" s="95">
        <v>2</v>
      </c>
      <c r="AX8" s="77" t="n">
        <v>1671.0</v>
      </c>
      <c r="AY8" s="77" t="n">
        <v>1489.0</v>
      </c>
      <c r="AZ8" s="77" t="n">
        <v>411.0</v>
      </c>
      <c r="BA8" s="77" t="n">
        <v>101.0</v>
      </c>
      <c r="BB8" s="77" t="n">
        <v>430.0</v>
      </c>
      <c r="BC8" s="77" t="n">
        <v>3109.0</v>
      </c>
      <c r="BD8" s="77" t="n">
        <v>2602.0</v>
      </c>
      <c r="BE8" s="77" t="n">
        <v>11.0</v>
      </c>
      <c r="BF8" s="77" t="n">
        <v>1054.0</v>
      </c>
      <c r="BG8" s="77" t="n">
        <v>187.0</v>
      </c>
      <c r="BH8" s="77" t="n">
        <v>180.0</v>
      </c>
      <c r="BI8" s="77" t="n">
        <v>1688.0</v>
      </c>
      <c r="BJ8" s="77" t="n">
        <v>556.0</v>
      </c>
      <c r="BK8" s="77" t="n">
        <v>30.0</v>
      </c>
      <c r="BL8" s="77" t="n">
        <v>338.0</v>
      </c>
      <c r="BM8" s="77" t="n">
        <v>18.0</v>
      </c>
      <c r="BN8" s="77" t="n">
        <v>264.0</v>
      </c>
      <c r="BO8" s="77" t="n">
        <v>175.0</v>
      </c>
      <c r="BP8" s="77" t="n">
        <v>135.0</v>
      </c>
      <c r="BQ8" s="77" t="n">
        <v>2.0</v>
      </c>
      <c r="BR8" s="77"/>
      <c r="BS8" s="77">
        <f ref="BS8:BS27" si="3" t="shared">SUM(AX8:BR8)</f>
        <v>14485</v>
      </c>
      <c r="BT8" s="102"/>
      <c r="BV8" t="s">
        <v>356</v>
      </c>
      <c r="BW8" s="58">
        <f>Flow_ODData!C25</f>
        <v>11305</v>
      </c>
      <c r="BX8" s="58">
        <f>Flow_ODData!D25</f>
        <v>9245</v>
      </c>
      <c r="BY8" s="58">
        <f>Flow_ODData!E25</f>
        <v>6541</v>
      </c>
      <c r="BZ8" s="58">
        <f>Flow_ODData!F25</f>
        <v>3702</v>
      </c>
      <c r="CA8" s="58">
        <f>Flow_ODData!G25</f>
        <v>6181</v>
      </c>
      <c r="CB8" s="58">
        <f>Flow_ODData!H25</f>
        <v>23878</v>
      </c>
      <c r="CC8" s="58">
        <f>Flow_ODData!I25</f>
        <v>20873</v>
      </c>
      <c r="CD8" s="58">
        <f>Flow_ODData!J25</f>
        <v>941</v>
      </c>
      <c r="CE8" s="58">
        <f>Flow_ODData!K25</f>
        <v>11078</v>
      </c>
      <c r="CF8" s="58">
        <f>Flow_ODData!L25</f>
        <v>4948</v>
      </c>
      <c r="CG8" s="58">
        <f>Flow_ODData!M25</f>
        <v>12781</v>
      </c>
      <c r="CH8" s="58">
        <f>Flow_ODData!N25</f>
        <v>37383</v>
      </c>
      <c r="CI8" s="58">
        <f>Flow_ODData!O25</f>
        <v>21958</v>
      </c>
      <c r="CJ8" s="58">
        <f>Flow_ODData!P25</f>
        <v>425</v>
      </c>
      <c r="CK8" s="58">
        <f>Flow_ODData!Q25</f>
        <v>10675</v>
      </c>
      <c r="CL8" s="58">
        <f>Flow_ODData!R25</f>
        <v>826</v>
      </c>
      <c r="CM8" s="58">
        <f>Flow_ODData!S25</f>
        <v>873</v>
      </c>
      <c r="CN8" s="58">
        <f>Flow_ODData!T25</f>
        <v>4732</v>
      </c>
      <c r="CO8" s="58">
        <f>Flow_ODData!U25</f>
        <v>6513</v>
      </c>
      <c r="CP8" s="58">
        <f>Flow_ODData!V25</f>
        <v>9627</v>
      </c>
      <c r="CQ8" s="58">
        <f>Flow_ODData!W25</f>
        <v>0</v>
      </c>
      <c r="CR8" s="58">
        <f>Flow_ODData!X25</f>
        <v>204485</v>
      </c>
    </row>
    <row r="9" spans="1:96" x14ac:dyDescent="0.25">
      <c r="A9">
        <v>3</v>
      </c>
      <c r="B9" s="77" t="n">
        <v>5406.007608660557</v>
      </c>
      <c r="C9" s="77" t="n">
        <v>3260.397885885449</v>
      </c>
      <c r="D9" s="77" t="n">
        <v>3160.846667584723</v>
      </c>
      <c r="E9" s="77" t="n">
        <v>702.7315568817316</v>
      </c>
      <c r="F9" s="77" t="n">
        <v>1508.423575880349</v>
      </c>
      <c r="G9" s="77" t="n">
        <v>5779.24678378812</v>
      </c>
      <c r="H9" s="77" t="n">
        <v>789.4045187683921</v>
      </c>
      <c r="I9" s="77" t="n">
        <v>768.3368804819777</v>
      </c>
      <c r="J9" s="77" t="n">
        <v>1541.0951199750243</v>
      </c>
      <c r="K9" s="77" t="n">
        <v>760.5274251982885</v>
      </c>
      <c r="L9" s="77" t="n">
        <v>1356.236091002469</v>
      </c>
      <c r="M9" s="77" t="n">
        <v>4263.8710380663415</v>
      </c>
      <c r="N9" s="77" t="n">
        <v>64.46400332419</v>
      </c>
      <c r="O9" s="77" t="n">
        <v>0.0</v>
      </c>
      <c r="P9" s="77" t="n">
        <v>0.0</v>
      </c>
      <c r="Q9" s="77" t="n">
        <v>0.0</v>
      </c>
      <c r="R9" s="77" t="n">
        <v>0.0</v>
      </c>
      <c r="S9" s="77" t="n">
        <v>0.0</v>
      </c>
      <c r="T9" s="77" t="n">
        <v>184.408585357952</v>
      </c>
      <c r="U9" s="77" t="n">
        <v>0.0</v>
      </c>
      <c r="V9" s="77"/>
      <c r="W9" s="77">
        <f si="1" t="shared"/>
        <v>29545.997740855564</v>
      </c>
      <c r="X9" s="15"/>
      <c r="Y9" s="95">
        <v>3</v>
      </c>
      <c r="Z9" s="77">
        <v>5450</v>
      </c>
      <c r="AA9" s="77">
        <v>3923</v>
      </c>
      <c r="AB9" s="77">
        <v>3138</v>
      </c>
      <c r="AC9" s="77">
        <v>1501</v>
      </c>
      <c r="AD9" s="77">
        <v>1572</v>
      </c>
      <c r="AE9" s="77">
        <v>8512</v>
      </c>
      <c r="AF9" s="77">
        <v>2035</v>
      </c>
      <c r="AG9" s="77">
        <v>382</v>
      </c>
      <c r="AH9" s="77">
        <v>2019</v>
      </c>
      <c r="AI9" s="77">
        <v>1049</v>
      </c>
      <c r="AJ9" s="77">
        <v>2011</v>
      </c>
      <c r="AK9" s="77">
        <v>4809</v>
      </c>
      <c r="AL9" s="77">
        <v>439</v>
      </c>
      <c r="AM9" s="77">
        <v>142</v>
      </c>
      <c r="AN9" s="77">
        <v>407</v>
      </c>
      <c r="AO9" s="77">
        <v>168</v>
      </c>
      <c r="AP9" s="77">
        <v>150</v>
      </c>
      <c r="AQ9" s="77">
        <v>209</v>
      </c>
      <c r="AR9" s="77">
        <v>421</v>
      </c>
      <c r="AS9" s="77">
        <v>96</v>
      </c>
      <c r="AT9" s="77">
        <v>0</v>
      </c>
      <c r="AU9" s="77">
        <f si="2" t="shared"/>
        <v>38433</v>
      </c>
      <c r="AV9" s="14"/>
      <c r="AW9" s="95">
        <v>3</v>
      </c>
      <c r="AX9" s="77" t="n">
        <v>5377.0</v>
      </c>
      <c r="AY9" s="77" t="n">
        <v>2208.0</v>
      </c>
      <c r="AZ9" s="77" t="n">
        <v>3033.0</v>
      </c>
      <c r="BA9" s="77" t="n">
        <v>501.0</v>
      </c>
      <c r="BB9" s="77" t="n">
        <v>1433.0</v>
      </c>
      <c r="BC9" s="77" t="n">
        <v>7902.0</v>
      </c>
      <c r="BD9" s="77" t="n">
        <v>3588.0</v>
      </c>
      <c r="BE9" s="77" t="n">
        <v>54.0</v>
      </c>
      <c r="BF9" s="77" t="n">
        <v>1851.0</v>
      </c>
      <c r="BG9" s="77" t="n">
        <v>536.0</v>
      </c>
      <c r="BH9" s="77" t="n">
        <v>1089.0</v>
      </c>
      <c r="BI9" s="77" t="n">
        <v>2903.0</v>
      </c>
      <c r="BJ9" s="77" t="n">
        <v>646.0</v>
      </c>
      <c r="BK9" s="77" t="n">
        <v>84.0</v>
      </c>
      <c r="BL9" s="77" t="n">
        <v>526.0</v>
      </c>
      <c r="BM9" s="77" t="n">
        <v>51.0</v>
      </c>
      <c r="BN9" s="77" t="n">
        <v>1310.0</v>
      </c>
      <c r="BO9" s="77" t="n">
        <v>399.0</v>
      </c>
      <c r="BP9" s="77" t="n">
        <v>667.0</v>
      </c>
      <c r="BQ9" s="77" t="n">
        <v>1.0</v>
      </c>
      <c r="BR9" s="77"/>
      <c r="BS9" s="77">
        <f si="3" t="shared"/>
        <v>34240</v>
      </c>
      <c r="BT9" s="102"/>
      <c r="BV9" s="95" t="s">
        <v>344</v>
      </c>
      <c r="BW9" s="108">
        <f ref="BW9:CR9" si="4" t="shared">Z28</f>
        <v>70858</v>
      </c>
      <c r="BX9" s="108">
        <f si="4" t="shared"/>
        <v>75074</v>
      </c>
      <c r="BY9" s="108">
        <f si="4" t="shared"/>
        <v>24294</v>
      </c>
      <c r="BZ9" s="108">
        <f si="4" t="shared"/>
        <v>23571</v>
      </c>
      <c r="CA9" s="108">
        <f si="4" t="shared"/>
        <v>27651</v>
      </c>
      <c r="CB9" s="108">
        <f si="4" t="shared"/>
        <v>153058</v>
      </c>
      <c r="CC9" s="108">
        <f si="4" t="shared"/>
        <v>84080</v>
      </c>
      <c r="CD9" s="108">
        <f si="4" t="shared"/>
        <v>7355</v>
      </c>
      <c r="CE9" s="108">
        <f si="4" t="shared"/>
        <v>57234</v>
      </c>
      <c r="CF9" s="108">
        <f si="4" t="shared"/>
        <v>21817</v>
      </c>
      <c r="CG9" s="108">
        <f si="4" t="shared"/>
        <v>50898</v>
      </c>
      <c r="CH9" s="108">
        <f si="4" t="shared"/>
        <v>162784</v>
      </c>
      <c r="CI9" s="108">
        <f si="4" t="shared"/>
        <v>65336</v>
      </c>
      <c r="CJ9" s="108">
        <f si="4" t="shared"/>
        <v>11928</v>
      </c>
      <c r="CK9" s="108">
        <f si="4" t="shared"/>
        <v>31047</v>
      </c>
      <c r="CL9" s="108">
        <f si="4" t="shared"/>
        <v>5518</v>
      </c>
      <c r="CM9" s="108">
        <f si="4" t="shared"/>
        <v>11837</v>
      </c>
      <c r="CN9" s="108">
        <f si="4" t="shared"/>
        <v>23748</v>
      </c>
      <c r="CO9" s="108">
        <f si="4" t="shared"/>
        <v>29164</v>
      </c>
      <c r="CP9" s="108">
        <f si="4" t="shared"/>
        <v>22156</v>
      </c>
      <c r="CQ9" s="108">
        <f si="4" t="shared"/>
        <v>0</v>
      </c>
      <c r="CR9" s="108">
        <f si="4" t="shared"/>
        <v>959408</v>
      </c>
    </row>
    <row r="10" spans="1:96" x14ac:dyDescent="0.25">
      <c r="A10">
        <v>4</v>
      </c>
      <c r="B10" s="77" t="n">
        <v>1505.4634994555552</v>
      </c>
      <c r="C10" s="77" t="n">
        <v>55.8213618986169</v>
      </c>
      <c r="D10" s="77" t="n">
        <v>685.323856969047</v>
      </c>
      <c r="E10" s="77" t="n">
        <v>552.5383517555135</v>
      </c>
      <c r="F10" s="77" t="n">
        <v>432.35646037231606</v>
      </c>
      <c r="G10" s="77" t="n">
        <v>1037.4102398804825</v>
      </c>
      <c r="H10" s="77" t="n">
        <v>859.6036664848612</v>
      </c>
      <c r="I10" s="77" t="n">
        <v>120.27214540253621</v>
      </c>
      <c r="J10" s="77" t="n">
        <v>248.0754052333482</v>
      </c>
      <c r="K10" s="77" t="n">
        <v>197.15682426573278</v>
      </c>
      <c r="L10" s="77" t="n">
        <v>463.0345885162041</v>
      </c>
      <c r="M10" s="77" t="n">
        <v>629.921637191024</v>
      </c>
      <c r="N10" s="77" t="n">
        <v>0.0</v>
      </c>
      <c r="O10" s="77" t="n">
        <v>0.0</v>
      </c>
      <c r="P10" s="77" t="n">
        <v>0.0</v>
      </c>
      <c r="Q10" s="77" t="n">
        <v>0.0</v>
      </c>
      <c r="R10" s="77" t="n">
        <v>0.0</v>
      </c>
      <c r="S10" s="77" t="n">
        <v>0.0</v>
      </c>
      <c r="T10" s="77" t="n">
        <v>45.8663714539534</v>
      </c>
      <c r="U10" s="77" t="n">
        <v>0.0</v>
      </c>
      <c r="V10" s="77"/>
      <c r="W10" s="77">
        <f si="1" t="shared"/>
        <v>6832.844408879193</v>
      </c>
      <c r="X10" s="15"/>
      <c r="Y10" s="95">
        <v>4</v>
      </c>
      <c r="Z10" s="77">
        <v>2108</v>
      </c>
      <c r="AA10" s="77">
        <v>2221</v>
      </c>
      <c r="AB10" s="77">
        <v>938</v>
      </c>
      <c r="AC10" s="77">
        <v>1370</v>
      </c>
      <c r="AD10" s="77">
        <v>1182</v>
      </c>
      <c r="AE10" s="77">
        <v>3967</v>
      </c>
      <c r="AF10" s="77">
        <v>1124</v>
      </c>
      <c r="AG10" s="77">
        <v>404</v>
      </c>
      <c r="AH10" s="77">
        <v>998</v>
      </c>
      <c r="AI10" s="77">
        <v>644</v>
      </c>
      <c r="AJ10" s="77">
        <v>992</v>
      </c>
      <c r="AK10" s="77">
        <v>2078</v>
      </c>
      <c r="AL10" s="77">
        <v>247</v>
      </c>
      <c r="AM10" s="77">
        <v>109</v>
      </c>
      <c r="AN10" s="77">
        <v>165</v>
      </c>
      <c r="AO10" s="77">
        <v>99</v>
      </c>
      <c r="AP10" s="77">
        <v>65</v>
      </c>
      <c r="AQ10" s="77">
        <v>125</v>
      </c>
      <c r="AR10" s="77">
        <v>128</v>
      </c>
      <c r="AS10" s="77">
        <v>65</v>
      </c>
      <c r="AT10" s="77">
        <v>0</v>
      </c>
      <c r="AU10" s="77">
        <f si="2" t="shared"/>
        <v>19029</v>
      </c>
      <c r="AV10" s="14"/>
      <c r="AW10" s="95">
        <v>4</v>
      </c>
      <c r="AX10" s="77" t="n">
        <v>1725.0</v>
      </c>
      <c r="AY10" s="77" t="n">
        <v>727.0</v>
      </c>
      <c r="AZ10" s="77" t="n">
        <v>621.0</v>
      </c>
      <c r="BA10" s="77" t="n">
        <v>330.0</v>
      </c>
      <c r="BB10" s="77" t="n">
        <v>708.0</v>
      </c>
      <c r="BC10" s="77" t="n">
        <v>3426.0</v>
      </c>
      <c r="BD10" s="77" t="n">
        <v>1077.0</v>
      </c>
      <c r="BE10" s="77" t="n">
        <v>18.0</v>
      </c>
      <c r="BF10" s="77" t="n">
        <v>572.0</v>
      </c>
      <c r="BG10" s="77" t="n">
        <v>355.0</v>
      </c>
      <c r="BH10" s="77" t="n">
        <v>299.0</v>
      </c>
      <c r="BI10" s="77" t="n">
        <v>1008.0</v>
      </c>
      <c r="BJ10" s="77" t="n">
        <v>178.0</v>
      </c>
      <c r="BK10" s="77" t="n">
        <v>49.0</v>
      </c>
      <c r="BL10" s="77" t="n">
        <v>129.0</v>
      </c>
      <c r="BM10" s="77" t="n">
        <v>48.0</v>
      </c>
      <c r="BN10" s="77" t="n">
        <v>435.0</v>
      </c>
      <c r="BO10" s="77" t="n">
        <v>131.0</v>
      </c>
      <c r="BP10" s="77" t="n">
        <v>223.0</v>
      </c>
      <c r="BQ10" s="77" t="n">
        <v>0.0</v>
      </c>
      <c r="BR10" s="77"/>
      <c r="BS10" s="77">
        <f si="3" t="shared"/>
        <v>12098</v>
      </c>
      <c r="BT10" s="102"/>
      <c r="BV10" s="6" t="s">
        <v>345</v>
      </c>
      <c r="BW10" s="135">
        <f ref="BW10:CR10" si="5" t="shared">AX28</f>
        <v>61289</v>
      </c>
      <c r="BX10" s="135">
        <f si="5" t="shared"/>
        <v>34861</v>
      </c>
      <c r="BY10" s="135">
        <f si="5" t="shared"/>
        <v>19346</v>
      </c>
      <c r="BZ10" s="135">
        <f si="5" t="shared"/>
        <v>5443</v>
      </c>
      <c r="CA10" s="135">
        <f si="5" t="shared"/>
        <v>20562</v>
      </c>
      <c r="CB10" s="135">
        <f si="5" t="shared"/>
        <v>122711</v>
      </c>
      <c r="CC10" s="135">
        <f si="5" t="shared"/>
        <v>117623</v>
      </c>
      <c r="CD10" s="135">
        <f si="5" t="shared"/>
        <v>445</v>
      </c>
      <c r="CE10" s="135">
        <f si="5" t="shared"/>
        <v>42397</v>
      </c>
      <c r="CF10" s="135">
        <f si="5" t="shared"/>
        <v>14311</v>
      </c>
      <c r="CG10" s="135">
        <f si="5" t="shared"/>
        <v>18214</v>
      </c>
      <c r="CH10" s="135">
        <f si="5" t="shared"/>
        <v>100589</v>
      </c>
      <c r="CI10" s="135">
        <f si="5" t="shared"/>
        <v>104098</v>
      </c>
      <c r="CJ10" s="135">
        <f si="5" t="shared"/>
        <v>6001</v>
      </c>
      <c r="CK10" s="135">
        <f si="5" t="shared"/>
        <v>34851</v>
      </c>
      <c r="CL10" s="135">
        <f si="5" t="shared"/>
        <v>1399</v>
      </c>
      <c r="CM10" s="135">
        <f si="5" t="shared"/>
        <v>29486</v>
      </c>
      <c r="CN10" s="135">
        <f si="5" t="shared"/>
        <v>48263</v>
      </c>
      <c r="CO10" s="135">
        <f si="5" t="shared"/>
        <v>39768</v>
      </c>
      <c r="CP10" s="135">
        <f si="5" t="shared"/>
        <v>15207</v>
      </c>
      <c r="CQ10" s="135">
        <f si="5" t="shared"/>
        <v>0</v>
      </c>
      <c r="CR10" s="135">
        <f si="5" t="shared"/>
        <v>836864</v>
      </c>
    </row>
    <row r="11" spans="1:96" x14ac:dyDescent="0.25">
      <c r="A11">
        <v>5</v>
      </c>
      <c r="B11" s="77" t="n">
        <v>725.4115758337791</v>
      </c>
      <c r="C11" s="77" t="n">
        <v>459.7688809786324</v>
      </c>
      <c r="D11" s="77" t="n">
        <v>45.6983570725321</v>
      </c>
      <c r="E11" s="77" t="n">
        <v>236.6290065226798</v>
      </c>
      <c r="F11" s="77" t="n">
        <v>977.3054174269133</v>
      </c>
      <c r="G11" s="77" t="n">
        <v>2278.381712524493</v>
      </c>
      <c r="H11" s="77" t="n">
        <v>470.9862695174941</v>
      </c>
      <c r="I11" s="77" t="n">
        <v>0.0</v>
      </c>
      <c r="J11" s="77" t="n">
        <v>449.4424905386823</v>
      </c>
      <c r="K11" s="77" t="n">
        <v>746.6601112945596</v>
      </c>
      <c r="L11" s="77" t="n">
        <v>131.1555233685944</v>
      </c>
      <c r="M11" s="77" t="n">
        <v>3134.382844023374</v>
      </c>
      <c r="N11" s="77" t="n">
        <v>0.0</v>
      </c>
      <c r="O11" s="77" t="n">
        <v>0.0</v>
      </c>
      <c r="P11" s="77" t="n">
        <v>0.0</v>
      </c>
      <c r="Q11" s="77" t="n">
        <v>0.0</v>
      </c>
      <c r="R11" s="77" t="n">
        <v>66.1190203178201</v>
      </c>
      <c r="S11" s="77" t="n">
        <v>0.0</v>
      </c>
      <c r="T11" s="77" t="n">
        <v>0.0</v>
      </c>
      <c r="U11" s="77" t="n">
        <v>38.581100217278</v>
      </c>
      <c r="V11" s="77"/>
      <c r="W11" s="77">
        <f si="1" t="shared"/>
        <v>9760.52230963683</v>
      </c>
      <c r="X11" s="15"/>
      <c r="Y11" s="95">
        <v>5</v>
      </c>
      <c r="Z11" s="77">
        <v>2165</v>
      </c>
      <c r="AA11" s="77">
        <v>1480</v>
      </c>
      <c r="AB11" s="77">
        <v>578</v>
      </c>
      <c r="AC11" s="77">
        <v>661</v>
      </c>
      <c r="AD11" s="77">
        <v>1341</v>
      </c>
      <c r="AE11" s="77">
        <v>5419</v>
      </c>
      <c r="AF11" s="77">
        <v>836</v>
      </c>
      <c r="AG11" s="77">
        <v>153</v>
      </c>
      <c r="AH11" s="77">
        <v>743</v>
      </c>
      <c r="AI11" s="77">
        <v>748</v>
      </c>
      <c r="AJ11" s="77">
        <v>567</v>
      </c>
      <c r="AK11" s="77">
        <v>2587</v>
      </c>
      <c r="AL11" s="77">
        <v>234</v>
      </c>
      <c r="AM11" s="77">
        <v>106</v>
      </c>
      <c r="AN11" s="77">
        <v>165</v>
      </c>
      <c r="AO11" s="77">
        <v>82</v>
      </c>
      <c r="AP11" s="77">
        <v>48</v>
      </c>
      <c r="AQ11" s="77">
        <v>151</v>
      </c>
      <c r="AR11" s="77">
        <v>101</v>
      </c>
      <c r="AS11" s="77">
        <v>68</v>
      </c>
      <c r="AT11" s="77">
        <v>0</v>
      </c>
      <c r="AU11" s="77">
        <f si="2" t="shared"/>
        <v>18233</v>
      </c>
      <c r="AV11" s="14"/>
      <c r="AW11" s="95">
        <v>5</v>
      </c>
      <c r="AX11" s="77" t="n">
        <v>1619.0</v>
      </c>
      <c r="AY11" s="77" t="n">
        <v>608.0</v>
      </c>
      <c r="AZ11" s="77" t="n">
        <v>361.0</v>
      </c>
      <c r="BA11" s="77" t="n">
        <v>194.0</v>
      </c>
      <c r="BB11" s="77" t="n">
        <v>1006.0</v>
      </c>
      <c r="BC11" s="77" t="n">
        <v>4412.0</v>
      </c>
      <c r="BD11" s="77" t="n">
        <v>1171.0</v>
      </c>
      <c r="BE11" s="77" t="n">
        <v>9.0</v>
      </c>
      <c r="BF11" s="77" t="n">
        <v>320.0</v>
      </c>
      <c r="BG11" s="77" t="n">
        <v>420.0</v>
      </c>
      <c r="BH11" s="77" t="n">
        <v>157.0</v>
      </c>
      <c r="BI11" s="77" t="n">
        <v>1358.0</v>
      </c>
      <c r="BJ11" s="77" t="n">
        <v>216.0</v>
      </c>
      <c r="BK11" s="77" t="n">
        <v>27.0</v>
      </c>
      <c r="BL11" s="77" t="n">
        <v>92.0</v>
      </c>
      <c r="BM11" s="77" t="n">
        <v>21.0</v>
      </c>
      <c r="BN11" s="77" t="n">
        <v>256.0</v>
      </c>
      <c r="BO11" s="77" t="n">
        <v>170.0</v>
      </c>
      <c r="BP11" s="77" t="n">
        <v>90.0</v>
      </c>
      <c r="BQ11" s="77" t="n">
        <v>1.0</v>
      </c>
      <c r="BR11" s="77"/>
      <c r="BS11" s="77">
        <f si="3" t="shared"/>
        <v>12551</v>
      </c>
      <c r="BT11" s="102"/>
      <c r="BU11" t="s">
        <v>347</v>
      </c>
      <c r="BV11" s="95" t="s">
        <v>343</v>
      </c>
      <c r="BW11" s="108">
        <f ref="BW11:CR11" si="6" t="shared">B55</f>
        <v>87799.016213180046</v>
      </c>
      <c r="BX11" s="108">
        <f si="6" t="shared"/>
        <v>35020.065564129858</v>
      </c>
      <c r="BY11" s="108">
        <f si="6" t="shared"/>
        <v>21170.337856550788</v>
      </c>
      <c r="BZ11" s="108">
        <f si="6" t="shared"/>
        <v>25994.26210335705</v>
      </c>
      <c r="CA11" s="108">
        <f si="6" t="shared"/>
        <v>24226.934522577485</v>
      </c>
      <c r="CB11" s="108">
        <f si="6" t="shared"/>
        <v>122008.72813761422</v>
      </c>
      <c r="CC11" s="108">
        <f si="6" t="shared"/>
        <v>79508.89521591118</v>
      </c>
      <c r="CD11" s="108">
        <f si="6" t="shared"/>
        <v>3885.3352522985042</v>
      </c>
      <c r="CE11" s="108">
        <f si="6" t="shared"/>
        <v>57559.839102651495</v>
      </c>
      <c r="CF11" s="108">
        <f si="6" t="shared"/>
        <v>14617.024573738956</v>
      </c>
      <c r="CG11" s="108">
        <f si="6" t="shared"/>
        <v>43273.486212706608</v>
      </c>
      <c r="CH11" s="108">
        <f si="6" t="shared"/>
        <v>161277.42797482133</v>
      </c>
      <c r="CI11" s="108">
        <f si="6" t="shared"/>
        <v>64373.817444213761</v>
      </c>
      <c r="CJ11" s="108">
        <f si="6" t="shared"/>
        <v>14605.412552446081</v>
      </c>
      <c r="CK11" s="108">
        <f si="6" t="shared"/>
        <v>19276.407216671985</v>
      </c>
      <c r="CL11" s="108">
        <f si="6" t="shared"/>
        <v>2159.1628573982716</v>
      </c>
      <c r="CM11" s="108">
        <f si="6" t="shared"/>
        <v>9929.633807306267</v>
      </c>
      <c r="CN11" s="108">
        <f si="6" t="shared"/>
        <v>13990.666106100596</v>
      </c>
      <c r="CO11" s="108">
        <f si="6" t="shared"/>
        <v>18440.489840828508</v>
      </c>
      <c r="CP11" s="108">
        <f si="6" t="shared"/>
        <v>17747.057445497099</v>
      </c>
      <c r="CQ11" s="108">
        <f si="6" t="shared"/>
        <v>0</v>
      </c>
      <c r="CR11" s="108">
        <f si="6" t="shared"/>
        <v>836864</v>
      </c>
    </row>
    <row r="12" spans="1:96" x14ac:dyDescent="0.25">
      <c r="A12">
        <v>6</v>
      </c>
      <c r="B12" s="77" t="n">
        <v>6787.988030666521</v>
      </c>
      <c r="C12" s="77" t="n">
        <v>2375.9869884437653</v>
      </c>
      <c r="D12" s="77" t="n">
        <v>553.6756691649244</v>
      </c>
      <c r="E12" s="77" t="n">
        <v>251.001185426568</v>
      </c>
      <c r="F12" s="77" t="n">
        <v>767.5283694349376</v>
      </c>
      <c r="G12" s="77" t="n">
        <v>22593.072685695155</v>
      </c>
      <c r="H12" s="77" t="n">
        <v>1401.2606010976049</v>
      </c>
      <c r="I12" s="77" t="n">
        <v>0.0</v>
      </c>
      <c r="J12" s="77" t="n">
        <v>1232.5324366158384</v>
      </c>
      <c r="K12" s="77" t="n">
        <v>729.9334402827375</v>
      </c>
      <c r="L12" s="77" t="n">
        <v>823.0177584048872</v>
      </c>
      <c r="M12" s="77" t="n">
        <v>8695.941205321871</v>
      </c>
      <c r="N12" s="77" t="n">
        <v>179.6366522932</v>
      </c>
      <c r="O12" s="77" t="n">
        <v>0.0</v>
      </c>
      <c r="P12" s="77" t="n">
        <v>576.801953610576</v>
      </c>
      <c r="Q12" s="77" t="n">
        <v>0.0</v>
      </c>
      <c r="R12" s="77" t="n">
        <v>0.0</v>
      </c>
      <c r="S12" s="77" t="n">
        <v>45.8663714539534</v>
      </c>
      <c r="T12" s="77" t="n">
        <v>0.0</v>
      </c>
      <c r="U12" s="77" t="n">
        <v>0.0</v>
      </c>
      <c r="V12" s="77"/>
      <c r="W12" s="77">
        <f si="1" t="shared"/>
        <v>47014.243347912539</v>
      </c>
      <c r="X12" s="15"/>
      <c r="Y12" s="95">
        <v>6</v>
      </c>
      <c r="Z12" s="77">
        <v>3501</v>
      </c>
      <c r="AA12" s="77">
        <v>2100</v>
      </c>
      <c r="AB12" s="77">
        <v>798</v>
      </c>
      <c r="AC12" s="77">
        <v>668</v>
      </c>
      <c r="AD12" s="77">
        <v>1197</v>
      </c>
      <c r="AE12" s="77">
        <v>11630</v>
      </c>
      <c r="AF12" s="77">
        <v>1285</v>
      </c>
      <c r="AG12" s="77">
        <v>134</v>
      </c>
      <c r="AH12" s="77">
        <v>1060</v>
      </c>
      <c r="AI12" s="77">
        <v>835</v>
      </c>
      <c r="AJ12" s="77">
        <v>702</v>
      </c>
      <c r="AK12" s="77">
        <v>5055</v>
      </c>
      <c r="AL12" s="77">
        <v>449</v>
      </c>
      <c r="AM12" s="77">
        <v>96</v>
      </c>
      <c r="AN12" s="77">
        <v>236</v>
      </c>
      <c r="AO12" s="77">
        <v>151</v>
      </c>
      <c r="AP12" s="77">
        <v>63</v>
      </c>
      <c r="AQ12" s="77">
        <v>274</v>
      </c>
      <c r="AR12" s="77">
        <v>160</v>
      </c>
      <c r="AS12" s="77">
        <v>84</v>
      </c>
      <c r="AT12" s="77">
        <v>0</v>
      </c>
      <c r="AU12" s="77">
        <f si="2" t="shared"/>
        <v>30478</v>
      </c>
      <c r="AV12" s="15"/>
      <c r="AW12" s="95">
        <v>6</v>
      </c>
      <c r="AX12" s="77" t="n">
        <v>3867.0</v>
      </c>
      <c r="AY12" s="77" t="n">
        <v>1529.0</v>
      </c>
      <c r="AZ12" s="77" t="n">
        <v>765.0</v>
      </c>
      <c r="BA12" s="77" t="n">
        <v>253.0</v>
      </c>
      <c r="BB12" s="77" t="n">
        <v>1458.0</v>
      </c>
      <c r="BC12" s="77" t="n">
        <v>13161.0</v>
      </c>
      <c r="BD12" s="77" t="n">
        <v>3723.0</v>
      </c>
      <c r="BE12" s="77" t="n">
        <v>12.0</v>
      </c>
      <c r="BF12" s="77" t="n">
        <v>873.0</v>
      </c>
      <c r="BG12" s="77" t="n">
        <v>841.0</v>
      </c>
      <c r="BH12" s="77" t="n">
        <v>339.0</v>
      </c>
      <c r="BI12" s="77" t="n">
        <v>3249.0</v>
      </c>
      <c r="BJ12" s="77" t="n">
        <v>558.0</v>
      </c>
      <c r="BK12" s="77" t="n">
        <v>33.0</v>
      </c>
      <c r="BL12" s="77" t="n">
        <v>323.0</v>
      </c>
      <c r="BM12" s="77" t="n">
        <v>62.0</v>
      </c>
      <c r="BN12" s="77" t="n">
        <v>516.0</v>
      </c>
      <c r="BO12" s="77" t="n">
        <v>359.0</v>
      </c>
      <c r="BP12" s="77" t="n">
        <v>182.0</v>
      </c>
      <c r="BQ12" s="77" t="n">
        <v>3.0</v>
      </c>
      <c r="BR12" s="77"/>
      <c r="BS12" s="77">
        <f si="3" t="shared"/>
        <v>32194</v>
      </c>
      <c r="BT12" s="102"/>
      <c r="BV12" s="95" t="s">
        <v>356</v>
      </c>
      <c r="BW12" s="58">
        <f>Flow_ODData!C52</f>
        <v>46266.217668777659</v>
      </c>
      <c r="BX12" s="58">
        <f>Flow_ODData!D52</f>
        <v>37835.575616793409</v>
      </c>
      <c r="BY12" s="58">
        <f>Flow_ODData!E52</f>
        <v>26769.334787392716</v>
      </c>
      <c r="BZ12" s="58">
        <f>Flow_ODData!F52</f>
        <v>15150.600425459081</v>
      </c>
      <c r="CA12" s="58">
        <f>Flow_ODData!G52</f>
        <v>25296.018700638189</v>
      </c>
      <c r="CB12" s="58">
        <f>Flow_ODData!H52</f>
        <v>97721.781998679609</v>
      </c>
      <c r="CC12" s="58">
        <f>Flow_ODData!I52</f>
        <v>85423.685218964718</v>
      </c>
      <c r="CD12" s="58">
        <f>Flow_ODData!J52</f>
        <v>3851.0845489889239</v>
      </c>
      <c r="CE12" s="58">
        <f>Flow_ODData!K52</f>
        <v>45337.210025185217</v>
      </c>
      <c r="CF12" s="58">
        <f>Flow_ODData!L52</f>
        <v>20249.911103503924</v>
      </c>
      <c r="CG12" s="58">
        <f>Flow_ODData!M52</f>
        <v>52306.813624471237</v>
      </c>
      <c r="CH12" s="58">
        <f>Flow_ODData!N52</f>
        <v>152991.59797540162</v>
      </c>
      <c r="CI12" s="58">
        <f>Flow_ODData!O52</f>
        <v>89864.096202655448</v>
      </c>
      <c r="CJ12" s="58">
        <f>Flow_ODData!P52</f>
        <v>1739.3314913074307</v>
      </c>
      <c r="CK12" s="58">
        <f>Flow_ODData!Q52</f>
        <v>43687.914516957237</v>
      </c>
      <c r="CL12" s="58">
        <f>Flow_ODData!R52</f>
        <v>3380.4419101645599</v>
      </c>
      <c r="CM12" s="58">
        <f>Flow_ODData!S52</f>
        <v>3572.7915103797345</v>
      </c>
      <c r="CN12" s="58">
        <f>Flow_ODData!T52</f>
        <v>19365.921451451206</v>
      </c>
      <c r="CO12" s="58">
        <f>Flow_ODData!U52</f>
        <v>26654.743536200702</v>
      </c>
      <c r="CP12" s="58">
        <f>Flow_ODData!V52</f>
        <v>39398.927686627387</v>
      </c>
      <c r="CQ12" s="58">
        <f>Flow_ODData!W52</f>
        <v>0</v>
      </c>
      <c r="CR12" s="58">
        <f>Flow_ODData!X52</f>
        <v>836864</v>
      </c>
    </row>
    <row customFormat="1" r="13" s="95" spans="1:96" x14ac:dyDescent="0.25">
      <c r="A13" s="95">
        <v>7</v>
      </c>
      <c r="B13" s="77" t="n">
        <v>4033.826278395306</v>
      </c>
      <c r="C13" s="77" t="n">
        <v>5431.6621791433</v>
      </c>
      <c r="D13" s="77" t="n">
        <v>416.0148976865966</v>
      </c>
      <c r="E13" s="77" t="n">
        <v>1734.3880459044103</v>
      </c>
      <c r="F13" s="77" t="n">
        <v>2092.8728138923575</v>
      </c>
      <c r="G13" s="77" t="n">
        <v>8472.093002660473</v>
      </c>
      <c r="H13" s="77" t="n">
        <v>17415.155316326513</v>
      </c>
      <c r="I13" s="77" t="n">
        <v>69.021600198116</v>
      </c>
      <c r="J13" s="77" t="n">
        <v>5372.9597077356975</v>
      </c>
      <c r="K13" s="77" t="n">
        <v>147.1444624108019</v>
      </c>
      <c r="L13" s="77" t="n">
        <v>0.0</v>
      </c>
      <c r="M13" s="77" t="n">
        <v>10124.518592496885</v>
      </c>
      <c r="N13" s="77" t="n">
        <v>3836.7530773367675</v>
      </c>
      <c r="O13" s="77" t="n">
        <v>0.0</v>
      </c>
      <c r="P13" s="77" t="n">
        <v>363.8635023129457</v>
      </c>
      <c r="Q13" s="77" t="n">
        <v>54.4693318073873</v>
      </c>
      <c r="R13" s="77" t="n">
        <v>0.0</v>
      </c>
      <c r="S13" s="77" t="n">
        <v>321.793932254373</v>
      </c>
      <c r="T13" s="77" t="n">
        <v>87.3321118093345</v>
      </c>
      <c r="U13" s="77" t="n">
        <v>0.0</v>
      </c>
      <c r="V13" s="77"/>
      <c r="W13" s="77">
        <f si="1" t="shared"/>
        <v>59973.86885237127</v>
      </c>
      <c r="X13" s="15"/>
      <c r="Y13" s="95">
        <v>7</v>
      </c>
      <c r="Z13" s="77">
        <v>6342</v>
      </c>
      <c r="AA13" s="77">
        <v>10081</v>
      </c>
      <c r="AB13" s="77">
        <v>2491</v>
      </c>
      <c r="AC13" s="77">
        <v>2268</v>
      </c>
      <c r="AD13" s="77">
        <v>2577</v>
      </c>
      <c r="AE13" s="77">
        <v>13704</v>
      </c>
      <c r="AF13" s="77">
        <v>21748</v>
      </c>
      <c r="AG13" s="77">
        <v>609</v>
      </c>
      <c r="AH13" s="77">
        <v>7643</v>
      </c>
      <c r="AI13" s="77">
        <v>1831</v>
      </c>
      <c r="AJ13" s="77">
        <v>3755</v>
      </c>
      <c r="AK13" s="77">
        <v>16162</v>
      </c>
      <c r="AL13" s="77">
        <v>6663</v>
      </c>
      <c r="AM13" s="77">
        <v>269</v>
      </c>
      <c r="AN13" s="77">
        <v>2840</v>
      </c>
      <c r="AO13" s="77">
        <v>330</v>
      </c>
      <c r="AP13" s="77">
        <v>280</v>
      </c>
      <c r="AQ13" s="77">
        <v>1238</v>
      </c>
      <c r="AR13" s="77">
        <v>674</v>
      </c>
      <c r="AS13" s="77">
        <v>511</v>
      </c>
      <c r="AT13" s="77">
        <v>0</v>
      </c>
      <c r="AU13" s="77">
        <f si="2" t="shared"/>
        <v>102016</v>
      </c>
      <c r="AV13" s="15"/>
      <c r="AW13" s="95">
        <v>7</v>
      </c>
      <c r="AX13" s="77" t="n">
        <v>4076.0</v>
      </c>
      <c r="AY13" s="77" t="n">
        <v>3923.0</v>
      </c>
      <c r="AZ13" s="77" t="n">
        <v>1364.0</v>
      </c>
      <c r="BA13" s="77" t="n">
        <v>326.0</v>
      </c>
      <c r="BB13" s="77" t="n">
        <v>1295.0</v>
      </c>
      <c r="BC13" s="77" t="n">
        <v>9662.0</v>
      </c>
      <c r="BD13" s="77" t="n">
        <v>31305.0</v>
      </c>
      <c r="BE13" s="77" t="n">
        <v>13.0</v>
      </c>
      <c r="BF13" s="77" t="n">
        <v>5972.0</v>
      </c>
      <c r="BG13" s="77" t="n">
        <v>890.0</v>
      </c>
      <c r="BH13" s="77" t="n">
        <v>559.0</v>
      </c>
      <c r="BI13" s="77" t="n">
        <v>11308.0</v>
      </c>
      <c r="BJ13" s="77" t="n">
        <v>14781.0</v>
      </c>
      <c r="BK13" s="77" t="n">
        <v>37.0</v>
      </c>
      <c r="BL13" s="77" t="n">
        <v>2357.0</v>
      </c>
      <c r="BM13" s="77" t="n">
        <v>84.0</v>
      </c>
      <c r="BN13" s="77" t="n">
        <v>897.0</v>
      </c>
      <c r="BO13" s="77" t="n">
        <v>1744.0</v>
      </c>
      <c r="BP13" s="77" t="n">
        <v>414.0</v>
      </c>
      <c r="BQ13" s="77" t="n">
        <v>15.0</v>
      </c>
      <c r="BR13" s="77"/>
      <c r="BS13" s="77">
        <f si="3" t="shared"/>
        <v>91229</v>
      </c>
      <c r="BT13" s="102"/>
      <c r="BU13"/>
      <c r="BV13" s="95" t="s">
        <v>344</v>
      </c>
      <c r="BW13" s="108">
        <f ref="BW13:CR13" si="7" t="shared">Z55</f>
        <v>61193.501005457743</v>
      </c>
      <c r="BX13" s="108">
        <f si="7" t="shared"/>
        <v>64373.538581836794</v>
      </c>
      <c r="BY13" s="108">
        <f si="7" t="shared"/>
        <v>20717.03048155396</v>
      </c>
      <c r="BZ13" s="108">
        <f si="7" t="shared"/>
        <v>19831.015160016173</v>
      </c>
      <c r="CA13" s="108">
        <f si="7" t="shared"/>
        <v>23444.663058441747</v>
      </c>
      <c r="CB13" s="108">
        <f si="7" t="shared"/>
        <v>133248.36713527245</v>
      </c>
      <c r="CC13" s="108">
        <f si="7" t="shared"/>
        <v>74893.009271254821</v>
      </c>
      <c r="CD13" s="108">
        <f si="7" t="shared"/>
        <v>6049.2293867081225</v>
      </c>
      <c r="CE13" s="108">
        <f si="7" t="shared"/>
        <v>49361.899442238304</v>
      </c>
      <c r="CF13" s="108">
        <f si="7" t="shared"/>
        <v>18543.228510595782</v>
      </c>
      <c r="CG13" s="108">
        <f si="7" t="shared"/>
        <v>43461.80234686505</v>
      </c>
      <c r="CH13" s="108">
        <f si="7" t="shared"/>
        <v>144928.43069921163</v>
      </c>
      <c r="CI13" s="108">
        <f si="7" t="shared"/>
        <v>60432.319393148115</v>
      </c>
      <c r="CJ13" s="108">
        <f si="7" t="shared"/>
        <v>9897.9182486173322</v>
      </c>
      <c r="CK13" s="108">
        <f si="7" t="shared"/>
        <v>26851.838869440759</v>
      </c>
      <c r="CL13" s="108">
        <f si="7" t="shared"/>
        <v>4666.7438795279177</v>
      </c>
      <c r="CM13" s="108">
        <f si="7" t="shared"/>
        <v>10100.196539910616</v>
      </c>
      <c r="CN13" s="108">
        <f si="7" t="shared"/>
        <v>20559.724665406091</v>
      </c>
      <c r="CO13" s="108">
        <f si="7" t="shared"/>
        <v>25609.002931385712</v>
      </c>
      <c r="CP13" s="108">
        <f si="7" t="shared"/>
        <v>18700.540393110878</v>
      </c>
      <c r="CQ13" s="108">
        <f si="7" t="shared"/>
        <v>0</v>
      </c>
      <c r="CR13" s="108">
        <f si="7" t="shared"/>
        <v>836863.99999999988</v>
      </c>
    </row>
    <row r="14" spans="1:96" x14ac:dyDescent="0.25">
      <c r="A14" s="95">
        <v>8</v>
      </c>
      <c r="B14" s="77" t="n">
        <v>862.2425915869082</v>
      </c>
      <c r="C14" s="77" t="n">
        <v>312.4518372593725</v>
      </c>
      <c r="D14" s="77" t="n">
        <v>84.4474716712314</v>
      </c>
      <c r="E14" s="77" t="n">
        <v>295.033977330962</v>
      </c>
      <c r="F14" s="77" t="n">
        <v>193.7530925367472</v>
      </c>
      <c r="G14" s="77" t="n">
        <v>698.4989548389043</v>
      </c>
      <c r="H14" s="77" t="n">
        <v>97.6121178638857</v>
      </c>
      <c r="I14" s="77" t="n">
        <v>427.25415464347975</v>
      </c>
      <c r="J14" s="77" t="n">
        <v>408.8169815756009</v>
      </c>
      <c r="K14" s="77" t="n">
        <v>76.6349166249602</v>
      </c>
      <c r="L14" s="77" t="n">
        <v>2021.7764242717226</v>
      </c>
      <c r="M14" s="77" t="n">
        <v>1095.8985964514354</v>
      </c>
      <c r="N14" s="77" t="n">
        <v>0.0</v>
      </c>
      <c r="O14" s="77" t="n">
        <v>73.7105075583979</v>
      </c>
      <c r="P14" s="77" t="n">
        <v>66.1190203178201</v>
      </c>
      <c r="Q14" s="77" t="n">
        <v>0.0</v>
      </c>
      <c r="R14" s="77" t="n">
        <v>117.532863386777</v>
      </c>
      <c r="S14" s="77" t="n">
        <v>73.7105075583979</v>
      </c>
      <c r="T14" s="77" t="n">
        <v>401.424528231214</v>
      </c>
      <c r="U14" s="77" t="n">
        <v>0.0</v>
      </c>
      <c r="V14" s="77"/>
      <c r="W14" s="77">
        <f si="1" t="shared"/>
        <v>7306.9185437078168</v>
      </c>
      <c r="X14" s="15"/>
      <c r="Y14" s="95">
        <v>8</v>
      </c>
      <c r="Z14" s="77">
        <v>1327</v>
      </c>
      <c r="AA14" s="77">
        <v>1577</v>
      </c>
      <c r="AB14" s="77">
        <v>600</v>
      </c>
      <c r="AC14" s="77">
        <v>848</v>
      </c>
      <c r="AD14" s="77">
        <v>717</v>
      </c>
      <c r="AE14" s="77">
        <v>2590</v>
      </c>
      <c r="AF14" s="77">
        <v>723</v>
      </c>
      <c r="AG14" s="77">
        <v>443</v>
      </c>
      <c r="AH14" s="77">
        <v>680</v>
      </c>
      <c r="AI14" s="77">
        <v>423</v>
      </c>
      <c r="AJ14" s="77">
        <v>1052</v>
      </c>
      <c r="AK14" s="77">
        <v>1213</v>
      </c>
      <c r="AL14" s="77">
        <v>180</v>
      </c>
      <c r="AM14" s="77">
        <v>219</v>
      </c>
      <c r="AN14" s="77">
        <v>133</v>
      </c>
      <c r="AO14" s="77">
        <v>62</v>
      </c>
      <c r="AP14" s="77">
        <v>111</v>
      </c>
      <c r="AQ14" s="77">
        <v>64</v>
      </c>
      <c r="AR14" s="77">
        <v>129</v>
      </c>
      <c r="AS14" s="77">
        <v>41</v>
      </c>
      <c r="AT14" s="77">
        <v>0</v>
      </c>
      <c r="AU14" s="77">
        <f si="2" t="shared"/>
        <v>13132</v>
      </c>
      <c r="AV14" s="14"/>
      <c r="AW14" s="95">
        <v>8</v>
      </c>
      <c r="AX14" s="77" t="n">
        <v>651.0</v>
      </c>
      <c r="AY14" s="77" t="n">
        <v>277.0</v>
      </c>
      <c r="AZ14" s="77" t="n">
        <v>254.0</v>
      </c>
      <c r="BA14" s="77" t="n">
        <v>121.0</v>
      </c>
      <c r="BB14" s="77" t="n">
        <v>269.0</v>
      </c>
      <c r="BC14" s="77" t="n">
        <v>1102.0</v>
      </c>
      <c r="BD14" s="77" t="n">
        <v>478.0</v>
      </c>
      <c r="BE14" s="77" t="n">
        <v>8.0</v>
      </c>
      <c r="BF14" s="77" t="n">
        <v>287.0</v>
      </c>
      <c r="BG14" s="77" t="n">
        <v>96.0</v>
      </c>
      <c r="BH14" s="77" t="n">
        <v>318.0</v>
      </c>
      <c r="BI14" s="77" t="n">
        <v>367.0</v>
      </c>
      <c r="BJ14" s="77" t="n">
        <v>79.0</v>
      </c>
      <c r="BK14" s="77" t="n">
        <v>44.0</v>
      </c>
      <c r="BL14" s="77" t="n">
        <v>87.0</v>
      </c>
      <c r="BM14" s="77" t="n">
        <v>7.0</v>
      </c>
      <c r="BN14" s="77" t="n">
        <v>384.0</v>
      </c>
      <c r="BO14" s="77" t="n">
        <v>56.0</v>
      </c>
      <c r="BP14" s="77" t="n">
        <v>105.0</v>
      </c>
      <c r="BQ14" s="77" t="n">
        <v>0.0</v>
      </c>
      <c r="BR14" s="77"/>
      <c r="BS14" s="77">
        <f si="3" t="shared"/>
        <v>4968</v>
      </c>
      <c r="BT14" s="102"/>
      <c r="BV14" s="6" t="s">
        <v>345</v>
      </c>
      <c r="BW14" s="135">
        <f ref="BW14:CR14" si="8" t="shared">AX55</f>
        <v>61289</v>
      </c>
      <c r="BX14" s="135">
        <f si="8" t="shared"/>
        <v>34861</v>
      </c>
      <c r="BY14" s="135">
        <f si="8" t="shared"/>
        <v>19346</v>
      </c>
      <c r="BZ14" s="135">
        <f si="8" t="shared"/>
        <v>5443</v>
      </c>
      <c r="CA14" s="135">
        <f si="8" t="shared"/>
        <v>20562</v>
      </c>
      <c r="CB14" s="135">
        <f si="8" t="shared"/>
        <v>122711</v>
      </c>
      <c r="CC14" s="135">
        <f si="8" t="shared"/>
        <v>117623</v>
      </c>
      <c r="CD14" s="135">
        <f si="8" t="shared"/>
        <v>445</v>
      </c>
      <c r="CE14" s="135">
        <f si="8" t="shared"/>
        <v>42397</v>
      </c>
      <c r="CF14" s="135">
        <f si="8" t="shared"/>
        <v>14311</v>
      </c>
      <c r="CG14" s="135">
        <f si="8" t="shared"/>
        <v>18214</v>
      </c>
      <c r="CH14" s="135">
        <f si="8" t="shared"/>
        <v>100589</v>
      </c>
      <c r="CI14" s="135">
        <f si="8" t="shared"/>
        <v>104098</v>
      </c>
      <c r="CJ14" s="135">
        <f si="8" t="shared"/>
        <v>6001</v>
      </c>
      <c r="CK14" s="135">
        <f si="8" t="shared"/>
        <v>34851</v>
      </c>
      <c r="CL14" s="135">
        <f si="8" t="shared"/>
        <v>1399</v>
      </c>
      <c r="CM14" s="135">
        <f si="8" t="shared"/>
        <v>29486</v>
      </c>
      <c r="CN14" s="135">
        <f si="8" t="shared"/>
        <v>48263</v>
      </c>
      <c r="CO14" s="135">
        <f si="8" t="shared"/>
        <v>39768</v>
      </c>
      <c r="CP14" s="135">
        <f si="8" t="shared"/>
        <v>15207</v>
      </c>
      <c r="CQ14" s="135">
        <f si="8" t="shared"/>
        <v>0</v>
      </c>
      <c r="CR14" s="135">
        <f si="8" t="shared"/>
        <v>836864</v>
      </c>
    </row>
    <row r="15" spans="1:96" x14ac:dyDescent="0.25">
      <c r="A15" s="95">
        <v>9</v>
      </c>
      <c r="B15" s="77" t="n">
        <v>10291.375270337423</v>
      </c>
      <c r="C15" s="77" t="n">
        <v>6001.466974345692</v>
      </c>
      <c r="D15" s="77" t="n">
        <v>1568.704894827292</v>
      </c>
      <c r="E15" s="77" t="n">
        <v>2523.269711462928</v>
      </c>
      <c r="F15" s="77" t="n">
        <v>1386.0198507114005</v>
      </c>
      <c r="G15" s="77" t="n">
        <v>5504.55579877349</v>
      </c>
      <c r="H15" s="77" t="n">
        <v>6777.340687717595</v>
      </c>
      <c r="I15" s="77" t="n">
        <v>0.0</v>
      </c>
      <c r="J15" s="77" t="n">
        <v>23062.098881074715</v>
      </c>
      <c r="K15" s="77" t="n">
        <v>147.2417971723828</v>
      </c>
      <c r="L15" s="77" t="n">
        <v>1181.053182744975</v>
      </c>
      <c r="M15" s="77" t="n">
        <v>8604.923904035757</v>
      </c>
      <c r="N15" s="77" t="n">
        <v>66.0996888690903</v>
      </c>
      <c r="O15" s="77" t="n">
        <v>132.965148691159</v>
      </c>
      <c r="P15" s="77" t="n">
        <v>2763.1522714323714</v>
      </c>
      <c r="Q15" s="77" t="n">
        <v>0.0</v>
      </c>
      <c r="R15" s="77" t="n">
        <v>208.247408460716</v>
      </c>
      <c r="S15" s="77" t="n">
        <v>418.499591129536</v>
      </c>
      <c r="T15" s="77" t="n">
        <v>184.525239562561</v>
      </c>
      <c r="U15" s="77" t="n">
        <v>0.0</v>
      </c>
      <c r="V15" s="77"/>
      <c r="W15" s="77">
        <f si="1" t="shared"/>
        <v>70821.540301349072</v>
      </c>
      <c r="X15" s="15"/>
      <c r="Y15" s="95">
        <v>9</v>
      </c>
      <c r="Z15" s="77">
        <v>7479</v>
      </c>
      <c r="AA15" s="77">
        <v>9577</v>
      </c>
      <c r="AB15" s="77">
        <v>2756</v>
      </c>
      <c r="AC15" s="77">
        <v>2341</v>
      </c>
      <c r="AD15" s="77">
        <v>2551</v>
      </c>
      <c r="AE15" s="77">
        <v>13719</v>
      </c>
      <c r="AF15" s="77">
        <v>7558</v>
      </c>
      <c r="AG15" s="77">
        <v>678</v>
      </c>
      <c r="AH15" s="77">
        <v>11385</v>
      </c>
      <c r="AI15" s="77">
        <v>1465</v>
      </c>
      <c r="AJ15" s="77">
        <v>4780</v>
      </c>
      <c r="AK15" s="77">
        <v>9352</v>
      </c>
      <c r="AL15" s="77">
        <v>2459</v>
      </c>
      <c r="AM15" s="77">
        <v>281</v>
      </c>
      <c r="AN15" s="77">
        <v>4593</v>
      </c>
      <c r="AO15" s="77">
        <v>227</v>
      </c>
      <c r="AP15" s="77">
        <v>329</v>
      </c>
      <c r="AQ15" s="77">
        <v>575</v>
      </c>
      <c r="AR15" s="77">
        <v>1097</v>
      </c>
      <c r="AS15" s="77">
        <v>293</v>
      </c>
      <c r="AT15" s="77">
        <v>0</v>
      </c>
      <c r="AU15" s="77">
        <f si="2" t="shared"/>
        <v>83495</v>
      </c>
      <c r="AV15" s="14"/>
      <c r="AW15" s="95">
        <v>9</v>
      </c>
      <c r="AX15" s="77" t="n">
        <v>5299.0</v>
      </c>
      <c r="AY15" s="77" t="n">
        <v>4533.0</v>
      </c>
      <c r="AZ15" s="77" t="n">
        <v>1793.0</v>
      </c>
      <c r="BA15" s="77" t="n">
        <v>386.0</v>
      </c>
      <c r="BB15" s="77" t="n">
        <v>1529.0</v>
      </c>
      <c r="BC15" s="77" t="n">
        <v>9087.0</v>
      </c>
      <c r="BD15" s="77" t="n">
        <v>11739.0</v>
      </c>
      <c r="BE15" s="77" t="n">
        <v>44.0</v>
      </c>
      <c r="BF15" s="77" t="n">
        <v>11710.0</v>
      </c>
      <c r="BG15" s="77" t="n">
        <v>734.0</v>
      </c>
      <c r="BH15" s="77" t="n">
        <v>1571.0</v>
      </c>
      <c r="BI15" s="77" t="n">
        <v>5147.0</v>
      </c>
      <c r="BJ15" s="77" t="n">
        <v>4085.0</v>
      </c>
      <c r="BK15" s="77" t="n">
        <v>129.0</v>
      </c>
      <c r="BL15" s="77" t="n">
        <v>5685.0</v>
      </c>
      <c r="BM15" s="77" t="n">
        <v>32.0</v>
      </c>
      <c r="BN15" s="77" t="n">
        <v>1690.0</v>
      </c>
      <c r="BO15" s="77" t="n">
        <v>766.0</v>
      </c>
      <c r="BP15" s="77" t="n">
        <v>1026.0</v>
      </c>
      <c r="BQ15" s="77" t="n">
        <v>10.0</v>
      </c>
      <c r="BR15" s="77"/>
      <c r="BS15" s="77">
        <f si="3" t="shared"/>
        <v>67176</v>
      </c>
      <c r="BT15" s="102"/>
      <c r="CP15" s="7"/>
      <c r="CQ15" s="7"/>
    </row>
    <row r="16" spans="1:96" x14ac:dyDescent="0.25">
      <c r="A16" s="95">
        <v>10</v>
      </c>
      <c r="B16" s="77" t="n">
        <v>5856.637185334089</v>
      </c>
      <c r="C16" s="77" t="n">
        <v>477.508968986749</v>
      </c>
      <c r="D16" s="77" t="n">
        <v>678.9512543803853</v>
      </c>
      <c r="E16" s="77" t="n">
        <v>1192.6583365924366</v>
      </c>
      <c r="F16" s="77" t="n">
        <v>3458.6047608845415</v>
      </c>
      <c r="G16" s="77" t="n">
        <v>10671.085959124575</v>
      </c>
      <c r="H16" s="77" t="n">
        <v>1421.6680415063547</v>
      </c>
      <c r="I16" s="77" t="n">
        <v>435.70460821785</v>
      </c>
      <c r="J16" s="77" t="n">
        <v>412.5743069392214</v>
      </c>
      <c r="K16" s="77" t="n">
        <v>4177.457087623808</v>
      </c>
      <c r="L16" s="77" t="n">
        <v>613.9146783456542</v>
      </c>
      <c r="M16" s="77" t="n">
        <v>6110.796305001926</v>
      </c>
      <c r="N16" s="77" t="n">
        <v>236.57396079350949</v>
      </c>
      <c r="O16" s="77" t="n">
        <v>130.225762277452</v>
      </c>
      <c r="P16" s="77" t="n">
        <v>0.0</v>
      </c>
      <c r="Q16" s="77" t="n">
        <v>336.759645919208</v>
      </c>
      <c r="R16" s="77" t="n">
        <v>0.0</v>
      </c>
      <c r="S16" s="77" t="n">
        <v>38.581100217278</v>
      </c>
      <c r="T16" s="77" t="n">
        <v>0.0</v>
      </c>
      <c r="U16" s="77" t="n">
        <v>0.0</v>
      </c>
      <c r="V16" s="77"/>
      <c r="W16" s="77">
        <f si="1" t="shared"/>
        <v>36249.701962145031</v>
      </c>
      <c r="X16" s="7"/>
      <c r="Y16" s="95">
        <v>10</v>
      </c>
      <c r="Z16" s="77">
        <v>3680</v>
      </c>
      <c r="AA16" s="77">
        <v>2903</v>
      </c>
      <c r="AB16" s="77">
        <v>850</v>
      </c>
      <c r="AC16" s="77">
        <v>1105</v>
      </c>
      <c r="AD16" s="77">
        <v>2025</v>
      </c>
      <c r="AE16" s="77">
        <v>10758</v>
      </c>
      <c r="AF16" s="77">
        <v>1354</v>
      </c>
      <c r="AG16" s="77">
        <v>269</v>
      </c>
      <c r="AH16" s="77">
        <v>1182</v>
      </c>
      <c r="AI16" s="77">
        <v>2897</v>
      </c>
      <c r="AJ16" s="77">
        <v>962</v>
      </c>
      <c r="AK16" s="77">
        <v>7173</v>
      </c>
      <c r="AL16" s="77">
        <v>521</v>
      </c>
      <c r="AM16" s="77">
        <v>156</v>
      </c>
      <c r="AN16" s="77">
        <v>247</v>
      </c>
      <c r="AO16" s="77">
        <v>717</v>
      </c>
      <c r="AP16" s="77">
        <v>91</v>
      </c>
      <c r="AQ16" s="77">
        <v>424</v>
      </c>
      <c r="AR16" s="77">
        <v>225</v>
      </c>
      <c r="AS16" s="77">
        <v>155</v>
      </c>
      <c r="AT16" s="77">
        <v>0</v>
      </c>
      <c r="AU16" s="77">
        <f si="2" t="shared"/>
        <v>37694</v>
      </c>
      <c r="AW16" s="95">
        <v>10</v>
      </c>
      <c r="AX16" s="77" t="n">
        <v>3170.0</v>
      </c>
      <c r="AY16" s="77" t="n">
        <v>1452.0</v>
      </c>
      <c r="AZ16" s="77" t="n">
        <v>850.0</v>
      </c>
      <c r="BA16" s="77" t="n">
        <v>342.0</v>
      </c>
      <c r="BB16" s="77" t="n">
        <v>1920.0</v>
      </c>
      <c r="BC16" s="77" t="n">
        <v>8557.0</v>
      </c>
      <c r="BD16" s="77" t="n">
        <v>2848.0</v>
      </c>
      <c r="BE16" s="77" t="n">
        <v>22.0</v>
      </c>
      <c r="BF16" s="77" t="n">
        <v>729.0</v>
      </c>
      <c r="BG16" s="77" t="n">
        <v>2155.0</v>
      </c>
      <c r="BH16" s="77" t="n">
        <v>306.0</v>
      </c>
      <c r="BI16" s="77" t="n">
        <v>4251.0</v>
      </c>
      <c r="BJ16" s="77" t="n">
        <v>509.0</v>
      </c>
      <c r="BK16" s="77" t="n">
        <v>56.0</v>
      </c>
      <c r="BL16" s="77" t="n">
        <v>218.0</v>
      </c>
      <c r="BM16" s="77" t="n">
        <v>294.0</v>
      </c>
      <c r="BN16" s="77" t="n">
        <v>540.0</v>
      </c>
      <c r="BO16" s="77" t="n">
        <v>648.0</v>
      </c>
      <c r="BP16" s="77" t="n">
        <v>224.0</v>
      </c>
      <c r="BQ16" s="77" t="n">
        <v>15.0</v>
      </c>
      <c r="BR16" s="77"/>
      <c r="BS16" s="77">
        <f si="3" t="shared"/>
        <v>29092</v>
      </c>
      <c r="BT16" s="102"/>
      <c r="CP16" s="7"/>
      <c r="CQ16" s="7"/>
    </row>
    <row r="17" spans="1:93" x14ac:dyDescent="0.25">
      <c r="A17" s="95">
        <v>11</v>
      </c>
      <c r="B17" s="77" t="n">
        <v>6720.53288171282</v>
      </c>
      <c r="C17" s="77" t="n">
        <v>1847.5344943512866</v>
      </c>
      <c r="D17" s="77" t="n">
        <v>5325.340119278552</v>
      </c>
      <c r="E17" s="77" t="n">
        <v>2420.4892886522903</v>
      </c>
      <c r="F17" s="77" t="n">
        <v>2820.2339342572786</v>
      </c>
      <c r="G17" s="77" t="n">
        <v>5353.064485976054</v>
      </c>
      <c r="H17" s="77" t="n">
        <v>2892.152797910213</v>
      </c>
      <c r="I17" s="77" t="n">
        <v>0.0</v>
      </c>
      <c r="J17" s="77" t="n">
        <v>3206.5097233432743</v>
      </c>
      <c r="K17" s="77" t="n">
        <v>783.5846389711179</v>
      </c>
      <c r="L17" s="77" t="n">
        <v>13816.461495057596</v>
      </c>
      <c r="M17" s="77" t="n">
        <v>3482.770699221353</v>
      </c>
      <c r="N17" s="77" t="n">
        <v>52.8558184285318</v>
      </c>
      <c r="O17" s="77" t="n">
        <v>91.1011302100901</v>
      </c>
      <c r="P17" s="77" t="n">
        <v>0.0</v>
      </c>
      <c r="Q17" s="77" t="n">
        <v>806.753356741478</v>
      </c>
      <c r="R17" s="77" t="n">
        <v>1132.9322590616596</v>
      </c>
      <c r="S17" s="77" t="n">
        <v>1258.978052442392</v>
      </c>
      <c r="T17" s="77" t="n">
        <v>2157.6807883418414</v>
      </c>
      <c r="U17" s="77" t="n">
        <v>0.0</v>
      </c>
      <c r="V17" s="77"/>
      <c r="W17" s="77">
        <f si="1" t="shared"/>
        <v>54168.975963957826</v>
      </c>
      <c r="X17" s="7"/>
      <c r="Y17" s="95">
        <v>11</v>
      </c>
      <c r="Z17" s="77">
        <v>5872</v>
      </c>
      <c r="AA17" s="77">
        <v>7235</v>
      </c>
      <c r="AB17" s="77">
        <v>2892</v>
      </c>
      <c r="AC17" s="77">
        <v>2567</v>
      </c>
      <c r="AD17" s="77">
        <v>2318</v>
      </c>
      <c r="AE17" s="77">
        <v>11532</v>
      </c>
      <c r="AF17" s="77">
        <v>3447</v>
      </c>
      <c r="AG17" s="77">
        <v>1064</v>
      </c>
      <c r="AH17" s="77">
        <v>4773</v>
      </c>
      <c r="AI17" s="77">
        <v>1442</v>
      </c>
      <c r="AJ17" s="77">
        <v>11703</v>
      </c>
      <c r="AK17" s="77">
        <v>5943</v>
      </c>
      <c r="AL17" s="77">
        <v>1149</v>
      </c>
      <c r="AM17" s="77">
        <v>720</v>
      </c>
      <c r="AN17" s="77">
        <v>1402</v>
      </c>
      <c r="AO17" s="77">
        <v>267</v>
      </c>
      <c r="AP17" s="77">
        <v>979</v>
      </c>
      <c r="AQ17" s="77">
        <v>381</v>
      </c>
      <c r="AR17" s="77">
        <v>4324</v>
      </c>
      <c r="AS17" s="77">
        <v>229</v>
      </c>
      <c r="AT17" s="77">
        <v>0</v>
      </c>
      <c r="AU17" s="77">
        <f si="2" t="shared"/>
        <v>70239</v>
      </c>
      <c r="AW17" s="95">
        <v>11</v>
      </c>
      <c r="AX17" s="77" t="n">
        <v>6337.0</v>
      </c>
      <c r="AY17" s="77" t="n">
        <v>2851.0</v>
      </c>
      <c r="AZ17" s="77" t="n">
        <v>2908.0</v>
      </c>
      <c r="BA17" s="77" t="n">
        <v>712.0</v>
      </c>
      <c r="BB17" s="77" t="n">
        <v>1755.0</v>
      </c>
      <c r="BC17" s="77" t="n">
        <v>9425.0</v>
      </c>
      <c r="BD17" s="77" t="n">
        <v>5171.0</v>
      </c>
      <c r="BE17" s="77" t="n">
        <v>91.0</v>
      </c>
      <c r="BF17" s="77" t="n">
        <v>4436.0</v>
      </c>
      <c r="BG17" s="77" t="n">
        <v>764.0</v>
      </c>
      <c r="BH17" s="77" t="n">
        <v>7264.0</v>
      </c>
      <c r="BI17" s="77" t="n">
        <v>3828.0</v>
      </c>
      <c r="BJ17" s="77" t="n">
        <v>920.0</v>
      </c>
      <c r="BK17" s="77" t="n">
        <v>389.0</v>
      </c>
      <c r="BL17" s="77" t="n">
        <v>1473.0</v>
      </c>
      <c r="BM17" s="77" t="n">
        <v>52.0</v>
      </c>
      <c r="BN17" s="77" t="n">
        <v>5488.0</v>
      </c>
      <c r="BO17" s="77" t="n">
        <v>416.0</v>
      </c>
      <c r="BP17" s="77" t="n">
        <v>5810.0</v>
      </c>
      <c r="BQ17" s="77" t="n">
        <v>5.0</v>
      </c>
      <c r="BR17" s="77"/>
      <c r="BS17" s="77">
        <f si="3" t="shared"/>
        <v>60226</v>
      </c>
      <c r="BT17" s="102"/>
      <c r="CJ17" s="138"/>
    </row>
    <row customFormat="1" r="18" s="95" spans="1:93" x14ac:dyDescent="0.25">
      <c r="A18" s="95">
        <v>12</v>
      </c>
      <c r="B18" s="77" t="n">
        <v>16643.240806205085</v>
      </c>
      <c r="C18" s="77" t="n">
        <v>2501.73338835393</v>
      </c>
      <c r="D18" s="77" t="n">
        <v>1912.8251628074659</v>
      </c>
      <c r="E18" s="77" t="n">
        <v>5449.218548239652</v>
      </c>
      <c r="F18" s="77" t="n">
        <v>2993.9712989163</v>
      </c>
      <c r="G18" s="77" t="n">
        <v>26277.045888504344</v>
      </c>
      <c r="H18" s="77" t="n">
        <v>8379.407102321755</v>
      </c>
      <c r="I18" s="77" t="n">
        <v>0.0</v>
      </c>
      <c r="J18" s="77" t="n">
        <v>5267.043365095287</v>
      </c>
      <c r="K18" s="77" t="n">
        <v>2325.5276426166</v>
      </c>
      <c r="L18" s="77" t="n">
        <v>768.9528297746975</v>
      </c>
      <c r="M18" s="77" t="n">
        <v>59464.26064941226</v>
      </c>
      <c r="N18" s="77" t="n">
        <v>989.8168614394682</v>
      </c>
      <c r="O18" s="77" t="n">
        <v>44.0194378209874</v>
      </c>
      <c r="P18" s="77" t="n">
        <v>0.0</v>
      </c>
      <c r="Q18" s="77" t="n">
        <v>439.0313045084706</v>
      </c>
      <c r="R18" s="77" t="n">
        <v>0.0</v>
      </c>
      <c r="S18" s="77" t="n">
        <v>1461.8457642417757</v>
      </c>
      <c r="T18" s="77" t="n">
        <v>0.0</v>
      </c>
      <c r="U18" s="77" t="n">
        <v>820.0625956479262</v>
      </c>
      <c r="V18" s="77"/>
      <c r="W18" s="77">
        <f si="1" t="shared"/>
        <v>135738.002645906</v>
      </c>
      <c r="X18" s="7"/>
      <c r="Y18" s="95">
        <v>12</v>
      </c>
      <c r="Z18" s="77">
        <v>9989</v>
      </c>
      <c r="AA18" s="77">
        <v>9051</v>
      </c>
      <c r="AB18" s="77">
        <v>2219</v>
      </c>
      <c r="AC18" s="77">
        <v>2510</v>
      </c>
      <c r="AD18" s="77">
        <v>3410</v>
      </c>
      <c r="AE18" s="77">
        <v>25700</v>
      </c>
      <c r="AF18" s="77">
        <v>9191</v>
      </c>
      <c r="AG18" s="77">
        <v>470</v>
      </c>
      <c r="AH18" s="77">
        <v>5331</v>
      </c>
      <c r="AI18" s="77">
        <v>2943</v>
      </c>
      <c r="AJ18" s="77">
        <v>2955</v>
      </c>
      <c r="AK18" s="77">
        <v>45861</v>
      </c>
      <c r="AL18" s="77">
        <v>3225</v>
      </c>
      <c r="AM18" s="77">
        <v>290</v>
      </c>
      <c r="AN18" s="77">
        <v>1215</v>
      </c>
      <c r="AO18" s="77">
        <v>765</v>
      </c>
      <c r="AP18" s="77">
        <v>268</v>
      </c>
      <c r="AQ18" s="77">
        <v>3559</v>
      </c>
      <c r="AR18" s="77">
        <v>573</v>
      </c>
      <c r="AS18" s="77">
        <v>1209</v>
      </c>
      <c r="AT18" s="77">
        <v>0</v>
      </c>
      <c r="AU18" s="77">
        <f si="2" t="shared"/>
        <v>130734</v>
      </c>
      <c r="AW18" s="95">
        <v>12</v>
      </c>
      <c r="AX18" s="77" t="n">
        <v>9801.0</v>
      </c>
      <c r="AY18" s="77" t="n">
        <v>6351.0</v>
      </c>
      <c r="AZ18" s="77" t="n">
        <v>2342.0</v>
      </c>
      <c r="BA18" s="77" t="n">
        <v>743.0</v>
      </c>
      <c r="BB18" s="77" t="n">
        <v>3525.0</v>
      </c>
      <c r="BC18" s="77" t="n">
        <v>23194.0</v>
      </c>
      <c r="BD18" s="77" t="n">
        <v>20832.0</v>
      </c>
      <c r="BE18" s="77" t="n">
        <v>34.0</v>
      </c>
      <c r="BF18" s="77" t="n">
        <v>4312.0</v>
      </c>
      <c r="BG18" s="77" t="n">
        <v>3453.0</v>
      </c>
      <c r="BH18" s="77" t="n">
        <v>932.0</v>
      </c>
      <c r="BI18" s="77" t="n">
        <v>34604.0</v>
      </c>
      <c r="BJ18" s="77" t="n">
        <v>7579.0</v>
      </c>
      <c r="BK18" s="77" t="n">
        <v>74.0</v>
      </c>
      <c r="BL18" s="77" t="n">
        <v>1337.0</v>
      </c>
      <c r="BM18" s="77" t="n">
        <v>263.0</v>
      </c>
      <c r="BN18" s="77" t="n">
        <v>1189.0</v>
      </c>
      <c r="BO18" s="77" t="n">
        <v>9118.0</v>
      </c>
      <c r="BP18" s="77" t="n">
        <v>501.0</v>
      </c>
      <c r="BQ18" s="77" t="n">
        <v>270.0</v>
      </c>
      <c r="BR18" s="77"/>
      <c r="BS18" s="77">
        <f si="3" t="shared"/>
        <v>130561</v>
      </c>
      <c r="BT18" s="102"/>
    </row>
    <row customFormat="1" ht="15.75" r="19" s="95" spans="1:93" thickBot="1" x14ac:dyDescent="0.3">
      <c r="A19" s="95">
        <v>13</v>
      </c>
      <c r="B19" s="77" t="n">
        <v>4756.949507921019</v>
      </c>
      <c r="C19" s="77" t="n">
        <v>718.9251404899024</v>
      </c>
      <c r="D19" s="77" t="n">
        <v>320.7648673301927</v>
      </c>
      <c r="E19" s="77" t="n">
        <v>1196.8185277727014</v>
      </c>
      <c r="F19" s="77" t="n">
        <v>992.7795045410791</v>
      </c>
      <c r="G19" s="77" t="n">
        <v>2652.1523931984975</v>
      </c>
      <c r="H19" s="77" t="n">
        <v>19314.539468479008</v>
      </c>
      <c r="I19" s="77" t="n">
        <v>628.945404159974</v>
      </c>
      <c r="J19" s="77" t="n">
        <v>1137.372024808777</v>
      </c>
      <c r="K19" s="77" t="n">
        <v>510.740370255473</v>
      </c>
      <c r="L19" s="77" t="n">
        <v>1096.185712306814</v>
      </c>
      <c r="M19" s="77" t="n">
        <v>5316.057884562264</v>
      </c>
      <c r="N19" s="77" t="n">
        <v>40804.275622627734</v>
      </c>
      <c r="O19" s="77" t="n">
        <v>125.099167264476</v>
      </c>
      <c r="P19" s="77" t="n">
        <v>1747.878817796063</v>
      </c>
      <c r="Q19" s="77" t="n">
        <v>0.0</v>
      </c>
      <c r="R19" s="77" t="n">
        <v>0.0</v>
      </c>
      <c r="S19" s="77" t="n">
        <v>1988.0688060741143</v>
      </c>
      <c r="T19" s="77" t="n">
        <v>0.0</v>
      </c>
      <c r="U19" s="77" t="n">
        <v>0.0</v>
      </c>
      <c r="V19" s="77"/>
      <c r="W19" s="77">
        <f si="1" t="shared"/>
        <v>83307.553219588081</v>
      </c>
      <c r="X19" s="7"/>
      <c r="Y19" s="95">
        <v>13</v>
      </c>
      <c r="Z19" s="77">
        <v>4094</v>
      </c>
      <c r="AA19" s="77">
        <v>4556</v>
      </c>
      <c r="AB19" s="77">
        <v>1208</v>
      </c>
      <c r="AC19" s="77">
        <v>1389</v>
      </c>
      <c r="AD19" s="77">
        <v>1528</v>
      </c>
      <c r="AE19" s="77">
        <v>8107</v>
      </c>
      <c r="AF19" s="77">
        <v>16638</v>
      </c>
      <c r="AG19" s="77">
        <v>397</v>
      </c>
      <c r="AH19" s="77">
        <v>5098</v>
      </c>
      <c r="AI19" s="77">
        <v>1295</v>
      </c>
      <c r="AJ19" s="77">
        <v>2248</v>
      </c>
      <c r="AK19" s="77">
        <v>12972</v>
      </c>
      <c r="AL19" s="77">
        <v>34775</v>
      </c>
      <c r="AM19" s="77">
        <v>220</v>
      </c>
      <c r="AN19" s="77">
        <v>3432</v>
      </c>
      <c r="AO19" s="77">
        <v>265</v>
      </c>
      <c r="AP19" s="77">
        <v>302</v>
      </c>
      <c r="AQ19" s="77">
        <v>2562</v>
      </c>
      <c r="AR19" s="77">
        <v>687</v>
      </c>
      <c r="AS19" s="77">
        <v>903</v>
      </c>
      <c r="AT19" s="77">
        <v>0</v>
      </c>
      <c r="AU19" s="77">
        <f si="2" t="shared"/>
        <v>102676</v>
      </c>
      <c r="AW19" s="95">
        <v>13</v>
      </c>
      <c r="AX19" s="77" t="n">
        <v>1792.0</v>
      </c>
      <c r="AY19" s="77" t="n">
        <v>1670.0</v>
      </c>
      <c r="AZ19" s="77" t="n">
        <v>514.0</v>
      </c>
      <c r="BA19" s="77" t="n">
        <v>147.0</v>
      </c>
      <c r="BB19" s="77" t="n">
        <v>564.0</v>
      </c>
      <c r="BC19" s="77" t="n">
        <v>4024.0</v>
      </c>
      <c r="BD19" s="77" t="n">
        <v>18972.0</v>
      </c>
      <c r="BE19" s="77" t="n">
        <v>3.0</v>
      </c>
      <c r="BF19" s="77" t="n">
        <v>2488.0</v>
      </c>
      <c r="BG19" s="77" t="n">
        <v>357.0</v>
      </c>
      <c r="BH19" s="77" t="n">
        <v>256.0</v>
      </c>
      <c r="BI19" s="77" t="n">
        <v>5926.0</v>
      </c>
      <c r="BJ19" s="77" t="n">
        <v>54992.0</v>
      </c>
      <c r="BK19" s="77" t="n">
        <v>9.0</v>
      </c>
      <c r="BL19" s="77" t="n">
        <v>3601.0</v>
      </c>
      <c r="BM19" s="77" t="n">
        <v>16.0</v>
      </c>
      <c r="BN19" s="77" t="n">
        <v>493.0</v>
      </c>
      <c r="BO19" s="77" t="n">
        <v>4760.0</v>
      </c>
      <c r="BP19" s="77" t="n">
        <v>285.0</v>
      </c>
      <c r="BQ19" s="77" t="n">
        <v>131.0</v>
      </c>
      <c r="BR19" s="77"/>
      <c r="BS19" s="77">
        <f si="3" t="shared"/>
        <v>101238</v>
      </c>
      <c r="BT19" s="102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/>
      <c r="CM19"/>
      <c r="CN19"/>
      <c r="CO19"/>
    </row>
    <row customFormat="1" r="20" s="95" spans="1:93" x14ac:dyDescent="0.25">
      <c r="A20" s="95">
        <v>14</v>
      </c>
      <c r="B20" s="77" t="n">
        <v>3880.5043812465656</v>
      </c>
      <c r="C20" s="77" t="n">
        <v>1136.9961768637916</v>
      </c>
      <c r="D20" s="77" t="n">
        <v>92.5498676989767</v>
      </c>
      <c r="E20" s="77" t="n">
        <v>110.57463921197629</v>
      </c>
      <c r="F20" s="77" t="n">
        <v>442.473617280552</v>
      </c>
      <c r="G20" s="77" t="n">
        <v>1794.5742739538352</v>
      </c>
      <c r="H20" s="77" t="n">
        <v>629.695302091567</v>
      </c>
      <c r="I20" s="77" t="n">
        <v>62.195477629974</v>
      </c>
      <c r="J20" s="77" t="n">
        <v>765.1332837862586</v>
      </c>
      <c r="K20" s="77" t="n">
        <v>342.9458552425023</v>
      </c>
      <c r="L20" s="77" t="n">
        <v>1994.8599546884752</v>
      </c>
      <c r="M20" s="77" t="n">
        <v>1237.973249630118</v>
      </c>
      <c r="N20" s="77" t="n">
        <v>0.0</v>
      </c>
      <c r="O20" s="77" t="n">
        <v>10787.813499036445</v>
      </c>
      <c r="P20" s="77" t="n">
        <v>0.0</v>
      </c>
      <c r="Q20" s="77" t="n">
        <v>0.0</v>
      </c>
      <c r="R20" s="77" t="n">
        <v>953.8080943975633</v>
      </c>
      <c r="S20" s="77" t="n">
        <v>0.0</v>
      </c>
      <c r="T20" s="77" t="n">
        <v>43.8014760630338</v>
      </c>
      <c r="U20" s="77" t="n">
        <v>0.0</v>
      </c>
      <c r="V20" s="77"/>
      <c r="W20" s="77">
        <f si="1" t="shared"/>
        <v>24275.899148821634</v>
      </c>
      <c r="X20" s="7"/>
      <c r="Y20" s="95">
        <v>14</v>
      </c>
      <c r="Z20" s="77">
        <v>1825</v>
      </c>
      <c r="AA20" s="77">
        <v>2547</v>
      </c>
      <c r="AB20" s="77">
        <v>827</v>
      </c>
      <c r="AC20" s="77">
        <v>922</v>
      </c>
      <c r="AD20" s="77">
        <v>869</v>
      </c>
      <c r="AE20" s="77">
        <v>3460</v>
      </c>
      <c r="AF20" s="77">
        <v>1137</v>
      </c>
      <c r="AG20" s="77">
        <v>638</v>
      </c>
      <c r="AH20" s="77">
        <v>1258</v>
      </c>
      <c r="AI20" s="77">
        <v>642</v>
      </c>
      <c r="AJ20" s="77">
        <v>2903</v>
      </c>
      <c r="AK20" s="77">
        <v>2181</v>
      </c>
      <c r="AL20" s="77">
        <v>494</v>
      </c>
      <c r="AM20" s="77">
        <v>6248</v>
      </c>
      <c r="AN20" s="77">
        <v>344</v>
      </c>
      <c r="AO20" s="77">
        <v>138</v>
      </c>
      <c r="AP20" s="77">
        <v>1572</v>
      </c>
      <c r="AQ20" s="77">
        <v>185</v>
      </c>
      <c r="AR20" s="77">
        <v>964</v>
      </c>
      <c r="AS20" s="77">
        <v>202</v>
      </c>
      <c r="AT20" s="77">
        <v>0</v>
      </c>
      <c r="AU20" s="77">
        <f si="2" t="shared"/>
        <v>29356</v>
      </c>
      <c r="AW20" s="95">
        <v>14</v>
      </c>
      <c r="AX20" s="77" t="n">
        <v>1878.0</v>
      </c>
      <c r="AY20" s="77" t="n">
        <v>667.0</v>
      </c>
      <c r="AZ20" s="77" t="n">
        <v>754.0</v>
      </c>
      <c r="BA20" s="77" t="n">
        <v>234.0</v>
      </c>
      <c r="BB20" s="77" t="n">
        <v>635.0</v>
      </c>
      <c r="BC20" s="77" t="n">
        <v>2872.0</v>
      </c>
      <c r="BD20" s="77" t="n">
        <v>1177.0</v>
      </c>
      <c r="BE20" s="77" t="n">
        <v>40.0</v>
      </c>
      <c r="BF20" s="77" t="n">
        <v>770.0</v>
      </c>
      <c r="BG20" s="77" t="n">
        <v>295.0</v>
      </c>
      <c r="BH20" s="77" t="n">
        <v>1421.0</v>
      </c>
      <c r="BI20" s="77" t="n">
        <v>978.0</v>
      </c>
      <c r="BJ20" s="77" t="n">
        <v>230.0</v>
      </c>
      <c r="BK20" s="77" t="n">
        <v>5397.0</v>
      </c>
      <c r="BL20" s="77" t="n">
        <v>268.0</v>
      </c>
      <c r="BM20" s="77" t="n">
        <v>15.0</v>
      </c>
      <c r="BN20" s="77" t="n">
        <v>4833.0</v>
      </c>
      <c r="BO20" s="77" t="n">
        <v>118.0</v>
      </c>
      <c r="BP20" s="77" t="n">
        <v>1553.0</v>
      </c>
      <c r="BQ20" s="77" t="n">
        <v>2.0</v>
      </c>
      <c r="BR20" s="77"/>
      <c r="BS20" s="77">
        <f si="3" t="shared"/>
        <v>24224</v>
      </c>
      <c r="BT20" s="102"/>
      <c r="BV20" s="228" t="s">
        <v>350</v>
      </c>
      <c r="BW20" s="229"/>
      <c r="BX20" s="230" t="s">
        <v>348</v>
      </c>
      <c r="BY20" s="228"/>
      <c r="BZ20" s="228"/>
      <c r="CA20" s="229"/>
      <c r="CB20" s="230" t="s">
        <v>349</v>
      </c>
      <c r="CC20" s="228"/>
      <c r="CD20" s="228"/>
      <c r="CE20" s="229"/>
      <c r="CF20" s="231" t="s">
        <v>357</v>
      </c>
      <c r="CG20" s="232"/>
      <c r="CH20" s="232"/>
      <c r="CI20" s="233"/>
      <c r="CJ20" s="230" t="s">
        <v>353</v>
      </c>
      <c r="CK20" s="229"/>
    </row>
    <row customFormat="1" r="21" s="95" spans="1:93" x14ac:dyDescent="0.25">
      <c r="A21" s="95">
        <v>15</v>
      </c>
      <c r="B21" s="77" t="n">
        <v>1614.2499766297194</v>
      </c>
      <c r="C21" s="77" t="n">
        <v>2163.672393324039</v>
      </c>
      <c r="D21" s="77" t="n">
        <v>841.993664069362</v>
      </c>
      <c r="E21" s="77" t="n">
        <v>495.67800568932597</v>
      </c>
      <c r="F21" s="77" t="n">
        <v>287.3579674840871</v>
      </c>
      <c r="G21" s="77" t="n">
        <v>1149.268209201592</v>
      </c>
      <c r="H21" s="77" t="n">
        <v>2035.4536884847969</v>
      </c>
      <c r="I21" s="77" t="n">
        <v>0.0</v>
      </c>
      <c r="J21" s="77" t="n">
        <v>3901.981000658299</v>
      </c>
      <c r="K21" s="77" t="n">
        <v>341.120954300282</v>
      </c>
      <c r="L21" s="77" t="n">
        <v>603.898911799547</v>
      </c>
      <c r="M21" s="77" t="n">
        <v>868.8275678265798</v>
      </c>
      <c r="N21" s="77" t="n">
        <v>3627.072495984253</v>
      </c>
      <c r="O21" s="77" t="n">
        <v>0.0</v>
      </c>
      <c r="P21" s="77" t="n">
        <v>10953.77640460423</v>
      </c>
      <c r="Q21" s="77" t="n">
        <v>0.0</v>
      </c>
      <c r="R21" s="77" t="n">
        <v>0.0</v>
      </c>
      <c r="S21" s="77" t="n">
        <v>0.0</v>
      </c>
      <c r="T21" s="77" t="n">
        <v>73.3082991544821</v>
      </c>
      <c r="U21" s="77" t="n">
        <v>0.0</v>
      </c>
      <c r="V21" s="77"/>
      <c r="W21" s="77">
        <f si="1" t="shared"/>
        <v>28957.659539210599</v>
      </c>
      <c r="X21" s="7"/>
      <c r="Y21" s="95">
        <v>15</v>
      </c>
      <c r="Z21" s="77">
        <v>2438</v>
      </c>
      <c r="AA21" s="77">
        <v>3413</v>
      </c>
      <c r="AB21" s="77">
        <v>722</v>
      </c>
      <c r="AC21" s="77">
        <v>781</v>
      </c>
      <c r="AD21" s="77">
        <v>997</v>
      </c>
      <c r="AE21" s="77">
        <v>4822</v>
      </c>
      <c r="AF21" s="77">
        <v>4643</v>
      </c>
      <c r="AG21" s="77">
        <v>258</v>
      </c>
      <c r="AH21" s="77">
        <v>5392</v>
      </c>
      <c r="AI21" s="77">
        <v>660</v>
      </c>
      <c r="AJ21" s="77">
        <v>1838</v>
      </c>
      <c r="AK21" s="77">
        <v>4162</v>
      </c>
      <c r="AL21" s="77">
        <v>4674</v>
      </c>
      <c r="AM21" s="77">
        <v>164</v>
      </c>
      <c r="AN21" s="77">
        <v>11959</v>
      </c>
      <c r="AO21" s="77">
        <v>125</v>
      </c>
      <c r="AP21" s="77">
        <v>243</v>
      </c>
      <c r="AQ21" s="77">
        <v>454</v>
      </c>
      <c r="AR21" s="77">
        <v>1250</v>
      </c>
      <c r="AS21" s="77">
        <v>214</v>
      </c>
      <c r="AT21" s="77">
        <v>0</v>
      </c>
      <c r="AU21" s="77">
        <f si="2" t="shared"/>
        <v>49209</v>
      </c>
      <c r="AW21" s="95">
        <v>15</v>
      </c>
      <c r="AX21" s="77" t="n">
        <v>1499.0</v>
      </c>
      <c r="AY21" s="77" t="n">
        <v>1157.0</v>
      </c>
      <c r="AZ21" s="77" t="n">
        <v>381.0</v>
      </c>
      <c r="BA21" s="77" t="n">
        <v>98.0</v>
      </c>
      <c r="BB21" s="77" t="n">
        <v>362.0</v>
      </c>
      <c r="BC21" s="77" t="n">
        <v>2276.0</v>
      </c>
      <c r="BD21" s="77" t="n">
        <v>4401.0</v>
      </c>
      <c r="BE21" s="77" t="n">
        <v>12.0</v>
      </c>
      <c r="BF21" s="77" t="n">
        <v>3423.0</v>
      </c>
      <c r="BG21" s="77" t="n">
        <v>202.0</v>
      </c>
      <c r="BH21" s="77" t="n">
        <v>407.0</v>
      </c>
      <c r="BI21" s="77" t="n">
        <v>1963.0</v>
      </c>
      <c r="BJ21" s="77" t="n">
        <v>7532.0</v>
      </c>
      <c r="BK21" s="77" t="n">
        <v>21.0</v>
      </c>
      <c r="BL21" s="77" t="n">
        <v>15381.0</v>
      </c>
      <c r="BM21" s="77" t="n">
        <v>9.0</v>
      </c>
      <c r="BN21" s="77" t="n">
        <v>493.0</v>
      </c>
      <c r="BO21" s="77" t="n">
        <v>450.0</v>
      </c>
      <c r="BP21" s="77" t="n">
        <v>1355.0</v>
      </c>
      <c r="BQ21" s="77" t="n">
        <v>10.0</v>
      </c>
      <c r="BR21" s="77"/>
      <c r="BS21" s="77">
        <f si="3" t="shared"/>
        <v>41588</v>
      </c>
      <c r="BT21" s="102"/>
      <c r="BV21" s="113" t="s">
        <v>351</v>
      </c>
      <c r="BW21" s="112" t="s">
        <v>360</v>
      </c>
      <c r="BX21" s="128" t="s">
        <v>343</v>
      </c>
      <c r="BY21" s="129" t="s">
        <v>356</v>
      </c>
      <c r="BZ21" s="129" t="s">
        <v>344</v>
      </c>
      <c r="CA21" s="129" t="s">
        <v>345</v>
      </c>
      <c r="CB21" s="128" t="s">
        <v>343</v>
      </c>
      <c r="CC21" s="129" t="s">
        <v>356</v>
      </c>
      <c r="CD21" s="129" t="s">
        <v>344</v>
      </c>
      <c r="CE21" s="129" t="s">
        <v>345</v>
      </c>
      <c r="CF21" s="114" t="s">
        <v>343</v>
      </c>
      <c r="CG21" s="113" t="s">
        <v>356</v>
      </c>
      <c r="CH21" s="113" t="s">
        <v>429</v>
      </c>
      <c r="CI21" s="120" t="s">
        <v>345</v>
      </c>
      <c r="CJ21" s="118" t="s">
        <v>358</v>
      </c>
      <c r="CK21" s="136" t="s">
        <v>430</v>
      </c>
      <c r="CL21" s="138" t="s">
        <v>352</v>
      </c>
    </row>
    <row customFormat="1" r="22" s="95" spans="1:93" x14ac:dyDescent="0.25">
      <c r="A22" s="95">
        <v>16</v>
      </c>
      <c r="B22" s="77" t="n">
        <v>612.9868387952149</v>
      </c>
      <c r="C22" s="77" t="n">
        <v>556.568010852689</v>
      </c>
      <c r="D22" s="77" t="n">
        <v>1130.294963659044</v>
      </c>
      <c r="E22" s="77" t="n">
        <v>712.675042014317</v>
      </c>
      <c r="F22" s="77" t="n">
        <v>1268.72136965468</v>
      </c>
      <c r="G22" s="77" t="n">
        <v>6553.4014322219655</v>
      </c>
      <c r="H22" s="77" t="n">
        <v>805.274717864904</v>
      </c>
      <c r="I22" s="77" t="n">
        <v>1017.89515741604</v>
      </c>
      <c r="J22" s="77" t="n">
        <v>1088.690213000741</v>
      </c>
      <c r="K22" s="77" t="n">
        <v>1191.84957593133</v>
      </c>
      <c r="L22" s="77" t="n">
        <v>0.0</v>
      </c>
      <c r="M22" s="77" t="n">
        <v>6399.910577826909</v>
      </c>
      <c r="N22" s="77" t="n">
        <v>0.0</v>
      </c>
      <c r="O22" s="77" t="n">
        <v>0.0</v>
      </c>
      <c r="P22" s="77" t="n">
        <v>0.0</v>
      </c>
      <c r="Q22" s="77" t="n">
        <v>275.221241949084</v>
      </c>
      <c r="R22" s="77" t="n">
        <v>0.0</v>
      </c>
      <c r="S22" s="77" t="n">
        <v>0.0</v>
      </c>
      <c r="T22" s="77" t="n">
        <v>0.0</v>
      </c>
      <c r="U22" s="77" t="n">
        <v>0.0</v>
      </c>
      <c r="V22" s="77"/>
      <c r="W22" s="77">
        <f si="1" t="shared"/>
        <v>21613.489141186918</v>
      </c>
      <c r="X22" s="7"/>
      <c r="Y22" s="95">
        <v>16</v>
      </c>
      <c r="Z22" s="77">
        <v>1752</v>
      </c>
      <c r="AA22" s="77">
        <v>1711</v>
      </c>
      <c r="AB22" s="77">
        <v>359</v>
      </c>
      <c r="AC22" s="77">
        <v>613</v>
      </c>
      <c r="AD22" s="77">
        <v>915</v>
      </c>
      <c r="AE22" s="77">
        <v>5243</v>
      </c>
      <c r="AF22" s="77">
        <v>714</v>
      </c>
      <c r="AG22" s="77">
        <v>118</v>
      </c>
      <c r="AH22" s="77">
        <v>612</v>
      </c>
      <c r="AI22" s="77">
        <v>1486</v>
      </c>
      <c r="AJ22" s="77">
        <v>435</v>
      </c>
      <c r="AK22" s="77">
        <v>5082</v>
      </c>
      <c r="AL22" s="77">
        <v>394</v>
      </c>
      <c r="AM22" s="77">
        <v>62</v>
      </c>
      <c r="AN22" s="77">
        <v>133</v>
      </c>
      <c r="AO22" s="77">
        <v>1102</v>
      </c>
      <c r="AP22" s="77">
        <v>32</v>
      </c>
      <c r="AQ22" s="77">
        <v>534</v>
      </c>
      <c r="AR22" s="77">
        <v>99</v>
      </c>
      <c r="AS22" s="77">
        <v>208</v>
      </c>
      <c r="AT22" s="77">
        <v>0</v>
      </c>
      <c r="AU22" s="77">
        <f si="2" t="shared"/>
        <v>21604</v>
      </c>
      <c r="AW22" s="95">
        <v>16</v>
      </c>
      <c r="AX22" s="77" t="n">
        <v>1632.0</v>
      </c>
      <c r="AY22" s="77" t="n">
        <v>709.0</v>
      </c>
      <c r="AZ22" s="77" t="n">
        <v>346.0</v>
      </c>
      <c r="BA22" s="77" t="n">
        <v>154.0</v>
      </c>
      <c r="BB22" s="77" t="n">
        <v>760.0</v>
      </c>
      <c r="BC22" s="77" t="n">
        <v>3627.0</v>
      </c>
      <c r="BD22" s="77" t="n">
        <v>1499.0</v>
      </c>
      <c r="BE22" s="77" t="n">
        <v>7.0</v>
      </c>
      <c r="BF22" s="77" t="n">
        <v>329.0</v>
      </c>
      <c r="BG22" s="77" t="n">
        <v>1256.0</v>
      </c>
      <c r="BH22" s="77" t="n">
        <v>138.0</v>
      </c>
      <c r="BI22" s="77" t="n">
        <v>3525.0</v>
      </c>
      <c r="BJ22" s="77" t="n">
        <v>484.0</v>
      </c>
      <c r="BK22" s="77" t="n">
        <v>12.0</v>
      </c>
      <c r="BL22" s="77" t="n">
        <v>138.0</v>
      </c>
      <c r="BM22" s="77" t="n">
        <v>517.0</v>
      </c>
      <c r="BN22" s="77" t="n">
        <v>193.0</v>
      </c>
      <c r="BO22" s="77" t="n">
        <v>1413.0</v>
      </c>
      <c r="BP22" s="77" t="n">
        <v>90.0</v>
      </c>
      <c r="BQ22" s="77" t="n">
        <v>119.0</v>
      </c>
      <c r="BR22" s="77"/>
      <c r="BS22" s="77">
        <f si="3" t="shared"/>
        <v>16988</v>
      </c>
      <c r="BT22" s="102"/>
      <c r="BV22" s="31">
        <v>1</v>
      </c>
      <c r="BW22" s="34" t="s">
        <v>323</v>
      </c>
      <c r="BX22" s="132">
        <f>$BW$7</f>
        <v>79760.849468333327</v>
      </c>
      <c r="BY22" s="133">
        <f>$BW$8</f>
        <v>11305</v>
      </c>
      <c r="BZ22" s="133">
        <f>$BW$9</f>
        <v>70858</v>
      </c>
      <c r="CA22" s="134">
        <f>$BW$10</f>
        <v>61289</v>
      </c>
      <c r="CB22" s="132">
        <f>$BW$11</f>
        <v>87799.016213180046</v>
      </c>
      <c r="CC22" s="133">
        <f>$BW$12</f>
        <v>46266.217668777659</v>
      </c>
      <c r="CD22" s="133">
        <f>$BW$13</f>
        <v>61193.501005457743</v>
      </c>
      <c r="CE22" s="134">
        <f>$BW$14</f>
        <v>61289</v>
      </c>
      <c r="CF22" s="100">
        <f ref="CF22:CF42" si="9" t="shared">CB22/CB$42</f>
        <v>0.10491431847131676</v>
      </c>
      <c r="CG22" s="100">
        <f ref="CG22:CG42" si="10" t="shared">CC22/CC$42</f>
        <v>5.5285228745384739E-2</v>
      </c>
      <c r="CH22" s="100">
        <f ref="CH22:CH42" si="11" t="shared">CD22/CD$42</f>
        <v>7.3122396238167436E-2</v>
      </c>
      <c r="CI22" s="121">
        <f ref="CI22:CI42" si="12" t="shared">CE22/CE$42</f>
        <v>7.3236511547873973E-2</v>
      </c>
      <c r="CJ22" s="125">
        <f>CI22-CG22</f>
        <v>1.7951282802489234E-2</v>
      </c>
      <c r="CK22" s="121">
        <f>(CE22-CC22)/CC22</f>
        <v>0.32470305739646255</v>
      </c>
      <c r="CL22" s="21">
        <f>CI22-CH22</f>
        <v>1.1411530970653616E-4</v>
      </c>
    </row>
    <row customFormat="1" r="23" s="95" spans="1:93" x14ac:dyDescent="0.25">
      <c r="A23" s="95">
        <v>17</v>
      </c>
      <c r="B23" s="77" t="n">
        <v>1337.6172025889975</v>
      </c>
      <c r="C23" s="77" t="n">
        <v>1404.9728873700062</v>
      </c>
      <c r="D23" s="77" t="n">
        <v>483.3210418002236</v>
      </c>
      <c r="E23" s="77" t="n">
        <v>1018.8935444728602</v>
      </c>
      <c r="F23" s="77" t="n">
        <v>431.6271902447934</v>
      </c>
      <c r="G23" s="77" t="n">
        <v>600.5165103915932</v>
      </c>
      <c r="H23" s="77" t="n">
        <v>1163.8614833970348</v>
      </c>
      <c r="I23" s="77" t="n">
        <v>0.0</v>
      </c>
      <c r="J23" s="77" t="n">
        <v>355.65256317992566</v>
      </c>
      <c r="K23" s="77" t="n">
        <v>0.0</v>
      </c>
      <c r="L23" s="77" t="n">
        <v>5245.189975889535</v>
      </c>
      <c r="M23" s="77" t="n">
        <v>1443.5547110274435</v>
      </c>
      <c r="N23" s="77" t="n">
        <v>0.0</v>
      </c>
      <c r="O23" s="77" t="n">
        <v>783.8999117603076</v>
      </c>
      <c r="P23" s="77" t="n">
        <v>84.6019937960529</v>
      </c>
      <c r="Q23" s="77" t="n">
        <v>0.0</v>
      </c>
      <c r="R23" s="77" t="n">
        <v>3936.6793119784875</v>
      </c>
      <c r="S23" s="77" t="n">
        <v>0.0</v>
      </c>
      <c r="T23" s="77" t="n">
        <v>851.088166916017</v>
      </c>
      <c r="U23" s="77" t="n">
        <v>0.0</v>
      </c>
      <c r="V23" s="77"/>
      <c r="W23" s="77">
        <f si="1" t="shared"/>
        <v>19141.476494813276</v>
      </c>
      <c r="X23" s="7"/>
      <c r="Y23" s="95">
        <v>17</v>
      </c>
      <c r="Z23" s="77">
        <v>1626</v>
      </c>
      <c r="AA23" s="77">
        <v>2183</v>
      </c>
      <c r="AB23" s="77">
        <v>714</v>
      </c>
      <c r="AC23" s="77">
        <v>745</v>
      </c>
      <c r="AD23" s="77">
        <v>728</v>
      </c>
      <c r="AE23" s="77">
        <v>3324</v>
      </c>
      <c r="AF23" s="77">
        <v>1069</v>
      </c>
      <c r="AG23" s="77">
        <v>402</v>
      </c>
      <c r="AH23" s="77">
        <v>1191</v>
      </c>
      <c r="AI23" s="77">
        <v>478</v>
      </c>
      <c r="AJ23" s="77">
        <v>4208</v>
      </c>
      <c r="AK23" s="77">
        <v>1885</v>
      </c>
      <c r="AL23" s="77">
        <v>448</v>
      </c>
      <c r="AM23" s="77">
        <v>1659</v>
      </c>
      <c r="AN23" s="77">
        <v>429</v>
      </c>
      <c r="AO23" s="77">
        <v>112</v>
      </c>
      <c r="AP23" s="77">
        <v>3628</v>
      </c>
      <c r="AQ23" s="77">
        <v>173</v>
      </c>
      <c r="AR23" s="77">
        <v>3252</v>
      </c>
      <c r="AS23" s="77">
        <v>105</v>
      </c>
      <c r="AT23" s="77">
        <v>0</v>
      </c>
      <c r="AU23" s="77">
        <f si="2" t="shared"/>
        <v>28359</v>
      </c>
      <c r="AW23" s="95">
        <v>17</v>
      </c>
      <c r="AX23" s="77" t="n">
        <v>1637.0</v>
      </c>
      <c r="AY23" s="77" t="n">
        <v>726.0</v>
      </c>
      <c r="AZ23" s="77" t="n">
        <v>791.0</v>
      </c>
      <c r="BA23" s="77" t="n">
        <v>216.0</v>
      </c>
      <c r="BB23" s="77" t="n">
        <v>508.0</v>
      </c>
      <c r="BC23" s="77" t="n">
        <v>2517.0</v>
      </c>
      <c r="BD23" s="77" t="n">
        <v>1195.0</v>
      </c>
      <c r="BE23" s="77" t="n">
        <v>27.0</v>
      </c>
      <c r="BF23" s="77" t="n">
        <v>856.0</v>
      </c>
      <c r="BG23" s="77" t="n">
        <v>259.0</v>
      </c>
      <c r="BH23" s="77" t="n">
        <v>1994.0</v>
      </c>
      <c r="BI23" s="77" t="n">
        <v>764.0</v>
      </c>
      <c r="BJ23" s="77" t="n">
        <v>227.0</v>
      </c>
      <c r="BK23" s="77" t="n">
        <v>1406.0</v>
      </c>
      <c r="BL23" s="77" t="n">
        <v>255.0</v>
      </c>
      <c r="BM23" s="77" t="n">
        <v>8.0</v>
      </c>
      <c r="BN23" s="77" t="n">
        <v>5070.0</v>
      </c>
      <c r="BO23" s="77" t="n">
        <v>128.0</v>
      </c>
      <c r="BP23" s="77" t="n">
        <v>4326.0</v>
      </c>
      <c r="BQ23" s="77" t="n">
        <v>0.0</v>
      </c>
      <c r="BR23" s="77"/>
      <c r="BS23" s="77">
        <f si="3" t="shared"/>
        <v>22957</v>
      </c>
      <c r="BT23" s="102"/>
      <c r="BV23" s="95">
        <v>2</v>
      </c>
      <c r="BW23" s="34" t="s">
        <v>324</v>
      </c>
      <c r="BX23" s="115">
        <f>$BX$7</f>
        <v>31813.912026640864</v>
      </c>
      <c r="BY23" s="116">
        <f>$BX$8</f>
        <v>9245</v>
      </c>
      <c r="BZ23" s="116">
        <f>$BX$9</f>
        <v>75074</v>
      </c>
      <c r="CA23" s="123">
        <f>$BX$10</f>
        <v>34861</v>
      </c>
      <c r="CB23" s="115">
        <f>$BX$11</f>
        <v>35020.065564129858</v>
      </c>
      <c r="CC23" s="116">
        <f>$BX$12</f>
        <v>37835.575616793409</v>
      </c>
      <c r="CD23" s="116">
        <f>$BX$13</f>
        <v>64373.538581836794</v>
      </c>
      <c r="CE23" s="123">
        <f>$BX$14</f>
        <v>34861</v>
      </c>
      <c r="CF23" s="100">
        <f si="9" t="shared"/>
        <v>4.1846782230003737E-2</v>
      </c>
      <c r="CG23" s="100">
        <f si="10" t="shared"/>
        <v>4.5211140181431395E-2</v>
      </c>
      <c r="CH23" s="100">
        <f si="11" t="shared"/>
        <v>7.6922341720801465E-2</v>
      </c>
      <c r="CI23" s="121">
        <f si="12" t="shared"/>
        <v>4.1656708855919239E-2</v>
      </c>
      <c r="CJ23" s="125">
        <f ref="CJ23:CJ41" si="13" t="shared">CI23-CG23</f>
        <v>-3.5544313255121557E-3</v>
      </c>
      <c r="CK23" s="121">
        <f ref="CK23:CK41" si="14" t="shared">(CE23-CC23)/CC23</f>
        <v>-7.8618484542710018E-2</v>
      </c>
      <c r="CL23" s="21">
        <f ref="CL23:CL41" si="15" t="shared">CI23-CH23</f>
        <v>-3.5265632864882226E-2</v>
      </c>
    </row>
    <row customFormat="1" r="24" s="95" spans="1:93" x14ac:dyDescent="0.25">
      <c r="A24" s="95">
        <v>18</v>
      </c>
      <c r="B24" s="77" t="n">
        <v>3262.0499095375135</v>
      </c>
      <c r="C24" s="77" t="n">
        <v>1096.945853609019</v>
      </c>
      <c r="D24" s="77" t="n">
        <v>274.34896485761</v>
      </c>
      <c r="E24" s="77" t="n">
        <v>1093.078394040516</v>
      </c>
      <c r="F24" s="77" t="n">
        <v>702.132772396186</v>
      </c>
      <c r="G24" s="77" t="n">
        <v>2539.070803352661</v>
      </c>
      <c r="H24" s="77" t="n">
        <v>3280.712423778179</v>
      </c>
      <c r="I24" s="77" t="n">
        <v>0.0</v>
      </c>
      <c r="J24" s="77" t="n">
        <v>0.0</v>
      </c>
      <c r="K24" s="77" t="n">
        <v>187.8991958108694</v>
      </c>
      <c r="L24" s="77" t="n">
        <v>0.0</v>
      </c>
      <c r="M24" s="77" t="n">
        <v>18511.54132673824</v>
      </c>
      <c r="N24" s="77" t="n">
        <v>8554.899275409382</v>
      </c>
      <c r="O24" s="77" t="n">
        <v>0.0</v>
      </c>
      <c r="P24" s="77" t="n">
        <v>0.0</v>
      </c>
      <c r="Q24" s="77" t="n">
        <v>49.2525146553204</v>
      </c>
      <c r="R24" s="77" t="n">
        <v>0.0</v>
      </c>
      <c r="S24" s="77" t="n">
        <v>3686.505142826515</v>
      </c>
      <c r="T24" s="77" t="n">
        <v>0.0</v>
      </c>
      <c r="U24" s="77" t="n">
        <v>389.3945442673454</v>
      </c>
      <c r="V24" s="77"/>
      <c r="W24" s="77">
        <f si="1" t="shared"/>
        <v>43627.831121279349</v>
      </c>
      <c r="X24" s="7"/>
      <c r="Y24" s="95">
        <v>18</v>
      </c>
      <c r="Z24" s="77">
        <v>2963</v>
      </c>
      <c r="AA24" s="77">
        <v>2770</v>
      </c>
      <c r="AB24" s="77">
        <v>622</v>
      </c>
      <c r="AC24" s="77">
        <v>822</v>
      </c>
      <c r="AD24" s="77">
        <v>1080</v>
      </c>
      <c r="AE24" s="77">
        <v>6922</v>
      </c>
      <c r="AF24" s="77">
        <v>4968</v>
      </c>
      <c r="AG24" s="77">
        <v>180</v>
      </c>
      <c r="AH24" s="77">
        <v>2157</v>
      </c>
      <c r="AI24" s="77">
        <v>1044</v>
      </c>
      <c r="AJ24" s="77">
        <v>954</v>
      </c>
      <c r="AK24" s="77">
        <v>21028</v>
      </c>
      <c r="AL24" s="77">
        <v>6451</v>
      </c>
      <c r="AM24" s="77">
        <v>135</v>
      </c>
      <c r="AN24" s="77">
        <v>773</v>
      </c>
      <c r="AO24" s="77">
        <v>416</v>
      </c>
      <c r="AP24" s="77">
        <v>107</v>
      </c>
      <c r="AQ24" s="77">
        <v>6991</v>
      </c>
      <c r="AR24" s="77">
        <v>295</v>
      </c>
      <c r="AS24" s="77">
        <v>4024</v>
      </c>
      <c r="AT24" s="77">
        <v>0</v>
      </c>
      <c r="AU24" s="77">
        <f si="2" t="shared"/>
        <v>64702</v>
      </c>
      <c r="AW24" s="95">
        <v>18</v>
      </c>
      <c r="AX24" s="77" t="n">
        <v>1638.0</v>
      </c>
      <c r="AY24" s="77" t="n">
        <v>1044.0</v>
      </c>
      <c r="AZ24" s="77" t="n">
        <v>378.0</v>
      </c>
      <c r="BA24" s="77" t="n">
        <v>103.0</v>
      </c>
      <c r="BB24" s="77" t="n">
        <v>587.0</v>
      </c>
      <c r="BC24" s="77" t="n">
        <v>3548.0</v>
      </c>
      <c r="BD24" s="77" t="n">
        <v>4469.0</v>
      </c>
      <c r="BE24" s="77" t="n">
        <v>3.0</v>
      </c>
      <c r="BF24" s="77" t="n">
        <v>727.0</v>
      </c>
      <c r="BG24" s="77" t="n">
        <v>734.0</v>
      </c>
      <c r="BH24" s="77" t="n">
        <v>151.0</v>
      </c>
      <c r="BI24" s="77" t="n">
        <v>9971.0</v>
      </c>
      <c r="BJ24" s="77" t="n">
        <v>8249.0</v>
      </c>
      <c r="BK24" s="77" t="n">
        <v>4.0</v>
      </c>
      <c r="BL24" s="77" t="n">
        <v>348.0</v>
      </c>
      <c r="BM24" s="77" t="n">
        <v>67.0</v>
      </c>
      <c r="BN24" s="77" t="n">
        <v>302.0</v>
      </c>
      <c r="BO24" s="77" t="n">
        <v>17108.0</v>
      </c>
      <c r="BP24" s="77" t="n">
        <v>110.0</v>
      </c>
      <c r="BQ24" s="77" t="n">
        <v>1910.0</v>
      </c>
      <c r="BR24" s="77"/>
      <c r="BS24" s="77">
        <f si="3" t="shared"/>
        <v>51515</v>
      </c>
      <c r="BT24" s="102"/>
      <c r="BV24" s="95">
        <v>3</v>
      </c>
      <c r="BW24" s="34" t="s">
        <v>325</v>
      </c>
      <c r="BX24" s="115">
        <f>$BY$7</f>
        <v>19232.15320397434</v>
      </c>
      <c r="BY24" s="116">
        <f>$BY$8</f>
        <v>6541</v>
      </c>
      <c r="BZ24" s="116">
        <f>$BY$9</f>
        <v>24294</v>
      </c>
      <c r="CA24" s="123">
        <f>$BY$10</f>
        <v>19346</v>
      </c>
      <c r="CB24" s="115">
        <f>$BY$11</f>
        <v>21170.337856550788</v>
      </c>
      <c r="CC24" s="116">
        <f>$BY$12</f>
        <v>26769.334787392716</v>
      </c>
      <c r="CD24" s="116">
        <f>$BY$13</f>
        <v>20717.03048155396</v>
      </c>
      <c r="CE24" s="123">
        <f>$BY$14</f>
        <v>19346</v>
      </c>
      <c r="CF24" s="100">
        <f si="9" t="shared"/>
        <v>2.5297226140150349E-2</v>
      </c>
      <c r="CG24" s="100">
        <f si="10" t="shared"/>
        <v>3.1987676357679039E-2</v>
      </c>
      <c r="CH24" s="100">
        <f si="11" t="shared"/>
        <v>2.4755552254074692E-2</v>
      </c>
      <c r="CI24" s="121">
        <f si="12" t="shared"/>
        <v>2.3117256806362802E-2</v>
      </c>
      <c r="CJ24" s="125">
        <f si="13" t="shared"/>
        <v>-8.8704195513162366E-3</v>
      </c>
      <c r="CK24" s="121">
        <f si="14" t="shared"/>
        <v>-0.27730740589373215</v>
      </c>
      <c r="CL24" s="21">
        <f si="15" t="shared"/>
        <v>-1.6382954477118898E-3</v>
      </c>
    </row>
    <row customFormat="1" r="25" s="95" spans="1:93" x14ac:dyDescent="0.25">
      <c r="A25" s="95">
        <v>19</v>
      </c>
      <c r="B25" s="77" t="n">
        <v>2648.3468951936497</v>
      </c>
      <c r="C25" s="77" t="n">
        <v>845.3644764087729</v>
      </c>
      <c r="D25" s="77" t="n">
        <v>847.7323988477162</v>
      </c>
      <c r="E25" s="77" t="n">
        <v>1145.321361194218</v>
      </c>
      <c r="F25" s="77" t="n">
        <v>970.5685701517641</v>
      </c>
      <c r="G25" s="77" t="n">
        <v>2383.647384048828</v>
      </c>
      <c r="H25" s="77" t="n">
        <v>2086.960238776535</v>
      </c>
      <c r="I25" s="77" t="n">
        <v>0.0</v>
      </c>
      <c r="J25" s="77" t="n">
        <v>2409.4600648208834</v>
      </c>
      <c r="K25" s="77" t="n">
        <v>292.92053866585</v>
      </c>
      <c r="L25" s="77" t="n">
        <v>8532.656295209204</v>
      </c>
      <c r="M25" s="77" t="n">
        <v>0.0</v>
      </c>
      <c r="N25" s="77" t="n">
        <v>0.0</v>
      </c>
      <c r="O25" s="77" t="n">
        <v>1099.4247196308606</v>
      </c>
      <c r="P25" s="77" t="n">
        <v>955.421548610645</v>
      </c>
      <c r="Q25" s="77" t="n">
        <v>0.0</v>
      </c>
      <c r="R25" s="77" t="n">
        <v>2605.238009199724</v>
      </c>
      <c r="S25" s="77" t="n">
        <v>0.0</v>
      </c>
      <c r="T25" s="77" t="n">
        <v>12544.292027328876</v>
      </c>
      <c r="U25" s="77" t="n">
        <v>0.0</v>
      </c>
      <c r="V25" s="77"/>
      <c r="W25" s="77">
        <f si="1" t="shared"/>
        <v>39367.354528087526</v>
      </c>
      <c r="X25" s="7"/>
      <c r="Y25" s="95">
        <v>19</v>
      </c>
      <c r="Z25" s="77">
        <v>2776</v>
      </c>
      <c r="AA25" s="77">
        <v>3100</v>
      </c>
      <c r="AB25" s="77">
        <v>1042</v>
      </c>
      <c r="AC25" s="77">
        <v>1166</v>
      </c>
      <c r="AD25" s="77">
        <v>1119</v>
      </c>
      <c r="AE25" s="77">
        <v>5173</v>
      </c>
      <c r="AF25" s="77">
        <v>1997</v>
      </c>
      <c r="AG25" s="77">
        <v>413</v>
      </c>
      <c r="AH25" s="77">
        <v>2603</v>
      </c>
      <c r="AI25" s="77">
        <v>731</v>
      </c>
      <c r="AJ25" s="77">
        <v>7170</v>
      </c>
      <c r="AK25" s="77">
        <v>3597</v>
      </c>
      <c r="AL25" s="77">
        <v>916</v>
      </c>
      <c r="AM25" s="77">
        <v>821</v>
      </c>
      <c r="AN25" s="77">
        <v>1887</v>
      </c>
      <c r="AO25" s="77">
        <v>156</v>
      </c>
      <c r="AP25" s="77">
        <v>3435</v>
      </c>
      <c r="AQ25" s="77">
        <v>285</v>
      </c>
      <c r="AR25" s="77">
        <v>14386</v>
      </c>
      <c r="AS25" s="77">
        <v>195</v>
      </c>
      <c r="AT25" s="77">
        <v>0</v>
      </c>
      <c r="AU25" s="77">
        <f si="2" t="shared"/>
        <v>52968</v>
      </c>
      <c r="AW25" s="95">
        <v>19</v>
      </c>
      <c r="AX25" s="77" t="n">
        <v>2169.0</v>
      </c>
      <c r="AY25" s="77" t="n">
        <v>1032.0</v>
      </c>
      <c r="AZ25" s="77" t="n">
        <v>892.0</v>
      </c>
      <c r="BA25" s="77" t="n">
        <v>278.0</v>
      </c>
      <c r="BB25" s="77" t="n">
        <v>646.0</v>
      </c>
      <c r="BC25" s="77" t="n">
        <v>3248.0</v>
      </c>
      <c r="BD25" s="77" t="n">
        <v>2019.0</v>
      </c>
      <c r="BE25" s="77" t="n">
        <v>31.0</v>
      </c>
      <c r="BF25" s="77" t="n">
        <v>1499.0</v>
      </c>
      <c r="BG25" s="77" t="n">
        <v>371.0</v>
      </c>
      <c r="BH25" s="77" t="n">
        <v>3491.0</v>
      </c>
      <c r="BI25" s="77" t="n">
        <v>1540.0</v>
      </c>
      <c r="BJ25" s="77" t="n">
        <v>668.0</v>
      </c>
      <c r="BK25" s="77" t="n">
        <v>478.0</v>
      </c>
      <c r="BL25" s="77" t="n">
        <v>2288.0</v>
      </c>
      <c r="BM25" s="77" t="n">
        <v>18.0</v>
      </c>
      <c r="BN25" s="77" t="n">
        <v>4590.0</v>
      </c>
      <c r="BO25" s="77" t="n">
        <v>166.0</v>
      </c>
      <c r="BP25" s="77" t="n">
        <v>22659.0</v>
      </c>
      <c r="BQ25" s="77" t="n">
        <v>2.0</v>
      </c>
      <c r="BR25" s="77"/>
      <c r="BS25" s="77">
        <f si="3" t="shared"/>
        <v>48314</v>
      </c>
      <c r="BT25" s="102"/>
      <c r="BV25" s="95">
        <v>4</v>
      </c>
      <c r="BW25" s="34" t="s">
        <v>326</v>
      </c>
      <c r="BX25" s="115">
        <f>$BZ$7</f>
        <v>23614.438020947026</v>
      </c>
      <c r="BY25" s="116">
        <f>$BZ$8</f>
        <v>3702</v>
      </c>
      <c r="BZ25" s="116">
        <f>$BZ$9</f>
        <v>23571</v>
      </c>
      <c r="CA25" s="123">
        <f>$BZ$10</f>
        <v>5443</v>
      </c>
      <c r="CB25" s="115">
        <f>$BZ$11</f>
        <v>25994.26210335705</v>
      </c>
      <c r="CC25" s="116">
        <f>$BZ$12</f>
        <v>15150.600425459081</v>
      </c>
      <c r="CD25" s="116">
        <f>$BZ$13</f>
        <v>19831.015160016173</v>
      </c>
      <c r="CE25" s="123">
        <f>$BZ$14</f>
        <v>5443</v>
      </c>
      <c r="CF25" s="100">
        <f si="9" t="shared"/>
        <v>3.10615131053039E-2</v>
      </c>
      <c r="CG25" s="100">
        <f si="10" t="shared"/>
        <v>1.8104017409589945E-2</v>
      </c>
      <c r="CH25" s="100">
        <f si="11" t="shared"/>
        <v>2.3696819507131598E-2</v>
      </c>
      <c r="CI25" s="121">
        <f si="12" t="shared"/>
        <v>6.5040436677883144E-3</v>
      </c>
      <c r="CJ25" s="125">
        <f si="13" t="shared"/>
        <v>-1.159997374180163E-2</v>
      </c>
      <c r="CK25" s="121">
        <f si="14" t="shared"/>
        <v>-0.64074031080289207</v>
      </c>
      <c r="CL25" s="21">
        <f si="15" t="shared"/>
        <v>-1.7192775839343283E-2</v>
      </c>
    </row>
    <row customFormat="1" r="26" s="95" spans="1:93" x14ac:dyDescent="0.25">
      <c r="A26" s="95">
        <v>20</v>
      </c>
      <c r="B26" s="58" t="n">
        <v>682.7395146414754</v>
      </c>
      <c r="C26" s="58" t="n">
        <v>361.767198450303</v>
      </c>
      <c r="D26" s="58" t="n">
        <v>361.767198450303</v>
      </c>
      <c r="E26" s="58" t="n">
        <v>484.62162841278405</v>
      </c>
      <c r="F26" s="58" t="n">
        <v>68.8065935713323</v>
      </c>
      <c r="G26" s="58" t="n">
        <v>715.1830550323031</v>
      </c>
      <c r="H26" s="58" t="n">
        <v>1658.9485223553281</v>
      </c>
      <c r="I26" s="58" t="n">
        <v>0.0</v>
      </c>
      <c r="J26" s="58" t="n">
        <v>0.0</v>
      </c>
      <c r="K26" s="58" t="n">
        <v>143.283151685421</v>
      </c>
      <c r="L26" s="58" t="n">
        <v>104.975169832936</v>
      </c>
      <c r="M26" s="58" t="n">
        <v>5864.246988258522</v>
      </c>
      <c r="N26" s="58" t="n">
        <v>43.2878375258177</v>
      </c>
      <c r="O26" s="58" t="n">
        <v>0.0</v>
      </c>
      <c r="P26" s="58" t="n">
        <v>0.0</v>
      </c>
      <c r="Q26" s="58" t="n">
        <v>0.0</v>
      </c>
      <c r="R26" s="58" t="n">
        <v>0.0</v>
      </c>
      <c r="S26" s="58" t="n">
        <v>3415.9447748343127</v>
      </c>
      <c r="T26" s="58" t="n">
        <v>0.0</v>
      </c>
      <c r="U26" s="58" t="n">
        <v>14874.242378356495</v>
      </c>
      <c r="V26" s="58"/>
      <c r="W26" s="77">
        <f si="1" t="shared"/>
        <v>28779.814011407336</v>
      </c>
      <c r="Y26" s="95">
        <v>20</v>
      </c>
      <c r="Z26" s="58">
        <v>1039</v>
      </c>
      <c r="AA26" s="58">
        <v>1107</v>
      </c>
      <c r="AB26" s="58">
        <v>306</v>
      </c>
      <c r="AC26" s="58">
        <v>402</v>
      </c>
      <c r="AD26" s="58">
        <v>477</v>
      </c>
      <c r="AE26" s="58">
        <v>2222</v>
      </c>
      <c r="AF26" s="58">
        <v>1603</v>
      </c>
      <c r="AG26" s="58">
        <v>142</v>
      </c>
      <c r="AH26" s="58">
        <v>1012</v>
      </c>
      <c r="AI26" s="58">
        <v>476</v>
      </c>
      <c r="AJ26" s="58">
        <v>395</v>
      </c>
      <c r="AK26" s="58">
        <v>7152</v>
      </c>
      <c r="AL26" s="58">
        <v>1209</v>
      </c>
      <c r="AM26" s="58">
        <v>130</v>
      </c>
      <c r="AN26" s="58">
        <v>298</v>
      </c>
      <c r="AO26" s="58">
        <v>205</v>
      </c>
      <c r="AP26" s="58">
        <v>56</v>
      </c>
      <c r="AQ26" s="58">
        <v>5317</v>
      </c>
      <c r="AR26" s="58">
        <v>189</v>
      </c>
      <c r="AS26" s="58">
        <v>13471</v>
      </c>
      <c r="AT26" s="58">
        <v>0</v>
      </c>
      <c r="AU26" s="77">
        <f si="2" t="shared"/>
        <v>37208</v>
      </c>
      <c r="AW26" s="95">
        <v>20</v>
      </c>
      <c r="AX26" s="58" t="n">
        <v>427.0</v>
      </c>
      <c r="AY26" s="58" t="n">
        <v>256.0</v>
      </c>
      <c r="AZ26" s="58" t="n">
        <v>118.0</v>
      </c>
      <c r="BA26" s="58" t="n">
        <v>38.0</v>
      </c>
      <c r="BB26" s="58" t="n">
        <v>168.0</v>
      </c>
      <c r="BC26" s="58" t="n">
        <v>999.0</v>
      </c>
      <c r="BD26" s="58" t="n">
        <v>748.0</v>
      </c>
      <c r="BE26" s="58" t="n">
        <v>1.0</v>
      </c>
      <c r="BF26" s="58" t="n">
        <v>145.0</v>
      </c>
      <c r="BG26" s="58" t="n">
        <v>267.0</v>
      </c>
      <c r="BH26" s="58" t="n">
        <v>34.0</v>
      </c>
      <c r="BI26" s="58" t="n">
        <v>2472.0</v>
      </c>
      <c r="BJ26" s="58" t="n">
        <v>888.0</v>
      </c>
      <c r="BK26" s="58" t="n">
        <v>6.0</v>
      </c>
      <c r="BL26" s="58" t="n">
        <v>94.0</v>
      </c>
      <c r="BM26" s="58" t="n">
        <v>52.0</v>
      </c>
      <c r="BN26" s="58" t="n">
        <v>75.0</v>
      </c>
      <c r="BO26" s="58" t="n">
        <v>8111.0</v>
      </c>
      <c r="BP26" s="58" t="n">
        <v>31.0</v>
      </c>
      <c r="BQ26" s="58" t="n">
        <v>16139.0</v>
      </c>
      <c r="BR26" s="58"/>
      <c r="BS26" s="77">
        <f si="3" t="shared"/>
        <v>31130</v>
      </c>
      <c r="BT26" s="102"/>
      <c r="BV26" s="95">
        <v>5</v>
      </c>
      <c r="BW26" s="34" t="s">
        <v>327</v>
      </c>
      <c r="BX26" s="115">
        <f>$CA$7</f>
        <v>22008.912637957234</v>
      </c>
      <c r="BY26" s="116">
        <f>$CA$8</f>
        <v>6181</v>
      </c>
      <c r="BZ26" s="116">
        <f>$CA$9</f>
        <v>27651</v>
      </c>
      <c r="CA26" s="123">
        <f>$CA$10</f>
        <v>20562</v>
      </c>
      <c r="CB26" s="115">
        <f>$CA$11</f>
        <v>24226.934522577485</v>
      </c>
      <c r="CC26" s="116">
        <f>$CA$12</f>
        <v>25296.018700638189</v>
      </c>
      <c r="CD26" s="116">
        <f>$CA$13</f>
        <v>23444.663058441747</v>
      </c>
      <c r="CE26" s="123">
        <f>$CA$14</f>
        <v>20562</v>
      </c>
      <c r="CF26" s="100">
        <f si="9" t="shared"/>
        <v>2.8949667475930949E-2</v>
      </c>
      <c r="CG26" s="100">
        <f si="10" t="shared"/>
        <v>3.0227156026114383E-2</v>
      </c>
      <c r="CH26" s="100">
        <f si="11" t="shared"/>
        <v>2.8014902132773963E-2</v>
      </c>
      <c r="CI26" s="121">
        <f si="12" t="shared"/>
        <v>2.4570300550627103E-2</v>
      </c>
      <c r="CJ26" s="125">
        <f si="13" t="shared"/>
        <v>-5.6568554754872803E-3</v>
      </c>
      <c r="CK26" s="121">
        <f si="14" t="shared"/>
        <v>-0.18714481344523815</v>
      </c>
      <c r="CL26" s="21">
        <f si="15" t="shared"/>
        <v>-3.4446015821468605E-3</v>
      </c>
    </row>
    <row customFormat="1" r="27" s="95" spans="1:93" x14ac:dyDescent="0.25">
      <c r="A27" s="101" t="s">
        <v>15</v>
      </c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/>
      <c r="Q27" s="60"/>
      <c r="R27" s="60"/>
      <c r="S27" s="60"/>
      <c r="T27" s="60"/>
      <c r="U27" s="60"/>
      <c r="V27" s="60"/>
      <c r="W27" s="77">
        <f si="1" t="shared"/>
        <v>0</v>
      </c>
      <c r="Y27" s="101" t="s">
        <v>15</v>
      </c>
      <c r="Z27" s="60">
        <v>0</v>
      </c>
      <c r="AA27" s="60">
        <v>0</v>
      </c>
      <c r="AB27" s="60">
        <v>0</v>
      </c>
      <c r="AC27" s="60">
        <v>0</v>
      </c>
      <c r="AD27" s="60">
        <v>0</v>
      </c>
      <c r="AE27" s="60">
        <v>0</v>
      </c>
      <c r="AF27" s="60">
        <v>0</v>
      </c>
      <c r="AG27" s="60">
        <v>0</v>
      </c>
      <c r="AH27" s="60">
        <v>0</v>
      </c>
      <c r="AI27" s="60">
        <v>0</v>
      </c>
      <c r="AJ27" s="60">
        <v>0</v>
      </c>
      <c r="AK27" s="60">
        <v>0</v>
      </c>
      <c r="AL27" s="60">
        <v>0</v>
      </c>
      <c r="AM27" s="60">
        <v>0</v>
      </c>
      <c r="AN27" s="60">
        <v>0</v>
      </c>
      <c r="AO27" s="60">
        <v>0</v>
      </c>
      <c r="AP27" s="60">
        <v>0</v>
      </c>
      <c r="AQ27" s="60">
        <v>0</v>
      </c>
      <c r="AR27" s="60">
        <v>0</v>
      </c>
      <c r="AS27" s="60">
        <v>0</v>
      </c>
      <c r="AT27" s="60">
        <v>0</v>
      </c>
      <c r="AU27" s="77">
        <f si="2" t="shared"/>
        <v>0</v>
      </c>
      <c r="AW27" s="101" t="s">
        <v>15</v>
      </c>
      <c r="AX27" s="60"/>
      <c r="AY27" s="60"/>
      <c r="AZ27" s="60"/>
      <c r="BA27" s="60"/>
      <c r="BB27" s="60"/>
      <c r="BC27" s="60"/>
      <c r="BD27" s="60"/>
      <c r="BE27" s="60"/>
      <c r="BF27" s="60"/>
      <c r="BG27" s="60"/>
      <c r="BH27" s="60"/>
      <c r="BI27" s="60"/>
      <c r="BJ27" s="60"/>
      <c r="BK27" s="60"/>
      <c r="BL27" s="60"/>
      <c r="BM27" s="60"/>
      <c r="BN27" s="60"/>
      <c r="BO27" s="60"/>
      <c r="BP27" s="60"/>
      <c r="BQ27" s="60"/>
      <c r="BR27" s="60"/>
      <c r="BS27" s="77">
        <f si="3" t="shared"/>
        <v>0</v>
      </c>
      <c r="BT27" s="102"/>
      <c r="BV27" s="95">
        <v>6</v>
      </c>
      <c r="BW27" s="34" t="s">
        <v>328</v>
      </c>
      <c r="BX27" s="115">
        <f>$CB$7</f>
        <v>110838.59727059442</v>
      </c>
      <c r="BY27" s="116">
        <f>$CB$8</f>
        <v>23878</v>
      </c>
      <c r="BZ27" s="116">
        <f>$CB$9</f>
        <v>153058</v>
      </c>
      <c r="CA27" s="123">
        <f>$CB$10</f>
        <v>122711</v>
      </c>
      <c r="CB27" s="115">
        <f>$CB$11</f>
        <v>122008.72813761422</v>
      </c>
      <c r="CC27" s="116">
        <f>$CB$12</f>
        <v>97721.781998679609</v>
      </c>
      <c r="CD27" s="116">
        <f>$CB$13</f>
        <v>133248.36713527245</v>
      </c>
      <c r="CE27" s="123">
        <f>$CB$14</f>
        <v>122711</v>
      </c>
      <c r="CF27" s="100">
        <f si="9" t="shared"/>
        <v>0.14579277891941125</v>
      </c>
      <c r="CG27" s="100">
        <f si="10" t="shared"/>
        <v>0.11677140132528056</v>
      </c>
      <c r="CH27" s="100">
        <f si="11" t="shared"/>
        <v>0.15922344268037872</v>
      </c>
      <c r="CI27" s="121">
        <f si="12" t="shared"/>
        <v>0.14663194975527685</v>
      </c>
      <c r="CJ27" s="125">
        <f si="13" t="shared"/>
        <v>2.9860548429996289E-2</v>
      </c>
      <c r="CK27" s="121">
        <f si="14" t="shared"/>
        <v>0.2557179933707926</v>
      </c>
      <c r="CL27" s="21">
        <f si="15" t="shared"/>
        <v>-1.2591492925101866E-2</v>
      </c>
    </row>
    <row customFormat="1" ht="15.75" r="28" s="95" spans="1:93" thickBot="1" x14ac:dyDescent="0.3">
      <c r="A28" s="1" t="s">
        <v>3</v>
      </c>
      <c r="B28" s="107">
        <f>SUM(B7:B27)</f>
        <v>79760.849468333327</v>
      </c>
      <c r="C28" s="107">
        <f ref="C28:W28" si="16" t="shared">SUM(C7:C27)</f>
        <v>31813.912026640864</v>
      </c>
      <c r="D28" s="107">
        <f si="16" t="shared"/>
        <v>19232.15320397434</v>
      </c>
      <c r="E28" s="107">
        <f si="16" t="shared"/>
        <v>23614.438020947026</v>
      </c>
      <c r="F28" s="107">
        <f si="16" t="shared"/>
        <v>22008.912637957234</v>
      </c>
      <c r="G28" s="107">
        <f si="16" t="shared"/>
        <v>110838.59727059442</v>
      </c>
      <c r="H28" s="107">
        <f si="16" t="shared"/>
        <v>72229.704798876643</v>
      </c>
      <c r="I28" s="107">
        <f si="16" t="shared"/>
        <v>3529.6254281499482</v>
      </c>
      <c r="J28" s="107">
        <f si="16" t="shared"/>
        <v>52290.12647409238</v>
      </c>
      <c r="K28" s="107">
        <f si="16" t="shared"/>
        <v>13278.808202931854</v>
      </c>
      <c r="L28" s="107">
        <f si="16" t="shared"/>
        <v>39311.716334055673</v>
      </c>
      <c r="M28" s="107">
        <f si="16" t="shared"/>
        <v>146512.17303057498</v>
      </c>
      <c r="N28" s="107">
        <f si="16" t="shared"/>
        <v>58480.272152515652</v>
      </c>
      <c r="O28" s="107">
        <f si="16" t="shared"/>
        <v>13268.259284250174</v>
      </c>
      <c r="P28" s="107">
        <f si="16" t="shared"/>
        <v>17511.615512480701</v>
      </c>
      <c r="Q28" s="107">
        <f si="16" t="shared"/>
        <v>1961.4873955809485</v>
      </c>
      <c r="R28" s="107">
        <f si="16" t="shared"/>
        <v>9020.5569668027474</v>
      </c>
      <c r="S28" s="107">
        <f si="16" t="shared"/>
        <v>12709.794043032649</v>
      </c>
      <c r="T28" s="107">
        <f si="16" t="shared"/>
        <v>16752.227960566343</v>
      </c>
      <c r="U28" s="107">
        <f si="16" t="shared"/>
        <v>16122.280618489045</v>
      </c>
      <c r="V28" s="107">
        <f si="16" t="shared"/>
        <v>0</v>
      </c>
      <c r="W28" s="107">
        <f si="16" t="shared"/>
        <v>760247.51083084685</v>
      </c>
      <c r="Y28" s="1" t="s">
        <v>3</v>
      </c>
      <c r="Z28" s="107">
        <f>SUM(Z7:Z27)</f>
        <v>70858</v>
      </c>
      <c r="AA28" s="107">
        <f ref="AA28:AU28" si="17" t="shared">SUM(AA7:AA27)</f>
        <v>75074</v>
      </c>
      <c r="AB28" s="107">
        <f si="17" t="shared"/>
        <v>24294</v>
      </c>
      <c r="AC28" s="107">
        <f si="17" t="shared"/>
        <v>23571</v>
      </c>
      <c r="AD28" s="107">
        <f si="17" t="shared"/>
        <v>27651</v>
      </c>
      <c r="AE28" s="107">
        <f si="17" t="shared"/>
        <v>153058</v>
      </c>
      <c r="AF28" s="107">
        <f si="17" t="shared"/>
        <v>84080</v>
      </c>
      <c r="AG28" s="107">
        <f si="17" t="shared"/>
        <v>7355</v>
      </c>
      <c r="AH28" s="107">
        <f si="17" t="shared"/>
        <v>57234</v>
      </c>
      <c r="AI28" s="107">
        <f si="17" t="shared"/>
        <v>21817</v>
      </c>
      <c r="AJ28" s="107">
        <f si="17" t="shared"/>
        <v>50898</v>
      </c>
      <c r="AK28" s="107">
        <f si="17" t="shared"/>
        <v>162784</v>
      </c>
      <c r="AL28" s="107">
        <f si="17" t="shared"/>
        <v>65336</v>
      </c>
      <c r="AM28" s="107">
        <f si="17" t="shared"/>
        <v>11928</v>
      </c>
      <c r="AN28" s="107">
        <f si="17" t="shared"/>
        <v>31047</v>
      </c>
      <c r="AO28" s="107">
        <f si="17" t="shared"/>
        <v>5518</v>
      </c>
      <c r="AP28" s="107">
        <f si="17" t="shared"/>
        <v>11837</v>
      </c>
      <c r="AQ28" s="107">
        <f si="17" t="shared"/>
        <v>23748</v>
      </c>
      <c r="AR28" s="107">
        <f si="17" t="shared"/>
        <v>29164</v>
      </c>
      <c r="AS28" s="107">
        <f si="17" t="shared"/>
        <v>22156</v>
      </c>
      <c r="AT28" s="107">
        <f si="17" t="shared"/>
        <v>0</v>
      </c>
      <c r="AU28" s="107">
        <f si="17" t="shared"/>
        <v>959408</v>
      </c>
      <c r="AW28" s="1" t="s">
        <v>3</v>
      </c>
      <c r="AX28" s="107">
        <f ref="AX28:BS28" si="18" t="shared">SUM(AX7:AX27)</f>
        <v>61289</v>
      </c>
      <c r="AY28" s="107">
        <f si="18" t="shared"/>
        <v>34861</v>
      </c>
      <c r="AZ28" s="107">
        <f si="18" t="shared"/>
        <v>19346</v>
      </c>
      <c r="BA28" s="107">
        <f si="18" t="shared"/>
        <v>5443</v>
      </c>
      <c r="BB28" s="107">
        <f si="18" t="shared"/>
        <v>20562</v>
      </c>
      <c r="BC28" s="107">
        <f si="18" t="shared"/>
        <v>122711</v>
      </c>
      <c r="BD28" s="107">
        <f si="18" t="shared"/>
        <v>117623</v>
      </c>
      <c r="BE28" s="107">
        <f si="18" t="shared"/>
        <v>445</v>
      </c>
      <c r="BF28" s="107">
        <f si="18" t="shared"/>
        <v>42397</v>
      </c>
      <c r="BG28" s="107">
        <f si="18" t="shared"/>
        <v>14311</v>
      </c>
      <c r="BH28" s="107">
        <f si="18" t="shared"/>
        <v>18214</v>
      </c>
      <c r="BI28" s="107">
        <f si="18" t="shared"/>
        <v>100589</v>
      </c>
      <c r="BJ28" s="107">
        <f si="18" t="shared"/>
        <v>104098</v>
      </c>
      <c r="BK28" s="107">
        <f si="18" t="shared"/>
        <v>6001</v>
      </c>
      <c r="BL28" s="107">
        <f si="18" t="shared"/>
        <v>34851</v>
      </c>
      <c r="BM28" s="107">
        <f si="18" t="shared"/>
        <v>1399</v>
      </c>
      <c r="BN28" s="107">
        <f si="18" t="shared"/>
        <v>29486</v>
      </c>
      <c r="BO28" s="107">
        <f si="18" t="shared"/>
        <v>48263</v>
      </c>
      <c r="BP28" s="107">
        <f si="18" t="shared"/>
        <v>39768</v>
      </c>
      <c r="BQ28" s="107">
        <f si="18" t="shared"/>
        <v>15207</v>
      </c>
      <c r="BR28" s="107">
        <f si="18" t="shared"/>
        <v>0</v>
      </c>
      <c r="BS28" s="107">
        <f si="18" t="shared"/>
        <v>836864</v>
      </c>
      <c r="BT28" s="102"/>
      <c r="BV28" s="95">
        <v>7</v>
      </c>
      <c r="BW28" s="34" t="s">
        <v>329</v>
      </c>
      <c r="BX28" s="115">
        <f>$CC$7</f>
        <v>72229.704798876643</v>
      </c>
      <c r="BY28" s="116">
        <f>$CC$8</f>
        <v>20873</v>
      </c>
      <c r="BZ28" s="116">
        <f>$CC$9</f>
        <v>84080</v>
      </c>
      <c r="CA28" s="123">
        <f>$CC$10</f>
        <v>117623</v>
      </c>
      <c r="CB28" s="115">
        <f>$CC$11</f>
        <v>79508.89521591118</v>
      </c>
      <c r="CC28" s="116">
        <f>$CC$12</f>
        <v>85423.685218964718</v>
      </c>
      <c r="CD28" s="116">
        <f>$CC$13</f>
        <v>74893.009271254821</v>
      </c>
      <c r="CE28" s="123">
        <f>$CC$14</f>
        <v>117623</v>
      </c>
      <c r="CF28" s="100">
        <f si="9" t="shared"/>
        <v>9.5008143755629534E-2</v>
      </c>
      <c r="CG28" s="100">
        <f si="10" t="shared"/>
        <v>0.10207594689096998</v>
      </c>
      <c r="CH28" s="100">
        <f si="11" t="shared"/>
        <v>8.9492449515398961E-2</v>
      </c>
      <c r="CI28" s="121">
        <f si="12" t="shared"/>
        <v>0.14055210882532884</v>
      </c>
      <c r="CJ28" s="125">
        <f si="13" t="shared"/>
        <v>3.8476161934358863E-2</v>
      </c>
      <c r="CK28" s="121">
        <f si="14" t="shared"/>
        <v>0.37693661539536094</v>
      </c>
      <c r="CL28" s="21">
        <f si="15" t="shared"/>
        <v>5.1059659309929881E-2</v>
      </c>
    </row>
    <row customFormat="1" r="29" s="95" spans="1:93" x14ac:dyDescent="0.25">
      <c r="AW29" s="7"/>
      <c r="AX29" s="77"/>
      <c r="AY29" s="77"/>
      <c r="AZ29" s="77"/>
      <c r="BA29" s="77"/>
      <c r="BB29" s="77"/>
      <c r="BC29" s="77"/>
      <c r="BD29" s="77"/>
      <c r="BE29" s="77"/>
      <c r="BF29" s="77"/>
      <c r="BV29" s="95">
        <v>8</v>
      </c>
      <c r="BW29" s="34" t="s">
        <v>330</v>
      </c>
      <c r="BX29" s="115">
        <f>$CD$7</f>
        <v>3529.6254281499482</v>
      </c>
      <c r="BY29" s="116">
        <f>$CD$8</f>
        <v>941</v>
      </c>
      <c r="BZ29" s="116">
        <f>$CD$9</f>
        <v>7355</v>
      </c>
      <c r="CA29" s="123">
        <f>$CD$10</f>
        <v>445</v>
      </c>
      <c r="CB29" s="115">
        <f>$CD$11</f>
        <v>3885.3352522985042</v>
      </c>
      <c r="CC29" s="116">
        <f>$CD$12</f>
        <v>3851.0845489889239</v>
      </c>
      <c r="CD29" s="116">
        <f>$CD$13</f>
        <v>6049.2293867081225</v>
      </c>
      <c r="CE29" s="123">
        <f>$CD$14</f>
        <v>445</v>
      </c>
      <c r="CF29" s="100">
        <f si="9" t="shared"/>
        <v>4.6427319759226151E-3</v>
      </c>
      <c r="CG29" s="100">
        <f si="10" t="shared"/>
        <v>4.6018045333398533E-3</v>
      </c>
      <c r="CH29" s="100">
        <f si="11" t="shared"/>
        <v>7.2284497680723788E-3</v>
      </c>
      <c r="CI29" s="121">
        <f si="12" t="shared"/>
        <v>5.3174709391251151E-4</v>
      </c>
      <c r="CJ29" s="125">
        <f si="13" t="shared"/>
        <v>-4.0700574394273419E-3</v>
      </c>
      <c r="CK29" s="121">
        <f si="14" t="shared"/>
        <v>-0.8844481354955368</v>
      </c>
      <c r="CL29" s="21">
        <f si="15" t="shared"/>
        <v>-6.6967026741598674E-3</v>
      </c>
    </row>
    <row customFormat="1" r="30" s="95" spans="1:93" x14ac:dyDescent="0.25">
      <c r="AW30" s="7"/>
      <c r="AX30" s="77"/>
      <c r="AY30" s="77"/>
      <c r="AZ30" s="77"/>
      <c r="BA30" s="77"/>
      <c r="BB30" s="77"/>
      <c r="BC30" s="77"/>
      <c r="BD30" s="77"/>
      <c r="BE30" s="77"/>
      <c r="BF30" s="77"/>
      <c r="BV30" s="95">
        <v>9</v>
      </c>
      <c r="BW30" s="34" t="s">
        <v>331</v>
      </c>
      <c r="BX30" s="115">
        <f>$CE$7</f>
        <v>52290.12647409238</v>
      </c>
      <c r="BY30" s="116">
        <f>$CE$8</f>
        <v>11078</v>
      </c>
      <c r="BZ30" s="116">
        <f>$CE$9</f>
        <v>57234</v>
      </c>
      <c r="CA30" s="123">
        <f>$CE$10</f>
        <v>42397</v>
      </c>
      <c r="CB30" s="115">
        <f>$CE$11</f>
        <v>57559.839102651495</v>
      </c>
      <c r="CC30" s="116">
        <f>$CE$12</f>
        <v>45337.210025185217</v>
      </c>
      <c r="CD30" s="116">
        <f>$CE$13</f>
        <v>49361.899442238304</v>
      </c>
      <c r="CE30" s="123">
        <f>$CE$14</f>
        <v>42397</v>
      </c>
      <c r="CF30" s="100">
        <f si="9" t="shared"/>
        <v>6.8780398132374534E-2</v>
      </c>
      <c r="CG30" s="100">
        <f si="10" t="shared"/>
        <v>5.417512286964813E-2</v>
      </c>
      <c r="CH30" s="100">
        <f si="11" t="shared"/>
        <v>5.8984374333509761E-2</v>
      </c>
      <c r="CI30" s="121">
        <f si="12" t="shared"/>
        <v>5.0661756271030894E-2</v>
      </c>
      <c r="CJ30" s="125">
        <f si="13" t="shared"/>
        <v>-3.513366598617236E-3</v>
      </c>
      <c r="CK30" s="121">
        <f si="14" t="shared"/>
        <v>-6.485202824681767E-2</v>
      </c>
      <c r="CL30" s="21">
        <f si="15" t="shared"/>
        <v>-8.3226180624788662E-3</v>
      </c>
    </row>
    <row customFormat="1" r="31" s="95" spans="1:93" x14ac:dyDescent="0.25">
      <c r="AW31" s="7"/>
      <c r="AX31" s="77"/>
      <c r="AY31" s="77"/>
      <c r="AZ31" s="77"/>
      <c r="BA31" s="77"/>
      <c r="BB31" s="77"/>
      <c r="BC31" s="77"/>
      <c r="BD31" s="77"/>
      <c r="BE31" s="77"/>
      <c r="BF31" s="77"/>
      <c r="BV31" s="95">
        <v>10</v>
      </c>
      <c r="BW31" s="34" t="s">
        <v>332</v>
      </c>
      <c r="BX31" s="115">
        <f>$CF$7</f>
        <v>13278.808202931854</v>
      </c>
      <c r="BY31" s="116">
        <f>$CF$8</f>
        <v>4948</v>
      </c>
      <c r="BZ31" s="116">
        <f>$CF$9</f>
        <v>21817</v>
      </c>
      <c r="CA31" s="123">
        <f>$CF$10</f>
        <v>14311</v>
      </c>
      <c r="CB31" s="115">
        <f>$CF$11</f>
        <v>14617.024573738956</v>
      </c>
      <c r="CC31" s="116">
        <f>$CF$12</f>
        <v>20249.911103503924</v>
      </c>
      <c r="CD31" s="116">
        <f>$CF$13</f>
        <v>18543.228510595782</v>
      </c>
      <c r="CE31" s="123">
        <f>$CF$14</f>
        <v>14311</v>
      </c>
      <c r="CF31" s="100">
        <f si="9" t="shared"/>
        <v>1.7466427727490907E-2</v>
      </c>
      <c r="CG31" s="100">
        <f si="10" t="shared"/>
        <v>2.4197373890505414E-2</v>
      </c>
      <c r="CH31" s="100">
        <f si="11" t="shared"/>
        <v>2.2157995218572892E-2</v>
      </c>
      <c r="CI31" s="121">
        <f si="12" t="shared"/>
        <v>1.7100747552768431E-2</v>
      </c>
      <c r="CJ31" s="125">
        <f si="13" t="shared"/>
        <v>-7.0966263377369825E-3</v>
      </c>
      <c r="CK31" s="121">
        <f si="14" t="shared"/>
        <v>-0.29328084815524402</v>
      </c>
      <c r="CL31" s="21">
        <f si="15" t="shared"/>
        <v>-5.057247665804461E-3</v>
      </c>
    </row>
    <row ht="15.75" r="32" spans="1:93" thickBot="1" x14ac:dyDescent="0.3">
      <c r="A32" s="4" t="s">
        <v>320</v>
      </c>
      <c r="B32" s="1"/>
      <c r="C32" s="1"/>
      <c r="D32" s="1"/>
      <c r="E32" s="1"/>
      <c r="F32" s="1"/>
      <c r="G32" s="1"/>
      <c r="H32" s="1"/>
      <c r="I32" s="1"/>
      <c r="J32" s="1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4" t="s">
        <v>428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7"/>
      <c r="AN32" s="7"/>
      <c r="AO32" s="7"/>
      <c r="AP32" s="7"/>
      <c r="AQ32" s="7"/>
      <c r="AR32" s="7"/>
      <c r="AS32" s="7"/>
      <c r="AT32" s="7"/>
      <c r="AU32" s="7"/>
      <c r="AW32" s="4" t="s">
        <v>321</v>
      </c>
      <c r="AX32" s="1"/>
      <c r="AY32" s="1"/>
      <c r="AZ32" s="1"/>
      <c r="BA32" s="1"/>
      <c r="BB32" s="1"/>
      <c r="BC32" s="1"/>
      <c r="BD32" s="1"/>
      <c r="BE32" s="1"/>
      <c r="BF32" s="1"/>
      <c r="BV32" s="95">
        <v>11</v>
      </c>
      <c r="BW32" s="34" t="s">
        <v>333</v>
      </c>
      <c r="BX32" s="115">
        <f>$CG$7</f>
        <v>39311.716334055673</v>
      </c>
      <c r="BY32" s="116">
        <f>$CG$8</f>
        <v>12781</v>
      </c>
      <c r="BZ32" s="116">
        <f>$CG$9</f>
        <v>50898</v>
      </c>
      <c r="CA32" s="123">
        <f>$CG$10</f>
        <v>18214</v>
      </c>
      <c r="CB32" s="115">
        <f>$CG$11</f>
        <v>43273.486212706608</v>
      </c>
      <c r="CC32" s="116">
        <f>$CG$12</f>
        <v>52306.813624471237</v>
      </c>
      <c r="CD32" s="116">
        <f>$CG$13</f>
        <v>43461.80234686505</v>
      </c>
      <c r="CE32" s="123">
        <f>$CG$14</f>
        <v>18214</v>
      </c>
      <c r="CF32" s="100">
        <f si="9" t="shared"/>
        <v>5.1709102330494076E-2</v>
      </c>
      <c r="CG32" s="100">
        <f si="10" t="shared"/>
        <v>6.2503362104799856E-2</v>
      </c>
      <c r="CH32" s="100">
        <f si="11" t="shared"/>
        <v>5.1934128301450479E-2</v>
      </c>
      <c r="CI32" s="121">
        <f si="12" t="shared"/>
        <v>2.1764587794432549E-2</v>
      </c>
      <c r="CJ32" s="125">
        <f si="13" t="shared"/>
        <v>-4.0738774310367307E-2</v>
      </c>
      <c r="CK32" s="121">
        <f si="14" t="shared"/>
        <v>-0.65178532703665293</v>
      </c>
      <c r="CL32" s="21">
        <f si="15" t="shared"/>
        <v>-3.0169540507017929E-2</v>
      </c>
    </row>
    <row r="33" spans="1:90" x14ac:dyDescent="0.2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79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 s="95">
        <v>12</v>
      </c>
      <c r="BW33" s="34" t="s">
        <v>334</v>
      </c>
      <c r="BX33" s="115">
        <f>$CH$7</f>
        <v>146512.17303057498</v>
      </c>
      <c r="BY33" s="116">
        <f>$CH$8</f>
        <v>37383</v>
      </c>
      <c r="BZ33" s="116">
        <f>$CH$9</f>
        <v>162784</v>
      </c>
      <c r="CA33" s="123">
        <f>$CH$10</f>
        <v>100589</v>
      </c>
      <c r="CB33" s="115">
        <f>$CH$11</f>
        <v>161277.42797482133</v>
      </c>
      <c r="CC33" s="116">
        <f>$CH$12</f>
        <v>152991.59797540162</v>
      </c>
      <c r="CD33" s="116">
        <f>$CH$13</f>
        <v>144928.43069921163</v>
      </c>
      <c r="CE33" s="123">
        <f>$CH$14</f>
        <v>100589</v>
      </c>
      <c r="CF33" s="100">
        <f si="9" t="shared"/>
        <v>0.19271641267257439</v>
      </c>
      <c r="CG33" s="100">
        <f si="10" t="shared"/>
        <v>0.18281536543022714</v>
      </c>
      <c r="CH33" s="100">
        <f si="11" t="shared"/>
        <v>0.17318038617889125</v>
      </c>
      <c r="CI33" s="121">
        <f si="12" t="shared"/>
        <v>0.12019754703273172</v>
      </c>
      <c r="CJ33" s="125">
        <f si="13" t="shared"/>
        <v>-6.2617818397495417E-2</v>
      </c>
      <c r="CK33" s="121">
        <f si="14" t="shared"/>
        <v>-0.342519449883954</v>
      </c>
      <c r="CL33" s="21">
        <f si="15" t="shared"/>
        <v>-5.2982839146159533E-2</v>
      </c>
    </row>
    <row r="34" spans="1:90" x14ac:dyDescent="0.25">
      <c r="A34" s="31">
        <v>1</v>
      </c>
      <c r="B34" s="77">
        <f ref="B34:W34" si="19" t="shared">IF($W7&gt;0,(B7/$W7)*$BS7,0)</f>
        <v>2442.7272294094746</v>
      </c>
      <c r="C34" s="77">
        <f si="19" t="shared"/>
        <v>330.75920361171649</v>
      </c>
      <c r="D34" s="77">
        <f si="19" t="shared"/>
        <v>317.98317117988796</v>
      </c>
      <c r="E34" s="77">
        <f si="19" t="shared"/>
        <v>0</v>
      </c>
      <c r="F34" s="77">
        <f si="19" t="shared"/>
        <v>302.62150545711768</v>
      </c>
      <c r="G34" s="77">
        <f si="19" t="shared"/>
        <v>3785.9818369906684</v>
      </c>
      <c r="H34" s="77">
        <f si="19" t="shared"/>
        <v>0</v>
      </c>
      <c r="I34" s="77">
        <f si="19" t="shared"/>
        <v>0</v>
      </c>
      <c r="J34" s="77">
        <f si="19" t="shared"/>
        <v>1200.5310409989777</v>
      </c>
      <c r="K34" s="77">
        <f si="19" t="shared"/>
        <v>165.72412854403913</v>
      </c>
      <c r="L34" s="77">
        <f si="19" t="shared"/>
        <v>787.14278250695804</v>
      </c>
      <c r="M34" s="77">
        <f si="19" t="shared"/>
        <v>712.20087824230779</v>
      </c>
      <c r="N34" s="77">
        <f si="19" t="shared"/>
        <v>44.328223058850547</v>
      </c>
      <c r="O34" s="77">
        <f si="19" t="shared"/>
        <v>0</v>
      </c>
      <c r="P34" s="77">
        <f si="19" t="shared"/>
        <v>0</v>
      </c>
      <c r="Q34" s="77">
        <f si="19" t="shared"/>
        <v>0</v>
      </c>
      <c r="R34" s="77">
        <f si="19" t="shared"/>
        <v>0</v>
      </c>
      <c r="S34" s="77">
        <f si="19" t="shared"/>
        <v>0</v>
      </c>
      <c r="T34" s="77">
        <f si="19" t="shared"/>
        <v>0</v>
      </c>
      <c r="U34" s="77">
        <f si="19" t="shared"/>
        <v>0</v>
      </c>
      <c r="V34" s="77">
        <f si="19" t="shared"/>
        <v>0</v>
      </c>
      <c r="W34" s="77">
        <f si="19" t="shared"/>
        <v>10090</v>
      </c>
      <c r="X34" s="14"/>
      <c r="Y34" s="31">
        <v>1</v>
      </c>
      <c r="Z34" s="77">
        <f>IF($AU7&gt;0,(Z7/$AU7)*$BS7,0)</f>
        <v>2220.6160199604233</v>
      </c>
      <c r="AA34" s="77">
        <f ref="AA34:AT34" si="20" t="shared">IF($AU7&gt;0,(AA7/$AU7)*$BS7,0)</f>
        <v>781.29570678826462</v>
      </c>
      <c r="AB34" s="77">
        <f si="20" t="shared"/>
        <v>401.06512948464251</v>
      </c>
      <c r="AC34" s="77">
        <f si="20" t="shared"/>
        <v>357.65981244085003</v>
      </c>
      <c r="AD34" s="77">
        <f si="20" t="shared"/>
        <v>394.12027875763573</v>
      </c>
      <c r="AE34" s="77">
        <f si="20" t="shared"/>
        <v>2379.479480340704</v>
      </c>
      <c r="AF34" s="77">
        <f si="20" t="shared"/>
        <v>479.19470016346901</v>
      </c>
      <c r="AG34" s="77">
        <f si="20" t="shared"/>
        <v>64.239869224812878</v>
      </c>
      <c r="AH34" s="77">
        <f si="20" t="shared"/>
        <v>526.94054891164069</v>
      </c>
      <c r="AI34" s="77">
        <f si="20" t="shared"/>
        <v>236.99303105910695</v>
      </c>
      <c r="AJ34" s="77">
        <f si="20" t="shared"/>
        <v>306.44153832917493</v>
      </c>
      <c r="AK34" s="77">
        <f si="20" t="shared"/>
        <v>1503.5601823969716</v>
      </c>
      <c r="AL34" s="77">
        <f si="20" t="shared"/>
        <v>109.38139895035705</v>
      </c>
      <c r="AM34" s="77">
        <f si="20" t="shared"/>
        <v>29.515615589778886</v>
      </c>
      <c r="AN34" s="77">
        <f si="20" t="shared"/>
        <v>97.227910178095158</v>
      </c>
      <c r="AO34" s="77">
        <f si="20" t="shared"/>
        <v>41.669104362040777</v>
      </c>
      <c r="AP34" s="77">
        <f si="20" t="shared"/>
        <v>19.098339499268693</v>
      </c>
      <c r="AQ34" s="77">
        <f si="20" t="shared"/>
        <v>61.635550202185321</v>
      </c>
      <c r="AR34" s="77">
        <f si="20" t="shared"/>
        <v>57.295018497806076</v>
      </c>
      <c r="AS34" s="77">
        <f si="20" t="shared"/>
        <v>22.570764862772091</v>
      </c>
      <c r="AT34" s="77">
        <f si="20" t="shared"/>
        <v>0</v>
      </c>
      <c r="AU34" s="77">
        <f>SUM(Z34:AT34)</f>
        <v>10090</v>
      </c>
      <c r="AW34" s="31">
        <v>1</v>
      </c>
      <c r="AX34" s="15">
        <f>AX7</f>
        <v>2169</v>
      </c>
      <c r="AY34" s="15">
        <f ref="AY34:BR34" si="21" t="shared">AY7</f>
        <v>616</v>
      </c>
      <c r="AZ34" s="15">
        <f si="21" t="shared"/>
        <v>353</v>
      </c>
      <c r="BA34" s="15">
        <f si="21" t="shared"/>
        <v>105</v>
      </c>
      <c r="BB34" s="15">
        <f si="21" t="shared"/>
        <v>414</v>
      </c>
      <c r="BC34" s="15">
        <f si="21" t="shared"/>
        <v>2947</v>
      </c>
      <c r="BD34" s="15">
        <f si="21" t="shared"/>
        <v>1113</v>
      </c>
      <c r="BE34" s="15">
        <f si="21" t="shared"/>
        <v>2</v>
      </c>
      <c r="BF34" s="15">
        <f si="21" t="shared"/>
        <v>362</v>
      </c>
      <c r="BG34" s="15">
        <f si="21" t="shared"/>
        <v>188</v>
      </c>
      <c r="BH34" s="15">
        <f si="21" t="shared"/>
        <v>114</v>
      </c>
      <c r="BI34" s="15">
        <f si="21" t="shared"/>
        <v>911</v>
      </c>
      <c r="BJ34" s="15">
        <f si="21" t="shared"/>
        <v>206</v>
      </c>
      <c r="BK34" s="15">
        <f si="21" t="shared"/>
        <v>15</v>
      </c>
      <c r="BL34" s="15">
        <f si="21" t="shared"/>
        <v>149</v>
      </c>
      <c r="BM34" s="15">
        <f si="21" t="shared"/>
        <v>8</v>
      </c>
      <c r="BN34" s="15">
        <f si="21" t="shared"/>
        <v>199</v>
      </c>
      <c r="BO34" s="15">
        <f si="21" t="shared"/>
        <v>104</v>
      </c>
      <c r="BP34" s="15">
        <f si="21" t="shared"/>
        <v>110</v>
      </c>
      <c r="BQ34" s="15">
        <f si="21" t="shared"/>
        <v>5</v>
      </c>
      <c r="BR34" s="15">
        <f si="21" t="shared"/>
        <v>0</v>
      </c>
      <c r="BS34" s="97">
        <f>SUM(AX34:BR34)</f>
        <v>10090</v>
      </c>
      <c r="BV34" s="95">
        <v>13</v>
      </c>
      <c r="BW34" s="34" t="s">
        <v>335</v>
      </c>
      <c r="BX34" s="115">
        <f>$CI$7</f>
        <v>58480.272152515652</v>
      </c>
      <c r="BY34" s="116">
        <f>$CI$8</f>
        <v>21958</v>
      </c>
      <c r="BZ34" s="116">
        <f>$CI$9</f>
        <v>65336</v>
      </c>
      <c r="CA34" s="123">
        <f>$CI$10</f>
        <v>104098</v>
      </c>
      <c r="CB34" s="115">
        <f>$CI$11</f>
        <v>64373.817444213761</v>
      </c>
      <c r="CC34" s="116">
        <f>$CI$12</f>
        <v>89864.096202655448</v>
      </c>
      <c r="CD34" s="116">
        <f>$CI$13</f>
        <v>60432.319393148115</v>
      </c>
      <c r="CE34" s="123">
        <f>$CI$14</f>
        <v>104098</v>
      </c>
      <c r="CF34" s="100">
        <f si="9" t="shared"/>
        <v>7.6922674943854366E-2</v>
      </c>
      <c r="CG34" s="100">
        <f si="10" t="shared"/>
        <v>0.10738195955693569</v>
      </c>
      <c r="CH34" s="100">
        <f si="11" t="shared"/>
        <v>7.2212831945391506E-2</v>
      </c>
      <c r="CI34" s="121">
        <f si="12" t="shared"/>
        <v>0.12439058198225757</v>
      </c>
      <c r="CJ34" s="125">
        <f si="13" t="shared"/>
        <v>1.7008622425321876E-2</v>
      </c>
      <c r="CK34" s="121">
        <f si="14" t="shared"/>
        <v>0.15839366775853631</v>
      </c>
      <c r="CL34" s="21">
        <f si="15" t="shared"/>
        <v>5.2177750036866061E-2</v>
      </c>
    </row>
    <row r="35" spans="1:90" x14ac:dyDescent="0.25">
      <c r="A35" s="95">
        <v>2</v>
      </c>
      <c r="B35" s="77">
        <f ref="B35:W35" si="22" t="shared">IF($W8&gt;0,(B8/$W8)*$BS8,0)</f>
        <v>1382.4242505234515</v>
      </c>
      <c r="C35" s="77">
        <f si="22" t="shared"/>
        <v>1100.3272554957821</v>
      </c>
      <c r="D35" s="77">
        <f si="22" t="shared"/>
        <v>480.91222125460877</v>
      </c>
      <c r="E35" s="77">
        <f si="22" t="shared"/>
        <v>3540.0218577905093</v>
      </c>
      <c r="F35" s="77">
        <f si="22" t="shared"/>
        <v>81.231951515336021</v>
      </c>
      <c r="G35" s="77">
        <f si="22" t="shared"/>
        <v>2994.2999113200754</v>
      </c>
      <c r="H35" s="77">
        <f si="22" t="shared"/>
        <v>1327.704355601061</v>
      </c>
      <c r="I35" s="77">
        <f si="22" t="shared"/>
        <v>0</v>
      </c>
      <c r="J35" s="77">
        <f si="22" t="shared"/>
        <v>1356.9179252554545</v>
      </c>
      <c r="K35" s="77">
        <f si="22" t="shared"/>
        <v>149.56127347629777</v>
      </c>
      <c r="L35" s="77">
        <f si="22" t="shared"/>
        <v>217.20796412919768</v>
      </c>
      <c r="M35" s="77">
        <f si="22" t="shared"/>
        <v>1538.25673644115</v>
      </c>
      <c r="N35" s="77">
        <f si="22" t="shared"/>
        <v>0</v>
      </c>
      <c r="O35" s="77">
        <f si="22" t="shared"/>
        <v>0</v>
      </c>
      <c r="P35" s="77">
        <f si="22" t="shared"/>
        <v>0</v>
      </c>
      <c r="Q35" s="77">
        <f si="22" t="shared"/>
        <v>0</v>
      </c>
      <c r="R35" s="77">
        <f si="22" t="shared"/>
        <v>0</v>
      </c>
      <c r="S35" s="77">
        <f si="22" t="shared"/>
        <v>0</v>
      </c>
      <c r="T35" s="77">
        <f si="22" t="shared"/>
        <v>316.13429719707614</v>
      </c>
      <c r="U35" s="77">
        <f si="22" t="shared"/>
        <v>0</v>
      </c>
      <c r="V35" s="77">
        <f si="22" t="shared"/>
        <v>0</v>
      </c>
      <c r="W35" s="77">
        <f si="22" t="shared"/>
        <v>14485</v>
      </c>
      <c r="X35" s="14"/>
      <c r="Y35" s="95">
        <v>2</v>
      </c>
      <c r="Z35" s="77">
        <f ref="Z35:AT35" si="23" t="shared">IF($AU8&gt;0,(Z8/$AU8)*$BS8,0)</f>
        <v>1489.8402854006586</v>
      </c>
      <c r="AA35" s="77">
        <f si="23" t="shared"/>
        <v>2098.0194840834247</v>
      </c>
      <c r="AB35" s="77">
        <f si="23" t="shared"/>
        <v>613.74423710208555</v>
      </c>
      <c r="AC35" s="77">
        <f si="23" t="shared"/>
        <v>381.60263446761797</v>
      </c>
      <c r="AD35" s="77">
        <f si="23" t="shared"/>
        <v>472.23326015367729</v>
      </c>
      <c r="AE35" s="77">
        <f si="23" t="shared"/>
        <v>2792.8542810098788</v>
      </c>
      <c r="AF35" s="77">
        <f si="23" t="shared"/>
        <v>1159.1180021953896</v>
      </c>
      <c r="AG35" s="77">
        <f si="23" t="shared"/>
        <v>100.96569703622393</v>
      </c>
      <c r="AH35" s="77">
        <f si="23" t="shared"/>
        <v>1184.5581778265644</v>
      </c>
      <c r="AI35" s="77">
        <f si="23" t="shared"/>
        <v>361.7274972557629</v>
      </c>
      <c r="AJ35" s="77">
        <f si="23" t="shared"/>
        <v>727.43002195389681</v>
      </c>
      <c r="AK35" s="77">
        <f si="23" t="shared"/>
        <v>2194.2151481888036</v>
      </c>
      <c r="AL35" s="77">
        <f si="23" t="shared"/>
        <v>224.9865532381998</v>
      </c>
      <c r="AM35" s="77">
        <f si="23" t="shared"/>
        <v>53.265367727771682</v>
      </c>
      <c r="AN35" s="77">
        <f si="23" t="shared"/>
        <v>220.21652030735456</v>
      </c>
      <c r="AO35" s="77">
        <f si="23" t="shared"/>
        <v>65.985455543358952</v>
      </c>
      <c r="AP35" s="77">
        <f si="23" t="shared"/>
        <v>44.520307354555435</v>
      </c>
      <c r="AQ35" s="77">
        <f si="23" t="shared"/>
        <v>139.92096597145994</v>
      </c>
      <c r="AR35" s="77">
        <f si="23" t="shared"/>
        <v>114.4807903402854</v>
      </c>
      <c r="AS35" s="77">
        <f si="23" t="shared"/>
        <v>45.315312843029638</v>
      </c>
      <c r="AT35" s="77">
        <f si="23" t="shared"/>
        <v>0</v>
      </c>
      <c r="AU35" s="77">
        <f ref="AU35:AU55" si="24" t="shared">SUM(Z35:AT35)</f>
        <v>14485</v>
      </c>
      <c r="AW35" s="95">
        <v>2</v>
      </c>
      <c r="AX35" s="15">
        <f ref="AX35:BR35" si="25" t="shared">AX8</f>
        <v>1783</v>
      </c>
      <c r="AY35" s="15">
        <f si="25" t="shared"/>
        <v>1444</v>
      </c>
      <c r="AZ35" s="15">
        <f si="25" t="shared"/>
        <v>460</v>
      </c>
      <c r="BA35" s="15">
        <f si="25" t="shared"/>
        <v>128</v>
      </c>
      <c r="BB35" s="15">
        <f si="25" t="shared"/>
        <v>399</v>
      </c>
      <c r="BC35" s="15">
        <f si="25" t="shared"/>
        <v>3162</v>
      </c>
      <c r="BD35" s="15">
        <f si="25" t="shared"/>
        <v>2733</v>
      </c>
      <c r="BE35" s="15">
        <f si="25" t="shared"/>
        <v>8</v>
      </c>
      <c r="BF35" s="15">
        <f si="25" t="shared"/>
        <v>1034</v>
      </c>
      <c r="BG35" s="15">
        <f si="25" t="shared"/>
        <v>194</v>
      </c>
      <c r="BH35" s="15">
        <f si="25" t="shared"/>
        <v>188</v>
      </c>
      <c r="BI35" s="15">
        <f si="25" t="shared"/>
        <v>1518</v>
      </c>
      <c r="BJ35" s="15">
        <f si="25" t="shared"/>
        <v>485</v>
      </c>
      <c r="BK35" s="15">
        <f si="25" t="shared"/>
        <v>34</v>
      </c>
      <c r="BL35" s="15">
        <f si="25" t="shared"/>
        <v>306</v>
      </c>
      <c r="BM35" s="15">
        <f si="25" t="shared"/>
        <v>28</v>
      </c>
      <c r="BN35" s="15">
        <f si="25" t="shared"/>
        <v>264</v>
      </c>
      <c r="BO35" s="15">
        <f si="25" t="shared"/>
        <v>187</v>
      </c>
      <c r="BP35" s="15">
        <f si="25" t="shared"/>
        <v>119</v>
      </c>
      <c r="BQ35" s="15">
        <f si="25" t="shared"/>
        <v>11</v>
      </c>
      <c r="BR35" s="15">
        <f si="25" t="shared"/>
        <v>0</v>
      </c>
      <c r="BS35" s="15">
        <f ref="BS35:BS53" si="26" t="shared">SUM(AX35:BR35)</f>
        <v>14485</v>
      </c>
      <c r="BV35" s="95">
        <v>14</v>
      </c>
      <c r="BW35" s="34" t="s">
        <v>336</v>
      </c>
      <c r="BX35" s="115">
        <f>$CJ$7</f>
        <v>13268.259284250174</v>
      </c>
      <c r="BY35" s="116">
        <f>$CJ$8</f>
        <v>425</v>
      </c>
      <c r="BZ35" s="116">
        <f>$CJ$9</f>
        <v>11928</v>
      </c>
      <c r="CA35" s="123">
        <f>$CJ$10</f>
        <v>6001</v>
      </c>
      <c r="CB35" s="115">
        <f>$CJ$11</f>
        <v>14605.412552446081</v>
      </c>
      <c r="CC35" s="116">
        <f>$CJ$12</f>
        <v>1739.3314913074307</v>
      </c>
      <c r="CD35" s="116">
        <f>$CJ$13</f>
        <v>9897.9182486173322</v>
      </c>
      <c r="CE35" s="123">
        <f>$CJ$14</f>
        <v>6001</v>
      </c>
      <c r="CF35" s="100">
        <f si="9" t="shared"/>
        <v>1.7452552090239368E-2</v>
      </c>
      <c r="CG35" s="100">
        <f si="10" t="shared"/>
        <v>2.0783920580971704E-3</v>
      </c>
      <c r="CH35" s="100">
        <f si="11" t="shared"/>
        <v>1.1827391605586253E-2</v>
      </c>
      <c r="CI35" s="121">
        <f si="12" t="shared"/>
        <v>7.1708186754359127E-3</v>
      </c>
      <c r="CJ35" s="125">
        <f si="13" t="shared"/>
        <v>5.0924266173387423E-3</v>
      </c>
      <c r="CK35" s="121">
        <f si="14" t="shared"/>
        <v>2.4501761337565005</v>
      </c>
      <c r="CL35" s="21">
        <f si="15" t="shared"/>
        <v>-4.6565729301503399E-3</v>
      </c>
    </row>
    <row r="36" spans="1:90" x14ac:dyDescent="0.25">
      <c r="A36" s="95">
        <v>3</v>
      </c>
      <c r="B36" s="77">
        <f ref="B36:W36" si="27" t="shared">IF($W9&gt;0,(B9/$W9)*$BS9,0)</f>
        <v>6264.865452980891</v>
      </c>
      <c r="C36" s="77">
        <f si="27" t="shared"/>
        <v>3778.3805641584377</v>
      </c>
      <c r="D36" s="77">
        <f si="27" t="shared"/>
        <v>3663.013544079658</v>
      </c>
      <c r="E36" s="77">
        <f si="27" t="shared"/>
        <v>814.37522329322906</v>
      </c>
      <c r="F36" s="77">
        <f si="27" t="shared"/>
        <v>1748.0683404617212</v>
      </c>
      <c r="G36" s="77">
        <f si="27" t="shared"/>
        <v>6697.401509757754</v>
      </c>
      <c r="H36" s="77">
        <f si="27" t="shared"/>
        <v>914.81800546049385</v>
      </c>
      <c r="I36" s="77">
        <f si="27" t="shared"/>
        <v>890.40333037475955</v>
      </c>
      <c r="J36" s="77">
        <f si="27" t="shared"/>
        <v>1785.9304454958256</v>
      </c>
      <c r="K36" s="77">
        <f si="27" t="shared"/>
        <v>881.35317910693595</v>
      </c>
      <c r="L36" s="77">
        <f si="27" t="shared"/>
        <v>1571.702677405669</v>
      </c>
      <c r="M36" s="77">
        <f si="27" t="shared"/>
        <v>4941.2765012674763</v>
      </c>
      <c r="N36" s="77">
        <f si="27" t="shared"/>
        <v>74.70546410988625</v>
      </c>
      <c r="O36" s="77">
        <f si="27" t="shared"/>
        <v>0</v>
      </c>
      <c r="P36" s="77">
        <f si="27" t="shared"/>
        <v>0</v>
      </c>
      <c r="Q36" s="77">
        <f si="27" t="shared"/>
        <v>0</v>
      </c>
      <c r="R36" s="77">
        <f si="27" t="shared"/>
        <v>0</v>
      </c>
      <c r="S36" s="77">
        <f si="27" t="shared"/>
        <v>0</v>
      </c>
      <c r="T36" s="77">
        <f si="27" t="shared"/>
        <v>213.70576204726393</v>
      </c>
      <c r="U36" s="77">
        <f si="27" t="shared"/>
        <v>0</v>
      </c>
      <c r="V36" s="77">
        <f si="27" t="shared"/>
        <v>0</v>
      </c>
      <c r="W36" s="77">
        <f si="27" t="shared"/>
        <v>34240</v>
      </c>
      <c r="X36" s="14"/>
      <c r="Y36" s="95">
        <v>3</v>
      </c>
      <c r="Z36" s="77">
        <f ref="Z36:AT36" si="28" t="shared">IF($AU9&gt;0,(Z9/$AU9)*$BS9,0)</f>
        <v>4855.4107147503446</v>
      </c>
      <c r="AA36" s="77">
        <f si="28" t="shared"/>
        <v>3495.0048135716702</v>
      </c>
      <c r="AB36" s="77">
        <f si="28" t="shared"/>
        <v>2795.6474904379047</v>
      </c>
      <c r="AC36" s="77">
        <f si="28" t="shared"/>
        <v>1337.2424739156454</v>
      </c>
      <c r="AD36" s="77">
        <f si="28" t="shared"/>
        <v>1400.4964483646866</v>
      </c>
      <c r="AE36" s="77">
        <f si="28" t="shared"/>
        <v>7583.3497254963186</v>
      </c>
      <c r="AF36" s="77">
        <f si="28" t="shared"/>
        <v>1812.9836338563214</v>
      </c>
      <c r="AG36" s="77">
        <f si="28" t="shared"/>
        <v>340.32420055681314</v>
      </c>
      <c r="AH36" s="77">
        <f si="28" t="shared"/>
        <v>1798.7292170790727</v>
      </c>
      <c r="AI36" s="77">
        <f si="28" t="shared"/>
        <v>934.55519995836914</v>
      </c>
      <c r="AJ36" s="77">
        <f si="28" t="shared"/>
        <v>1791.6020086904484</v>
      </c>
      <c r="AK36" s="77">
        <f si="28" t="shared"/>
        <v>4284.3431426118177</v>
      </c>
      <c r="AL36" s="77">
        <f si="28" t="shared"/>
        <v>391.1055603257617</v>
      </c>
      <c r="AM36" s="77">
        <f si="28" t="shared"/>
        <v>126.50794889808238</v>
      </c>
      <c r="AN36" s="77">
        <f si="28" t="shared"/>
        <v>362.59672677126429</v>
      </c>
      <c r="AO36" s="77">
        <f si="28" t="shared"/>
        <v>149.67137616111154</v>
      </c>
      <c r="AP36" s="77">
        <f si="28" t="shared"/>
        <v>133.63515728670674</v>
      </c>
      <c r="AQ36" s="77">
        <f si="28" t="shared"/>
        <v>186.19831915281139</v>
      </c>
      <c r="AR36" s="77">
        <f si="28" t="shared"/>
        <v>375.06934145135693</v>
      </c>
      <c r="AS36" s="77">
        <f si="28" t="shared"/>
        <v>85.526500663492314</v>
      </c>
      <c r="AT36" s="77">
        <f si="28" t="shared"/>
        <v>0</v>
      </c>
      <c r="AU36" s="77">
        <f si="24" t="shared"/>
        <v>34240.000000000007</v>
      </c>
      <c r="AW36" s="95">
        <v>3</v>
      </c>
      <c r="AX36" s="15">
        <f ref="AX36:BR36" si="29" t="shared">AX9</f>
        <v>5159</v>
      </c>
      <c r="AY36" s="15">
        <f si="29" t="shared"/>
        <v>2383</v>
      </c>
      <c r="AZ36" s="15">
        <f si="29" t="shared"/>
        <v>2724</v>
      </c>
      <c r="BA36" s="15">
        <f si="29" t="shared"/>
        <v>445</v>
      </c>
      <c r="BB36" s="15">
        <f si="29" t="shared"/>
        <v>1437</v>
      </c>
      <c r="BC36" s="15">
        <f si="29" t="shared"/>
        <v>7895</v>
      </c>
      <c r="BD36" s="15">
        <f si="29" t="shared"/>
        <v>4092</v>
      </c>
      <c r="BE36" s="15">
        <f si="29" t="shared"/>
        <v>30</v>
      </c>
      <c r="BF36" s="15">
        <f si="29" t="shared"/>
        <v>1721</v>
      </c>
      <c r="BG36" s="15">
        <f si="29" t="shared"/>
        <v>590</v>
      </c>
      <c r="BH36" s="15">
        <f si="29" t="shared"/>
        <v>885</v>
      </c>
      <c r="BI36" s="15">
        <f si="29" t="shared"/>
        <v>3106</v>
      </c>
      <c r="BJ36" s="15">
        <f si="29" t="shared"/>
        <v>742</v>
      </c>
      <c r="BK36" s="15">
        <f si="29" t="shared"/>
        <v>101</v>
      </c>
      <c r="BL36" s="15">
        <f si="29" t="shared"/>
        <v>392</v>
      </c>
      <c r="BM36" s="15">
        <f si="29" t="shared"/>
        <v>30</v>
      </c>
      <c r="BN36" s="15">
        <f si="29" t="shared"/>
        <v>1419</v>
      </c>
      <c r="BO36" s="15">
        <f si="29" t="shared"/>
        <v>499</v>
      </c>
      <c r="BP36" s="15">
        <f si="29" t="shared"/>
        <v>565</v>
      </c>
      <c r="BQ36" s="15">
        <f si="29" t="shared"/>
        <v>25</v>
      </c>
      <c r="BR36" s="15">
        <f si="29" t="shared"/>
        <v>0</v>
      </c>
      <c r="BS36" s="15">
        <f si="26" t="shared"/>
        <v>34240</v>
      </c>
      <c r="BV36" s="95">
        <v>15</v>
      </c>
      <c r="BW36" s="34" t="s">
        <v>337</v>
      </c>
      <c r="BX36" s="115">
        <f>$CK$7</f>
        <v>17511.615512480701</v>
      </c>
      <c r="BY36" s="116">
        <f>$CK$8</f>
        <v>10675</v>
      </c>
      <c r="BZ36" s="116">
        <f>$CK$9</f>
        <v>31047</v>
      </c>
      <c r="CA36" s="123">
        <f>$CK$10</f>
        <v>34851</v>
      </c>
      <c r="CB36" s="115">
        <f>$CK$11</f>
        <v>19276.407216671985</v>
      </c>
      <c r="CC36" s="116">
        <f>$CK$12</f>
        <v>43687.914516957237</v>
      </c>
      <c r="CD36" s="116">
        <f>$CK$13</f>
        <v>26851.838869440759</v>
      </c>
      <c r="CE36" s="123">
        <f>$CK$14</f>
        <v>34851</v>
      </c>
      <c r="CF36" s="100">
        <f si="9" t="shared"/>
        <v>2.3034097794470763E-2</v>
      </c>
      <c r="CG36" s="100">
        <f si="10" t="shared"/>
        <v>5.2204318165146583E-2</v>
      </c>
      <c r="CH36" s="100">
        <f si="11" t="shared"/>
        <v>3.2086263561869985E-2</v>
      </c>
      <c r="CI36" s="121">
        <f si="12" t="shared"/>
        <v>4.1644759483022334E-2</v>
      </c>
      <c r="CJ36" s="125">
        <f si="13" t="shared"/>
        <v>-1.055955868212425E-2</v>
      </c>
      <c r="CK36" s="121">
        <f si="14" t="shared"/>
        <v>-0.20227366342989969</v>
      </c>
      <c r="CL36" s="21">
        <f si="15" t="shared"/>
        <v>9.558495921152349E-3</v>
      </c>
    </row>
    <row r="37" spans="1:90" x14ac:dyDescent="0.25">
      <c r="A37" s="95">
        <v>4</v>
      </c>
      <c r="B37" s="77">
        <f ref="B37:W37" si="30" t="shared">IF($W10&gt;0,(B10/$W10)*$BS10,0)</f>
        <v>2665.5220471207604</v>
      </c>
      <c r="C37" s="77">
        <f si="30" t="shared"/>
        <v>98.83538916412158</v>
      </c>
      <c r="D37" s="77">
        <f si="30" t="shared"/>
        <v>1213.4109201780479</v>
      </c>
      <c r="E37" s="77">
        <f si="30" t="shared"/>
        <v>978.3054580976027</v>
      </c>
      <c r="F37" s="77">
        <f si="30" t="shared"/>
        <v>765.51552246486392</v>
      </c>
      <c r="G37" s="77">
        <f si="30" t="shared"/>
        <v>1836.8029960940937</v>
      </c>
      <c r="H37" s="77">
        <f si="30" t="shared"/>
        <v>1521.9847745427737</v>
      </c>
      <c r="I37" s="77">
        <f si="30" t="shared"/>
        <v>212.94973630440953</v>
      </c>
      <c r="J37" s="77">
        <f si="30" t="shared"/>
        <v>439.23380556024438</v>
      </c>
      <c r="K37" s="77">
        <f si="30" t="shared"/>
        <v>349.07911218749462</v>
      </c>
      <c r="L37" s="77">
        <f si="30" t="shared"/>
        <v>819.83316414897149</v>
      </c>
      <c r="M37" s="77">
        <f si="30" t="shared"/>
        <v>1115.3176496795227</v>
      </c>
      <c r="N37" s="77">
        <f si="30" t="shared"/>
        <v>0</v>
      </c>
      <c r="O37" s="77">
        <f si="30" t="shared"/>
        <v>0</v>
      </c>
      <c r="P37" s="77">
        <f si="30" t="shared"/>
        <v>0</v>
      </c>
      <c r="Q37" s="77">
        <f si="30" t="shared"/>
        <v>0</v>
      </c>
      <c r="R37" s="77">
        <f si="30" t="shared"/>
        <v>0</v>
      </c>
      <c r="S37" s="77">
        <f si="30" t="shared"/>
        <v>0</v>
      </c>
      <c r="T37" s="77">
        <f si="30" t="shared"/>
        <v>81.209424457090535</v>
      </c>
      <c r="U37" s="77">
        <f si="30" t="shared"/>
        <v>0</v>
      </c>
      <c r="V37" s="77">
        <f si="30" t="shared"/>
        <v>0</v>
      </c>
      <c r="W37" s="77">
        <f si="30" t="shared"/>
        <v>12098</v>
      </c>
      <c r="X37" s="14"/>
      <c r="Y37" s="95">
        <v>4</v>
      </c>
      <c r="Z37" s="77">
        <f ref="Z37:AT37" si="31" t="shared">IF($AU10&gt;0,(Z10/$AU10)*$BS10,0)</f>
        <v>1340.1957012980188</v>
      </c>
      <c r="AA37" s="77">
        <f si="31" t="shared"/>
        <v>1412.0373114719637</v>
      </c>
      <c r="AB37" s="77">
        <f si="31" t="shared"/>
        <v>596.34894108991534</v>
      </c>
      <c r="AC37" s="77">
        <f si="31" t="shared"/>
        <v>871.00005255136909</v>
      </c>
      <c r="AD37" s="77">
        <f si="31" t="shared"/>
        <v>751.47595774869933</v>
      </c>
      <c r="AE37" s="77">
        <f si="31" t="shared"/>
        <v>2522.0855536286722</v>
      </c>
      <c r="AF37" s="77">
        <f si="31" t="shared"/>
        <v>714.60150296915242</v>
      </c>
      <c r="AG37" s="77">
        <f si="31" t="shared"/>
        <v>256.84965053339636</v>
      </c>
      <c r="AH37" s="77">
        <f si="31" t="shared"/>
        <v>634.49492879289505</v>
      </c>
      <c r="AI37" s="77">
        <f si="31" t="shared"/>
        <v>409.43360134531503</v>
      </c>
      <c r="AJ37" s="77">
        <f si="31" t="shared"/>
        <v>630.6803300225971</v>
      </c>
      <c r="AK37" s="77">
        <f si="31" t="shared"/>
        <v>1321.1227074465289</v>
      </c>
      <c r="AL37" s="77">
        <f si="31" t="shared"/>
        <v>157.03431604393296</v>
      </c>
      <c r="AM37" s="77">
        <f si="31" t="shared"/>
        <v>69.298544327079725</v>
      </c>
      <c r="AN37" s="77">
        <f si="31" t="shared"/>
        <v>104.90146618319407</v>
      </c>
      <c r="AO37" s="77">
        <f si="31" t="shared"/>
        <v>62.940879709916445</v>
      </c>
      <c r="AP37" s="77">
        <f si="31" t="shared"/>
        <v>41.3248200115613</v>
      </c>
      <c r="AQ37" s="77">
        <f si="31" t="shared"/>
        <v>79.470807714540967</v>
      </c>
      <c r="AR37" s="77">
        <f si="31" t="shared"/>
        <v>81.378107099689942</v>
      </c>
      <c r="AS37" s="77">
        <f si="31" t="shared"/>
        <v>41.3248200115613</v>
      </c>
      <c r="AT37" s="77">
        <f si="31" t="shared"/>
        <v>0</v>
      </c>
      <c r="AU37" s="77">
        <f si="24" t="shared"/>
        <v>12098</v>
      </c>
      <c r="AW37" s="95">
        <v>4</v>
      </c>
      <c r="AX37" s="15">
        <f ref="AX37:BR37" si="32" t="shared">AX10</f>
        <v>1641</v>
      </c>
      <c r="AY37" s="15">
        <f si="32" t="shared"/>
        <v>801</v>
      </c>
      <c r="AZ37" s="15">
        <f si="32" t="shared"/>
        <v>485</v>
      </c>
      <c r="BA37" s="15">
        <f si="32" t="shared"/>
        <v>336</v>
      </c>
      <c r="BB37" s="15">
        <f si="32" t="shared"/>
        <v>697</v>
      </c>
      <c r="BC37" s="15">
        <f si="32" t="shared"/>
        <v>3273</v>
      </c>
      <c r="BD37" s="15">
        <f si="32" t="shared"/>
        <v>1200</v>
      </c>
      <c r="BE37" s="15">
        <f si="32" t="shared"/>
        <v>13</v>
      </c>
      <c r="BF37" s="15">
        <f si="32" t="shared"/>
        <v>511</v>
      </c>
      <c r="BG37" s="15">
        <f si="32" t="shared"/>
        <v>356</v>
      </c>
      <c r="BH37" s="15">
        <f si="32" t="shared"/>
        <v>336</v>
      </c>
      <c r="BI37" s="15">
        <f si="32" t="shared"/>
        <v>1139</v>
      </c>
      <c r="BJ37" s="15">
        <f si="32" t="shared"/>
        <v>216</v>
      </c>
      <c r="BK37" s="15">
        <f si="32" t="shared"/>
        <v>55</v>
      </c>
      <c r="BL37" s="15">
        <f si="32" t="shared"/>
        <v>155</v>
      </c>
      <c r="BM37" s="15">
        <f si="32" t="shared"/>
        <v>49</v>
      </c>
      <c r="BN37" s="15">
        <f si="32" t="shared"/>
        <v>464</v>
      </c>
      <c r="BO37" s="15">
        <f si="32" t="shared"/>
        <v>176</v>
      </c>
      <c r="BP37" s="15">
        <f si="32" t="shared"/>
        <v>180</v>
      </c>
      <c r="BQ37" s="15">
        <f si="32" t="shared"/>
        <v>15</v>
      </c>
      <c r="BR37" s="15">
        <f si="32" t="shared"/>
        <v>0</v>
      </c>
      <c r="BS37" s="15">
        <f si="26" t="shared"/>
        <v>12098</v>
      </c>
      <c r="BV37" s="95">
        <v>16</v>
      </c>
      <c r="BW37" s="34" t="s">
        <v>338</v>
      </c>
      <c r="BX37" s="115">
        <f>$CL$7</f>
        <v>1961.4873955809485</v>
      </c>
      <c r="BY37" s="116">
        <f>$CL$8</f>
        <v>826</v>
      </c>
      <c r="BZ37" s="116">
        <f>$CL$9</f>
        <v>5518</v>
      </c>
      <c r="CA37" s="123">
        <f>$CL$10</f>
        <v>1399</v>
      </c>
      <c r="CB37" s="115">
        <f>$CL$11</f>
        <v>2159.1628573982716</v>
      </c>
      <c r="CC37" s="116">
        <f>$CL$12</f>
        <v>3380.4419101645599</v>
      </c>
      <c r="CD37" s="116">
        <f>$CL$13</f>
        <v>4666.7438795279177</v>
      </c>
      <c r="CE37" s="123">
        <f>$CL$14</f>
        <v>1399</v>
      </c>
      <c r="CF37" s="100">
        <f si="9" t="shared"/>
        <v>2.580064212821045E-3</v>
      </c>
      <c r="CG37" s="100">
        <f si="10" t="shared"/>
        <v>4.0394160940900306E-3</v>
      </c>
      <c r="CH37" s="100">
        <f si="11" t="shared"/>
        <v>5.5764662830853264E-3</v>
      </c>
      <c r="CI37" s="121">
        <f si="12" t="shared"/>
        <v>1.6717172682777608E-3</v>
      </c>
      <c r="CJ37" s="125">
        <f si="13" t="shared"/>
        <v>-2.3676988258122698E-3</v>
      </c>
      <c r="CK37" s="121">
        <f si="14" t="shared"/>
        <v>-0.58614878256201219</v>
      </c>
      <c r="CL37" s="21">
        <f si="15" t="shared"/>
        <v>-3.9047490148075657E-3</v>
      </c>
    </row>
    <row r="38" spans="1:90" x14ac:dyDescent="0.25">
      <c r="A38" s="95">
        <v>5</v>
      </c>
      <c r="B38" s="77">
        <f ref="B38:W38" si="33" t="shared">IF($W11&gt;0,(B11/$W11)*$BS11,0)</f>
        <v>932.80261029683845</v>
      </c>
      <c r="C38" s="77">
        <f si="33" t="shared"/>
        <v>591.21418322720137</v>
      </c>
      <c r="D38" s="77">
        <f si="33" t="shared"/>
        <v>58.763256864958834</v>
      </c>
      <c r="E38" s="77">
        <f si="33" t="shared"/>
        <v>304.27989062981402</v>
      </c>
      <c r="F38" s="77">
        <f si="33" t="shared"/>
        <v>1256.7114653295218</v>
      </c>
      <c r="G38" s="77">
        <f si="33" t="shared"/>
        <v>2929.7580566627398</v>
      </c>
      <c r="H38" s="77">
        <f si="33" t="shared"/>
        <v>605.63855920677861</v>
      </c>
      <c r="I38" s="77">
        <f si="33" t="shared"/>
        <v>0</v>
      </c>
      <c r="J38" s="77">
        <f si="33" t="shared"/>
        <v>577.93553662405293</v>
      </c>
      <c r="K38" s="77">
        <f si="33" t="shared"/>
        <v>960.12598092270593</v>
      </c>
      <c r="L38" s="77">
        <f si="33" t="shared"/>
        <v>168.65213987308408</v>
      </c>
      <c r="M38" s="77">
        <f si="33" t="shared"/>
        <v>4030.4850321889303</v>
      </c>
      <c r="N38" s="77">
        <f si="33" t="shared"/>
        <v>0</v>
      </c>
      <c r="O38" s="77">
        <f si="33" t="shared"/>
        <v>0</v>
      </c>
      <c r="P38" s="77">
        <f si="33" t="shared"/>
        <v>0</v>
      </c>
      <c r="Q38" s="77">
        <f si="33" t="shared"/>
        <v>0</v>
      </c>
      <c r="R38" s="77">
        <f si="33" t="shared"/>
        <v>85.022071328049407</v>
      </c>
      <c r="S38" s="77">
        <f si="33" t="shared"/>
        <v>0</v>
      </c>
      <c r="T38" s="77">
        <f si="33" t="shared"/>
        <v>0</v>
      </c>
      <c r="U38" s="77">
        <f si="33" t="shared"/>
        <v>49.61121684532818</v>
      </c>
      <c r="V38" s="77">
        <f si="33" t="shared"/>
        <v>0</v>
      </c>
      <c r="W38" s="77">
        <f si="33" t="shared"/>
        <v>12551</v>
      </c>
      <c r="X38" s="14"/>
      <c r="Y38" s="95">
        <v>5</v>
      </c>
      <c r="Z38" s="77">
        <f ref="Z38:AT38" si="34" t="shared">IF($AU11&gt;0,(Z11/$AU11)*$BS11,0)</f>
        <v>1490.3150880272033</v>
      </c>
      <c r="AA38" s="77">
        <f si="34" t="shared"/>
        <v>1018.7835243788735</v>
      </c>
      <c r="AB38" s="77">
        <f si="34" t="shared"/>
        <v>397.8762683047222</v>
      </c>
      <c r="AC38" s="77">
        <f si="34" t="shared"/>
        <v>455.0107497394834</v>
      </c>
      <c r="AD38" s="77">
        <f si="34" t="shared"/>
        <v>923.10047715680355</v>
      </c>
      <c r="AE38" s="77">
        <f si="34" t="shared"/>
        <v>3730.2621071683207</v>
      </c>
      <c r="AF38" s="77">
        <f si="34" t="shared"/>
        <v>575.47501782482311</v>
      </c>
      <c r="AG38" s="77">
        <f si="34" t="shared"/>
        <v>105.32018866889706</v>
      </c>
      <c r="AH38" s="77">
        <f si="34" t="shared"/>
        <v>511.45686392804254</v>
      </c>
      <c r="AI38" s="77">
        <f si="34" t="shared"/>
        <v>514.89870015905228</v>
      </c>
      <c r="AJ38" s="77">
        <f si="34" t="shared"/>
        <v>390.30422859650082</v>
      </c>
      <c r="AK38" s="77">
        <f si="34" t="shared"/>
        <v>1780.8060659244229</v>
      </c>
      <c r="AL38" s="77">
        <f si="34" t="shared"/>
        <v>161.07793561125433</v>
      </c>
      <c r="AM38" s="77">
        <f si="34" t="shared"/>
        <v>72.966928097405798</v>
      </c>
      <c r="AN38" s="77">
        <f si="34" t="shared"/>
        <v>113.58059562332036</v>
      </c>
      <c r="AO38" s="77">
        <f si="34" t="shared"/>
        <v>56.446114188559207</v>
      </c>
      <c r="AP38" s="77">
        <f si="34" t="shared"/>
        <v>33.04162781769319</v>
      </c>
      <c r="AQ38" s="77">
        <f si="34" t="shared"/>
        <v>103.94345417649316</v>
      </c>
      <c r="AR38" s="77">
        <f si="34" t="shared"/>
        <v>69.525091866396096</v>
      </c>
      <c r="AS38" s="77">
        <f si="34" t="shared"/>
        <v>46.80897274173202</v>
      </c>
      <c r="AT38" s="77">
        <f si="34" t="shared"/>
        <v>0</v>
      </c>
      <c r="AU38" s="77">
        <f si="24" t="shared"/>
        <v>12550.999999999995</v>
      </c>
      <c r="AW38" s="95">
        <v>5</v>
      </c>
      <c r="AX38" s="15">
        <f ref="AX38:BR38" si="35" t="shared">AX11</f>
        <v>1597</v>
      </c>
      <c r="AY38" s="15">
        <f si="35" t="shared"/>
        <v>596</v>
      </c>
      <c r="AZ38" s="15">
        <f si="35" t="shared"/>
        <v>355</v>
      </c>
      <c r="BA38" s="15">
        <f si="35" t="shared"/>
        <v>178</v>
      </c>
      <c r="BB38" s="15">
        <f si="35" t="shared"/>
        <v>1037</v>
      </c>
      <c r="BC38" s="15">
        <f si="35" t="shared"/>
        <v>4541</v>
      </c>
      <c r="BD38" s="15">
        <f si="35" t="shared"/>
        <v>1157</v>
      </c>
      <c r="BE38" s="15">
        <f si="35" t="shared"/>
        <v>7</v>
      </c>
      <c r="BF38" s="15">
        <f si="35" t="shared"/>
        <v>353</v>
      </c>
      <c r="BG38" s="15">
        <f si="35" t="shared"/>
        <v>462</v>
      </c>
      <c r="BH38" s="15">
        <f si="35" t="shared"/>
        <v>177</v>
      </c>
      <c r="BI38" s="15">
        <f si="35" t="shared"/>
        <v>1147</v>
      </c>
      <c r="BJ38" s="15">
        <f si="35" t="shared"/>
        <v>164</v>
      </c>
      <c r="BK38" s="15">
        <f si="35" t="shared"/>
        <v>23</v>
      </c>
      <c r="BL38" s="15">
        <f si="35" t="shared"/>
        <v>158</v>
      </c>
      <c r="BM38" s="15">
        <f si="35" t="shared"/>
        <v>18</v>
      </c>
      <c r="BN38" s="15">
        <f si="35" t="shared"/>
        <v>314</v>
      </c>
      <c r="BO38" s="15">
        <f si="35" t="shared"/>
        <v>138</v>
      </c>
      <c r="BP38" s="15">
        <f si="35" t="shared"/>
        <v>113</v>
      </c>
      <c r="BQ38" s="15">
        <f si="35" t="shared"/>
        <v>16</v>
      </c>
      <c r="BR38" s="15">
        <f si="35" t="shared"/>
        <v>0</v>
      </c>
      <c r="BS38" s="15">
        <f si="26" t="shared"/>
        <v>12551</v>
      </c>
      <c r="BV38" s="95">
        <v>17</v>
      </c>
      <c r="BW38" s="34" t="s">
        <v>339</v>
      </c>
      <c r="BX38" s="115">
        <f>$CM$7</f>
        <v>9020.5569668027474</v>
      </c>
      <c r="BY38" s="116">
        <f>$CM$8</f>
        <v>873</v>
      </c>
      <c r="BZ38" s="116">
        <f>$CM$9</f>
        <v>11837</v>
      </c>
      <c r="CA38" s="123">
        <f>$CM$10</f>
        <v>29486</v>
      </c>
      <c r="CB38" s="115">
        <f>$CM$11</f>
        <v>9929.633807306267</v>
      </c>
      <c r="CC38" s="116">
        <f>$CM$12</f>
        <v>3572.7915103797345</v>
      </c>
      <c r="CD38" s="116">
        <f>$CM$13</f>
        <v>10100.196539910616</v>
      </c>
      <c r="CE38" s="123">
        <f>$CM$14</f>
        <v>29486</v>
      </c>
      <c r="CF38" s="100">
        <f si="9" t="shared"/>
        <v>1.1865289709327041E-2</v>
      </c>
      <c r="CG38" s="100">
        <f si="10" t="shared"/>
        <v>4.2692618040443059E-3</v>
      </c>
      <c r="CH38" s="100">
        <f si="11" t="shared"/>
        <v>1.2069101478747582E-2</v>
      </c>
      <c r="CI38" s="121">
        <f si="12" t="shared"/>
        <v>3.5233920923829917E-2</v>
      </c>
      <c r="CJ38" s="125">
        <f si="13" t="shared"/>
        <v>3.0964659119785611E-2</v>
      </c>
      <c r="CK38" s="121">
        <f si="14" t="shared"/>
        <v>7.2529304926796794</v>
      </c>
      <c r="CL38" s="21">
        <f si="15" t="shared"/>
        <v>2.3164819445082335E-2</v>
      </c>
    </row>
    <row r="39" spans="1:90" x14ac:dyDescent="0.25">
      <c r="A39" s="95">
        <v>6</v>
      </c>
      <c r="B39" s="77">
        <f ref="B39:W39" si="36" t="shared">IF($W12&gt;0,(B12/$W12)*$BS12,0)</f>
        <v>4648.2187332486537</v>
      </c>
      <c r="C39" s="77">
        <f si="36" t="shared"/>
        <v>1627.0074696279228</v>
      </c>
      <c r="D39" s="77">
        <f si="36" t="shared"/>
        <v>379.14115433460483</v>
      </c>
      <c r="E39" s="77">
        <f si="36" t="shared"/>
        <v>171.8783838298595</v>
      </c>
      <c r="F39" s="77">
        <f si="36" t="shared"/>
        <v>525.58132527481189</v>
      </c>
      <c r="G39" s="77">
        <f si="36" t="shared"/>
        <v>15471.085574230881</v>
      </c>
      <c r="H39" s="77">
        <f si="36" t="shared"/>
        <v>959.54290826078557</v>
      </c>
      <c r="I39" s="77">
        <f si="36" t="shared"/>
        <v>0</v>
      </c>
      <c r="J39" s="77">
        <f si="36" t="shared"/>
        <v>844.00272000064263</v>
      </c>
      <c r="K39" s="77">
        <f si="36" t="shared"/>
        <v>499.83740039295651</v>
      </c>
      <c r="L39" s="77">
        <f si="36" t="shared"/>
        <v>563.57886094243361</v>
      </c>
      <c r="M39" s="77">
        <f si="36" t="shared"/>
        <v>5954.7301249199536</v>
      </c>
      <c r="N39" s="77">
        <f si="36" t="shared"/>
        <v>123.0100065873773</v>
      </c>
      <c r="O39" s="77">
        <f si="36" t="shared"/>
        <v>0</v>
      </c>
      <c r="P39" s="77">
        <f si="36" t="shared"/>
        <v>394.97736796743288</v>
      </c>
      <c r="Q39" s="77">
        <f si="36" t="shared"/>
        <v>0</v>
      </c>
      <c r="R39" s="77">
        <f si="36" t="shared"/>
        <v>0</v>
      </c>
      <c r="S39" s="77">
        <f si="36" t="shared"/>
        <v>31.407970381685161</v>
      </c>
      <c r="T39" s="77">
        <f si="36" t="shared"/>
        <v>0</v>
      </c>
      <c r="U39" s="77">
        <f si="36" t="shared"/>
        <v>0</v>
      </c>
      <c r="V39" s="77">
        <f si="36" t="shared"/>
        <v>0</v>
      </c>
      <c r="W39" s="77">
        <f si="36" t="shared"/>
        <v>32194</v>
      </c>
      <c r="X39" s="14"/>
      <c r="Y39" s="95">
        <v>6</v>
      </c>
      <c r="Z39" s="77">
        <f ref="Z39:AT39" si="37" t="shared">IF($AU12&gt;0,(Z12/$AU12)*$BS12,0)</f>
        <v>3698.1164774591507</v>
      </c>
      <c r="AA39" s="77">
        <f si="37" t="shared"/>
        <v>2218.2361047312816</v>
      </c>
      <c r="AB39" s="77">
        <f si="37" t="shared"/>
        <v>842.92971979788706</v>
      </c>
      <c r="AC39" s="77">
        <f si="37" t="shared"/>
        <v>705.61034188595056</v>
      </c>
      <c r="AD39" s="77">
        <f si="37" t="shared"/>
        <v>1264.3945796968305</v>
      </c>
      <c r="AE39" s="77">
        <f si="37" t="shared"/>
        <v>12284.802808583241</v>
      </c>
      <c r="AF39" s="77">
        <f si="37" t="shared"/>
        <v>1357.3492355141414</v>
      </c>
      <c r="AG39" s="77">
        <f si="37" t="shared"/>
        <v>141.54458953999608</v>
      </c>
      <c r="AH39" s="77">
        <f si="37" t="shared"/>
        <v>1119.6810814357898</v>
      </c>
      <c r="AI39" s="77">
        <f si="37" t="shared"/>
        <v>882.01292735743812</v>
      </c>
      <c r="AJ39" s="77">
        <f si="37" t="shared"/>
        <v>741.52464072445707</v>
      </c>
      <c r="AK39" s="77">
        <f si="37" t="shared"/>
        <v>5339.6111949602991</v>
      </c>
      <c r="AL39" s="77">
        <f si="37" t="shared"/>
        <v>474.28000524968832</v>
      </c>
      <c r="AM39" s="77">
        <f si="37" t="shared"/>
        <v>101.40507907343002</v>
      </c>
      <c r="AN39" s="77">
        <f si="37" t="shared"/>
        <v>249.28748605551544</v>
      </c>
      <c r="AO39" s="77">
        <f si="37" t="shared"/>
        <v>159.50173895924928</v>
      </c>
      <c r="AP39" s="77">
        <f si="37" t="shared"/>
        <v>66.547083141938444</v>
      </c>
      <c r="AQ39" s="77">
        <f si="37" t="shared"/>
        <v>289.42699652208148</v>
      </c>
      <c r="AR39" s="77">
        <f si="37" t="shared"/>
        <v>169.00846512238337</v>
      </c>
      <c r="AS39" s="77">
        <f si="37" t="shared"/>
        <v>88.729444189251254</v>
      </c>
      <c r="AT39" s="77">
        <f si="37" t="shared"/>
        <v>0</v>
      </c>
      <c r="AU39" s="77">
        <f si="24" t="shared"/>
        <v>32194.000000000004</v>
      </c>
      <c r="AW39" s="95">
        <v>6</v>
      </c>
      <c r="AX39" s="15">
        <f ref="AX39:BR39" si="38" t="shared">AX12</f>
        <v>3447</v>
      </c>
      <c r="AY39" s="15">
        <f si="38" t="shared"/>
        <v>1578</v>
      </c>
      <c r="AZ39" s="15">
        <f si="38" t="shared"/>
        <v>762</v>
      </c>
      <c r="BA39" s="15">
        <f si="38" t="shared"/>
        <v>279</v>
      </c>
      <c r="BB39" s="15">
        <f si="38" t="shared"/>
        <v>1374</v>
      </c>
      <c r="BC39" s="15">
        <f si="38" t="shared"/>
        <v>13092</v>
      </c>
      <c r="BD39" s="15">
        <f si="38" t="shared"/>
        <v>3592</v>
      </c>
      <c r="BE39" s="15">
        <f si="38" t="shared"/>
        <v>15</v>
      </c>
      <c r="BF39" s="15">
        <f si="38" t="shared"/>
        <v>1040</v>
      </c>
      <c r="BG39" s="15">
        <f si="38" t="shared"/>
        <v>737</v>
      </c>
      <c r="BH39" s="15">
        <f si="38" t="shared"/>
        <v>316</v>
      </c>
      <c r="BI39" s="15">
        <f si="38" t="shared"/>
        <v>3735</v>
      </c>
      <c r="BJ39" s="15">
        <f si="38" t="shared"/>
        <v>569</v>
      </c>
      <c r="BK39" s="15">
        <f si="38" t="shared"/>
        <v>62</v>
      </c>
      <c r="BL39" s="15">
        <f si="38" t="shared"/>
        <v>264</v>
      </c>
      <c r="BM39" s="15">
        <f si="38" t="shared"/>
        <v>38</v>
      </c>
      <c r="BN39" s="15">
        <f si="38" t="shared"/>
        <v>550</v>
      </c>
      <c r="BO39" s="15">
        <f si="38" t="shared"/>
        <v>505</v>
      </c>
      <c r="BP39" s="15">
        <f si="38" t="shared"/>
        <v>196</v>
      </c>
      <c r="BQ39" s="15">
        <f si="38" t="shared"/>
        <v>43</v>
      </c>
      <c r="BR39" s="15">
        <f si="38" t="shared"/>
        <v>0</v>
      </c>
      <c r="BS39" s="15">
        <f si="26" t="shared"/>
        <v>32194</v>
      </c>
      <c r="BV39" s="95">
        <v>18</v>
      </c>
      <c r="BW39" s="34" t="s">
        <v>340</v>
      </c>
      <c r="BX39" s="115">
        <f>$CN$7</f>
        <v>12709.794043032649</v>
      </c>
      <c r="BY39" s="116">
        <f>$CN$8</f>
        <v>4732</v>
      </c>
      <c r="BZ39" s="116">
        <f>$CN$9</f>
        <v>23748</v>
      </c>
      <c r="CA39" s="123">
        <f>$CN$10</f>
        <v>48263</v>
      </c>
      <c r="CB39" s="115">
        <f>$CN$11</f>
        <v>13990.666106100596</v>
      </c>
      <c r="CC39" s="116">
        <f>$CN$12</f>
        <v>19365.921451451206</v>
      </c>
      <c r="CD39" s="116">
        <f>$CN$13</f>
        <v>20559.724665406091</v>
      </c>
      <c r="CE39" s="123">
        <f>$CN$14</f>
        <v>48263</v>
      </c>
      <c r="CF39" s="100">
        <f si="9" t="shared"/>
        <v>1.6717968637796097E-2</v>
      </c>
      <c r="CG39" s="100">
        <f si="10" t="shared"/>
        <v>2.3141061691566614E-2</v>
      </c>
      <c r="CH39" s="100">
        <f si="11" t="shared"/>
        <v>2.4567581668474319E-2</v>
      </c>
      <c r="CI39" s="121">
        <f si="12" t="shared"/>
        <v>5.7671258412358518E-2</v>
      </c>
      <c r="CJ39" s="125">
        <f si="13" t="shared"/>
        <v>3.4530196720791904E-2</v>
      </c>
      <c r="CK39" s="121">
        <f si="14" t="shared"/>
        <v>1.492161301025176</v>
      </c>
      <c r="CL39" s="21">
        <f si="15" t="shared"/>
        <v>3.3103676743884203E-2</v>
      </c>
    </row>
    <row customFormat="1" r="40" s="95" spans="1:90" x14ac:dyDescent="0.25">
      <c r="A40" s="95">
        <v>7</v>
      </c>
      <c r="B40" s="77">
        <f ref="B40:W40" si="39" t="shared">IF($W13&gt;0,(B13/$W13)*$BS13,0)</f>
        <v>6136.0379877706555</v>
      </c>
      <c r="C40" s="77">
        <f si="39" t="shared"/>
        <v>8262.3502272435417</v>
      </c>
      <c r="D40" s="77">
        <f si="39" t="shared"/>
        <v>632.8193232701534</v>
      </c>
      <c r="E40" s="77">
        <f si="39" t="shared"/>
        <v>2638.2571287721325</v>
      </c>
      <c r="F40" s="77">
        <f si="39" t="shared"/>
        <v>3183.5647356446439</v>
      </c>
      <c r="G40" s="77">
        <f si="39" t="shared"/>
        <v>12887.288869795049</v>
      </c>
      <c r="H40" s="77">
        <f si="39" t="shared"/>
        <v>26490.990739049746</v>
      </c>
      <c r="I40" s="77">
        <f si="39" t="shared"/>
        <v>104.99191873003471</v>
      </c>
      <c r="J40" s="77">
        <f si="39" t="shared"/>
        <v>8173.0552081540336</v>
      </c>
      <c r="K40" s="77">
        <f si="39" t="shared"/>
        <v>223.82818414330612</v>
      </c>
      <c r="L40" s="77">
        <f si="39" t="shared"/>
        <v>0</v>
      </c>
      <c r="M40" s="77">
        <f si="39" t="shared"/>
        <v>15400.869151004899</v>
      </c>
      <c r="N40" s="77">
        <f si="39" t="shared"/>
        <v>5836.2609114638863</v>
      </c>
      <c r="O40" s="77">
        <f si="39" t="shared"/>
        <v>0</v>
      </c>
      <c r="P40" s="77">
        <f si="39" t="shared"/>
        <v>553.48944611558522</v>
      </c>
      <c r="Q40" s="77">
        <f si="39" t="shared"/>
        <v>82.855796475095374</v>
      </c>
      <c r="R40" s="77">
        <f si="39" t="shared"/>
        <v>0</v>
      </c>
      <c r="S40" s="77">
        <f si="39" t="shared"/>
        <v>489.49549541147309</v>
      </c>
      <c r="T40" s="77">
        <f si="39" t="shared"/>
        <v>132.84487695575382</v>
      </c>
      <c r="U40" s="77">
        <f si="39" t="shared"/>
        <v>0</v>
      </c>
      <c r="V40" s="77">
        <f si="39" t="shared"/>
        <v>0</v>
      </c>
      <c r="W40" s="77">
        <f si="39" t="shared"/>
        <v>91229</v>
      </c>
      <c r="X40" s="14"/>
      <c r="Y40" s="95">
        <v>7</v>
      </c>
      <c r="Z40" s="77">
        <f ref="Z40:AT40" si="40" t="shared">IF($AU13&gt;0,(Z13/$AU13)*$BS13,0)</f>
        <v>5671.4076027289839</v>
      </c>
      <c r="AA40" s="77">
        <f si="40" t="shared"/>
        <v>9015.052040856337</v>
      </c>
      <c r="AB40" s="77">
        <f si="40" t="shared"/>
        <v>2227.6058559441653</v>
      </c>
      <c r="AC40" s="77">
        <f si="40" t="shared"/>
        <v>2028.1855003136764</v>
      </c>
      <c r="AD40" s="77">
        <f si="40" t="shared"/>
        <v>2304.5123608061481</v>
      </c>
      <c r="AE40" s="77">
        <f si="40" t="shared"/>
        <v>12254.962123588457</v>
      </c>
      <c r="AF40" s="77">
        <f si="40" t="shared"/>
        <v>19448.403113237138</v>
      </c>
      <c r="AG40" s="77">
        <f si="40" t="shared"/>
        <v>544.60536582496866</v>
      </c>
      <c r="AH40" s="77">
        <f si="40" t="shared"/>
        <v>6834.8420541875785</v>
      </c>
      <c r="AI40" s="77">
        <f si="40" t="shared"/>
        <v>1637.3931442126725</v>
      </c>
      <c r="AJ40" s="77">
        <f si="40" t="shared"/>
        <v>3357.9526250784193</v>
      </c>
      <c r="AK40" s="77">
        <f si="40" t="shared"/>
        <v>14453.057343946048</v>
      </c>
      <c r="AL40" s="77">
        <f si="40" t="shared"/>
        <v>5958.4656034347554</v>
      </c>
      <c r="AM40" s="77">
        <f si="40" t="shared"/>
        <v>240.55639311480553</v>
      </c>
      <c r="AN40" s="77">
        <f si="40" t="shared"/>
        <v>2539.7031838143034</v>
      </c>
      <c r="AO40" s="77">
        <f si="40" t="shared"/>
        <v>295.10635586574654</v>
      </c>
      <c r="AP40" s="77">
        <f si="40" t="shared"/>
        <v>250.39327164366372</v>
      </c>
      <c r="AQ40" s="77">
        <f si="40" t="shared"/>
        <v>1107.0959653387704</v>
      </c>
      <c r="AR40" s="77">
        <f si="40" t="shared"/>
        <v>602.73237531367636</v>
      </c>
      <c r="AS40" s="77">
        <f si="40" t="shared"/>
        <v>456.96772074968635</v>
      </c>
      <c r="AT40" s="77">
        <f si="40" t="shared"/>
        <v>0</v>
      </c>
      <c r="AU40" s="77">
        <f si="24" t="shared"/>
        <v>91228.999999999985</v>
      </c>
      <c r="AW40" s="95">
        <v>7</v>
      </c>
      <c r="AX40" s="15">
        <f ref="AX40:BR40" si="41" t="shared">AX13</f>
        <v>5440</v>
      </c>
      <c r="AY40" s="15">
        <f si="41" t="shared"/>
        <v>4266</v>
      </c>
      <c r="AZ40" s="15">
        <f si="41" t="shared"/>
        <v>1483</v>
      </c>
      <c r="BA40" s="15">
        <f si="41" t="shared"/>
        <v>419</v>
      </c>
      <c r="BB40" s="15">
        <f si="41" t="shared"/>
        <v>1511</v>
      </c>
      <c r="BC40" s="15">
        <f si="41" t="shared"/>
        <v>10197</v>
      </c>
      <c r="BD40" s="15">
        <f si="41" t="shared"/>
        <v>29829</v>
      </c>
      <c r="BE40" s="15">
        <f si="41" t="shared"/>
        <v>24</v>
      </c>
      <c r="BF40" s="15">
        <f si="41" t="shared"/>
        <v>6048</v>
      </c>
      <c r="BG40" s="15">
        <f si="41" t="shared"/>
        <v>910</v>
      </c>
      <c r="BH40" s="15">
        <f si="41" t="shared"/>
        <v>573</v>
      </c>
      <c r="BI40" s="15">
        <f si="41" t="shared"/>
        <v>11081</v>
      </c>
      <c r="BJ40" s="15">
        <f si="41" t="shared"/>
        <v>13719</v>
      </c>
      <c r="BK40" s="15">
        <f si="41" t="shared"/>
        <v>44</v>
      </c>
      <c r="BL40" s="15">
        <f si="41" t="shared"/>
        <v>2024</v>
      </c>
      <c r="BM40" s="15">
        <f si="41" t="shared"/>
        <v>55</v>
      </c>
      <c r="BN40" s="15">
        <f si="41" t="shared"/>
        <v>995</v>
      </c>
      <c r="BO40" s="15">
        <f si="41" t="shared"/>
        <v>2054</v>
      </c>
      <c r="BP40" s="15">
        <f si="41" t="shared"/>
        <v>490</v>
      </c>
      <c r="BQ40" s="15">
        <f si="41" t="shared"/>
        <v>67</v>
      </c>
      <c r="BR40" s="15">
        <f si="41" t="shared"/>
        <v>0</v>
      </c>
      <c r="BS40" s="15">
        <f si="26" t="shared"/>
        <v>91229</v>
      </c>
      <c r="BV40" s="95">
        <v>19</v>
      </c>
      <c r="BW40" s="34" t="s">
        <v>341</v>
      </c>
      <c r="BX40" s="115">
        <f>$CO$7</f>
        <v>16752.227960566343</v>
      </c>
      <c r="BY40" s="116">
        <f>$CO$8</f>
        <v>6513</v>
      </c>
      <c r="BZ40" s="116">
        <f>$CO$9</f>
        <v>29164</v>
      </c>
      <c r="CA40" s="123">
        <f>$CO$10</f>
        <v>39768</v>
      </c>
      <c r="CB40" s="115">
        <f>$CO$11</f>
        <v>18440.489840828508</v>
      </c>
      <c r="CC40" s="116">
        <f>$CO$12</f>
        <v>26654.743536200702</v>
      </c>
      <c r="CD40" s="116">
        <f>$CO$13</f>
        <v>25609.002931385712</v>
      </c>
      <c r="CE40" s="123">
        <f>$CO$14</f>
        <v>39768</v>
      </c>
      <c r="CF40" s="100">
        <f si="9" t="shared"/>
        <v>2.2035228950974713E-2</v>
      </c>
      <c r="CG40" s="100">
        <f si="10" t="shared"/>
        <v>3.1850746998557347E-2</v>
      </c>
      <c r="CH40" s="100">
        <f si="11" t="shared"/>
        <v>3.0601152554519871E-2</v>
      </c>
      <c r="CI40" s="121">
        <f si="12" t="shared"/>
        <v>4.7520266136433162E-2</v>
      </c>
      <c r="CJ40" s="125">
        <f si="13" t="shared"/>
        <v>1.5669519137875815E-2</v>
      </c>
      <c r="CK40" s="121">
        <f si="14" t="shared"/>
        <v>0.49196708443244802</v>
      </c>
      <c r="CL40" s="21">
        <f si="15" t="shared"/>
        <v>1.6919113581913291E-2</v>
      </c>
    </row>
    <row r="41" spans="1:90" x14ac:dyDescent="0.25">
      <c r="A41" s="95">
        <v>8</v>
      </c>
      <c r="B41" s="77">
        <f ref="B41:W41" si="42" t="shared">IF($W14&gt;0,(B14/$W14)*$BS14,0)</f>
        <v>586.24181580517291</v>
      </c>
      <c r="C41" s="77">
        <f si="42" t="shared"/>
        <v>212.43711945321408</v>
      </c>
      <c r="D41" s="77">
        <f si="42" t="shared"/>
        <v>57.416137425529456</v>
      </c>
      <c r="E41" s="77">
        <f si="42" t="shared"/>
        <v>200.59465431462863</v>
      </c>
      <c r="F41" s="77">
        <f si="42" t="shared"/>
        <v>131.73341921971348</v>
      </c>
      <c r="G41" s="77">
        <f si="42" t="shared"/>
        <v>474.91193269533699</v>
      </c>
      <c r="H41" s="77">
        <f si="42" t="shared"/>
        <v>66.366827363277011</v>
      </c>
      <c r="I41" s="77">
        <f si="42" t="shared"/>
        <v>290.49162483091231</v>
      </c>
      <c r="J41" s="77">
        <f si="42" t="shared"/>
        <v>277.95612505035194</v>
      </c>
      <c r="K41" s="77">
        <f si="42" t="shared"/>
        <v>52.104353362561071</v>
      </c>
      <c r="L41" s="77">
        <f si="42" t="shared"/>
        <v>1374.6130076174497</v>
      </c>
      <c r="M41" s="77">
        <f si="42" t="shared"/>
        <v>745.10536755046633</v>
      </c>
      <c r="N41" s="77">
        <f si="42" t="shared"/>
        <v>0</v>
      </c>
      <c r="O41" s="77">
        <f si="42" t="shared"/>
        <v>50.116037199492261</v>
      </c>
      <c r="P41" s="77">
        <f si="42" t="shared"/>
        <v>44.954557926718998</v>
      </c>
      <c r="Q41" s="77">
        <f si="42" t="shared"/>
        <v>0</v>
      </c>
      <c r="R41" s="77">
        <f si="42" t="shared"/>
        <v>79.91101335162999</v>
      </c>
      <c r="S41" s="77">
        <f si="42" t="shared"/>
        <v>50.116037199492261</v>
      </c>
      <c r="T41" s="77">
        <f si="42" t="shared"/>
        <v>272.92996963405278</v>
      </c>
      <c r="U41" s="77">
        <f si="42" t="shared"/>
        <v>0</v>
      </c>
      <c r="V41" s="77">
        <f si="42" t="shared"/>
        <v>0</v>
      </c>
      <c r="W41" s="77">
        <f si="42" t="shared"/>
        <v>4968</v>
      </c>
      <c r="X41" s="15"/>
      <c r="Y41" s="95">
        <v>8</v>
      </c>
      <c r="Z41" s="77">
        <f ref="Z41:AT41" si="43" t="shared">IF($AU14&gt;0,(Z14/$AU14)*$BS14,0)</f>
        <v>502.02071276271698</v>
      </c>
      <c r="AA41" s="77">
        <f si="43" t="shared"/>
        <v>596.59884252208349</v>
      </c>
      <c r="AB41" s="77">
        <f si="43" t="shared"/>
        <v>226.98751142247943</v>
      </c>
      <c r="AC41" s="77">
        <f si="43" t="shared"/>
        <v>320.80901614377092</v>
      </c>
      <c r="AD41" s="77">
        <f si="43" t="shared"/>
        <v>271.25007614986293</v>
      </c>
      <c r="AE41" s="77">
        <f si="43" t="shared"/>
        <v>979.82942430703622</v>
      </c>
      <c r="AF41" s="77">
        <f si="43" t="shared"/>
        <v>273.51995126408775</v>
      </c>
      <c r="AG41" s="77">
        <f si="43" t="shared"/>
        <v>167.5924459335973</v>
      </c>
      <c r="AH41" s="77">
        <f si="43" t="shared"/>
        <v>257.25251294547667</v>
      </c>
      <c r="AI41" s="77">
        <f si="43" t="shared"/>
        <v>160.02619555284801</v>
      </c>
      <c r="AJ41" s="77">
        <f si="43" t="shared"/>
        <v>397.98477002741396</v>
      </c>
      <c r="AK41" s="77">
        <f si="43" t="shared"/>
        <v>458.89308559244597</v>
      </c>
      <c r="AL41" s="77">
        <f si="43" t="shared"/>
        <v>68.096253426743829</v>
      </c>
      <c r="AM41" s="77">
        <f si="43" t="shared"/>
        <v>82.850441669204997</v>
      </c>
      <c r="AN41" s="77">
        <f si="43" t="shared"/>
        <v>50.315565031982942</v>
      </c>
      <c r="AO41" s="77">
        <f si="43" t="shared"/>
        <v>23.455376180322872</v>
      </c>
      <c r="AP41" s="77">
        <f si="43" t="shared"/>
        <v>41.992689613158689</v>
      </c>
      <c r="AQ41" s="77">
        <f si="43" t="shared"/>
        <v>24.212001218397809</v>
      </c>
      <c r="AR41" s="77">
        <f si="43" t="shared"/>
        <v>48.802314955833076</v>
      </c>
      <c r="AS41" s="77">
        <f si="43" t="shared"/>
        <v>15.510813280536096</v>
      </c>
      <c r="AT41" s="77">
        <f si="43" t="shared"/>
        <v>0</v>
      </c>
      <c r="AU41" s="77">
        <f si="24" t="shared"/>
        <v>4968</v>
      </c>
      <c r="AW41" s="95">
        <v>8</v>
      </c>
      <c r="AX41" s="15">
        <f ref="AX41:BR41" si="44" t="shared">AX14</f>
        <v>656</v>
      </c>
      <c r="AY41" s="15">
        <f si="44" t="shared"/>
        <v>338</v>
      </c>
      <c r="AZ41" s="15">
        <f si="44" t="shared"/>
        <v>239</v>
      </c>
      <c r="BA41" s="15">
        <f si="44" t="shared"/>
        <v>100</v>
      </c>
      <c r="BB41" s="15">
        <f si="44" t="shared"/>
        <v>274</v>
      </c>
      <c r="BC41" s="15">
        <f si="44" t="shared"/>
        <v>1161</v>
      </c>
      <c r="BD41" s="15">
        <f si="44" t="shared"/>
        <v>483</v>
      </c>
      <c r="BE41" s="15">
        <f si="44" t="shared"/>
        <v>16</v>
      </c>
      <c r="BF41" s="15">
        <f si="44" t="shared"/>
        <v>223</v>
      </c>
      <c r="BG41" s="15">
        <f si="44" t="shared"/>
        <v>94</v>
      </c>
      <c r="BH41" s="15">
        <f si="44" t="shared"/>
        <v>220</v>
      </c>
      <c r="BI41" s="15">
        <f si="44" t="shared"/>
        <v>359</v>
      </c>
      <c r="BJ41" s="15">
        <f si="44" t="shared"/>
        <v>130</v>
      </c>
      <c r="BK41" s="15">
        <f si="44" t="shared"/>
        <v>33</v>
      </c>
      <c r="BL41" s="15">
        <f si="44" t="shared"/>
        <v>55</v>
      </c>
      <c r="BM41" s="15">
        <f si="44" t="shared"/>
        <v>5</v>
      </c>
      <c r="BN41" s="15">
        <f si="44" t="shared"/>
        <v>412</v>
      </c>
      <c r="BO41" s="15">
        <f si="44" t="shared"/>
        <v>41</v>
      </c>
      <c r="BP41" s="15">
        <f si="44" t="shared"/>
        <v>129</v>
      </c>
      <c r="BQ41" s="15">
        <f si="44" t="shared"/>
        <v>0</v>
      </c>
      <c r="BR41" s="15">
        <f si="44" t="shared"/>
        <v>0</v>
      </c>
      <c r="BS41" s="15">
        <f si="26" t="shared"/>
        <v>4968</v>
      </c>
      <c r="BV41" s="95">
        <v>20</v>
      </c>
      <c r="BW41" s="34" t="s">
        <v>342</v>
      </c>
      <c r="BX41" s="115">
        <f>$CP$7</f>
        <v>16122.280618489045</v>
      </c>
      <c r="BY41" s="116">
        <f>$CP$8</f>
        <v>9627</v>
      </c>
      <c r="BZ41" s="116">
        <f>$CP$9</f>
        <v>22156</v>
      </c>
      <c r="CA41" s="123">
        <f>$CP$10</f>
        <v>15207</v>
      </c>
      <c r="CB41" s="115">
        <f>$CP$11</f>
        <v>17747.057445497099</v>
      </c>
      <c r="CC41" s="116">
        <f>$CP$12</f>
        <v>39398.927686627387</v>
      </c>
      <c r="CD41" s="116">
        <f>$CP$13</f>
        <v>18700.540393110878</v>
      </c>
      <c r="CE41" s="123">
        <f>$CP$14</f>
        <v>15207</v>
      </c>
      <c r="CF41" s="100">
        <f si="9" t="shared"/>
        <v>2.1206620723913435E-2</v>
      </c>
      <c r="CG41" s="100">
        <f si="10" t="shared"/>
        <v>4.7079247866591685E-2</v>
      </c>
      <c r="CH41" s="100">
        <f si="11" t="shared"/>
        <v>2.2345973053101674E-2</v>
      </c>
      <c r="CI41" s="121">
        <f si="12" t="shared"/>
        <v>1.8171411364331602E-2</v>
      </c>
      <c r="CJ41" s="126">
        <f si="13" t="shared"/>
        <v>-2.8907836502260083E-2</v>
      </c>
      <c r="CK41" s="122">
        <f si="14" t="shared"/>
        <v>-0.61402502827097261</v>
      </c>
      <c r="CL41" s="21">
        <f si="15" t="shared"/>
        <v>-4.1745616887700725E-3</v>
      </c>
    </row>
    <row ht="15.75" r="42" spans="1:90" thickBot="1" x14ac:dyDescent="0.3">
      <c r="A42" s="95">
        <v>9</v>
      </c>
      <c r="B42" s="77">
        <f ref="B42:W42" si="45" t="shared">IF($W15&gt;0,(B15/$W15)*$BS15,0)</f>
        <v>9761.6265082421196</v>
      </c>
      <c r="C42" s="77">
        <f si="45" t="shared"/>
        <v>5692.5413335152571</v>
      </c>
      <c r="D42" s="77">
        <f si="45" t="shared"/>
        <v>1487.9557768233235</v>
      </c>
      <c r="E42" s="77">
        <f si="45" t="shared"/>
        <v>2393.3843491117182</v>
      </c>
      <c r="F42" s="77">
        <f si="45" t="shared"/>
        <v>1314.674449259549</v>
      </c>
      <c r="G42" s="77">
        <f si="45" t="shared"/>
        <v>5221.2086713308063</v>
      </c>
      <c r="H42" s="77">
        <f si="45" t="shared"/>
        <v>6428.4769309012709</v>
      </c>
      <c r="I42" s="77">
        <f si="45" t="shared"/>
        <v>0</v>
      </c>
      <c r="J42" s="77">
        <f si="45" t="shared"/>
        <v>21874.976848047514</v>
      </c>
      <c r="K42" s="77">
        <f si="45" t="shared"/>
        <v>139.66252251454594</v>
      </c>
      <c r="L42" s="77">
        <f si="45" t="shared"/>
        <v>1120.258444909382</v>
      </c>
      <c r="M42" s="77">
        <f si="45" t="shared"/>
        <v>8161.9852620812726</v>
      </c>
      <c r="N42" s="77">
        <f si="45" t="shared"/>
        <v>62.69720597118144</v>
      </c>
      <c r="O42" s="77">
        <f si="45" t="shared"/>
        <v>126.12076481916266</v>
      </c>
      <c r="P42" s="77">
        <f si="45" t="shared"/>
        <v>2620.9189491774605</v>
      </c>
      <c r="Q42" s="77">
        <f si="45" t="shared"/>
        <v>0</v>
      </c>
      <c r="R42" s="77">
        <f si="45" t="shared"/>
        <v>197.52786865736354</v>
      </c>
      <c r="S42" s="77">
        <f si="45" t="shared"/>
        <v>396.95731572760195</v>
      </c>
      <c r="T42" s="77">
        <f si="45" t="shared"/>
        <v>175.02679891047887</v>
      </c>
      <c r="U42" s="77">
        <f si="45" t="shared"/>
        <v>0</v>
      </c>
      <c r="V42" s="77">
        <f si="45" t="shared"/>
        <v>0</v>
      </c>
      <c r="W42" s="77">
        <f si="45" t="shared"/>
        <v>67176</v>
      </c>
      <c r="X42" s="15"/>
      <c r="Y42" s="95">
        <v>9</v>
      </c>
      <c r="Z42" s="77">
        <f ref="Z42:AT42" si="46" t="shared">IF($AU15&gt;0,(Z15/$AU15)*$BS15,0)</f>
        <v>6017.2382058805915</v>
      </c>
      <c r="AA42" s="77">
        <f si="46" t="shared"/>
        <v>7705.1865620695844</v>
      </c>
      <c r="AB42" s="77">
        <f si="46" t="shared"/>
        <v>2217.3430265285347</v>
      </c>
      <c r="AC42" s="77">
        <f si="46" t="shared"/>
        <v>1883.4542906760885</v>
      </c>
      <c r="AD42" s="77">
        <f si="46" t="shared"/>
        <v>2052.4100365291333</v>
      </c>
      <c r="AE42" s="77">
        <f si="46" t="shared"/>
        <v>11037.637511228217</v>
      </c>
      <c r="AF42" s="77">
        <f si="46" t="shared"/>
        <v>6080.7977483681652</v>
      </c>
      <c r="AG42" s="77">
        <f si="46" t="shared"/>
        <v>545.48569375411705</v>
      </c>
      <c r="AH42" s="77">
        <f si="46" t="shared"/>
        <v>9159.8150787472314</v>
      </c>
      <c r="AI42" s="77">
        <f si="46" t="shared"/>
        <v>1178.6674651176718</v>
      </c>
      <c r="AJ42" s="77">
        <f si="46" t="shared"/>
        <v>3845.7545960835978</v>
      </c>
      <c r="AK42" s="77">
        <f si="46" t="shared"/>
        <v>7524.1625486556086</v>
      </c>
      <c r="AL42" s="77">
        <f si="46" t="shared"/>
        <v>1978.3913288220851</v>
      </c>
      <c r="AM42" s="77">
        <f si="46" t="shared"/>
        <v>226.07887897478889</v>
      </c>
      <c r="AN42" s="77">
        <f si="46" t="shared"/>
        <v>3695.3035271573149</v>
      </c>
      <c r="AO42" s="77">
        <f si="46" t="shared"/>
        <v>182.63311575543446</v>
      </c>
      <c r="AP42" s="77">
        <f si="46" t="shared"/>
        <v>264.69733516977061</v>
      </c>
      <c r="AQ42" s="77">
        <f si="46" t="shared"/>
        <v>462.61692316905209</v>
      </c>
      <c r="AR42" s="77">
        <f si="46" t="shared"/>
        <v>882.59263428947838</v>
      </c>
      <c r="AS42" s="77">
        <f si="46" t="shared"/>
        <v>235.73349302353435</v>
      </c>
      <c r="AT42" s="77">
        <f si="46" t="shared"/>
        <v>0</v>
      </c>
      <c r="AU42" s="77">
        <f si="24" t="shared"/>
        <v>67176.000000000029</v>
      </c>
      <c r="AW42" s="95">
        <v>9</v>
      </c>
      <c r="AX42" s="15">
        <f ref="AX42:BR42" si="47" t="shared">AX15</f>
        <v>5792</v>
      </c>
      <c r="AY42" s="15">
        <f si="47" t="shared"/>
        <v>4224</v>
      </c>
      <c r="AZ42" s="15">
        <f si="47" t="shared"/>
        <v>1713</v>
      </c>
      <c r="BA42" s="15">
        <f si="47" t="shared"/>
        <v>377</v>
      </c>
      <c r="BB42" s="15">
        <f si="47" t="shared"/>
        <v>1719</v>
      </c>
      <c r="BC42" s="15">
        <f si="47" t="shared"/>
        <v>9636</v>
      </c>
      <c r="BD42" s="15">
        <f si="47" t="shared"/>
        <v>11514</v>
      </c>
      <c r="BE42" s="15">
        <f si="47" t="shared"/>
        <v>34</v>
      </c>
      <c r="BF42" s="15">
        <f si="47" t="shared"/>
        <v>10452</v>
      </c>
      <c r="BG42" s="15">
        <f si="47" t="shared"/>
        <v>733</v>
      </c>
      <c r="BH42" s="15">
        <f si="47" t="shared"/>
        <v>1404</v>
      </c>
      <c r="BI42" s="15">
        <f si="47" t="shared"/>
        <v>5743</v>
      </c>
      <c r="BJ42" s="15">
        <f si="47" t="shared"/>
        <v>4283</v>
      </c>
      <c r="BK42" s="15">
        <f si="47" t="shared"/>
        <v>108</v>
      </c>
      <c r="BL42" s="15">
        <f si="47" t="shared"/>
        <v>5233</v>
      </c>
      <c r="BM42" s="15">
        <f si="47" t="shared"/>
        <v>38</v>
      </c>
      <c r="BN42" s="15">
        <f si="47" t="shared"/>
        <v>1670</v>
      </c>
      <c r="BO42" s="15">
        <f si="47" t="shared"/>
        <v>786</v>
      </c>
      <c r="BP42" s="15">
        <f si="47" t="shared"/>
        <v>1698</v>
      </c>
      <c r="BQ42" s="15">
        <f si="47" t="shared"/>
        <v>19</v>
      </c>
      <c r="BR42" s="15">
        <f si="47" t="shared"/>
        <v>0</v>
      </c>
      <c r="BS42" s="15">
        <f si="26" t="shared"/>
        <v>67176</v>
      </c>
      <c r="BV42" s="109"/>
      <c r="BW42" s="110" t="s">
        <v>218</v>
      </c>
      <c r="BX42" s="117">
        <f ref="BX42:CE42" si="48" t="shared">SUM(BX22:BX41)</f>
        <v>760247.51083084696</v>
      </c>
      <c r="BY42" s="111">
        <f si="48" t="shared"/>
        <v>204485</v>
      </c>
      <c r="BZ42" s="111">
        <f si="48" t="shared"/>
        <v>959408</v>
      </c>
      <c r="CA42" s="124">
        <f si="48" t="shared"/>
        <v>836864</v>
      </c>
      <c r="CB42" s="117">
        <f si="48" t="shared"/>
        <v>836864.00000000023</v>
      </c>
      <c r="CC42" s="111">
        <f si="48" t="shared"/>
        <v>836864.00000000012</v>
      </c>
      <c r="CD42" s="111">
        <f si="48" t="shared"/>
        <v>836863.99999999988</v>
      </c>
      <c r="CE42" s="124">
        <f si="48" t="shared"/>
        <v>836864</v>
      </c>
      <c r="CF42" s="130">
        <f si="9" t="shared"/>
        <v>1</v>
      </c>
      <c r="CG42" s="130">
        <f si="10" t="shared"/>
        <v>1</v>
      </c>
      <c r="CH42" s="130">
        <f si="11" t="shared"/>
        <v>1</v>
      </c>
      <c r="CI42" s="131">
        <f si="12" t="shared"/>
        <v>1</v>
      </c>
      <c r="CJ42" s="119">
        <f ref="CJ22:CJ42" si="49" t="shared">CI42-CH42</f>
        <v>0</v>
      </c>
      <c r="CK42" s="137">
        <f ref="CK22:CK42" si="50" t="shared">(CE42-CD42)/CD42</f>
        <v>1.3910900914238734E-16</v>
      </c>
    </row>
    <row r="43" spans="1:90" x14ac:dyDescent="0.25">
      <c r="A43" s="95">
        <v>10</v>
      </c>
      <c r="B43" s="77">
        <f ref="B43:W43" si="51" t="shared">IF($W16&gt;0,(B16/$W16)*$BS16,0)</f>
        <v>4700.2121334312133</v>
      </c>
      <c r="C43" s="77">
        <f si="51" t="shared"/>
        <v>383.22221077208764</v>
      </c>
      <c r="D43" s="77">
        <f si="51" t="shared"/>
        <v>544.88861489291446</v>
      </c>
      <c r="E43" s="77">
        <f si="51" t="shared"/>
        <v>957.16142340647332</v>
      </c>
      <c r="F43" s="77">
        <f si="51" t="shared"/>
        <v>2775.6843300043274</v>
      </c>
      <c r="G43" s="77">
        <f si="51" t="shared"/>
        <v>8564.021658634405</v>
      </c>
      <c r="H43" s="77">
        <f si="51" t="shared"/>
        <v>1140.9519092513799</v>
      </c>
      <c r="I43" s="77">
        <f si="51" t="shared"/>
        <v>349.67234973436553</v>
      </c>
      <c r="J43" s="77">
        <f si="51" t="shared"/>
        <v>331.1092529811682</v>
      </c>
      <c r="K43" s="77">
        <f si="51" t="shared"/>
        <v>3352.5953322337436</v>
      </c>
      <c r="L43" s="77">
        <f si="51" t="shared"/>
        <v>492.69386658910145</v>
      </c>
      <c r="M43" s="77">
        <f si="51" t="shared"/>
        <v>4904.1861445030327</v>
      </c>
      <c r="N43" s="77">
        <f si="51" t="shared"/>
        <v>189.86113801961642</v>
      </c>
      <c r="O43" s="77">
        <f si="51" t="shared"/>
        <v>104.51197309517002</v>
      </c>
      <c r="P43" s="77">
        <f si="51" t="shared"/>
        <v>0</v>
      </c>
      <c r="Q43" s="77">
        <f si="51" t="shared"/>
        <v>270.26461153563298</v>
      </c>
      <c r="R43" s="77">
        <f si="51" t="shared"/>
        <v>0</v>
      </c>
      <c r="S43" s="77">
        <f si="51" t="shared"/>
        <v>30.963050915374609</v>
      </c>
      <c r="T43" s="77">
        <f si="51" t="shared"/>
        <v>0</v>
      </c>
      <c r="U43" s="77">
        <f si="51" t="shared"/>
        <v>0</v>
      </c>
      <c r="V43" s="77">
        <f si="51" t="shared"/>
        <v>0</v>
      </c>
      <c r="W43" s="77">
        <f si="51" t="shared"/>
        <v>29092</v>
      </c>
      <c r="Y43" s="95">
        <v>10</v>
      </c>
      <c r="Z43" s="77">
        <f ref="Z43:AT43" si="52" t="shared">IF($AU16&gt;0,(Z16/$AU16)*$BS16,0)</f>
        <v>2840.2016236005729</v>
      </c>
      <c r="AA43" s="77">
        <f si="52" t="shared"/>
        <v>2240.5177481827345</v>
      </c>
      <c r="AB43" s="77">
        <f si="52" t="shared"/>
        <v>656.02483153817582</v>
      </c>
      <c r="AC43" s="77">
        <f si="52" t="shared"/>
        <v>852.83228099962867</v>
      </c>
      <c r="AD43" s="77">
        <f si="52" t="shared"/>
        <v>1562.8826868997717</v>
      </c>
      <c r="AE43" s="77">
        <f si="52" t="shared"/>
        <v>8302.9589855149352</v>
      </c>
      <c r="AF43" s="77">
        <f si="52" t="shared"/>
        <v>1045.0089669443414</v>
      </c>
      <c r="AG43" s="77">
        <f si="52" t="shared"/>
        <v>207.61256433384622</v>
      </c>
      <c r="AH43" s="77">
        <f si="52" t="shared"/>
        <v>912.2604127977927</v>
      </c>
      <c r="AI43" s="77">
        <f si="52" t="shared"/>
        <v>2235.8869846659945</v>
      </c>
      <c r="AJ43" s="77">
        <f si="52" t="shared"/>
        <v>742.46575051732373</v>
      </c>
      <c r="AK43" s="77">
        <f si="52" t="shared"/>
        <v>5536.0777842627476</v>
      </c>
      <c r="AL43" s="77">
        <f si="52" t="shared"/>
        <v>402.10463203692899</v>
      </c>
      <c r="AM43" s="77">
        <f si="52" t="shared"/>
        <v>120.39985143524169</v>
      </c>
      <c r="AN43" s="77">
        <f si="52" t="shared"/>
        <v>190.63309810579935</v>
      </c>
      <c r="AO43" s="77">
        <f si="52" t="shared"/>
        <v>553.37624025043772</v>
      </c>
      <c r="AP43" s="77">
        <f si="52" t="shared"/>
        <v>70.233246670557648</v>
      </c>
      <c r="AQ43" s="77">
        <f si="52" t="shared"/>
        <v>327.24062184963122</v>
      </c>
      <c r="AR43" s="77">
        <f si="52" t="shared"/>
        <v>173.65363187775242</v>
      </c>
      <c r="AS43" s="77">
        <f si="52" t="shared"/>
        <v>119.628057515785</v>
      </c>
      <c r="AT43" s="77">
        <f si="52" t="shared"/>
        <v>0</v>
      </c>
      <c r="AU43" s="77">
        <f si="24" t="shared"/>
        <v>29091.999999999993</v>
      </c>
      <c r="AW43" s="95">
        <v>10</v>
      </c>
      <c r="AX43" s="15">
        <f ref="AX43:BR43" si="53" t="shared">AX16</f>
        <v>3392</v>
      </c>
      <c r="AY43" s="15">
        <f si="53" t="shared"/>
        <v>1471</v>
      </c>
      <c r="AZ43" s="15">
        <f si="53" t="shared"/>
        <v>825</v>
      </c>
      <c r="BA43" s="15">
        <f si="53" t="shared"/>
        <v>349</v>
      </c>
      <c r="BB43" s="15">
        <f si="53" t="shared"/>
        <v>1676</v>
      </c>
      <c r="BC43" s="15">
        <f si="53" t="shared"/>
        <v>8745</v>
      </c>
      <c r="BD43" s="15">
        <f si="53" t="shared"/>
        <v>3067</v>
      </c>
      <c r="BE43" s="15">
        <f si="53" t="shared"/>
        <v>10</v>
      </c>
      <c r="BF43" s="15">
        <f si="53" t="shared"/>
        <v>862</v>
      </c>
      <c r="BG43" s="15">
        <f si="53" t="shared"/>
        <v>2034</v>
      </c>
      <c r="BH43" s="15">
        <f si="53" t="shared"/>
        <v>286</v>
      </c>
      <c r="BI43" s="15">
        <f si="53" t="shared"/>
        <v>3936</v>
      </c>
      <c r="BJ43" s="15">
        <f si="53" t="shared"/>
        <v>526</v>
      </c>
      <c r="BK43" s="15">
        <f si="53" t="shared"/>
        <v>49</v>
      </c>
      <c r="BL43" s="15">
        <f si="53" t="shared"/>
        <v>270</v>
      </c>
      <c r="BM43" s="15">
        <f si="53" t="shared"/>
        <v>186</v>
      </c>
      <c r="BN43" s="15">
        <f si="53" t="shared"/>
        <v>535</v>
      </c>
      <c r="BO43" s="15">
        <f si="53" t="shared"/>
        <v>645</v>
      </c>
      <c r="BP43" s="15">
        <f si="53" t="shared"/>
        <v>196</v>
      </c>
      <c r="BQ43" s="15">
        <f si="53" t="shared"/>
        <v>32</v>
      </c>
      <c r="BR43" s="15">
        <f si="53" t="shared"/>
        <v>0</v>
      </c>
      <c r="BS43" s="15">
        <f si="26" t="shared"/>
        <v>29092</v>
      </c>
    </row>
    <row customFormat="1" r="44" s="95" spans="1:90" x14ac:dyDescent="0.25">
      <c r="A44" s="95">
        <v>11</v>
      </c>
      <c r="B44" s="77">
        <f ref="B44:W44" si="54" t="shared">IF($W17&gt;0,(B17/$W17)*$BS17,0)</f>
        <v>7472.0041524016178</v>
      </c>
      <c r="C44" s="77">
        <f si="54" t="shared"/>
        <v>2054.1206562744619</v>
      </c>
      <c r="D44" s="77">
        <f si="54" t="shared"/>
        <v>5920.8048207717411</v>
      </c>
      <c r="E44" s="77">
        <f si="54" t="shared"/>
        <v>2691.1416600411171</v>
      </c>
      <c r="F44" s="77">
        <f si="54" t="shared"/>
        <v>3135.5846386609219</v>
      </c>
      <c r="G44" s="77">
        <f si="54" t="shared"/>
        <v>5951.6292489432226</v>
      </c>
      <c r="H44" s="77">
        <f si="54" t="shared"/>
        <v>3215.5452693592679</v>
      </c>
      <c r="I44" s="77">
        <f si="54" t="shared"/>
        <v>0</v>
      </c>
      <c r="J44" s="77">
        <f si="54" t="shared"/>
        <v>3565.0527107354642</v>
      </c>
      <c r="K44" s="77">
        <f si="54" t="shared"/>
        <v>871.2028910805808</v>
      </c>
      <c r="L44" s="77">
        <f si="54" t="shared"/>
        <v>15361.379741699311</v>
      </c>
      <c r="M44" s="77">
        <f si="54" t="shared"/>
        <v>3872.2044195715989</v>
      </c>
      <c r="N44" s="77">
        <f si="54" t="shared"/>
        <v>58.766008846000901</v>
      </c>
      <c r="O44" s="77">
        <f si="54" t="shared"/>
        <v>101.28780488085134</v>
      </c>
      <c r="P44" s="77">
        <f si="54" t="shared"/>
        <v>0</v>
      </c>
      <c r="Q44" s="77">
        <f si="54" t="shared"/>
        <v>896.96227034900426</v>
      </c>
      <c r="R44" s="77">
        <f si="54" t="shared"/>
        <v>1259.613589144582</v>
      </c>
      <c r="S44" s="77">
        <f si="54" t="shared"/>
        <v>1399.7534721137365</v>
      </c>
      <c r="T44" s="77">
        <f si="54" t="shared"/>
        <v>2398.9466451265203</v>
      </c>
      <c r="U44" s="77">
        <f si="54" t="shared"/>
        <v>0</v>
      </c>
      <c r="V44" s="77">
        <f si="54" t="shared"/>
        <v>0</v>
      </c>
      <c r="W44" s="77">
        <f si="54" t="shared"/>
        <v>60226</v>
      </c>
      <c r="Y44" s="95">
        <v>11</v>
      </c>
      <c r="Z44" s="77">
        <f ref="Z44:AT44" si="55" t="shared">IF($AU17&gt;0,(Z17/$AU17)*$BS17,0)</f>
        <v>5034.9104058998564</v>
      </c>
      <c r="AA44" s="77">
        <f si="55" t="shared"/>
        <v>6203.6064010022928</v>
      </c>
      <c r="AB44" s="77">
        <f si="55" t="shared"/>
        <v>2479.7276726604878</v>
      </c>
      <c r="AC44" s="77">
        <f si="55" t="shared"/>
        <v>2201.0584148407579</v>
      </c>
      <c r="AD44" s="77">
        <f si="55" t="shared"/>
        <v>1987.5548911573342</v>
      </c>
      <c r="AE44" s="77">
        <f si="55" t="shared"/>
        <v>9888.0427113142268</v>
      </c>
      <c r="AF44" s="77">
        <f si="55" t="shared"/>
        <v>2955.6090206295648</v>
      </c>
      <c r="AG44" s="77">
        <f si="55" t="shared"/>
        <v>912.32027790828454</v>
      </c>
      <c r="AH44" s="77">
        <f si="55" t="shared"/>
        <v>4092.5795925340622</v>
      </c>
      <c r="AI44" s="77">
        <f si="55" t="shared"/>
        <v>1236.4340608493858</v>
      </c>
      <c r="AJ44" s="77">
        <f si="55" t="shared"/>
        <v>10034.665613120915</v>
      </c>
      <c r="AK44" s="77">
        <f si="55" t="shared"/>
        <v>5095.7889206850896</v>
      </c>
      <c r="AL44" s="77">
        <f si="55" t="shared"/>
        <v>985.20300687652161</v>
      </c>
      <c r="AM44" s="77">
        <f si="55" t="shared"/>
        <v>617.35958655447826</v>
      </c>
      <c r="AN44" s="77">
        <f si="55" t="shared"/>
        <v>1202.1363060408034</v>
      </c>
      <c r="AO44" s="77">
        <f si="55" t="shared"/>
        <v>228.93751334728569</v>
      </c>
      <c r="AP44" s="77">
        <f si="55" t="shared"/>
        <v>839.43754894004758</v>
      </c>
      <c r="AQ44" s="77">
        <f si="55" t="shared"/>
        <v>326.68611455174477</v>
      </c>
      <c r="AR44" s="77">
        <f si="55" t="shared"/>
        <v>3707.5872948077276</v>
      </c>
      <c r="AS44" s="77">
        <f si="55" t="shared"/>
        <v>196.35464627913268</v>
      </c>
      <c r="AT44" s="77">
        <f si="55" t="shared"/>
        <v>0</v>
      </c>
      <c r="AU44" s="77">
        <f si="24" t="shared"/>
        <v>60226.000000000015</v>
      </c>
      <c r="AW44" s="95">
        <v>11</v>
      </c>
      <c r="AX44" s="15">
        <f ref="AX44:BR44" si="56" t="shared">AX17</f>
        <v>6382</v>
      </c>
      <c r="AY44" s="15">
        <f si="56" t="shared"/>
        <v>3256</v>
      </c>
      <c r="AZ44" s="15">
        <f si="56" t="shared"/>
        <v>2866</v>
      </c>
      <c r="BA44" s="15">
        <f si="56" t="shared"/>
        <v>809</v>
      </c>
      <c r="BB44" s="15">
        <f si="56" t="shared"/>
        <v>2158</v>
      </c>
      <c r="BC44" s="15">
        <f si="56" t="shared"/>
        <v>10078</v>
      </c>
      <c r="BD44" s="15">
        <f si="56" t="shared"/>
        <v>5140</v>
      </c>
      <c r="BE44" s="15">
        <f si="56" t="shared"/>
        <v>103</v>
      </c>
      <c r="BF44" s="15">
        <f si="56" t="shared"/>
        <v>4448</v>
      </c>
      <c r="BG44" s="15">
        <f si="56" t="shared"/>
        <v>770</v>
      </c>
      <c r="BH44" s="15">
        <f si="56" t="shared"/>
        <v>6025</v>
      </c>
      <c r="BI44" s="15">
        <f si="56" t="shared"/>
        <v>3509</v>
      </c>
      <c r="BJ44" s="15">
        <f si="56" t="shared"/>
        <v>1172</v>
      </c>
      <c r="BK44" s="15">
        <f si="56" t="shared"/>
        <v>348</v>
      </c>
      <c r="BL44" s="15">
        <f si="56" t="shared"/>
        <v>1498</v>
      </c>
      <c r="BM44" s="15">
        <f si="56" t="shared"/>
        <v>45</v>
      </c>
      <c r="BN44" s="15">
        <f si="56" t="shared"/>
        <v>5872</v>
      </c>
      <c r="BO44" s="15">
        <f si="56" t="shared"/>
        <v>490</v>
      </c>
      <c r="BP44" s="15">
        <f si="56" t="shared"/>
        <v>5248</v>
      </c>
      <c r="BQ44" s="15">
        <f si="56" t="shared"/>
        <v>9</v>
      </c>
      <c r="BR44" s="15">
        <f si="56" t="shared"/>
        <v>0</v>
      </c>
      <c r="BS44" s="15">
        <f si="26" t="shared"/>
        <v>60226</v>
      </c>
    </row>
    <row customFormat="1" r="45" s="95" spans="1:90" x14ac:dyDescent="0.25">
      <c r="A45" s="95">
        <v>12</v>
      </c>
      <c r="B45" s="77">
        <f ref="B45:W45" si="57" t="shared">IF($W18&gt;0,(B18/$W18)*$BS18,0)</f>
        <v>16008.473091853622</v>
      </c>
      <c r="C45" s="77">
        <f si="57" t="shared"/>
        <v>2406.3181021525729</v>
      </c>
      <c r="D45" s="77">
        <f si="57" t="shared"/>
        <v>1839.8706420691387</v>
      </c>
      <c r="E45" s="77">
        <f si="57" t="shared"/>
        <v>5241.3871503079417</v>
      </c>
      <c r="F45" s="77">
        <f si="57" t="shared"/>
        <v>2879.7822211774005</v>
      </c>
      <c r="G45" s="77">
        <f si="57" t="shared"/>
        <v>25274.848026154385</v>
      </c>
      <c r="H45" s="77">
        <f si="57" t="shared"/>
        <v>8059.8192794995239</v>
      </c>
      <c r="I45" s="77">
        <f si="57" t="shared"/>
        <v>0</v>
      </c>
      <c r="J45" s="77">
        <f si="57" t="shared"/>
        <v>5066.1600685557651</v>
      </c>
      <c r="K45" s="77">
        <f si="57" t="shared"/>
        <v>2236.8327854338254</v>
      </c>
      <c r="L45" s="77">
        <f si="57" t="shared"/>
        <v>739.62522249654091</v>
      </c>
      <c r="M45" s="77">
        <f si="57" t="shared"/>
        <v>57196.313363331166</v>
      </c>
      <c r="N45" s="77">
        <f si="57" t="shared"/>
        <v>952.06557284859355</v>
      </c>
      <c r="O45" s="77">
        <f si="57" t="shared"/>
        <v>42.340550982899536</v>
      </c>
      <c r="P45" s="77">
        <f si="57" t="shared"/>
        <v>0</v>
      </c>
      <c r="Q45" s="77">
        <f si="57" t="shared"/>
        <v>422.28679537490802</v>
      </c>
      <c r="R45" s="77">
        <f si="57" t="shared"/>
        <v>0</v>
      </c>
      <c r="S45" s="77">
        <f si="57" t="shared"/>
        <v>1406.0914490031137</v>
      </c>
      <c r="T45" s="77">
        <f si="57" t="shared"/>
        <v>0</v>
      </c>
      <c r="U45" s="77">
        <f si="57" t="shared"/>
        <v>788.78567875860949</v>
      </c>
      <c r="V45" s="77">
        <f si="57" t="shared"/>
        <v>0</v>
      </c>
      <c r="W45" s="77">
        <f si="57" t="shared"/>
        <v>130561</v>
      </c>
      <c r="Y45" s="95">
        <v>12</v>
      </c>
      <c r="Z45" s="77">
        <f ref="Z45:AT45" si="58" t="shared">IF($AU18&gt;0,(Z18/$AU18)*$BS18,0)</f>
        <v>9975.7815793902118</v>
      </c>
      <c r="AA45" s="77">
        <f si="58" t="shared"/>
        <v>9039.0228326219658</v>
      </c>
      <c r="AB45" s="77">
        <f si="58" t="shared"/>
        <v>2216.0636024293608</v>
      </c>
      <c r="AC45" s="77">
        <f si="58" t="shared"/>
        <v>2506.6785228020253</v>
      </c>
      <c r="AD45" s="77">
        <f si="58" t="shared"/>
        <v>3405.487554882433</v>
      </c>
      <c r="AE45" s="77">
        <f si="58" t="shared"/>
        <v>25665.991249407194</v>
      </c>
      <c r="AF45" s="77">
        <f si="58" t="shared"/>
        <v>9178.837570945585</v>
      </c>
      <c r="AG45" s="77">
        <f si="58" t="shared"/>
        <v>469.37805008643505</v>
      </c>
      <c r="AH45" s="77">
        <f si="58" t="shared"/>
        <v>5323.9455000229473</v>
      </c>
      <c r="AI45" s="77">
        <f si="58" t="shared"/>
        <v>2939.105534902933</v>
      </c>
      <c r="AJ45" s="77">
        <f si="58" t="shared"/>
        <v>2951.0896553306716</v>
      </c>
      <c r="AK45" s="77">
        <f si="58" t="shared"/>
        <v>45800.312244710636</v>
      </c>
      <c r="AL45" s="77">
        <f si="58" t="shared"/>
        <v>3220.7323649547939</v>
      </c>
      <c r="AM45" s="77">
        <f si="58" t="shared"/>
        <v>289.61624367035353</v>
      </c>
      <c r="AN45" s="77">
        <f si="58" t="shared"/>
        <v>1213.3921933085503</v>
      </c>
      <c r="AO45" s="77">
        <f si="58" t="shared"/>
        <v>763.98767726834649</v>
      </c>
      <c r="AP45" s="77">
        <f si="58" t="shared"/>
        <v>267.64535621949915</v>
      </c>
      <c r="AQ45" s="77">
        <f si="58" t="shared"/>
        <v>3554.2903835268557</v>
      </c>
      <c r="AR45" s="77">
        <f si="58" t="shared"/>
        <v>572.24175042452612</v>
      </c>
      <c r="AS45" s="77">
        <f si="58" t="shared"/>
        <v>1207.4001330946808</v>
      </c>
      <c r="AT45" s="77">
        <f si="58" t="shared"/>
        <v>0</v>
      </c>
      <c r="AU45" s="77">
        <f si="24" t="shared"/>
        <v>130561.00000000001</v>
      </c>
      <c r="AW45" s="95">
        <v>12</v>
      </c>
      <c r="AX45" s="15">
        <f ref="AX45:BR45" si="59" t="shared">AX18</f>
        <v>9891</v>
      </c>
      <c r="AY45" s="15">
        <f si="59" t="shared"/>
        <v>6034</v>
      </c>
      <c r="AZ45" s="15">
        <f si="59" t="shared"/>
        <v>2482</v>
      </c>
      <c r="BA45" s="15">
        <f si="59" t="shared"/>
        <v>669</v>
      </c>
      <c r="BB45" s="15">
        <f si="59" t="shared"/>
        <v>3192</v>
      </c>
      <c r="BC45" s="15">
        <f si="59" t="shared"/>
        <v>22461</v>
      </c>
      <c r="BD45" s="15">
        <f si="59" t="shared"/>
        <v>20857</v>
      </c>
      <c r="BE45" s="15">
        <f si="59" t="shared"/>
        <v>42</v>
      </c>
      <c r="BF45" s="15">
        <f si="59" t="shared"/>
        <v>4576</v>
      </c>
      <c r="BG45" s="15">
        <f si="59" t="shared"/>
        <v>3579</v>
      </c>
      <c r="BH45" s="15">
        <f si="59" t="shared"/>
        <v>948</v>
      </c>
      <c r="BI45" s="15">
        <f si="59" t="shared"/>
        <v>33882</v>
      </c>
      <c r="BJ45" s="15">
        <f si="59" t="shared"/>
        <v>7880</v>
      </c>
      <c r="BK45" s="15">
        <f si="59" t="shared"/>
        <v>103</v>
      </c>
      <c r="BL45" s="15">
        <f si="59" t="shared"/>
        <v>1034</v>
      </c>
      <c r="BM45" s="15">
        <f si="59" t="shared"/>
        <v>281</v>
      </c>
      <c r="BN45" s="15">
        <f si="59" t="shared"/>
        <v>1363</v>
      </c>
      <c r="BO45" s="15">
        <f si="59" t="shared"/>
        <v>10190</v>
      </c>
      <c r="BP45" s="15">
        <f si="59" t="shared"/>
        <v>656</v>
      </c>
      <c r="BQ45" s="15">
        <f si="59" t="shared"/>
        <v>441</v>
      </c>
      <c r="BR45" s="15">
        <f si="59" t="shared"/>
        <v>0</v>
      </c>
      <c r="BS45" s="15">
        <f si="26" t="shared"/>
        <v>130561</v>
      </c>
    </row>
    <row customFormat="1" r="46" s="95" spans="1:90" x14ac:dyDescent="0.25">
      <c r="A46" s="95">
        <v>13</v>
      </c>
      <c r="B46" s="77">
        <f ref="B46:W46" si="60" t="shared">IF($W19&gt;0,(B19/$W19)*$BS19,0)</f>
        <v>5780.7970066473326</v>
      </c>
      <c r="C46" s="77">
        <f si="60" t="shared"/>
        <v>873.66079737177313</v>
      </c>
      <c r="D46" s="77">
        <f si="60" t="shared"/>
        <v>389.8037138742726</v>
      </c>
      <c r="E46" s="77">
        <f si="60" t="shared"/>
        <v>1454.4121082908434</v>
      </c>
      <c r="F46" s="77">
        <f si="60" t="shared"/>
        <v>1206.4573690671973</v>
      </c>
      <c r="G46" s="77">
        <f si="60" t="shared"/>
        <v>3222.9803133804862</v>
      </c>
      <c r="H46" s="77">
        <f si="60" t="shared"/>
        <v>23471.645380770988</v>
      </c>
      <c r="I46" s="77">
        <f si="60" t="shared"/>
        <v>764.31454730777034</v>
      </c>
      <c r="J46" s="77">
        <f si="60" t="shared"/>
        <v>1382.1708188221869</v>
      </c>
      <c r="K46" s="77">
        <f si="60" t="shared"/>
        <v>620.66801395105529</v>
      </c>
      <c r="L46" s="77">
        <f si="60" t="shared"/>
        <v>1332.1198961395444</v>
      </c>
      <c r="M46" s="77">
        <f si="60" t="shared"/>
        <v>6460.2433671136887</v>
      </c>
      <c r="N46" s="77">
        <f si="60" t="shared"/>
        <v>49586.659262395413</v>
      </c>
      <c r="O46" s="77">
        <f si="60" t="shared"/>
        <v>152.02450445445507</v>
      </c>
      <c r="P46" s="77">
        <f si="60" t="shared"/>
        <v>2124.0781767964736</v>
      </c>
      <c r="Q46" s="77">
        <f si="60" t="shared"/>
        <v>0</v>
      </c>
      <c r="R46" s="77">
        <f si="60" t="shared"/>
        <v>0</v>
      </c>
      <c r="S46" s="77">
        <f si="60" t="shared"/>
        <v>2415.9647236165265</v>
      </c>
      <c r="T46" s="77">
        <f si="60" t="shared"/>
        <v>0</v>
      </c>
      <c r="U46" s="77">
        <f si="60" t="shared"/>
        <v>0</v>
      </c>
      <c r="V46" s="77">
        <f si="60" t="shared"/>
        <v>0</v>
      </c>
      <c r="W46" s="77">
        <f si="60" t="shared"/>
        <v>101238</v>
      </c>
      <c r="Y46" s="95">
        <v>13</v>
      </c>
      <c r="Z46" s="77">
        <f ref="Z46:AT46" si="61" t="shared">IF($AU19&gt;0,(Z19/$AU19)*$BS19,0)</f>
        <v>4036.6626280727728</v>
      </c>
      <c r="AA46" s="77">
        <f si="61" t="shared"/>
        <v>4492.1922162920255</v>
      </c>
      <c r="AB46" s="77">
        <f si="61" t="shared"/>
        <v>1191.0816938719856</v>
      </c>
      <c r="AC46" s="77">
        <f si="61" t="shared"/>
        <v>1369.5467489968444</v>
      </c>
      <c r="AD46" s="77">
        <f si="61" t="shared"/>
        <v>1506.6000233744983</v>
      </c>
      <c r="AE46" s="77">
        <f si="61" t="shared"/>
        <v>7993.4596789902216</v>
      </c>
      <c r="AF46" s="77">
        <f si="61" t="shared"/>
        <v>16404.981144571273</v>
      </c>
      <c r="AG46" s="77">
        <f si="61" t="shared"/>
        <v>391.43992753905491</v>
      </c>
      <c r="AH46" s="77">
        <f si="61" t="shared"/>
        <v>5026.6013868869068</v>
      </c>
      <c r="AI46" s="77">
        <f si="61" t="shared"/>
        <v>1276.8632397054812</v>
      </c>
      <c r="AJ46" s="77">
        <f si="61" t="shared"/>
        <v>2216.516264755152</v>
      </c>
      <c r="AK46" s="77">
        <f si="61" t="shared"/>
        <v>12790.32428220811</v>
      </c>
      <c r="AL46" s="77">
        <f si="61" t="shared"/>
        <v>34287.968463905876</v>
      </c>
      <c r="AM46" s="77">
        <f si="61" t="shared"/>
        <v>216.91885153297753</v>
      </c>
      <c r="AN46" s="77">
        <f si="61" t="shared"/>
        <v>3383.9340839144493</v>
      </c>
      <c r="AO46" s="77">
        <f si="61" t="shared"/>
        <v>261.28861661926834</v>
      </c>
      <c r="AP46" s="77">
        <f si="61" t="shared"/>
        <v>297.77042346799641</v>
      </c>
      <c r="AQ46" s="77">
        <f si="61" t="shared"/>
        <v>2526.1186255794928</v>
      </c>
      <c r="AR46" s="77">
        <f si="61" t="shared"/>
        <v>677.3784136507071</v>
      </c>
      <c r="AS46" s="77">
        <f si="61" t="shared"/>
        <v>890.35328606490327</v>
      </c>
      <c r="AT46" s="77">
        <f si="61" t="shared"/>
        <v>0</v>
      </c>
      <c r="AU46" s="77">
        <f si="24" t="shared"/>
        <v>101237.99999999997</v>
      </c>
      <c r="AW46" s="95">
        <v>13</v>
      </c>
      <c r="AX46" s="15">
        <f ref="AX46:BR46" si="62" t="shared">AX19</f>
        <v>2280</v>
      </c>
      <c r="AY46" s="15">
        <f si="62" t="shared"/>
        <v>1667</v>
      </c>
      <c r="AZ46" s="15">
        <f si="62" t="shared"/>
        <v>569</v>
      </c>
      <c r="BA46" s="15">
        <f si="62" t="shared"/>
        <v>146</v>
      </c>
      <c r="BB46" s="15">
        <f si="62" t="shared"/>
        <v>602</v>
      </c>
      <c r="BC46" s="15">
        <f si="62" t="shared"/>
        <v>4388</v>
      </c>
      <c r="BD46" s="15">
        <f si="62" t="shared"/>
        <v>17659</v>
      </c>
      <c r="BE46" s="15">
        <f si="62" t="shared"/>
        <v>10</v>
      </c>
      <c r="BF46" s="15">
        <f si="62" t="shared"/>
        <v>2684</v>
      </c>
      <c r="BG46" s="15">
        <f si="62" t="shared"/>
        <v>412</v>
      </c>
      <c r="BH46" s="15">
        <f si="62" t="shared"/>
        <v>307</v>
      </c>
      <c r="BI46" s="15">
        <f si="62" t="shared"/>
        <v>6375</v>
      </c>
      <c r="BJ46" s="15">
        <f si="62" t="shared"/>
        <v>53444</v>
      </c>
      <c r="BK46" s="15">
        <f si="62" t="shared"/>
        <v>17</v>
      </c>
      <c r="BL46" s="15">
        <f si="62" t="shared"/>
        <v>3555</v>
      </c>
      <c r="BM46" s="15">
        <f si="62" t="shared"/>
        <v>15</v>
      </c>
      <c r="BN46" s="15">
        <f si="62" t="shared"/>
        <v>523</v>
      </c>
      <c r="BO46" s="15">
        <f si="62" t="shared"/>
        <v>5868</v>
      </c>
      <c r="BP46" s="15">
        <f si="62" t="shared"/>
        <v>560</v>
      </c>
      <c r="BQ46" s="15">
        <f si="62" t="shared"/>
        <v>157</v>
      </c>
      <c r="BR46" s="15">
        <f si="62" t="shared"/>
        <v>0</v>
      </c>
      <c r="BS46" s="15">
        <f si="26" t="shared"/>
        <v>101238</v>
      </c>
    </row>
    <row customFormat="1" r="47" s="95" spans="1:90" x14ac:dyDescent="0.25">
      <c r="A47" s="95">
        <v>14</v>
      </c>
      <c r="B47" s="77">
        <f ref="B47:W47" si="63" t="shared">IF($W20&gt;0,(B20/$W20)*$BS20,0)</f>
        <v>3872.2082982405077</v>
      </c>
      <c r="C47" s="77">
        <f si="63" t="shared"/>
        <v>1134.5654065993851</v>
      </c>
      <c r="D47" s="77">
        <f si="63" t="shared"/>
        <v>92.352006465179102</v>
      </c>
      <c r="E47" s="77">
        <f si="63" t="shared"/>
        <v>110.33824303891674</v>
      </c>
      <c r="F47" s="77">
        <f si="63" t="shared"/>
        <v>441.52765832874923</v>
      </c>
      <c r="G47" s="77">
        <f si="63" t="shared"/>
        <v>1790.7376754927673</v>
      </c>
      <c r="H47" s="77">
        <f si="63" t="shared"/>
        <v>628.34908418238933</v>
      </c>
      <c r="I47" s="77">
        <f si="63" t="shared"/>
        <v>62.062510676628122</v>
      </c>
      <c r="J47" s="77">
        <f si="63" t="shared"/>
        <v>763.49751466725832</v>
      </c>
      <c r="K47" s="77">
        <f si="63" t="shared"/>
        <v>342.21267547973099</v>
      </c>
      <c r="L47" s="77">
        <f si="63" t="shared"/>
        <v>1990.5951679124221</v>
      </c>
      <c r="M47" s="77">
        <f si="63" t="shared"/>
        <v>1235.326601712944</v>
      </c>
      <c r="N47" s="77">
        <f si="63" t="shared"/>
        <v>0</v>
      </c>
      <c r="O47" s="77">
        <f si="63" t="shared"/>
        <v>10764.750364080486</v>
      </c>
      <c r="P47" s="77">
        <f si="63" t="shared"/>
        <v>0</v>
      </c>
      <c r="Q47" s="77">
        <f si="63" t="shared"/>
        <v>0</v>
      </c>
      <c r="R47" s="77">
        <f si="63" t="shared"/>
        <v>951.76895970125599</v>
      </c>
      <c r="S47" s="77">
        <f si="63" t="shared"/>
        <v>0</v>
      </c>
      <c r="T47" s="77">
        <f si="63" t="shared"/>
        <v>43.707833421380592</v>
      </c>
      <c r="U47" s="77">
        <f si="63" t="shared"/>
        <v>0</v>
      </c>
      <c r="V47" s="77">
        <f si="63" t="shared"/>
        <v>0</v>
      </c>
      <c r="W47" s="77">
        <f si="63" t="shared"/>
        <v>24224</v>
      </c>
      <c r="Y47" s="95">
        <v>14</v>
      </c>
      <c r="Z47" s="77">
        <f ref="Z47:AT47" si="64" t="shared">IF($AU20&gt;0,(Z20/$AU20)*$BS20,0)</f>
        <v>1505.9544897124949</v>
      </c>
      <c r="AA47" s="77">
        <f si="64" t="shared"/>
        <v>2101.7348412590272</v>
      </c>
      <c r="AB47" s="77">
        <f si="64" t="shared"/>
        <v>682.42430848889501</v>
      </c>
      <c r="AC47" s="77">
        <f si="64" t="shared"/>
        <v>760.81646000817545</v>
      </c>
      <c r="AD47" s="77">
        <f si="64" t="shared"/>
        <v>717.08189126584011</v>
      </c>
      <c r="AE47" s="77">
        <f si="64" t="shared"/>
        <v>2855.1246763864287</v>
      </c>
      <c r="AF47" s="77">
        <f si="64" t="shared"/>
        <v>938.230276604442</v>
      </c>
      <c r="AG47" s="77">
        <f si="64" t="shared"/>
        <v>526.46518599264209</v>
      </c>
      <c r="AH47" s="77">
        <f si="64" t="shared"/>
        <v>1038.0771222237363</v>
      </c>
      <c r="AI47" s="77">
        <f si="64" t="shared"/>
        <v>529.7659081618749</v>
      </c>
      <c r="AJ47" s="77">
        <f si="64" t="shared"/>
        <v>2395.4991143207521</v>
      </c>
      <c r="AK47" s="77">
        <f si="64" t="shared"/>
        <v>1799.7187627742201</v>
      </c>
      <c r="AL47" s="77">
        <f si="64" t="shared"/>
        <v>407.63918790025889</v>
      </c>
      <c r="AM47" s="77">
        <f si="64" t="shared"/>
        <v>5155.7280283417358</v>
      </c>
      <c r="AN47" s="77">
        <f si="64" t="shared"/>
        <v>283.86210655402641</v>
      </c>
      <c r="AO47" s="77">
        <f si="64" t="shared"/>
        <v>113.87491483853385</v>
      </c>
      <c r="AP47" s="77">
        <f si="64" t="shared"/>
        <v>1297.1838125085162</v>
      </c>
      <c r="AQ47" s="77">
        <f si="64" t="shared"/>
        <v>152.65840032702005</v>
      </c>
      <c r="AR47" s="77">
        <f si="64" t="shared"/>
        <v>795.47404278512067</v>
      </c>
      <c r="AS47" s="77">
        <f si="64" t="shared"/>
        <v>166.6864695462597</v>
      </c>
      <c r="AT47" s="77">
        <f si="64" t="shared"/>
        <v>0</v>
      </c>
      <c r="AU47" s="77">
        <f si="24" t="shared"/>
        <v>24224</v>
      </c>
      <c r="AW47" s="95">
        <v>14</v>
      </c>
      <c r="AX47" s="15">
        <f ref="AX47:BR47" si="65" t="shared">AX20</f>
        <v>2110</v>
      </c>
      <c r="AY47" s="15">
        <f si="65" t="shared"/>
        <v>997</v>
      </c>
      <c r="AZ47" s="15">
        <f si="65" t="shared"/>
        <v>890</v>
      </c>
      <c r="BA47" s="15">
        <f si="65" t="shared"/>
        <v>288</v>
      </c>
      <c r="BB47" s="15">
        <f si="65" t="shared"/>
        <v>812</v>
      </c>
      <c r="BC47" s="15">
        <f si="65" t="shared"/>
        <v>3410</v>
      </c>
      <c r="BD47" s="15">
        <f si="65" t="shared"/>
        <v>1641</v>
      </c>
      <c r="BE47" s="15">
        <f si="65" t="shared"/>
        <v>48</v>
      </c>
      <c r="BF47" s="15">
        <f si="65" t="shared"/>
        <v>884</v>
      </c>
      <c r="BG47" s="15">
        <f si="65" t="shared"/>
        <v>278</v>
      </c>
      <c r="BH47" s="15">
        <f si="65" t="shared"/>
        <v>1469</v>
      </c>
      <c r="BI47" s="15">
        <f si="65" t="shared"/>
        <v>1237</v>
      </c>
      <c r="BJ47" s="15">
        <f si="65" t="shared"/>
        <v>303</v>
      </c>
      <c r="BK47" s="15">
        <f si="65" t="shared"/>
        <v>3740</v>
      </c>
      <c r="BL47" s="15">
        <f si="65" t="shared"/>
        <v>197</v>
      </c>
      <c r="BM47" s="15">
        <f si="65" t="shared"/>
        <v>18</v>
      </c>
      <c r="BN47" s="15">
        <f si="65" t="shared"/>
        <v>4611</v>
      </c>
      <c r="BO47" s="15">
        <f si="65" t="shared"/>
        <v>187</v>
      </c>
      <c r="BP47" s="15">
        <f si="65" t="shared"/>
        <v>1099</v>
      </c>
      <c r="BQ47" s="15">
        <f si="65" t="shared"/>
        <v>5</v>
      </c>
      <c r="BR47" s="15">
        <f si="65" t="shared"/>
        <v>0</v>
      </c>
      <c r="BS47" s="15">
        <f si="26" t="shared"/>
        <v>24224</v>
      </c>
    </row>
    <row customFormat="1" r="48" s="95" spans="1:90" x14ac:dyDescent="0.25">
      <c r="A48" s="95">
        <v>15</v>
      </c>
      <c r="B48" s="77">
        <f ref="B48:W48" si="66" t="shared">IF($W21&gt;0,(B21/$W21)*$BS21,0)</f>
        <v>2318.3305935748585</v>
      </c>
      <c r="C48" s="77">
        <f si="66" t="shared"/>
        <v>3107.392272905116</v>
      </c>
      <c r="D48" s="77">
        <f si="66" t="shared"/>
        <v>1209.2424960622768</v>
      </c>
      <c r="E48" s="77">
        <f si="66" t="shared"/>
        <v>711.87579482017918</v>
      </c>
      <c r="F48" s="77">
        <f si="66" t="shared"/>
        <v>412.69368249689683</v>
      </c>
      <c r="G48" s="77">
        <f si="66" t="shared"/>
        <v>1650.5396860390999</v>
      </c>
      <c r="H48" s="77">
        <f si="66" t="shared"/>
        <v>2923.2489553267724</v>
      </c>
      <c r="I48" s="77">
        <f si="66" t="shared"/>
        <v>0</v>
      </c>
      <c r="J48" s="77">
        <f si="66" t="shared"/>
        <v>5603.8916279005698</v>
      </c>
      <c r="K48" s="77">
        <f si="66" t="shared"/>
        <v>489.90624495155112</v>
      </c>
      <c r="L48" s="77">
        <f si="66" t="shared"/>
        <v>867.29895798078053</v>
      </c>
      <c r="M48" s="77">
        <f si="66" t="shared"/>
        <v>1247.780430661034</v>
      </c>
      <c r="N48" s="77">
        <f si="66" t="shared"/>
        <v>5209.0774380001967</v>
      </c>
      <c r="O48" s="77">
        <f si="66" t="shared"/>
        <v>0</v>
      </c>
      <c r="P48" s="77">
        <f si="66" t="shared"/>
        <v>15731.438947883256</v>
      </c>
      <c r="Q48" s="77">
        <f si="66" t="shared"/>
        <v>0</v>
      </c>
      <c r="R48" s="77">
        <f si="66" t="shared"/>
        <v>0</v>
      </c>
      <c r="S48" s="77">
        <f si="66" t="shared"/>
        <v>0</v>
      </c>
      <c r="T48" s="77">
        <f si="66" t="shared"/>
        <v>105.28287139740685</v>
      </c>
      <c r="U48" s="77">
        <f si="66" t="shared"/>
        <v>0</v>
      </c>
      <c r="V48" s="77">
        <f si="66" t="shared"/>
        <v>0</v>
      </c>
      <c r="W48" s="77">
        <f si="66" t="shared"/>
        <v>41588</v>
      </c>
      <c r="Y48" s="95">
        <v>15</v>
      </c>
      <c r="Z48" s="77">
        <f ref="Z48:AT48" si="67" t="shared">IF($AU21&gt;0,(Z21/$AU21)*$BS21,0)</f>
        <v>2060.4268324899917</v>
      </c>
      <c r="AA48" s="77">
        <f si="67" t="shared"/>
        <v>2884.4285394948079</v>
      </c>
      <c r="AB48" s="77">
        <f si="67" t="shared"/>
        <v>610.18382816151518</v>
      </c>
      <c r="AC48" s="77">
        <f si="67" t="shared"/>
        <v>660.04649555975527</v>
      </c>
      <c r="AD48" s="77">
        <f si="67" t="shared"/>
        <v>842.59456603466833</v>
      </c>
      <c r="AE48" s="77">
        <f si="67" t="shared"/>
        <v>4075.2166473612551</v>
      </c>
      <c r="AF48" s="77">
        <f si="67" t="shared"/>
        <v>3923.9383852547298</v>
      </c>
      <c r="AG48" s="77">
        <f si="67" t="shared"/>
        <v>218.04352862281289</v>
      </c>
      <c r="AH48" s="77">
        <f si="67" t="shared"/>
        <v>4556.9407222256095</v>
      </c>
      <c r="AI48" s="77">
        <f si="67" t="shared"/>
        <v>557.78577089556791</v>
      </c>
      <c r="AJ48" s="77">
        <f si="67" t="shared"/>
        <v>1553.3488589485662</v>
      </c>
      <c r="AK48" s="77">
        <f si="67" t="shared"/>
        <v>3517.4308764656871</v>
      </c>
      <c r="AL48" s="77">
        <f si="67" t="shared"/>
        <v>3950.1374138877031</v>
      </c>
      <c r="AM48" s="77">
        <f si="67" t="shared"/>
        <v>138.60131276798958</v>
      </c>
      <c r="AN48" s="77">
        <f si="67" t="shared"/>
        <v>10106.90914263651</v>
      </c>
      <c r="AO48" s="77">
        <f si="67" t="shared"/>
        <v>105.64124448779694</v>
      </c>
      <c r="AP48" s="77">
        <f si="67" t="shared"/>
        <v>205.36657928427729</v>
      </c>
      <c r="AQ48" s="77">
        <f si="67" t="shared"/>
        <v>383.68899997967856</v>
      </c>
      <c r="AR48" s="77">
        <f si="67" t="shared"/>
        <v>1056.4124448779696</v>
      </c>
      <c r="AS48" s="77">
        <f si="67" t="shared"/>
        <v>180.85781056310839</v>
      </c>
      <c r="AT48" s="77">
        <f si="67" t="shared"/>
        <v>0</v>
      </c>
      <c r="AU48" s="77">
        <f si="24" t="shared"/>
        <v>41588.000000000007</v>
      </c>
      <c r="AW48" s="95">
        <v>15</v>
      </c>
      <c r="AX48" s="15">
        <f ref="AX48:BR48" si="68" t="shared">AX21</f>
        <v>1169</v>
      </c>
      <c r="AY48" s="15">
        <f si="68" t="shared"/>
        <v>1038</v>
      </c>
      <c r="AZ48" s="15">
        <f si="68" t="shared"/>
        <v>344</v>
      </c>
      <c r="BA48" s="15">
        <f si="68" t="shared"/>
        <v>101</v>
      </c>
      <c r="BB48" s="15">
        <f si="68" t="shared"/>
        <v>369</v>
      </c>
      <c r="BC48" s="15">
        <f si="68" t="shared"/>
        <v>2382</v>
      </c>
      <c r="BD48" s="15">
        <f si="68" t="shared"/>
        <v>3825</v>
      </c>
      <c r="BE48" s="15">
        <f si="68" t="shared"/>
        <v>7</v>
      </c>
      <c r="BF48" s="15">
        <f si="68" t="shared"/>
        <v>2930</v>
      </c>
      <c r="BG48" s="15">
        <f si="68" t="shared"/>
        <v>197</v>
      </c>
      <c r="BH48" s="15">
        <f si="68" t="shared"/>
        <v>329</v>
      </c>
      <c r="BI48" s="15">
        <f si="68" t="shared"/>
        <v>1625</v>
      </c>
      <c r="BJ48" s="15">
        <f si="68" t="shared"/>
        <v>8280</v>
      </c>
      <c r="BK48" s="15">
        <f si="68" t="shared"/>
        <v>34</v>
      </c>
      <c r="BL48" s="15">
        <f si="68" t="shared"/>
        <v>15153</v>
      </c>
      <c r="BM48" s="15">
        <f si="68" t="shared"/>
        <v>9</v>
      </c>
      <c r="BN48" s="15">
        <f si="68" t="shared"/>
        <v>449</v>
      </c>
      <c r="BO48" s="15">
        <f si="68" t="shared"/>
        <v>465</v>
      </c>
      <c r="BP48" s="15">
        <f si="68" t="shared"/>
        <v>2872</v>
      </c>
      <c r="BQ48" s="15">
        <f si="68" t="shared"/>
        <v>10</v>
      </c>
      <c r="BR48" s="15">
        <f si="68" t="shared"/>
        <v>0</v>
      </c>
      <c r="BS48" s="15">
        <f si="26" t="shared"/>
        <v>41588</v>
      </c>
    </row>
    <row customFormat="1" r="49" s="95" spans="1:71" x14ac:dyDescent="0.25">
      <c r="A49" s="95">
        <v>16</v>
      </c>
      <c r="B49" s="77">
        <f ref="B49:W49" si="69" t="shared">IF($W22&gt;0,(B22/$W22)*$BS22,0)</f>
        <v>481.80191312143006</v>
      </c>
      <c r="C49" s="77">
        <f si="69" t="shared"/>
        <v>437.4572428635766</v>
      </c>
      <c r="D49" s="77">
        <f si="69" t="shared"/>
        <v>888.40125336585891</v>
      </c>
      <c r="E49" s="77">
        <f si="69" t="shared"/>
        <v>560.15590701957149</v>
      </c>
      <c r="F49" s="77">
        <f si="69" t="shared"/>
        <v>997.20311176514224</v>
      </c>
      <c r="G49" s="77">
        <f si="69" t="shared"/>
        <v>5150.9121365525643</v>
      </c>
      <c r="H49" s="77">
        <f si="69" t="shared"/>
        <v>632.93838480804141</v>
      </c>
      <c r="I49" s="77">
        <f si="69" t="shared"/>
        <v>800.05605856723264</v>
      </c>
      <c r="J49" s="77">
        <f si="69" t="shared"/>
        <v>855.70030908211538</v>
      </c>
      <c r="K49" s="77">
        <f si="69" t="shared"/>
        <v>936.78260199729846</v>
      </c>
      <c r="L49" s="77">
        <f si="69" t="shared"/>
        <v>0</v>
      </c>
      <c r="M49" s="77">
        <f si="69" t="shared"/>
        <v>5030.2697628279839</v>
      </c>
      <c r="N49" s="77">
        <f si="69" t="shared"/>
        <v>0</v>
      </c>
      <c r="O49" s="77">
        <f si="69" t="shared"/>
        <v>0</v>
      </c>
      <c r="P49" s="77">
        <f si="69" t="shared"/>
        <v>0</v>
      </c>
      <c r="Q49" s="77">
        <f si="69" t="shared"/>
        <v>216.32131802918533</v>
      </c>
      <c r="R49" s="77">
        <f si="69" t="shared"/>
        <v>0</v>
      </c>
      <c r="S49" s="77">
        <f si="69" t="shared"/>
        <v>0</v>
      </c>
      <c r="T49" s="77">
        <f si="69" t="shared"/>
        <v>0</v>
      </c>
      <c r="U49" s="77">
        <f si="69" t="shared"/>
        <v>0</v>
      </c>
      <c r="V49" s="77">
        <f si="69" t="shared"/>
        <v>0</v>
      </c>
      <c r="W49" s="77">
        <f si="69" t="shared"/>
        <v>16988</v>
      </c>
      <c r="Y49" s="95">
        <v>16</v>
      </c>
      <c r="Z49" s="77">
        <f ref="Z49:AT49" si="70" t="shared">IF($AU22&gt;0,(Z22/$AU22)*$BS22,0)</f>
        <v>1377.6604332531012</v>
      </c>
      <c r="AA49" s="77">
        <f si="70" t="shared"/>
        <v>1345.4206628402146</v>
      </c>
      <c r="AB49" s="77">
        <f si="70" t="shared"/>
        <v>282.29457507868915</v>
      </c>
      <c r="AC49" s="77">
        <f si="70" t="shared"/>
        <v>482.02388446583967</v>
      </c>
      <c r="AD49" s="77">
        <f si="70" t="shared"/>
        <v>719.49731531197926</v>
      </c>
      <c r="AE49" s="77">
        <f si="70" t="shared"/>
        <v>4122.7589335308276</v>
      </c>
      <c r="AF49" s="77">
        <f si="70" t="shared"/>
        <v>561.44380670246244</v>
      </c>
      <c r="AG49" s="77">
        <f si="70" t="shared"/>
        <v>92.787631920014803</v>
      </c>
      <c r="AH49" s="77">
        <f si="70" t="shared"/>
        <v>481.23754860211073</v>
      </c>
      <c r="AI49" s="77">
        <f si="70" t="shared"/>
        <v>1168.4950935012034</v>
      </c>
      <c r="AJ49" s="77">
        <f si="70" t="shared"/>
        <v>342.0561007220885</v>
      </c>
      <c r="AK49" s="77">
        <f si="70" t="shared"/>
        <v>3996.1588594704681</v>
      </c>
      <c r="AL49" s="77">
        <f si="70" t="shared"/>
        <v>309.81633030920199</v>
      </c>
      <c r="AM49" s="77">
        <f si="70" t="shared"/>
        <v>48.752823551194219</v>
      </c>
      <c r="AN49" s="77">
        <f si="70" t="shared"/>
        <v>104.58266987594889</v>
      </c>
      <c r="AO49" s="77">
        <f si="70" t="shared"/>
        <v>866.54212182929086</v>
      </c>
      <c r="AP49" s="77">
        <f si="70" t="shared"/>
        <v>25.162747639326053</v>
      </c>
      <c r="AQ49" s="77">
        <f si="70" t="shared"/>
        <v>419.90335123125345</v>
      </c>
      <c r="AR49" s="77">
        <f si="70" t="shared"/>
        <v>77.847250509164965</v>
      </c>
      <c r="AS49" s="77">
        <f si="70" t="shared"/>
        <v>163.55785965561932</v>
      </c>
      <c r="AT49" s="77">
        <f si="70" t="shared"/>
        <v>0</v>
      </c>
      <c r="AU49" s="77">
        <f si="24" t="shared"/>
        <v>16988</v>
      </c>
      <c r="AW49" s="95">
        <v>16</v>
      </c>
      <c r="AX49" s="15">
        <f ref="AX49:BR49" si="71" t="shared">AX22</f>
        <v>1635</v>
      </c>
      <c r="AY49" s="15">
        <f si="71" t="shared"/>
        <v>787</v>
      </c>
      <c r="AZ49" s="15">
        <f si="71" t="shared"/>
        <v>429</v>
      </c>
      <c r="BA49" s="15">
        <f si="71" t="shared"/>
        <v>136</v>
      </c>
      <c r="BB49" s="15">
        <f si="71" t="shared"/>
        <v>815</v>
      </c>
      <c r="BC49" s="15">
        <f si="71" t="shared"/>
        <v>3760</v>
      </c>
      <c r="BD49" s="15">
        <f si="71" t="shared"/>
        <v>1288</v>
      </c>
      <c r="BE49" s="15">
        <f si="71" t="shared"/>
        <v>4</v>
      </c>
      <c r="BF49" s="15">
        <f si="71" t="shared"/>
        <v>401</v>
      </c>
      <c r="BG49" s="15">
        <f si="71" t="shared"/>
        <v>1256</v>
      </c>
      <c r="BH49" s="15">
        <f si="71" t="shared"/>
        <v>152</v>
      </c>
      <c r="BI49" s="15">
        <f si="71" t="shared"/>
        <v>3358</v>
      </c>
      <c r="BJ49" s="15">
        <f si="71" t="shared"/>
        <v>443</v>
      </c>
      <c r="BK49" s="15">
        <f si="71" t="shared"/>
        <v>25</v>
      </c>
      <c r="BL49" s="15">
        <f si="71" t="shared"/>
        <v>95</v>
      </c>
      <c r="BM49" s="15">
        <f si="71" t="shared"/>
        <v>396</v>
      </c>
      <c r="BN49" s="15">
        <f si="71" t="shared"/>
        <v>287</v>
      </c>
      <c r="BO49" s="15">
        <f si="71" t="shared"/>
        <v>1442</v>
      </c>
      <c r="BP49" s="15">
        <f si="71" t="shared"/>
        <v>108</v>
      </c>
      <c r="BQ49" s="15">
        <f si="71" t="shared"/>
        <v>171</v>
      </c>
      <c r="BR49" s="15">
        <f si="71" t="shared"/>
        <v>0</v>
      </c>
      <c r="BS49" s="15">
        <f si="26" t="shared"/>
        <v>16988</v>
      </c>
    </row>
    <row customFormat="1" r="50" s="95" spans="1:71" x14ac:dyDescent="0.25">
      <c r="A50" s="95">
        <v>17</v>
      </c>
      <c r="B50" s="77">
        <f ref="B50:W50" si="72" t="shared">IF($W23&gt;0,(B23/$W23)*$BS23,0)</f>
        <v>1604.2481429348675</v>
      </c>
      <c r="C50" s="77">
        <f si="72" t="shared"/>
        <v>1685.0300228455742</v>
      </c>
      <c r="D50" s="77">
        <f si="72" t="shared"/>
        <v>579.66276319458871</v>
      </c>
      <c r="E50" s="77">
        <f si="72" t="shared"/>
        <v>1221.9924156217305</v>
      </c>
      <c r="F50" s="77">
        <f si="72" t="shared"/>
        <v>517.66463308798075</v>
      </c>
      <c r="G50" s="77">
        <f si="72" t="shared"/>
        <v>720.21912900999996</v>
      </c>
      <c r="H50" s="77">
        <f si="72" t="shared"/>
        <v>1395.8572151728031</v>
      </c>
      <c r="I50" s="77">
        <f si="72" t="shared"/>
        <v>0</v>
      </c>
      <c r="J50" s="77">
        <f si="72" t="shared"/>
        <v>426.5457732653972</v>
      </c>
      <c r="K50" s="77">
        <f si="72" t="shared"/>
        <v>0</v>
      </c>
      <c r="L50" s="77">
        <f si="72" t="shared"/>
        <v>6290.728215721726</v>
      </c>
      <c r="M50" s="77">
        <f si="72" t="shared"/>
        <v>1731.3024682310588</v>
      </c>
      <c r="N50" s="77">
        <f si="72" t="shared"/>
        <v>0</v>
      </c>
      <c r="O50" s="77">
        <f si="72" t="shared"/>
        <v>940.15685149250203</v>
      </c>
      <c r="P50" s="77">
        <f si="72" t="shared"/>
        <v>101.46594345019635</v>
      </c>
      <c r="Q50" s="77">
        <f si="72" t="shared"/>
        <v>0</v>
      </c>
      <c r="R50" s="77">
        <f si="72" t="shared"/>
        <v>4721.3884984044298</v>
      </c>
      <c r="S50" s="77">
        <f si="72" t="shared"/>
        <v>0</v>
      </c>
      <c r="T50" s="77">
        <f si="72" t="shared"/>
        <v>1020.7379275671492</v>
      </c>
      <c r="U50" s="77">
        <f si="72" t="shared"/>
        <v>0</v>
      </c>
      <c r="V50" s="77">
        <f si="72" t="shared"/>
        <v>0</v>
      </c>
      <c r="W50" s="77">
        <f si="72" t="shared"/>
        <v>22957</v>
      </c>
      <c r="Y50" s="95">
        <v>17</v>
      </c>
      <c r="Z50" s="77">
        <f ref="Z50:AT50" si="73" t="shared">IF($AU23&gt;0,(Z23/$AU23)*$BS23,0)</f>
        <v>1316.2693324870411</v>
      </c>
      <c r="AA50" s="77">
        <f si="73" t="shared"/>
        <v>1767.1684826686412</v>
      </c>
      <c r="AB50" s="77">
        <f si="73" t="shared"/>
        <v>577.99280651644983</v>
      </c>
      <c r="AC50" s="77">
        <f si="73" t="shared"/>
        <v>603.08773228957295</v>
      </c>
      <c r="AD50" s="77">
        <f si="73" t="shared"/>
        <v>589.32599880108614</v>
      </c>
      <c r="AE50" s="77">
        <f si="73" t="shared"/>
        <v>2690.8236538664974</v>
      </c>
      <c r="AF50" s="77">
        <f si="73" t="shared"/>
        <v>865.37018230544106</v>
      </c>
      <c r="AG50" s="77">
        <f si="73" t="shared"/>
        <v>325.42452131598435</v>
      </c>
      <c r="AH50" s="77">
        <f si="73" t="shared"/>
        <v>964.13085792869981</v>
      </c>
      <c r="AI50" s="77">
        <f si="73" t="shared"/>
        <v>386.94756514686702</v>
      </c>
      <c r="AJ50" s="77">
        <f si="73" t="shared"/>
        <v>3406.4337952678165</v>
      </c>
      <c r="AK50" s="77">
        <f si="73" t="shared"/>
        <v>1525.933389752812</v>
      </c>
      <c r="AL50" s="77">
        <f si="73" t="shared"/>
        <v>362.66215310836071</v>
      </c>
      <c r="AM50" s="77">
        <f si="73" t="shared"/>
        <v>1342.9832857293979</v>
      </c>
      <c r="AN50" s="77">
        <f si="73" t="shared"/>
        <v>347.28139215063999</v>
      </c>
      <c r="AO50" s="77">
        <f si="73" t="shared"/>
        <v>90.665538277090178</v>
      </c>
      <c r="AP50" s="77">
        <f si="73" t="shared"/>
        <v>2936.915829190028</v>
      </c>
      <c r="AQ50" s="77">
        <f si="73" t="shared"/>
        <v>140.04587608871961</v>
      </c>
      <c r="AR50" s="77">
        <f si="73" t="shared"/>
        <v>2632.5386649740822</v>
      </c>
      <c r="AS50" s="77">
        <f si="73" t="shared"/>
        <v>84.998942134772037</v>
      </c>
      <c r="AT50" s="77">
        <f si="73" t="shared"/>
        <v>0</v>
      </c>
      <c r="AU50" s="77">
        <f si="24" t="shared"/>
        <v>22957</v>
      </c>
      <c r="AW50" s="95">
        <v>17</v>
      </c>
      <c r="AX50" s="15">
        <f ref="AX50:BR50" si="74" t="shared">AX23</f>
        <v>1781</v>
      </c>
      <c r="AY50" s="15">
        <f si="74" t="shared"/>
        <v>831</v>
      </c>
      <c r="AZ50" s="15">
        <f si="74" t="shared"/>
        <v>802</v>
      </c>
      <c r="BA50" s="15">
        <f si="74" t="shared"/>
        <v>213</v>
      </c>
      <c r="BB50" s="15">
        <f si="74" t="shared"/>
        <v>602</v>
      </c>
      <c r="BC50" s="15">
        <f si="74" t="shared"/>
        <v>2873</v>
      </c>
      <c r="BD50" s="15">
        <f si="74" t="shared"/>
        <v>1420</v>
      </c>
      <c r="BE50" s="15">
        <f si="74" t="shared"/>
        <v>31</v>
      </c>
      <c r="BF50" s="15">
        <f si="74" t="shared"/>
        <v>978</v>
      </c>
      <c r="BG50" s="15">
        <f si="74" t="shared"/>
        <v>213</v>
      </c>
      <c r="BH50" s="15">
        <f si="74" t="shared"/>
        <v>1676</v>
      </c>
      <c r="BI50" s="15">
        <f si="74" t="shared"/>
        <v>1053</v>
      </c>
      <c r="BJ50" s="15">
        <f si="74" t="shared"/>
        <v>324</v>
      </c>
      <c r="BK50" s="15">
        <f si="74" t="shared"/>
        <v>843</v>
      </c>
      <c r="BL50" s="15">
        <f si="74" t="shared"/>
        <v>407</v>
      </c>
      <c r="BM50" s="15">
        <f si="74" t="shared"/>
        <v>17</v>
      </c>
      <c r="BN50" s="15">
        <f si="74" t="shared"/>
        <v>4811</v>
      </c>
      <c r="BO50" s="15">
        <f si="74" t="shared"/>
        <v>164</v>
      </c>
      <c r="BP50" s="15">
        <f si="74" t="shared"/>
        <v>3916</v>
      </c>
      <c r="BQ50" s="15">
        <f si="74" t="shared"/>
        <v>2</v>
      </c>
      <c r="BR50" s="15">
        <f si="74" t="shared"/>
        <v>0</v>
      </c>
      <c r="BS50" s="15">
        <f si="26" t="shared"/>
        <v>22957</v>
      </c>
    </row>
    <row customFormat="1" r="51" s="95" spans="1:71" x14ac:dyDescent="0.25">
      <c r="A51" s="95">
        <v>18</v>
      </c>
      <c r="B51" s="77">
        <f ref="B51:W51" si="75" t="shared">IF($W24&gt;0,(B24/$W24)*$BS24,0)</f>
        <v>3851.7729800201269</v>
      </c>
      <c r="C51" s="77">
        <f si="75" t="shared"/>
        <v>1295.2549828017104</v>
      </c>
      <c r="D51" s="77">
        <f si="75" t="shared"/>
        <v>323.94658550299573</v>
      </c>
      <c r="E51" s="77">
        <f si="75" t="shared"/>
        <v>1290.6883524065943</v>
      </c>
      <c r="F51" s="77">
        <f si="75" t="shared"/>
        <v>829.06642022705387</v>
      </c>
      <c r="G51" s="77">
        <f si="75" t="shared"/>
        <v>2998.0915638713682</v>
      </c>
      <c r="H51" s="77">
        <f si="75" t="shared"/>
        <v>3873.8093590103026</v>
      </c>
      <c r="I51" s="77">
        <f si="75" t="shared"/>
        <v>0</v>
      </c>
      <c r="J51" s="77">
        <f si="75" t="shared"/>
        <v>0</v>
      </c>
      <c r="K51" s="77">
        <f si="75" t="shared"/>
        <v>221.86817046414501</v>
      </c>
      <c r="L51" s="77">
        <f si="75" t="shared"/>
        <v>0</v>
      </c>
      <c r="M51" s="77">
        <f si="75" t="shared"/>
        <v>21858.112744499784</v>
      </c>
      <c r="N51" s="77">
        <f si="75" t="shared"/>
        <v>10101.479373283844</v>
      </c>
      <c r="O51" s="77">
        <f si="75" t="shared"/>
        <v>0</v>
      </c>
      <c r="P51" s="77">
        <f si="75" t="shared"/>
        <v>0</v>
      </c>
      <c r="Q51" s="77">
        <f si="75" t="shared"/>
        <v>58.156530527856042</v>
      </c>
      <c r="R51" s="77">
        <f si="75" t="shared"/>
        <v>0</v>
      </c>
      <c r="S51" s="77">
        <f si="75" t="shared"/>
        <v>4352.962490956369</v>
      </c>
      <c r="T51" s="77">
        <f si="75" t="shared"/>
        <v>0</v>
      </c>
      <c r="U51" s="77">
        <f si="75" t="shared"/>
        <v>459.79044642785954</v>
      </c>
      <c r="V51" s="77">
        <f si="75" t="shared"/>
        <v>0</v>
      </c>
      <c r="W51" s="77">
        <f si="75" t="shared"/>
        <v>51515</v>
      </c>
      <c r="Y51" s="95">
        <v>18</v>
      </c>
      <c r="Z51" s="77">
        <f ref="Z51:AT51" si="76" t="shared">IF($AU24&gt;0,(Z24/$AU24)*$BS24,0)</f>
        <v>2359.1070600599674</v>
      </c>
      <c r="AA51" s="77">
        <f si="76" t="shared"/>
        <v>2205.4426447405026</v>
      </c>
      <c r="AB51" s="77">
        <f si="76" t="shared"/>
        <v>495.22935921609837</v>
      </c>
      <c r="AC51" s="77">
        <f si="76" t="shared"/>
        <v>654.46709529844509</v>
      </c>
      <c r="AD51" s="77">
        <f si="76" t="shared"/>
        <v>859.88377484467253</v>
      </c>
      <c r="AE51" s="77">
        <f si="76" t="shared"/>
        <v>5511.2180458100211</v>
      </c>
      <c r="AF51" s="77">
        <f si="76" t="shared"/>
        <v>3955.4653642854937</v>
      </c>
      <c r="AG51" s="77">
        <f si="76" t="shared"/>
        <v>143.31396247411209</v>
      </c>
      <c r="AH51" s="77">
        <f si="76" t="shared"/>
        <v>1717.3789836481099</v>
      </c>
      <c r="AI51" s="77">
        <f si="76" t="shared"/>
        <v>831.22098234985015</v>
      </c>
      <c r="AJ51" s="77">
        <f si="76" t="shared"/>
        <v>759.56400111279402</v>
      </c>
      <c r="AK51" s="77">
        <f si="76" t="shared"/>
        <v>16742.255571697937</v>
      </c>
      <c r="AL51" s="77">
        <f si="76" t="shared"/>
        <v>5136.2131773360952</v>
      </c>
      <c r="AM51" s="77">
        <f si="76" t="shared"/>
        <v>107.48547185558407</v>
      </c>
      <c r="AN51" s="77">
        <f si="76" t="shared"/>
        <v>615.45384995827021</v>
      </c>
      <c r="AO51" s="77">
        <f si="76" t="shared"/>
        <v>331.21449105128124</v>
      </c>
      <c r="AP51" s="77">
        <f si="76" t="shared"/>
        <v>85.192188804055519</v>
      </c>
      <c r="AQ51" s="77">
        <f si="76" t="shared"/>
        <v>5566.1550647584309</v>
      </c>
      <c r="AR51" s="77">
        <f si="76" t="shared"/>
        <v>234.87566072146146</v>
      </c>
      <c r="AS51" s="77">
        <f si="76" t="shared"/>
        <v>3203.8632499768169</v>
      </c>
      <c r="AT51" s="77">
        <f si="76" t="shared"/>
        <v>0</v>
      </c>
      <c r="AU51" s="77">
        <f si="24" t="shared"/>
        <v>51514.999999999993</v>
      </c>
      <c r="AW51" s="95">
        <v>18</v>
      </c>
      <c r="AX51" s="15">
        <f ref="AX51:BR51" si="77" t="shared">AX24</f>
        <v>1702</v>
      </c>
      <c r="AY51" s="15">
        <f si="77" t="shared"/>
        <v>1052</v>
      </c>
      <c r="AZ51" s="15">
        <f si="77" t="shared"/>
        <v>427</v>
      </c>
      <c r="BA51" s="15">
        <f si="77" t="shared"/>
        <v>104</v>
      </c>
      <c r="BB51" s="15">
        <f si="77" t="shared"/>
        <v>533</v>
      </c>
      <c r="BC51" s="15">
        <f si="77" t="shared"/>
        <v>3678</v>
      </c>
      <c r="BD51" s="15">
        <f si="77" t="shared"/>
        <v>3897</v>
      </c>
      <c r="BE51" s="15">
        <f si="77" t="shared"/>
        <v>3</v>
      </c>
      <c r="BF51" s="15">
        <f si="77" t="shared"/>
        <v>847</v>
      </c>
      <c r="BG51" s="15">
        <f si="77" t="shared"/>
        <v>775</v>
      </c>
      <c r="BH51" s="15">
        <f si="77" t="shared"/>
        <v>161</v>
      </c>
      <c r="BI51" s="15">
        <f si="77" t="shared"/>
        <v>11191</v>
      </c>
      <c r="BJ51" s="15">
        <f si="77" t="shared"/>
        <v>8543</v>
      </c>
      <c r="BK51" s="15">
        <f si="77" t="shared"/>
        <v>21</v>
      </c>
      <c r="BL51" s="15">
        <f si="77" t="shared"/>
        <v>459</v>
      </c>
      <c r="BM51" s="15">
        <f si="77" t="shared"/>
        <v>66</v>
      </c>
      <c r="BN51" s="15">
        <f si="77" t="shared"/>
        <v>336</v>
      </c>
      <c r="BO51" s="15">
        <f si="77" t="shared"/>
        <v>16168</v>
      </c>
      <c r="BP51" s="15">
        <f si="77" t="shared"/>
        <v>138</v>
      </c>
      <c r="BQ51" s="15">
        <f si="77" t="shared"/>
        <v>1414</v>
      </c>
      <c r="BR51" s="15">
        <f si="77" t="shared"/>
        <v>0</v>
      </c>
      <c r="BS51" s="15">
        <f si="26" t="shared"/>
        <v>51515</v>
      </c>
    </row>
    <row customFormat="1" r="52" s="95" spans="1:71" x14ac:dyDescent="0.25">
      <c r="A52" s="95">
        <v>19</v>
      </c>
      <c r="B52" s="77">
        <f ref="B52:W52" si="78" t="shared">IF($W25&gt;0,(B25/$W25)*$BS25,0)</f>
        <v>3250.21158846464</v>
      </c>
      <c r="C52" s="77">
        <f si="78" t="shared"/>
        <v>1037.4824471396253</v>
      </c>
      <c r="D52" s="77">
        <f si="78" t="shared"/>
        <v>1040.3885048640143</v>
      </c>
      <c r="E52" s="77">
        <f si="78" t="shared"/>
        <v>1405.607689621547</v>
      </c>
      <c r="F52" s="77">
        <f si="78" t="shared"/>
        <v>1191.1404883672369</v>
      </c>
      <c r="G52" s="77">
        <f si="78" t="shared"/>
        <v>2925.3563287004476</v>
      </c>
      <c r="H52" s="77">
        <f si="78" t="shared"/>
        <v>2561.2439084346015</v>
      </c>
      <c r="I52" s="77">
        <f si="78" t="shared"/>
        <v>0</v>
      </c>
      <c r="J52" s="77">
        <f si="78" t="shared"/>
        <v>2957.035212734459</v>
      </c>
      <c r="K52" s="77">
        <f si="78" t="shared"/>
        <v>359.48981268235076</v>
      </c>
      <c r="L52" s="77">
        <f si="78" t="shared"/>
        <v>10471.792204188137</v>
      </c>
      <c r="M52" s="77">
        <f si="78" t="shared"/>
        <v>0</v>
      </c>
      <c r="N52" s="77">
        <f si="78" t="shared"/>
        <v>0</v>
      </c>
      <c r="O52" s="77">
        <f si="78" t="shared"/>
        <v>1349.2805534176152</v>
      </c>
      <c r="P52" s="77">
        <f si="78" t="shared"/>
        <v>1172.5511468300629</v>
      </c>
      <c r="Q52" s="77">
        <f si="78" t="shared"/>
        <v>0</v>
      </c>
      <c r="R52" s="77">
        <f si="78" t="shared"/>
        <v>3197.3057546112491</v>
      </c>
      <c r="S52" s="77">
        <f si="78" t="shared"/>
        <v>0</v>
      </c>
      <c r="T52" s="77">
        <f si="78" t="shared"/>
        <v>15395.114359944015</v>
      </c>
      <c r="U52" s="77">
        <f si="78" t="shared"/>
        <v>0</v>
      </c>
      <c r="V52" s="77">
        <f si="78" t="shared"/>
        <v>0</v>
      </c>
      <c r="W52" s="77">
        <f si="78" t="shared"/>
        <v>48314</v>
      </c>
      <c r="Y52" s="95">
        <v>19</v>
      </c>
      <c r="Z52" s="77">
        <f ref="Z52:AT52" si="79" t="shared">IF($AU25&gt;0,(Z25/$AU25)*$BS25,0)</f>
        <v>2532.0885062679354</v>
      </c>
      <c r="AA52" s="77">
        <f si="79" t="shared"/>
        <v>2827.620450083069</v>
      </c>
      <c r="AB52" s="77">
        <f si="79" t="shared"/>
        <v>950.44532547953486</v>
      </c>
      <c r="AC52" s="77">
        <f si="79" t="shared"/>
        <v>1063.5501434828575</v>
      </c>
      <c r="AD52" s="77">
        <f si="79" t="shared"/>
        <v>1020.6797689170821</v>
      </c>
      <c r="AE52" s="77">
        <f si="79" t="shared"/>
        <v>4718.4776091224885</v>
      </c>
      <c r="AF52" s="77">
        <f si="79" t="shared"/>
        <v>1821.5348512309317</v>
      </c>
      <c r="AG52" s="77">
        <f si="79" t="shared"/>
        <v>376.7120148013895</v>
      </c>
      <c r="AH52" s="77">
        <f si="79" t="shared"/>
        <v>2374.2890424407187</v>
      </c>
      <c r="AI52" s="77">
        <f si="79" t="shared"/>
        <v>666.77114484216884</v>
      </c>
      <c r="AJ52" s="77">
        <f si="79" t="shared"/>
        <v>6540.0124603534214</v>
      </c>
      <c r="AK52" s="77">
        <f si="79" t="shared"/>
        <v>3280.9518577254194</v>
      </c>
      <c r="AL52" s="77">
        <f si="79" t="shared"/>
        <v>835.51623621809404</v>
      </c>
      <c r="AM52" s="77">
        <f si="79" t="shared"/>
        <v>748.86335145748376</v>
      </c>
      <c r="AN52" s="77">
        <f si="79" t="shared"/>
        <v>1721.199932034436</v>
      </c>
      <c r="AO52" s="77">
        <f si="79" t="shared"/>
        <v>142.2931581332125</v>
      </c>
      <c r="AP52" s="77">
        <f si="79" t="shared"/>
        <v>3133.1858858178521</v>
      </c>
      <c r="AQ52" s="77">
        <f si="79" t="shared"/>
        <v>259.95865428183055</v>
      </c>
      <c r="AR52" s="77">
        <f si="79" t="shared"/>
        <v>13121.983159643558</v>
      </c>
      <c r="AS52" s="77">
        <f si="79" t="shared"/>
        <v>177.86644766651563</v>
      </c>
      <c r="AT52" s="77">
        <f si="79" t="shared"/>
        <v>0</v>
      </c>
      <c r="AU52" s="77">
        <f si="24" t="shared"/>
        <v>48314</v>
      </c>
      <c r="AW52" s="95">
        <v>19</v>
      </c>
      <c r="AX52" s="15">
        <f ref="AX52:BR52" si="80" t="shared">AX25</f>
        <v>2623</v>
      </c>
      <c r="AY52" s="15">
        <f si="80" t="shared"/>
        <v>1099</v>
      </c>
      <c r="AZ52" s="15">
        <f si="80" t="shared"/>
        <v>971</v>
      </c>
      <c r="BA52" s="15">
        <f si="80" t="shared"/>
        <v>211</v>
      </c>
      <c r="BB52" s="15">
        <f si="80" t="shared"/>
        <v>754</v>
      </c>
      <c r="BC52" s="15">
        <f si="80" t="shared"/>
        <v>3571</v>
      </c>
      <c r="BD52" s="15">
        <f si="80" t="shared"/>
        <v>2216</v>
      </c>
      <c r="BE52" s="15">
        <f si="80" t="shared"/>
        <v>34</v>
      </c>
      <c r="BF52" s="15">
        <f si="80" t="shared"/>
        <v>1781</v>
      </c>
      <c r="BG52" s="15">
        <f si="80" t="shared"/>
        <v>262</v>
      </c>
      <c r="BH52" s="15">
        <f si="80" t="shared"/>
        <v>2582</v>
      </c>
      <c r="BI52" s="15">
        <f si="80" t="shared"/>
        <v>1374</v>
      </c>
      <c r="BJ52" s="15">
        <f si="80" t="shared"/>
        <v>1208</v>
      </c>
      <c r="BK52" s="15">
        <f si="80" t="shared"/>
        <v>338</v>
      </c>
      <c r="BL52" s="15">
        <f si="80" t="shared"/>
        <v>3367</v>
      </c>
      <c r="BM52" s="15">
        <f si="80" t="shared"/>
        <v>28</v>
      </c>
      <c r="BN52" s="15">
        <f si="80" t="shared"/>
        <v>4306</v>
      </c>
      <c r="BO52" s="15">
        <f si="80" t="shared"/>
        <v>244</v>
      </c>
      <c r="BP52" s="15">
        <f si="80" t="shared"/>
        <v>21341</v>
      </c>
      <c r="BQ52" s="15">
        <f si="80" t="shared"/>
        <v>4</v>
      </c>
      <c r="BR52" s="15">
        <f si="80" t="shared"/>
        <v>0</v>
      </c>
      <c r="BS52" s="15">
        <f si="26" t="shared"/>
        <v>48314</v>
      </c>
    </row>
    <row customFormat="1" r="53" s="95" spans="1:71" x14ac:dyDescent="0.25">
      <c r="A53" s="95">
        <v>20</v>
      </c>
      <c r="B53" s="58">
        <f ref="B53:W53" si="81" t="shared">IF($W26&gt;0,(B26/$W26)*$BS26,0)</f>
        <v>738.49264913125899</v>
      </c>
      <c r="C53" s="58">
        <f si="81" t="shared"/>
        <v>391.30943943189254</v>
      </c>
      <c r="D53" s="58">
        <f si="81" t="shared"/>
        <v>391.30943943189254</v>
      </c>
      <c r="E53" s="58">
        <f si="81" t="shared"/>
        <v>524.19627474000652</v>
      </c>
      <c r="F53" s="58">
        <f si="81" t="shared"/>
        <v>74.42540306294471</v>
      </c>
      <c r="G53" s="58">
        <f si="81" t="shared"/>
        <v>773.58555876459263</v>
      </c>
      <c r="H53" s="58">
        <f si="81" t="shared"/>
        <v>1794.4197791011372</v>
      </c>
      <c r="I53" s="58">
        <f si="81" t="shared"/>
        <v>0</v>
      </c>
      <c r="J53" s="58">
        <f si="81" t="shared"/>
        <v>0</v>
      </c>
      <c r="K53" s="58">
        <f si="81" t="shared"/>
        <v>154.98378516967495</v>
      </c>
      <c r="L53" s="58">
        <f si="81" t="shared"/>
        <v>113.54753841022125</v>
      </c>
      <c r="M53" s="58">
        <f si="81" t="shared"/>
        <v>6343.12677184535</v>
      </c>
      <c r="N53" s="58">
        <f si="81" t="shared"/>
        <v>46.82276201106032</v>
      </c>
      <c r="O53" s="58">
        <f si="81" t="shared"/>
        <v>0</v>
      </c>
      <c r="P53" s="58">
        <f si="81" t="shared"/>
        <v>0</v>
      </c>
      <c r="Q53" s="58">
        <f si="81" t="shared"/>
        <v>0</v>
      </c>
      <c r="R53" s="58">
        <f si="81" t="shared"/>
        <v>0</v>
      </c>
      <c r="S53" s="58">
        <f si="81" t="shared"/>
        <v>3694.8939558276252</v>
      </c>
      <c r="T53" s="58">
        <f si="81" t="shared"/>
        <v>0</v>
      </c>
      <c r="U53" s="58">
        <f si="81" t="shared"/>
        <v>16088.886643072343</v>
      </c>
      <c r="V53" s="58">
        <f si="81" t="shared"/>
        <v>0</v>
      </c>
      <c r="W53" s="77">
        <f si="81" t="shared"/>
        <v>31130</v>
      </c>
      <c r="Y53" s="95">
        <v>20</v>
      </c>
      <c r="Z53" s="58">
        <f ref="Z53:AT53" si="82" t="shared">IF($AU26&gt;0,(Z26/$AU26)*$BS26,0)</f>
        <v>869.27730595570847</v>
      </c>
      <c r="AA53" s="58">
        <f si="82" t="shared"/>
        <v>926.16937217802626</v>
      </c>
      <c r="AB53" s="58">
        <f si="82" t="shared"/>
        <v>256.01429800043002</v>
      </c>
      <c r="AC53" s="58">
        <f si="82" t="shared"/>
        <v>336.33250913781984</v>
      </c>
      <c r="AD53" s="58">
        <f si="82" t="shared"/>
        <v>399.08111158890557</v>
      </c>
      <c r="AE53" s="58">
        <f si="82" t="shared"/>
        <v>1859.0319286175018</v>
      </c>
      <c r="AF53" s="58">
        <f si="82" t="shared"/>
        <v>1341.1467963878736</v>
      </c>
      <c r="AG53" s="58">
        <f si="82" t="shared"/>
        <v>118.80402064072243</v>
      </c>
      <c r="AH53" s="58">
        <f si="82" t="shared"/>
        <v>846.68780907331757</v>
      </c>
      <c r="AI53" s="58">
        <f si="82" t="shared"/>
        <v>398.24446355622445</v>
      </c>
      <c r="AJ53" s="58">
        <f si="82" t="shared"/>
        <v>330.47597290905185</v>
      </c>
      <c r="AK53" s="58">
        <f si="82" t="shared"/>
        <v>5983.7067297355406</v>
      </c>
      <c r="AL53" s="58">
        <f si="82" t="shared"/>
        <v>1011.5074715115028</v>
      </c>
      <c r="AM53" s="58">
        <f si="82" t="shared"/>
        <v>108.76424424854871</v>
      </c>
      <c r="AN53" s="58">
        <f si="82" t="shared"/>
        <v>249.32111373898084</v>
      </c>
      <c r="AO53" s="58">
        <f si="82" t="shared"/>
        <v>171.51284669963451</v>
      </c>
      <c r="AP53" s="58">
        <f si="82" t="shared"/>
        <v>46.852289830144059</v>
      </c>
      <c r="AQ53" s="58">
        <f si="82" t="shared"/>
        <v>4448.4575897656423</v>
      </c>
      <c r="AR53" s="58">
        <f si="82" t="shared"/>
        <v>158.12647817673619</v>
      </c>
      <c r="AS53" s="58">
        <f si="82" t="shared"/>
        <v>11270.48564824769</v>
      </c>
      <c r="AT53" s="58">
        <f si="82" t="shared"/>
        <v>0</v>
      </c>
      <c r="AU53" s="77">
        <f si="24" t="shared"/>
        <v>31129.999999999996</v>
      </c>
      <c r="AW53" s="95">
        <v>20</v>
      </c>
      <c r="AX53" s="15">
        <f ref="AX53:BR53" si="83" t="shared">AX26</f>
        <v>640</v>
      </c>
      <c r="AY53" s="15">
        <f si="83" t="shared"/>
        <v>383</v>
      </c>
      <c r="AZ53" s="15">
        <f si="83" t="shared"/>
        <v>167</v>
      </c>
      <c r="BA53" s="15">
        <f si="83" t="shared"/>
        <v>50</v>
      </c>
      <c r="BB53" s="15">
        <f si="83" t="shared"/>
        <v>187</v>
      </c>
      <c r="BC53" s="15">
        <f si="83" t="shared"/>
        <v>1461</v>
      </c>
      <c r="BD53" s="15">
        <f si="83" t="shared"/>
        <v>900</v>
      </c>
      <c r="BE53" s="15">
        <f si="83" t="shared"/>
        <v>4</v>
      </c>
      <c r="BF53" s="15">
        <f si="83" t="shared"/>
        <v>262</v>
      </c>
      <c r="BG53" s="15">
        <f si="83" t="shared"/>
        <v>271</v>
      </c>
      <c r="BH53" s="15">
        <f si="83" t="shared"/>
        <v>66</v>
      </c>
      <c r="BI53" s="15">
        <f si="83" t="shared"/>
        <v>4310</v>
      </c>
      <c r="BJ53" s="15">
        <f si="83" t="shared"/>
        <v>1461</v>
      </c>
      <c r="BK53" s="15">
        <f si="83" t="shared"/>
        <v>8</v>
      </c>
      <c r="BL53" s="15">
        <f si="83" t="shared"/>
        <v>80</v>
      </c>
      <c r="BM53" s="15">
        <f si="83" t="shared"/>
        <v>69</v>
      </c>
      <c r="BN53" s="15">
        <f si="83" t="shared"/>
        <v>106</v>
      </c>
      <c r="BO53" s="15">
        <f si="83" t="shared"/>
        <v>7910</v>
      </c>
      <c r="BP53" s="15">
        <f si="83" t="shared"/>
        <v>34</v>
      </c>
      <c r="BQ53" s="15">
        <f si="83" t="shared"/>
        <v>12761</v>
      </c>
      <c r="BR53" s="15">
        <f si="83" t="shared"/>
        <v>0</v>
      </c>
      <c r="BS53" s="15">
        <f si="26" t="shared"/>
        <v>31130</v>
      </c>
    </row>
    <row customFormat="1" r="54" s="95" spans="1:71" x14ac:dyDescent="0.25">
      <c r="A54" s="101" t="s">
        <v>15</v>
      </c>
      <c r="B54" s="60">
        <f ref="B54:W54" si="84" t="shared">IF($W27&gt;0,(B27/$W27)*$BS27,0)</f>
        <v>0</v>
      </c>
      <c r="C54" s="60">
        <f si="84" t="shared"/>
        <v>0</v>
      </c>
      <c r="D54" s="60">
        <f si="84" t="shared"/>
        <v>0</v>
      </c>
      <c r="E54" s="60">
        <f si="84" t="shared"/>
        <v>0</v>
      </c>
      <c r="F54" s="60">
        <f si="84" t="shared"/>
        <v>0</v>
      </c>
      <c r="G54" s="60">
        <f si="84" t="shared"/>
        <v>0</v>
      </c>
      <c r="H54" s="60">
        <f si="84" t="shared"/>
        <v>0</v>
      </c>
      <c r="I54" s="60">
        <f si="84" t="shared"/>
        <v>0</v>
      </c>
      <c r="J54" s="60">
        <f si="84" t="shared"/>
        <v>0</v>
      </c>
      <c r="K54" s="60">
        <f si="84" t="shared"/>
        <v>0</v>
      </c>
      <c r="L54" s="60">
        <f si="84" t="shared"/>
        <v>0</v>
      </c>
      <c r="M54" s="60">
        <f si="84" t="shared"/>
        <v>0</v>
      </c>
      <c r="N54" s="60">
        <f si="84" t="shared"/>
        <v>0</v>
      </c>
      <c r="O54" s="60">
        <f si="84" t="shared"/>
        <v>0</v>
      </c>
      <c r="P54" s="60">
        <f si="84" t="shared"/>
        <v>0</v>
      </c>
      <c r="Q54" s="60">
        <f si="84" t="shared"/>
        <v>0</v>
      </c>
      <c r="R54" s="60">
        <f si="84" t="shared"/>
        <v>0</v>
      </c>
      <c r="S54" s="60">
        <f si="84" t="shared"/>
        <v>0</v>
      </c>
      <c r="T54" s="60">
        <f si="84" t="shared"/>
        <v>0</v>
      </c>
      <c r="U54" s="60">
        <f si="84" t="shared"/>
        <v>0</v>
      </c>
      <c r="V54" s="60">
        <f si="84" t="shared"/>
        <v>0</v>
      </c>
      <c r="W54" s="77">
        <f si="84" t="shared"/>
        <v>0</v>
      </c>
      <c r="Y54" s="101" t="s">
        <v>15</v>
      </c>
      <c r="Z54" s="60">
        <f ref="Z54:AT54" si="85" t="shared">IF($AU27&gt;0,(Z27/$AU27)*$BS27,0)</f>
        <v>0</v>
      </c>
      <c r="AA54" s="60">
        <f si="85" t="shared"/>
        <v>0</v>
      </c>
      <c r="AB54" s="60">
        <f si="85" t="shared"/>
        <v>0</v>
      </c>
      <c r="AC54" s="60">
        <f si="85" t="shared"/>
        <v>0</v>
      </c>
      <c r="AD54" s="60">
        <f si="85" t="shared"/>
        <v>0</v>
      </c>
      <c r="AE54" s="60">
        <f si="85" t="shared"/>
        <v>0</v>
      </c>
      <c r="AF54" s="60">
        <f si="85" t="shared"/>
        <v>0</v>
      </c>
      <c r="AG54" s="60">
        <f si="85" t="shared"/>
        <v>0</v>
      </c>
      <c r="AH54" s="60">
        <f si="85" t="shared"/>
        <v>0</v>
      </c>
      <c r="AI54" s="60">
        <f si="85" t="shared"/>
        <v>0</v>
      </c>
      <c r="AJ54" s="60">
        <f si="85" t="shared"/>
        <v>0</v>
      </c>
      <c r="AK54" s="60">
        <f si="85" t="shared"/>
        <v>0</v>
      </c>
      <c r="AL54" s="60">
        <f si="85" t="shared"/>
        <v>0</v>
      </c>
      <c r="AM54" s="60">
        <f si="85" t="shared"/>
        <v>0</v>
      </c>
      <c r="AN54" s="60">
        <f si="85" t="shared"/>
        <v>0</v>
      </c>
      <c r="AO54" s="60">
        <f si="85" t="shared"/>
        <v>0</v>
      </c>
      <c r="AP54" s="60">
        <f si="85" t="shared"/>
        <v>0</v>
      </c>
      <c r="AQ54" s="60">
        <f si="85" t="shared"/>
        <v>0</v>
      </c>
      <c r="AR54" s="60">
        <f si="85" t="shared"/>
        <v>0</v>
      </c>
      <c r="AS54" s="60">
        <f si="85" t="shared"/>
        <v>0</v>
      </c>
      <c r="AT54" s="60">
        <f si="85" t="shared"/>
        <v>0</v>
      </c>
      <c r="AU54" s="77">
        <f si="24" t="shared"/>
        <v>0</v>
      </c>
      <c r="AW54" s="101" t="s">
        <v>15</v>
      </c>
      <c r="AX54" s="15">
        <f ref="AX54:BR54" si="86" t="shared">AX27</f>
        <v>0</v>
      </c>
      <c r="AY54" s="15">
        <f si="86" t="shared"/>
        <v>0</v>
      </c>
      <c r="AZ54" s="15">
        <f si="86" t="shared"/>
        <v>0</v>
      </c>
      <c r="BA54" s="15">
        <f si="86" t="shared"/>
        <v>0</v>
      </c>
      <c r="BB54" s="15">
        <f si="86" t="shared"/>
        <v>0</v>
      </c>
      <c r="BC54" s="15">
        <f si="86" t="shared"/>
        <v>0</v>
      </c>
      <c r="BD54" s="15">
        <f si="86" t="shared"/>
        <v>0</v>
      </c>
      <c r="BE54" s="15">
        <f si="86" t="shared"/>
        <v>0</v>
      </c>
      <c r="BF54" s="15">
        <f si="86" t="shared"/>
        <v>0</v>
      </c>
      <c r="BG54" s="15">
        <f si="86" t="shared"/>
        <v>0</v>
      </c>
      <c r="BH54" s="15">
        <f si="86" t="shared"/>
        <v>0</v>
      </c>
      <c r="BI54" s="15">
        <f si="86" t="shared"/>
        <v>0</v>
      </c>
      <c r="BJ54" s="15">
        <f si="86" t="shared"/>
        <v>0</v>
      </c>
      <c r="BK54" s="15">
        <f si="86" t="shared"/>
        <v>0</v>
      </c>
      <c r="BL54" s="15">
        <f si="86" t="shared"/>
        <v>0</v>
      </c>
      <c r="BM54" s="15">
        <f si="86" t="shared"/>
        <v>0</v>
      </c>
      <c r="BN54" s="15">
        <f si="86" t="shared"/>
        <v>0</v>
      </c>
      <c r="BO54" s="15">
        <f si="86" t="shared"/>
        <v>0</v>
      </c>
      <c r="BP54" s="15">
        <f si="86" t="shared"/>
        <v>0</v>
      </c>
      <c r="BQ54" s="15">
        <f si="86" t="shared"/>
        <v>0</v>
      </c>
      <c r="BR54" s="15">
        <f si="86" t="shared"/>
        <v>0</v>
      </c>
      <c r="BS54" s="16">
        <f>SUM(AX54:BR54)</f>
        <v>0</v>
      </c>
    </row>
    <row customFormat="1" ht="15.75" r="55" s="95" spans="1:71" thickBot="1" x14ac:dyDescent="0.3">
      <c r="A55" s="1" t="s">
        <v>3</v>
      </c>
      <c r="B55" s="107">
        <f ref="B55:W55" si="87" t="shared">IF($W28&gt;0,(B28/$W28)*$BS28,0)</f>
        <v>87799.016213180046</v>
      </c>
      <c r="C55" s="107">
        <f si="87" t="shared"/>
        <v>35020.065564129858</v>
      </c>
      <c r="D55" s="107">
        <f si="87" t="shared"/>
        <v>21170.337856550788</v>
      </c>
      <c r="E55" s="107">
        <f si="87" t="shared"/>
        <v>25994.26210335705</v>
      </c>
      <c r="F55" s="107">
        <f si="87" t="shared"/>
        <v>24226.934522577485</v>
      </c>
      <c r="G55" s="107">
        <f si="87" t="shared"/>
        <v>122008.72813761422</v>
      </c>
      <c r="H55" s="107">
        <f si="87" t="shared"/>
        <v>79508.89521591118</v>
      </c>
      <c r="I55" s="107">
        <f si="87" t="shared"/>
        <v>3885.3352522985042</v>
      </c>
      <c r="J55" s="107">
        <f si="87" t="shared"/>
        <v>57559.839102651495</v>
      </c>
      <c r="K55" s="107">
        <f si="87" t="shared"/>
        <v>14617.024573738956</v>
      </c>
      <c r="L55" s="107">
        <f si="87" t="shared"/>
        <v>43273.486212706608</v>
      </c>
      <c r="M55" s="107">
        <f si="87" t="shared"/>
        <v>161277.42797482133</v>
      </c>
      <c r="N55" s="107">
        <f si="87" t="shared"/>
        <v>64373.817444213761</v>
      </c>
      <c r="O55" s="107">
        <f si="87" t="shared"/>
        <v>14605.412552446081</v>
      </c>
      <c r="P55" s="107">
        <f si="87" t="shared"/>
        <v>19276.407216671985</v>
      </c>
      <c r="Q55" s="107">
        <f si="87" t="shared"/>
        <v>2159.1628573982716</v>
      </c>
      <c r="R55" s="107">
        <f si="87" t="shared"/>
        <v>9929.633807306267</v>
      </c>
      <c r="S55" s="107">
        <f si="87" t="shared"/>
        <v>13990.666106100596</v>
      </c>
      <c r="T55" s="107">
        <f si="87" t="shared"/>
        <v>18440.489840828508</v>
      </c>
      <c r="U55" s="107">
        <f si="87" t="shared"/>
        <v>17747.057445497099</v>
      </c>
      <c r="V55" s="107">
        <f si="87" t="shared"/>
        <v>0</v>
      </c>
      <c r="W55" s="107">
        <f si="87" t="shared"/>
        <v>836864</v>
      </c>
      <c r="Y55" s="1" t="s">
        <v>3</v>
      </c>
      <c r="Z55" s="107">
        <f>SUM(Z34:Z53)</f>
        <v>61193.501005457743</v>
      </c>
      <c r="AA55" s="107">
        <f ref="AA55:AS55" si="88" t="shared">SUM(AA34:AA53)</f>
        <v>64373.538581836794</v>
      </c>
      <c r="AB55" s="107">
        <f si="88" t="shared"/>
        <v>20717.03048155396</v>
      </c>
      <c r="AC55" s="107">
        <f si="88" t="shared"/>
        <v>19831.015160016173</v>
      </c>
      <c r="AD55" s="107">
        <f si="88" t="shared"/>
        <v>23444.663058441747</v>
      </c>
      <c r="AE55" s="107">
        <f si="88" t="shared"/>
        <v>133248.36713527245</v>
      </c>
      <c r="AF55" s="107">
        <f si="88" t="shared"/>
        <v>74893.009271254821</v>
      </c>
      <c r="AG55" s="107">
        <f si="88" t="shared"/>
        <v>6049.2293867081225</v>
      </c>
      <c r="AH55" s="107">
        <f si="88" t="shared"/>
        <v>49361.899442238304</v>
      </c>
      <c r="AI55" s="107">
        <f si="88" t="shared"/>
        <v>18543.228510595782</v>
      </c>
      <c r="AJ55" s="107">
        <f si="88" t="shared"/>
        <v>43461.80234686505</v>
      </c>
      <c r="AK55" s="107">
        <f si="88" t="shared"/>
        <v>144928.43069921163</v>
      </c>
      <c r="AL55" s="107">
        <f si="88" t="shared"/>
        <v>60432.319393148115</v>
      </c>
      <c r="AM55" s="107">
        <f si="88" t="shared"/>
        <v>9897.9182486173322</v>
      </c>
      <c r="AN55" s="107">
        <f si="88" t="shared"/>
        <v>26851.838869440759</v>
      </c>
      <c r="AO55" s="107">
        <f si="88" t="shared"/>
        <v>4666.7438795279177</v>
      </c>
      <c r="AP55" s="107">
        <f si="88" t="shared"/>
        <v>10100.196539910616</v>
      </c>
      <c r="AQ55" s="107">
        <f si="88" t="shared"/>
        <v>20559.724665406091</v>
      </c>
      <c r="AR55" s="107">
        <f si="88" t="shared"/>
        <v>25609.002931385712</v>
      </c>
      <c r="AS55" s="107">
        <f si="88" t="shared"/>
        <v>18700.540393110878</v>
      </c>
      <c r="AT55" s="107">
        <f>IF($AU28&gt;0,(AT28/$AU28)*$BS28,0)</f>
        <v>0</v>
      </c>
      <c r="AU55" s="107">
        <f si="24" t="shared"/>
        <v>836863.99999999988</v>
      </c>
      <c r="AW55" s="1" t="s">
        <v>3</v>
      </c>
      <c r="AX55" s="96">
        <f>SUM(AX34:AX54)</f>
        <v>61289</v>
      </c>
      <c r="AY55" s="96">
        <f ref="AY55:BS55" si="89" t="shared">SUM(AY34:AY54)</f>
        <v>34861</v>
      </c>
      <c r="AZ55" s="96">
        <f si="89" t="shared"/>
        <v>19346</v>
      </c>
      <c r="BA55" s="96">
        <f si="89" t="shared"/>
        <v>5443</v>
      </c>
      <c r="BB55" s="96">
        <f si="89" t="shared"/>
        <v>20562</v>
      </c>
      <c r="BC55" s="96">
        <f si="89" t="shared"/>
        <v>122711</v>
      </c>
      <c r="BD55" s="96">
        <f si="89" t="shared"/>
        <v>117623</v>
      </c>
      <c r="BE55" s="96">
        <f si="89" t="shared"/>
        <v>445</v>
      </c>
      <c r="BF55" s="96">
        <f si="89" t="shared"/>
        <v>42397</v>
      </c>
      <c r="BG55" s="96">
        <f si="89" t="shared"/>
        <v>14311</v>
      </c>
      <c r="BH55" s="96">
        <f si="89" t="shared"/>
        <v>18214</v>
      </c>
      <c r="BI55" s="96">
        <f si="89" t="shared"/>
        <v>100589</v>
      </c>
      <c r="BJ55" s="96">
        <f si="89" t="shared"/>
        <v>104098</v>
      </c>
      <c r="BK55" s="96">
        <f si="89" t="shared"/>
        <v>6001</v>
      </c>
      <c r="BL55" s="96">
        <f si="89" t="shared"/>
        <v>34851</v>
      </c>
      <c r="BM55" s="96">
        <f si="89" t="shared"/>
        <v>1399</v>
      </c>
      <c r="BN55" s="96">
        <f si="89" t="shared"/>
        <v>29486</v>
      </c>
      <c r="BO55" s="96">
        <f si="89" t="shared"/>
        <v>48263</v>
      </c>
      <c r="BP55" s="96">
        <f si="89" t="shared"/>
        <v>39768</v>
      </c>
      <c r="BQ55" s="96">
        <f si="89" t="shared"/>
        <v>15207</v>
      </c>
      <c r="BR55" s="96">
        <f si="89" t="shared"/>
        <v>0</v>
      </c>
      <c r="BS55" s="96">
        <f si="89" t="shared"/>
        <v>836864</v>
      </c>
    </row>
    <row customFormat="1" r="56" s="95" spans="1:71" x14ac:dyDescent="0.25"/>
    <row customFormat="1" r="57" s="95" spans="1:71" x14ac:dyDescent="0.25"/>
    <row ht="15.75" r="59" spans="1:71" thickBot="1" x14ac:dyDescent="0.3">
      <c r="A59" s="4" t="s">
        <v>320</v>
      </c>
      <c r="B59" s="1"/>
      <c r="C59" s="1"/>
      <c r="D59" s="1"/>
      <c r="E59" s="1"/>
      <c r="F59" s="1"/>
      <c r="G59" s="1"/>
      <c r="H59" s="1"/>
      <c r="I59" s="1"/>
      <c r="J59" s="1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4" t="s">
        <v>428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7"/>
      <c r="AN59" s="7"/>
      <c r="AO59" s="7"/>
      <c r="AP59" s="7"/>
      <c r="AQ59" s="7"/>
      <c r="AR59" s="7"/>
      <c r="AS59" s="7"/>
      <c r="AT59" s="7"/>
      <c r="AU59" s="7"/>
      <c r="AW59" s="4" t="s">
        <v>321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2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79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25">
      <c r="A61" s="31">
        <v>1</v>
      </c>
      <c r="B61" s="103">
        <f>IF($W$55&gt;0,B34/$W$55,0)</f>
        <v>2.9189058549650535E-3</v>
      </c>
      <c r="C61" s="103">
        <f ref="C61:W61" si="90" t="shared">IF($W$55&gt;0,C34/$W$55,0)</f>
        <v>3.9523650630415033E-4</v>
      </c>
      <c r="D61" s="103">
        <f si="90" t="shared"/>
        <v>3.7996994873705639E-4</v>
      </c>
      <c r="E61" s="103">
        <f si="90" t="shared"/>
        <v>0</v>
      </c>
      <c r="F61" s="103">
        <f si="90" t="shared"/>
        <v>3.6161372153314958E-4</v>
      </c>
      <c r="G61" s="103">
        <f si="90" t="shared"/>
        <v>4.5240108751131228E-3</v>
      </c>
      <c r="H61" s="103">
        <f si="90" t="shared"/>
        <v>0</v>
      </c>
      <c r="I61" s="103">
        <f si="90" t="shared"/>
        <v>0</v>
      </c>
      <c r="J61" s="103">
        <f si="90" t="shared"/>
        <v>1.4345593083212775E-3</v>
      </c>
      <c r="K61" s="103">
        <f si="90" t="shared"/>
        <v>1.9802994099882314E-4</v>
      </c>
      <c r="L61" s="103">
        <f si="90" t="shared"/>
        <v>9.4058626312872582E-4</v>
      </c>
      <c r="M61" s="103">
        <f si="90" t="shared"/>
        <v>8.5103538716243957E-4</v>
      </c>
      <c r="N61" s="103">
        <f si="90" t="shared"/>
        <v>5.2969446718762602E-5</v>
      </c>
      <c r="O61" s="103">
        <f si="90" t="shared"/>
        <v>0</v>
      </c>
      <c r="P61" s="103">
        <f si="90" t="shared"/>
        <v>0</v>
      </c>
      <c r="Q61" s="103">
        <f si="90" t="shared"/>
        <v>0</v>
      </c>
      <c r="R61" s="103">
        <f si="90" t="shared"/>
        <v>0</v>
      </c>
      <c r="S61" s="103">
        <f si="90" t="shared"/>
        <v>0</v>
      </c>
      <c r="T61" s="103">
        <f si="90" t="shared"/>
        <v>0</v>
      </c>
      <c r="U61" s="103">
        <f si="90" t="shared"/>
        <v>0</v>
      </c>
      <c r="V61" s="103">
        <f si="90" t="shared"/>
        <v>0</v>
      </c>
      <c r="W61" s="103">
        <f si="90" t="shared"/>
        <v>1.2056917252982564E-2</v>
      </c>
      <c r="X61" s="78"/>
      <c r="Y61" s="31">
        <v>1</v>
      </c>
      <c r="Z61" s="103">
        <f>IF($W$55&gt;0,Z34/$W$55,0)</f>
        <v>2.6534968883360059E-3</v>
      </c>
      <c r="AA61" s="103">
        <f ref="AA61:AU61" si="91" t="shared">IF($W$55&gt;0,AA34/$W$55,0)</f>
        <v>9.3359937431681205E-4</v>
      </c>
      <c r="AB61" s="103">
        <f si="91" t="shared"/>
        <v>4.7924767881596354E-4</v>
      </c>
      <c r="AC61" s="103">
        <f si="91" t="shared"/>
        <v>4.2738104690947398E-4</v>
      </c>
      <c r="AD61" s="103">
        <f si="91" t="shared"/>
        <v>4.7094901771092525E-4</v>
      </c>
      <c r="AE61" s="103">
        <f si="91" t="shared"/>
        <v>2.843328761113758E-3</v>
      </c>
      <c r="AF61" s="103">
        <f si="91" t="shared"/>
        <v>5.7260761624764475E-4</v>
      </c>
      <c r="AG61" s="103">
        <f si="91" t="shared"/>
        <v>7.6762615221604558E-5</v>
      </c>
      <c r="AH61" s="103">
        <f si="91" t="shared"/>
        <v>6.2966091134478326E-4</v>
      </c>
      <c r="AI61" s="103">
        <f si="91" t="shared"/>
        <v>2.8319181020943304E-4</v>
      </c>
      <c r="AJ61" s="103">
        <f si="91" t="shared"/>
        <v>3.6617842125981635E-4</v>
      </c>
      <c r="AK61" s="103">
        <f si="91" t="shared"/>
        <v>1.7966601292407985E-3</v>
      </c>
      <c r="AL61" s="103">
        <f si="91" t="shared"/>
        <v>1.307039124043537E-4</v>
      </c>
      <c r="AM61" s="103">
        <f si="91" t="shared"/>
        <v>3.5269309696412901E-5</v>
      </c>
      <c r="AN61" s="103">
        <f si="91" t="shared"/>
        <v>1.1618125547053662E-4</v>
      </c>
      <c r="AO61" s="103">
        <f si="91" t="shared"/>
        <v>4.9791966630229973E-5</v>
      </c>
      <c r="AP61" s="103">
        <f si="91" t="shared"/>
        <v>2.2821318038855411E-5</v>
      </c>
      <c r="AQ61" s="103">
        <f si="91" t="shared"/>
        <v>7.365061730721518E-5</v>
      </c>
      <c r="AR61" s="103">
        <f si="91" t="shared"/>
        <v>6.8463954116566229E-5</v>
      </c>
      <c r="AS61" s="103">
        <f si="91" t="shared"/>
        <v>2.6970648591374572E-5</v>
      </c>
      <c r="AT61" s="103">
        <f si="91" t="shared"/>
        <v>0</v>
      </c>
      <c r="AU61" s="103">
        <f si="91" t="shared"/>
        <v>1.2056917252982564E-2</v>
      </c>
      <c r="AW61" s="31">
        <v>1</v>
      </c>
      <c r="AX61" s="103">
        <f>IF($BS$55&gt;0,AX34/$BS$55,0)</f>
        <v>2.5918189813398593E-3</v>
      </c>
      <c r="AY61" s="103">
        <f ref="AY61:BS61" si="92" t="shared">IF($BS$55&gt;0,AY34/$BS$55,0)</f>
        <v>7.3608137044967883E-4</v>
      </c>
      <c r="AZ61" s="103">
        <f si="92" t="shared"/>
        <v>4.2181286326093608E-4</v>
      </c>
      <c r="BA61" s="103">
        <f si="92" t="shared"/>
        <v>1.2546841541755889E-4</v>
      </c>
      <c r="BB61" s="103">
        <f si="92" t="shared"/>
        <v>4.9470403793208933E-4</v>
      </c>
      <c r="BC61" s="103">
        <f si="92" t="shared"/>
        <v>3.5214801927194862E-3</v>
      </c>
      <c r="BD61" s="103">
        <f si="92" t="shared"/>
        <v>1.3299652034261243E-3</v>
      </c>
      <c r="BE61" s="103">
        <f si="92" t="shared"/>
        <v>2.3898745793820741E-6</v>
      </c>
      <c r="BF61" s="103">
        <f si="92" t="shared"/>
        <v>4.325672988681554E-4</v>
      </c>
      <c r="BG61" s="103">
        <f si="92" t="shared"/>
        <v>2.2464821046191497E-4</v>
      </c>
      <c r="BH61" s="103">
        <f si="92" t="shared"/>
        <v>1.3622285102477821E-4</v>
      </c>
      <c r="BI61" s="103">
        <f si="92" t="shared"/>
        <v>1.0885878709085348E-3</v>
      </c>
      <c r="BJ61" s="103">
        <f si="92" t="shared"/>
        <v>2.4615708167635361E-4</v>
      </c>
      <c r="BK61" s="103">
        <f si="92" t="shared"/>
        <v>1.7924059345365556E-5</v>
      </c>
      <c r="BL61" s="103">
        <f si="92" t="shared"/>
        <v>1.7804565616396452E-4</v>
      </c>
      <c r="BM61" s="103">
        <f si="92" t="shared"/>
        <v>9.5594983175282964E-6</v>
      </c>
      <c r="BN61" s="103">
        <f si="92" t="shared"/>
        <v>2.3779252064851637E-4</v>
      </c>
      <c r="BO61" s="103">
        <f si="92" t="shared"/>
        <v>1.2427347812786786E-4</v>
      </c>
      <c r="BP61" s="103">
        <f si="92" t="shared"/>
        <v>1.3144310186601407E-4</v>
      </c>
      <c r="BQ61" s="103">
        <f si="92" t="shared"/>
        <v>5.974686448455185E-6</v>
      </c>
      <c r="BR61" s="103">
        <f si="92" t="shared"/>
        <v>0</v>
      </c>
      <c r="BS61" s="103">
        <f si="92" t="shared"/>
        <v>1.2056917252982564E-2</v>
      </c>
    </row>
    <row r="62" spans="1:71" x14ac:dyDescent="0.25">
      <c r="A62" s="95">
        <v>2</v>
      </c>
      <c r="B62" s="104">
        <f ref="B62:W62" si="93" t="shared">IF($W$55&gt;0,B35/$W$55,0)</f>
        <v>1.6519102871236564E-3</v>
      </c>
      <c r="C62" s="104">
        <f si="93" t="shared"/>
        <v>1.314822068455307E-3</v>
      </c>
      <c r="D62" s="104">
        <f si="93" t="shared"/>
        <v>5.7465994624527857E-4</v>
      </c>
      <c r="E62" s="104">
        <f si="93" t="shared"/>
        <v>4.2301041241952211E-3</v>
      </c>
      <c r="F62" s="104">
        <f si="93" t="shared"/>
        <v>9.706708798004935E-5</v>
      </c>
      <c r="G62" s="104">
        <f si="93" t="shared"/>
        <v>3.5780006205549234E-3</v>
      </c>
      <c r="H62" s="104">
        <f si="93" t="shared"/>
        <v>1.5865234441929167E-3</v>
      </c>
      <c r="I62" s="104">
        <f si="93" t="shared"/>
        <v>0</v>
      </c>
      <c r="J62" s="104">
        <f si="93" t="shared"/>
        <v>1.621431827937938E-3</v>
      </c>
      <c r="K62" s="104">
        <f si="93" t="shared"/>
        <v>1.7871634277050725E-4</v>
      </c>
      <c r="L62" s="104">
        <f si="93" t="shared"/>
        <v>2.5954989595585148E-4</v>
      </c>
      <c r="M62" s="104">
        <f si="93" t="shared"/>
        <v>1.8381203354919677E-3</v>
      </c>
      <c r="N62" s="104">
        <f si="93" t="shared"/>
        <v>0</v>
      </c>
      <c r="O62" s="104">
        <f si="93" t="shared"/>
        <v>0</v>
      </c>
      <c r="P62" s="104">
        <f si="93" t="shared"/>
        <v>0</v>
      </c>
      <c r="Q62" s="104">
        <f si="93" t="shared"/>
        <v>0</v>
      </c>
      <c r="R62" s="104">
        <f si="93" t="shared"/>
        <v>0</v>
      </c>
      <c r="S62" s="104">
        <f si="93" t="shared"/>
        <v>0</v>
      </c>
      <c r="T62" s="104">
        <f si="93" t="shared"/>
        <v>3.7776066027105494E-4</v>
      </c>
      <c r="U62" s="104">
        <f si="93" t="shared"/>
        <v>0</v>
      </c>
      <c r="V62" s="104">
        <f si="93" t="shared"/>
        <v>0</v>
      </c>
      <c r="W62" s="104">
        <f si="93" t="shared"/>
        <v>1.7308666641174673E-2</v>
      </c>
      <c r="X62" s="21"/>
      <c r="Y62" s="95">
        <v>2</v>
      </c>
      <c r="Z62" s="104">
        <f ref="Z62:AU62" si="94" t="shared">IF($W$55&gt;0,Z35/$W$55,0)</f>
        <v>1.780265712709184E-3</v>
      </c>
      <c r="AA62" s="104">
        <f si="94" t="shared"/>
        <v>2.5070017160296353E-3</v>
      </c>
      <c r="AB62" s="104">
        <f si="94" t="shared"/>
        <v>7.3338587524625928E-4</v>
      </c>
      <c r="AC62" s="104">
        <f si="94" t="shared"/>
        <v>4.559912177696949E-4</v>
      </c>
      <c r="AD62" s="104">
        <f si="94" t="shared"/>
        <v>5.6428913198999754E-4</v>
      </c>
      <c r="AE62" s="104">
        <f si="94" t="shared"/>
        <v>3.3372857250519544E-3</v>
      </c>
      <c r="AF62" s="104">
        <f si="94" t="shared"/>
        <v>1.3850733239754484E-3</v>
      </c>
      <c r="AG62" s="104">
        <f si="94" t="shared"/>
        <v>1.2064767636823179E-4</v>
      </c>
      <c r="AH62" s="104">
        <f si="94" t="shared"/>
        <v>1.4154727384934282E-3</v>
      </c>
      <c r="AI62" s="104">
        <f si="94" t="shared"/>
        <v>4.3224167517752336E-4</v>
      </c>
      <c r="AJ62" s="104">
        <f si="94" t="shared"/>
        <v>8.6923325887348099E-4</v>
      </c>
      <c r="AK62" s="104">
        <f si="94" t="shared"/>
        <v>2.621949502175746E-3</v>
      </c>
      <c r="AL62" s="104">
        <f si="94" t="shared"/>
        <v>2.6884482214338269E-4</v>
      </c>
      <c r="AM62" s="104">
        <f si="94" t="shared"/>
        <v>6.3648774147019924E-5</v>
      </c>
      <c r="AN62" s="104">
        <f si="94" t="shared"/>
        <v>2.6314493192126145E-4</v>
      </c>
      <c r="AO62" s="104">
        <f si="94" t="shared"/>
        <v>7.8848481406009757E-5</v>
      </c>
      <c r="AP62" s="104">
        <f si="94" t="shared"/>
        <v>5.3198975406464415E-5</v>
      </c>
      <c r="AQ62" s="104">
        <f si="94" t="shared"/>
        <v>1.6719677984888815E-4</v>
      </c>
      <c r="AR62" s="104">
        <f si="94" t="shared"/>
        <v>1.3679736533090848E-4</v>
      </c>
      <c r="AS62" s="104">
        <f si="94" t="shared"/>
        <v>5.4148957110151277E-5</v>
      </c>
      <c r="AT62" s="104">
        <f si="94" t="shared"/>
        <v>0</v>
      </c>
      <c r="AU62" s="104">
        <f si="94" t="shared"/>
        <v>1.7308666641174673E-2</v>
      </c>
      <c r="AW62" s="95">
        <v>2</v>
      </c>
      <c r="AX62" s="104">
        <f ref="AX62:BS62" si="95" t="shared">IF($BS$55&gt;0,AX35/$BS$55,0)</f>
        <v>2.1305731875191189E-3</v>
      </c>
      <c r="AY62" s="104">
        <f si="95" t="shared"/>
        <v>1.7254894463138574E-3</v>
      </c>
      <c r="AZ62" s="104">
        <f si="95" t="shared"/>
        <v>5.4967115325787704E-4</v>
      </c>
      <c r="BA62" s="104">
        <f si="95" t="shared"/>
        <v>1.5295197308045274E-4</v>
      </c>
      <c r="BB62" s="104">
        <f si="95" t="shared"/>
        <v>4.7677997858672379E-4</v>
      </c>
      <c r="BC62" s="104">
        <f si="95" t="shared"/>
        <v>3.7783917100030593E-3</v>
      </c>
      <c r="BD62" s="104">
        <f si="95" t="shared"/>
        <v>3.2657636127256043E-3</v>
      </c>
      <c r="BE62" s="104">
        <f si="95" t="shared"/>
        <v>9.5594983175282964E-6</v>
      </c>
      <c r="BF62" s="104">
        <f si="95" t="shared"/>
        <v>1.2355651575405324E-3</v>
      </c>
      <c r="BG62" s="104">
        <f si="95" t="shared"/>
        <v>2.3181783420006118E-4</v>
      </c>
      <c r="BH62" s="104">
        <f si="95" t="shared"/>
        <v>2.2464821046191497E-4</v>
      </c>
      <c r="BI62" s="104">
        <f si="95" t="shared"/>
        <v>1.8139148057509942E-3</v>
      </c>
      <c r="BJ62" s="104">
        <f si="95" t="shared"/>
        <v>5.7954458550015301E-4</v>
      </c>
      <c r="BK62" s="104">
        <f si="95" t="shared"/>
        <v>4.0627867849495259E-5</v>
      </c>
      <c r="BL62" s="104">
        <f si="95" t="shared"/>
        <v>3.6565081064545731E-4</v>
      </c>
      <c r="BM62" s="104">
        <f si="95" t="shared"/>
        <v>3.3458244111349038E-5</v>
      </c>
      <c r="BN62" s="104">
        <f si="95" t="shared"/>
        <v>3.1546344447843375E-4</v>
      </c>
      <c r="BO62" s="104">
        <f si="95" t="shared"/>
        <v>2.2345327317222391E-4</v>
      </c>
      <c r="BP62" s="104">
        <f si="95" t="shared"/>
        <v>1.4219753747323339E-4</v>
      </c>
      <c r="BQ62" s="104">
        <f si="95" t="shared"/>
        <v>1.3144310186601407E-5</v>
      </c>
      <c r="BR62" s="104">
        <f si="95" t="shared"/>
        <v>0</v>
      </c>
      <c r="BS62" s="104">
        <f si="95" t="shared"/>
        <v>1.7308666641174673E-2</v>
      </c>
    </row>
    <row r="63" spans="1:71" x14ac:dyDescent="0.25">
      <c r="A63" s="95">
        <v>3</v>
      </c>
      <c r="B63" s="104">
        <f ref="B63:W63" si="96" t="shared">IF($W$55&gt;0,B36/$W$55,0)</f>
        <v>7.4861213446639971E-3</v>
      </c>
      <c r="C63" s="104">
        <f si="96" t="shared"/>
        <v>4.5149278307567752E-3</v>
      </c>
      <c r="D63" s="104">
        <f si="96" t="shared"/>
        <v>4.3770714764641066E-3</v>
      </c>
      <c r="E63" s="104">
        <f si="96" t="shared"/>
        <v>9.7312732211354423E-4</v>
      </c>
      <c r="F63" s="104">
        <f si="96" t="shared"/>
        <v>2.0888320449460379E-3</v>
      </c>
      <c r="G63" s="104">
        <f si="96" t="shared"/>
        <v>8.0029748080425907E-3</v>
      </c>
      <c r="H63" s="104">
        <f si="96" t="shared"/>
        <v>1.0931501480055227E-3</v>
      </c>
      <c r="I63" s="104">
        <f si="96" t="shared"/>
        <v>1.0639761423298882E-3</v>
      </c>
      <c r="J63" s="104">
        <f si="96" t="shared"/>
        <v>2.1340748861174881E-3</v>
      </c>
      <c r="K63" s="104">
        <f si="96" t="shared"/>
        <v>1.0531617791026211E-3</v>
      </c>
      <c r="L63" s="104">
        <f si="96" t="shared"/>
        <v>1.8780861375392764E-3</v>
      </c>
      <c r="M63" s="104">
        <f si="96" t="shared"/>
        <v>5.9045155500385684E-3</v>
      </c>
      <c r="N63" s="104">
        <f si="96" t="shared"/>
        <v>8.9268344808578513E-5</v>
      </c>
      <c r="O63" s="104">
        <f si="96" t="shared"/>
        <v>0</v>
      </c>
      <c r="P63" s="104">
        <f si="96" t="shared"/>
        <v>0</v>
      </c>
      <c r="Q63" s="104">
        <f si="96" t="shared"/>
        <v>0</v>
      </c>
      <c r="R63" s="104">
        <f si="96" t="shared"/>
        <v>0</v>
      </c>
      <c r="S63" s="104">
        <f si="96" t="shared"/>
        <v>0</v>
      </c>
      <c r="T63" s="104">
        <f si="96" t="shared"/>
        <v>2.5536498409211525E-4</v>
      </c>
      <c r="U63" s="104">
        <f si="96" t="shared"/>
        <v>0</v>
      </c>
      <c r="V63" s="104">
        <f si="96" t="shared"/>
        <v>0</v>
      </c>
      <c r="W63" s="104">
        <f si="96" t="shared"/>
        <v>4.0914652799021109E-2</v>
      </c>
      <c r="X63" s="21"/>
      <c r="Y63" s="95">
        <v>3</v>
      </c>
      <c r="Z63" s="104">
        <f ref="Z63:AU63" si="97" t="shared">IF($W$55&gt;0,Z36/$W$55,0)</f>
        <v>5.8019113198205978E-3</v>
      </c>
      <c r="AA63" s="104">
        <f si="97" t="shared"/>
        <v>4.1763115793864601E-3</v>
      </c>
      <c r="AB63" s="104">
        <f si="97" t="shared"/>
        <v>3.3406234351554191E-3</v>
      </c>
      <c r="AC63" s="104">
        <f si="97" t="shared"/>
        <v>1.5979208974404985E-3</v>
      </c>
      <c r="AD63" s="104">
        <f si="97" t="shared"/>
        <v>1.6735054302308219E-3</v>
      </c>
      <c r="AE63" s="104">
        <f si="97" t="shared"/>
        <v>9.0616273677638411E-3</v>
      </c>
      <c r="AF63" s="104">
        <f si="97" t="shared"/>
        <v>2.1664017496944802E-3</v>
      </c>
      <c r="AG63" s="104">
        <f si="97" t="shared"/>
        <v>4.0666607782962721E-4</v>
      </c>
      <c r="AH63" s="104">
        <f si="97" t="shared"/>
        <v>2.1493686155445481E-3</v>
      </c>
      <c r="AI63" s="104">
        <f si="97" t="shared"/>
        <v>1.1167348577049187E-3</v>
      </c>
      <c r="AJ63" s="104">
        <f si="97" t="shared"/>
        <v>2.140852048469582E-3</v>
      </c>
      <c r="AK63" s="104">
        <f si="97" t="shared"/>
        <v>5.1195213829389455E-3</v>
      </c>
      <c r="AL63" s="104">
        <f si="97" t="shared"/>
        <v>4.6734661823876004E-4</v>
      </c>
      <c r="AM63" s="104">
        <f si="97" t="shared"/>
        <v>1.5116906558064678E-4</v>
      </c>
      <c r="AN63" s="104">
        <f si="97" t="shared"/>
        <v>4.3328034993889603E-4</v>
      </c>
      <c r="AO63" s="104">
        <f si="97" t="shared"/>
        <v>1.788479085742863E-4</v>
      </c>
      <c r="AP63" s="104">
        <f si="97" t="shared"/>
        <v>1.5968563265561278E-4</v>
      </c>
      <c r="AQ63" s="104">
        <f si="97" t="shared"/>
        <v>2.2249531483348715E-4</v>
      </c>
      <c r="AR63" s="104">
        <f si="97" t="shared"/>
        <v>4.4818434232008657E-4</v>
      </c>
      <c r="AS63" s="104">
        <f si="97" t="shared"/>
        <v>1.0219880489959218E-4</v>
      </c>
      <c r="AT63" s="104">
        <f si="97" t="shared"/>
        <v>0</v>
      </c>
      <c r="AU63" s="104">
        <f si="97" t="shared"/>
        <v>4.0914652799021116E-2</v>
      </c>
      <c r="AW63" s="95">
        <v>3</v>
      </c>
      <c r="AX63" s="104">
        <f ref="AX63:BS63" si="98" t="shared">IF($BS$55&gt;0,AX36/$BS$55,0)</f>
        <v>6.1646814775160597E-3</v>
      </c>
      <c r="AY63" s="104">
        <f si="98" t="shared"/>
        <v>2.8475355613337412E-3</v>
      </c>
      <c r="AZ63" s="104">
        <f si="98" t="shared"/>
        <v>3.2550091771183847E-3</v>
      </c>
      <c r="BA63" s="104">
        <f si="98" t="shared"/>
        <v>5.3174709391251151E-4</v>
      </c>
      <c r="BB63" s="104">
        <f si="98" t="shared"/>
        <v>1.7171248852860203E-3</v>
      </c>
      <c r="BC63" s="104">
        <f si="98" t="shared"/>
        <v>9.4340299021107368E-3</v>
      </c>
      <c r="BD63" s="104">
        <f si="98" t="shared"/>
        <v>4.8896833894157233E-3</v>
      </c>
      <c r="BE63" s="104">
        <f si="98" t="shared"/>
        <v>3.5848118690731112E-5</v>
      </c>
      <c r="BF63" s="104">
        <f si="98" t="shared"/>
        <v>2.0564870755582746E-3</v>
      </c>
      <c r="BG63" s="104">
        <f si="98" t="shared"/>
        <v>7.0501300091771186E-4</v>
      </c>
      <c r="BH63" s="104">
        <f si="98" t="shared"/>
        <v>1.0575195013765677E-3</v>
      </c>
      <c r="BI63" s="104">
        <f si="98" t="shared"/>
        <v>3.7114752217803611E-3</v>
      </c>
      <c r="BJ63" s="104">
        <f si="98" t="shared"/>
        <v>8.8664346895074944E-4</v>
      </c>
      <c r="BK63" s="104">
        <f si="98" t="shared"/>
        <v>1.2068866625879474E-4</v>
      </c>
      <c r="BL63" s="104">
        <f si="98" t="shared"/>
        <v>4.6841541755888652E-4</v>
      </c>
      <c r="BM63" s="104">
        <f si="98" t="shared"/>
        <v>3.5848118690731112E-5</v>
      </c>
      <c r="BN63" s="104">
        <f si="98" t="shared"/>
        <v>1.6956160140715816E-3</v>
      </c>
      <c r="BO63" s="104">
        <f si="98" t="shared"/>
        <v>5.9627370755582743E-4</v>
      </c>
      <c r="BP63" s="104">
        <f si="98" t="shared"/>
        <v>6.751395686754359E-4</v>
      </c>
      <c r="BQ63" s="104">
        <f si="98" t="shared"/>
        <v>2.9873432242275924E-5</v>
      </c>
      <c r="BR63" s="104">
        <f si="98" t="shared"/>
        <v>0</v>
      </c>
      <c r="BS63" s="104">
        <f si="98" t="shared"/>
        <v>4.0914652799021109E-2</v>
      </c>
    </row>
    <row r="64" spans="1:71" x14ac:dyDescent="0.25">
      <c r="A64" s="95">
        <v>4</v>
      </c>
      <c r="B64" s="104">
        <f ref="B64:W64" si="99" t="shared">IF($W$55&gt;0,B37/$W$55,0)</f>
        <v>3.1851316905981862E-3</v>
      </c>
      <c r="C64" s="104">
        <f si="99" t="shared"/>
        <v>1.1810209205333433E-4</v>
      </c>
      <c r="D64" s="104">
        <f si="99" t="shared"/>
        <v>1.4499499562390639E-3</v>
      </c>
      <c r="E64" s="104">
        <f si="99" t="shared"/>
        <v>1.1690136725890977E-3</v>
      </c>
      <c r="F64" s="104">
        <f si="99" t="shared"/>
        <v>9.1474304363058263E-4</v>
      </c>
      <c r="G64" s="104">
        <f si="99" t="shared"/>
        <v>2.1948643938490527E-3</v>
      </c>
      <c r="H64" s="104">
        <f si="99" t="shared"/>
        <v>1.818676361443166E-3</v>
      </c>
      <c r="I64" s="104">
        <f si="99" t="shared"/>
        <v>2.5446158074001217E-4</v>
      </c>
      <c r="J64" s="104">
        <f si="99" t="shared"/>
        <v>5.2485685315683834E-4</v>
      </c>
      <c r="K64" s="104">
        <f si="99" t="shared"/>
        <v>4.1712764820507826E-4</v>
      </c>
      <c r="L64" s="104">
        <f si="99" t="shared"/>
        <v>9.7964921916699897E-4</v>
      </c>
      <c r="M64" s="104">
        <f si="99" t="shared"/>
        <v>1.3327346494526264E-3</v>
      </c>
      <c r="N64" s="104">
        <f si="99" t="shared"/>
        <v>0</v>
      </c>
      <c r="O64" s="104">
        <f si="99" t="shared"/>
        <v>0</v>
      </c>
      <c r="P64" s="104">
        <f si="99" t="shared"/>
        <v>0</v>
      </c>
      <c r="Q64" s="104">
        <f si="99" t="shared"/>
        <v>0</v>
      </c>
      <c r="R64" s="104">
        <f si="99" t="shared"/>
        <v>0</v>
      </c>
      <c r="S64" s="104">
        <f si="99" t="shared"/>
        <v>0</v>
      </c>
      <c r="T64" s="104">
        <f si="99" t="shared"/>
        <v>9.7040169558124776E-5</v>
      </c>
      <c r="U64" s="104">
        <f si="99" t="shared"/>
        <v>0</v>
      </c>
      <c r="V64" s="104">
        <f si="99" t="shared"/>
        <v>0</v>
      </c>
      <c r="W64" s="104">
        <f si="99" t="shared"/>
        <v>1.4456351330682167E-2</v>
      </c>
      <c r="X64" s="21"/>
      <c r="Y64" s="95">
        <v>4</v>
      </c>
      <c r="Z64" s="104">
        <f ref="Z64:AU64" si="100" t="shared">IF($W$55&gt;0,Z37/$W$55,0)</f>
        <v>1.6014498189646331E-3</v>
      </c>
      <c r="AA64" s="104">
        <f si="100" t="shared"/>
        <v>1.6872960379129269E-3</v>
      </c>
      <c r="AB64" s="104">
        <f si="100" t="shared"/>
        <v>7.1259958737610333E-4</v>
      </c>
      <c r="AC64" s="104">
        <f si="100" t="shared"/>
        <v>1.0407904421164838E-3</v>
      </c>
      <c r="AD64" s="104">
        <f si="100" t="shared"/>
        <v>8.9796664422020706E-4</v>
      </c>
      <c r="AE64" s="104">
        <f si="100" t="shared"/>
        <v>3.0137340758219643E-3</v>
      </c>
      <c r="AF64" s="104">
        <f si="100" t="shared"/>
        <v>8.5390398316710051E-4</v>
      </c>
      <c r="AG64" s="104">
        <f si="100" t="shared"/>
        <v>3.0691922526646667E-4</v>
      </c>
      <c r="AH64" s="104">
        <f si="100" t="shared"/>
        <v>7.5818165053448958E-4</v>
      </c>
      <c r="AI64" s="104">
        <f si="100" t="shared"/>
        <v>4.8924747790001129E-4</v>
      </c>
      <c r="AJ64" s="104">
        <f si="100" t="shared"/>
        <v>7.5362344421865094E-4</v>
      </c>
      <c r="AK64" s="104">
        <f si="100" t="shared"/>
        <v>1.57865878738544E-3</v>
      </c>
      <c r="AL64" s="104">
        <f si="100" t="shared"/>
        <v>1.8764616000202297E-4</v>
      </c>
      <c r="AM64" s="104">
        <f si="100" t="shared"/>
        <v>8.2807414737734832E-5</v>
      </c>
      <c r="AN64" s="104">
        <f si="100" t="shared"/>
        <v>1.2535067368556191E-4</v>
      </c>
      <c r="AO64" s="104">
        <f si="100" t="shared"/>
        <v>7.5210404211337138E-5</v>
      </c>
      <c r="AP64" s="104">
        <f si="100" t="shared"/>
        <v>4.9380568421584986E-5</v>
      </c>
      <c r="AQ64" s="104">
        <f si="100" t="shared"/>
        <v>9.4962631579971146E-5</v>
      </c>
      <c r="AR64" s="104">
        <f si="100" t="shared"/>
        <v>9.7241734737890442E-5</v>
      </c>
      <c r="AS64" s="104">
        <f si="100" t="shared"/>
        <v>4.9380568421584986E-5</v>
      </c>
      <c r="AT64" s="104">
        <f si="100" t="shared"/>
        <v>0</v>
      </c>
      <c r="AU64" s="104">
        <f si="100" t="shared"/>
        <v>1.4456351330682167E-2</v>
      </c>
      <c r="AW64" s="95">
        <v>4</v>
      </c>
      <c r="AX64" s="104">
        <f ref="AX64:BS64" si="101" t="shared">IF($BS$55&gt;0,AX37/$BS$55,0)</f>
        <v>1.9608920923829916E-3</v>
      </c>
      <c r="AY64" s="104">
        <f si="101" t="shared"/>
        <v>9.5714476904252069E-4</v>
      </c>
      <c r="AZ64" s="104">
        <f si="101" t="shared"/>
        <v>5.7954458550015301E-4</v>
      </c>
      <c r="BA64" s="104">
        <f si="101" t="shared"/>
        <v>4.0149892933618843E-4</v>
      </c>
      <c r="BB64" s="104">
        <f si="101" t="shared"/>
        <v>8.3287129091465283E-4</v>
      </c>
      <c r="BC64" s="104">
        <f si="101" t="shared"/>
        <v>3.9110297491587644E-3</v>
      </c>
      <c r="BD64" s="104">
        <f si="101" t="shared"/>
        <v>1.4339247476292444E-3</v>
      </c>
      <c r="BE64" s="104">
        <f si="101" t="shared"/>
        <v>1.5534184765983482E-5</v>
      </c>
      <c r="BF64" s="104">
        <f si="101" t="shared"/>
        <v>6.1061295503211986E-4</v>
      </c>
      <c r="BG64" s="104">
        <f si="101" t="shared"/>
        <v>4.2539767513000918E-4</v>
      </c>
      <c r="BH64" s="104">
        <f si="101" t="shared"/>
        <v>4.0149892933618843E-4</v>
      </c>
      <c r="BI64" s="104">
        <f si="101" t="shared"/>
        <v>1.3610335729580911E-3</v>
      </c>
      <c r="BJ64" s="104">
        <f si="101" t="shared"/>
        <v>2.5810645457326398E-4</v>
      </c>
      <c r="BK64" s="104">
        <f si="101" t="shared"/>
        <v>6.5721550933007036E-5</v>
      </c>
      <c r="BL64" s="104">
        <f si="101" t="shared"/>
        <v>1.8521527990211073E-4</v>
      </c>
      <c r="BM64" s="104">
        <f si="101" t="shared"/>
        <v>5.8551927194860815E-5</v>
      </c>
      <c r="BN64" s="104">
        <f si="101" t="shared"/>
        <v>5.5445090241664115E-4</v>
      </c>
      <c r="BO64" s="104">
        <f si="101" t="shared"/>
        <v>2.1030896298562251E-4</v>
      </c>
      <c r="BP64" s="104">
        <f si="101" t="shared"/>
        <v>2.1508871214438667E-4</v>
      </c>
      <c r="BQ64" s="104">
        <f si="101" t="shared"/>
        <v>1.7924059345365556E-5</v>
      </c>
      <c r="BR64" s="104">
        <f si="101" t="shared"/>
        <v>0</v>
      </c>
      <c r="BS64" s="104">
        <f si="101" t="shared"/>
        <v>1.4456351330682167E-2</v>
      </c>
    </row>
    <row r="65" spans="1:71" x14ac:dyDescent="0.25">
      <c r="A65" s="95">
        <v>5</v>
      </c>
      <c r="B65" s="104">
        <f ref="B65:W65" si="102" t="shared">IF($W$55&gt;0,B38/$W$55,0)</f>
        <v>1.1146406229648287E-3</v>
      </c>
      <c r="C65" s="104">
        <f si="102" t="shared"/>
        <v>7.0646387373241222E-4</v>
      </c>
      <c r="D65" s="104">
        <f si="102" t="shared"/>
        <v>7.0218406891632134E-5</v>
      </c>
      <c r="E65" s="104">
        <f si="102" t="shared"/>
        <v>3.6359538781667513E-4</v>
      </c>
      <c r="F65" s="104">
        <f si="102" t="shared"/>
        <v>1.5016913923045104E-3</v>
      </c>
      <c r="G65" s="104">
        <f si="102" t="shared"/>
        <v>3.5008771516790538E-3</v>
      </c>
      <c r="H65" s="104">
        <f si="102" t="shared"/>
        <v>7.2370009847093266E-4</v>
      </c>
      <c r="I65" s="104">
        <f si="102" t="shared"/>
        <v>0</v>
      </c>
      <c r="J65" s="104">
        <f si="102" t="shared"/>
        <v>6.9059672374968087E-4</v>
      </c>
      <c r="K65" s="104">
        <f si="102" t="shared"/>
        <v>1.1472903374057264E-3</v>
      </c>
      <c r="L65" s="104">
        <f si="102" t="shared"/>
        <v>2.0152873092053677E-4</v>
      </c>
      <c r="M65" s="104">
        <f si="102" t="shared"/>
        <v>4.8161768605041325E-3</v>
      </c>
      <c r="N65" s="104">
        <f si="102" t="shared"/>
        <v>0</v>
      </c>
      <c r="O65" s="104">
        <f si="102" t="shared"/>
        <v>0</v>
      </c>
      <c r="P65" s="104">
        <f si="102" t="shared"/>
        <v>0</v>
      </c>
      <c r="Q65" s="104">
        <f si="102" t="shared"/>
        <v>0</v>
      </c>
      <c r="R65" s="104">
        <f si="102" t="shared"/>
        <v>1.0159604347665738E-4</v>
      </c>
      <c r="S65" s="104">
        <f si="102" t="shared"/>
        <v>0</v>
      </c>
      <c r="T65" s="104">
        <f si="102" t="shared"/>
        <v>0</v>
      </c>
      <c r="U65" s="104">
        <f si="102" t="shared"/>
        <v>5.9282292995430773E-5</v>
      </c>
      <c r="V65" s="104">
        <f si="102" t="shared"/>
        <v>0</v>
      </c>
      <c r="W65" s="104">
        <f si="102" t="shared"/>
        <v>1.4997657922912206E-2</v>
      </c>
      <c r="X65" s="21"/>
      <c r="Y65" s="95">
        <v>5</v>
      </c>
      <c r="Z65" s="104">
        <f ref="Z65:AU65" si="103" t="shared">IF($W$55&gt;0,Z38/$W$55,0)</f>
        <v>1.7808330720728855E-3</v>
      </c>
      <c r="AA65" s="104">
        <f si="103" t="shared"/>
        <v>1.2173824234031736E-3</v>
      </c>
      <c r="AB65" s="104">
        <f si="103" t="shared"/>
        <v>4.7543718968042859E-4</v>
      </c>
      <c r="AC65" s="104">
        <f si="103" t="shared"/>
        <v>5.43709312073985E-4</v>
      </c>
      <c r="AD65" s="104">
        <f si="103" t="shared"/>
        <v>1.1030471822862538E-3</v>
      </c>
      <c r="AE65" s="104">
        <f si="103" t="shared"/>
        <v>4.4574292921768901E-3</v>
      </c>
      <c r="AF65" s="104">
        <f si="103" t="shared"/>
        <v>6.8765655808449531E-4</v>
      </c>
      <c r="AG65" s="104">
        <f si="103" t="shared"/>
        <v>1.2585102079776053E-4</v>
      </c>
      <c r="AH65" s="104">
        <f si="103" t="shared"/>
        <v>6.1115887877605268E-4</v>
      </c>
      <c r="AI65" s="104">
        <f si="103" t="shared"/>
        <v>6.1527165723349584E-4</v>
      </c>
      <c r="AJ65" s="104">
        <f si="103" t="shared"/>
        <v>4.6638907707405362E-4</v>
      </c>
      <c r="AK65" s="104">
        <f si="103" t="shared"/>
        <v>2.1279515738810879E-3</v>
      </c>
      <c r="AL65" s="104">
        <f si="103" t="shared"/>
        <v>1.9247803180833962E-4</v>
      </c>
      <c r="AM65" s="104">
        <f si="103" t="shared"/>
        <v>8.7190903297794864E-5</v>
      </c>
      <c r="AN65" s="104">
        <f si="103" t="shared"/>
        <v>1.3572168909562409E-4</v>
      </c>
      <c r="AO65" s="104">
        <f si="103" t="shared"/>
        <v>6.744956670206773E-5</v>
      </c>
      <c r="AP65" s="104">
        <f si="103" t="shared"/>
        <v>3.9482673191454274E-5</v>
      </c>
      <c r="AQ65" s="104">
        <f si="103" t="shared"/>
        <v>1.2420590941478323E-4</v>
      </c>
      <c r="AR65" s="104">
        <f si="103" t="shared"/>
        <v>8.3078124840351713E-5</v>
      </c>
      <c r="AS65" s="104">
        <f si="103" t="shared"/>
        <v>5.593378702122689E-5</v>
      </c>
      <c r="AT65" s="104">
        <f si="103" t="shared"/>
        <v>0</v>
      </c>
      <c r="AU65" s="104">
        <f si="103" t="shared"/>
        <v>1.4997657922912199E-2</v>
      </c>
      <c r="AW65" s="95">
        <v>5</v>
      </c>
      <c r="AX65" s="104">
        <f ref="AX65:BS65" si="104" t="shared">IF($BS$55&gt;0,AX38/$BS$55,0)</f>
        <v>1.9083148516365861E-3</v>
      </c>
      <c r="AY65" s="104">
        <f si="104" t="shared"/>
        <v>7.1218262465585808E-4</v>
      </c>
      <c r="AZ65" s="104">
        <f si="104" t="shared"/>
        <v>4.2420273784031813E-4</v>
      </c>
      <c r="BA65" s="104">
        <f si="104" t="shared"/>
        <v>2.1269883756500459E-4</v>
      </c>
      <c r="BB65" s="104">
        <f si="104" t="shared"/>
        <v>1.2391499694096055E-3</v>
      </c>
      <c r="BC65" s="104">
        <f si="104" t="shared"/>
        <v>5.4262102324869992E-3</v>
      </c>
      <c r="BD65" s="104">
        <f si="104" t="shared"/>
        <v>1.3825424441725298E-3</v>
      </c>
      <c r="BE65" s="104">
        <f si="104" t="shared"/>
        <v>8.3645610278372596E-6</v>
      </c>
      <c r="BF65" s="104">
        <f si="104" t="shared"/>
        <v>4.2181286326093608E-4</v>
      </c>
      <c r="BG65" s="104">
        <f si="104" t="shared"/>
        <v>5.5206102783725915E-4</v>
      </c>
      <c r="BH65" s="104">
        <f si="104" t="shared"/>
        <v>2.1150390027531356E-4</v>
      </c>
      <c r="BI65" s="104">
        <f si="104" t="shared"/>
        <v>1.3705930712756195E-3</v>
      </c>
      <c r="BJ65" s="104">
        <f si="104" t="shared"/>
        <v>1.9596971550933008E-4</v>
      </c>
      <c r="BK65" s="104">
        <f si="104" t="shared"/>
        <v>2.7483557662893851E-5</v>
      </c>
      <c r="BL65" s="104">
        <f si="104" t="shared"/>
        <v>1.8880009177118384E-4</v>
      </c>
      <c r="BM65" s="104">
        <f si="104" t="shared"/>
        <v>2.1508871214438666E-5</v>
      </c>
      <c r="BN65" s="104">
        <f si="104" t="shared"/>
        <v>3.7521030896298563E-4</v>
      </c>
      <c r="BO65" s="104">
        <f si="104" t="shared"/>
        <v>1.6490134597736312E-4</v>
      </c>
      <c r="BP65" s="104">
        <f si="104" t="shared"/>
        <v>1.3502791373508718E-4</v>
      </c>
      <c r="BQ65" s="104">
        <f si="104" t="shared"/>
        <v>1.9118996635056593E-5</v>
      </c>
      <c r="BR65" s="104">
        <f si="104" t="shared"/>
        <v>0</v>
      </c>
      <c r="BS65" s="104">
        <f si="104" t="shared"/>
        <v>1.4997657922912206E-2</v>
      </c>
    </row>
    <row r="66" spans="1:71" x14ac:dyDescent="0.25">
      <c r="A66" s="95">
        <v>6</v>
      </c>
      <c r="B66" s="104">
        <f ref="B66:W66" si="105" t="shared">IF($W$55&gt;0,B39/$W$55,0)</f>
        <v>5.554329894999252E-3</v>
      </c>
      <c r="C66" s="104">
        <f si="105" t="shared"/>
        <v>1.9441718960642623E-3</v>
      </c>
      <c r="D66" s="104">
        <f si="105" t="shared"/>
        <v>4.5304990337092387E-4</v>
      </c>
      <c r="E66" s="104">
        <f si="105" t="shared"/>
        <v>2.0538389013012806E-4</v>
      </c>
      <c r="F66" s="104">
        <f si="105" t="shared"/>
        <v>6.2803672433610705E-4</v>
      </c>
      <c r="G66" s="104">
        <f si="105" t="shared"/>
        <v>1.8486977064649551E-2</v>
      </c>
      <c r="H66" s="104">
        <f si="105" t="shared"/>
        <v>1.1465936021393985E-3</v>
      </c>
      <c r="I66" s="104">
        <f si="105" t="shared"/>
        <v>0</v>
      </c>
      <c r="J66" s="104">
        <f si="105" t="shared"/>
        <v>1.0085303227294312E-3</v>
      </c>
      <c r="K66" s="104">
        <f si="105" t="shared"/>
        <v>5.9727434851177311E-4</v>
      </c>
      <c r="L66" s="104">
        <f si="105" t="shared"/>
        <v>6.7344139662171344E-4</v>
      </c>
      <c r="M66" s="104">
        <f si="105" t="shared"/>
        <v>7.1155290763134198E-3</v>
      </c>
      <c r="N66" s="104">
        <f si="105" t="shared"/>
        <v>1.4698924387639725E-4</v>
      </c>
      <c r="O66" s="104">
        <f si="105" t="shared"/>
        <v>0</v>
      </c>
      <c r="P66" s="104">
        <f si="105" t="shared"/>
        <v>4.7197318556830366E-4</v>
      </c>
      <c r="Q66" s="104">
        <f si="105" t="shared"/>
        <v>0</v>
      </c>
      <c r="R66" s="104">
        <f si="105" t="shared"/>
        <v>0</v>
      </c>
      <c r="S66" s="104">
        <f si="105" t="shared"/>
        <v>3.7530555002587231E-5</v>
      </c>
      <c r="T66" s="104">
        <f si="105" t="shared"/>
        <v>0</v>
      </c>
      <c r="U66" s="104">
        <f si="105" t="shared"/>
        <v>0</v>
      </c>
      <c r="V66" s="104">
        <f si="105" t="shared"/>
        <v>0</v>
      </c>
      <c r="W66" s="104">
        <f si="105" t="shared"/>
        <v>3.8469811104313245E-2</v>
      </c>
      <c r="X66" s="21"/>
      <c r="Y66" s="95">
        <v>6</v>
      </c>
      <c r="Z66" s="104">
        <f ref="Z66:AU66" si="106" t="shared">IF($W$55&gt;0,Z39/$W$55,0)</f>
        <v>4.4190172805368029E-3</v>
      </c>
      <c r="AA66" s="104">
        <f si="106" t="shared"/>
        <v>2.650653038882401E-3</v>
      </c>
      <c r="AB66" s="104">
        <f si="106" t="shared"/>
        <v>1.0072481547753124E-3</v>
      </c>
      <c r="AC66" s="104">
        <f si="106" t="shared"/>
        <v>8.4316010951116373E-4</v>
      </c>
      <c r="AD66" s="104">
        <f si="106" t="shared"/>
        <v>1.5108722321629687E-3</v>
      </c>
      <c r="AE66" s="104">
        <f si="106" t="shared"/>
        <v>1.4679568972477297E-2</v>
      </c>
      <c r="AF66" s="104">
        <f si="106" t="shared"/>
        <v>1.6219472166494691E-3</v>
      </c>
      <c r="AG66" s="104">
        <f si="106" t="shared"/>
        <v>1.6913690819535322E-4</v>
      </c>
      <c r="AH66" s="104">
        <f si="106" t="shared"/>
        <v>1.3379486767692119E-3</v>
      </c>
      <c r="AI66" s="104">
        <f si="106" t="shared"/>
        <v>1.0539501368889547E-3</v>
      </c>
      <c r="AJ66" s="104">
        <f si="106" t="shared"/>
        <v>8.8607544442640275E-4</v>
      </c>
      <c r="AK66" s="104">
        <f si="106" t="shared"/>
        <v>6.3805005293097791E-3</v>
      </c>
      <c r="AL66" s="104">
        <f si="106" t="shared"/>
        <v>5.6673486402771336E-4</v>
      </c>
      <c r="AM66" s="104">
        <f si="106" t="shared"/>
        <v>1.2117271034890976E-4</v>
      </c>
      <c r="AN66" s="104">
        <f si="106" t="shared"/>
        <v>2.9788291294106982E-4</v>
      </c>
      <c r="AO66" s="104">
        <f si="106" t="shared"/>
        <v>1.9059457565297262E-4</v>
      </c>
      <c r="AP66" s="104">
        <f si="106" t="shared"/>
        <v>7.9519591166472026E-5</v>
      </c>
      <c r="AQ66" s="104">
        <f si="106" t="shared"/>
        <v>3.4584711078751326E-4</v>
      </c>
      <c r="AR66" s="104">
        <f si="106" t="shared"/>
        <v>2.0195451724818294E-4</v>
      </c>
      <c r="AS66" s="104">
        <f si="106" t="shared"/>
        <v>1.0602612155529603E-4</v>
      </c>
      <c r="AT66" s="104">
        <f si="106" t="shared"/>
        <v>0</v>
      </c>
      <c r="AU66" s="104">
        <f si="106" t="shared"/>
        <v>3.8469811104313252E-2</v>
      </c>
      <c r="AW66" s="95">
        <v>6</v>
      </c>
      <c r="AX66" s="104">
        <f ref="AX66:BS66" si="107" t="shared">IF($BS$55&gt;0,AX39/$BS$55,0)</f>
        <v>4.1189488375650042E-3</v>
      </c>
      <c r="AY66" s="104">
        <f si="107" t="shared"/>
        <v>1.8856110431324563E-3</v>
      </c>
      <c r="AZ66" s="104">
        <f si="107" t="shared"/>
        <v>9.1054221474457019E-4</v>
      </c>
      <c r="BA66" s="104">
        <f si="107" t="shared"/>
        <v>3.3338750382379934E-4</v>
      </c>
      <c r="BB66" s="104">
        <f si="107" t="shared"/>
        <v>1.6418438360354848E-3</v>
      </c>
      <c r="BC66" s="104">
        <f si="107" t="shared"/>
        <v>1.5644118996635058E-2</v>
      </c>
      <c r="BD66" s="104">
        <f si="107" t="shared"/>
        <v>4.2922147445702049E-3</v>
      </c>
      <c r="BE66" s="104">
        <f si="107" t="shared"/>
        <v>1.7924059345365556E-5</v>
      </c>
      <c r="BF66" s="104">
        <f si="107" t="shared"/>
        <v>1.2427347812786786E-3</v>
      </c>
      <c r="BG66" s="104">
        <f si="107" t="shared"/>
        <v>8.8066878250229433E-4</v>
      </c>
      <c r="BH66" s="104">
        <f si="107" t="shared"/>
        <v>3.7760018354236768E-4</v>
      </c>
      <c r="BI66" s="104">
        <f si="107" t="shared"/>
        <v>4.4630907769960234E-3</v>
      </c>
      <c r="BJ66" s="104">
        <f si="107" t="shared"/>
        <v>6.7991931783420011E-4</v>
      </c>
      <c r="BK66" s="104">
        <f si="107" t="shared"/>
        <v>7.4086111960844291E-5</v>
      </c>
      <c r="BL66" s="104">
        <f si="107" t="shared"/>
        <v>3.1546344447843375E-4</v>
      </c>
      <c r="BM66" s="104">
        <f si="107" t="shared"/>
        <v>4.5407617008259407E-5</v>
      </c>
      <c r="BN66" s="104">
        <f si="107" t="shared"/>
        <v>6.5721550933007036E-4</v>
      </c>
      <c r="BO66" s="104">
        <f si="107" t="shared"/>
        <v>6.0344333129397365E-4</v>
      </c>
      <c r="BP66" s="104">
        <f si="107" t="shared"/>
        <v>2.3420770877944326E-4</v>
      </c>
      <c r="BQ66" s="104">
        <f si="107" t="shared"/>
        <v>5.1382303456714594E-5</v>
      </c>
      <c r="BR66" s="104">
        <f si="107" t="shared"/>
        <v>0</v>
      </c>
      <c r="BS66" s="104">
        <f si="107" t="shared"/>
        <v>3.8469811104313245E-2</v>
      </c>
    </row>
    <row customFormat="1" r="67" s="95" spans="1:71" x14ac:dyDescent="0.25">
      <c r="A67" s="95">
        <v>7</v>
      </c>
      <c r="B67" s="104">
        <f ref="B67:W67" si="108" t="shared">IF($W$55&gt;0,B40/$W$55,0)</f>
        <v>7.3321806025479115E-3</v>
      </c>
      <c r="C67" s="104">
        <f si="108" t="shared"/>
        <v>9.8729903870205214E-3</v>
      </c>
      <c r="D67" s="104">
        <f si="108" t="shared"/>
        <v>7.5617940701255327E-4</v>
      </c>
      <c r="E67" s="104">
        <f si="108" t="shared"/>
        <v>3.1525518229630293E-3</v>
      </c>
      <c r="F67" s="104">
        <f si="108" t="shared"/>
        <v>3.8041602167671737E-3</v>
      </c>
      <c r="G67" s="104">
        <f si="108" t="shared"/>
        <v>1.5399502033538364E-2</v>
      </c>
      <c r="H67" s="104">
        <f si="108" t="shared"/>
        <v>3.1655072674950463E-2</v>
      </c>
      <c r="I67" s="104">
        <f si="108" t="shared"/>
        <v>1.2545875880672931E-4</v>
      </c>
      <c r="J67" s="104">
        <f si="108" t="shared"/>
        <v>9.7662884389267957E-3</v>
      </c>
      <c r="K67" s="104">
        <f si="108" t="shared"/>
        <v>2.6746064371666858E-4</v>
      </c>
      <c r="L67" s="104">
        <f si="108" t="shared"/>
        <v>0</v>
      </c>
      <c r="M67" s="104">
        <f si="108" t="shared"/>
        <v>1.8403072842188097E-2</v>
      </c>
      <c r="N67" s="104">
        <f si="108" t="shared"/>
        <v>6.9739657954743977E-3</v>
      </c>
      <c r="O67" s="104">
        <f si="108" t="shared"/>
        <v>0</v>
      </c>
      <c r="P67" s="104">
        <f si="108" t="shared"/>
        <v>6.6138517861395068E-4</v>
      </c>
      <c r="Q67" s="104">
        <f si="108" t="shared"/>
        <v>9.9007480875142639E-5</v>
      </c>
      <c r="R67" s="104">
        <f si="108" t="shared"/>
        <v>0</v>
      </c>
      <c r="S67" s="104">
        <f si="108" t="shared"/>
        <v>5.8491642060295708E-4</v>
      </c>
      <c r="T67" s="104">
        <f si="108" t="shared"/>
        <v>1.5874129721884776E-4</v>
      </c>
      <c r="U67" s="104">
        <f si="108" t="shared"/>
        <v>0</v>
      </c>
      <c r="V67" s="104">
        <f si="108" t="shared"/>
        <v>0</v>
      </c>
      <c r="W67" s="104">
        <f si="108" t="shared"/>
        <v>0.10901293400122361</v>
      </c>
      <c r="X67" s="21"/>
      <c r="Y67" s="95">
        <v>7</v>
      </c>
      <c r="Z67" s="104">
        <f ref="Z67:AU67" si="109" t="shared">IF($W$55&gt;0,Z40/$W$55,0)</f>
        <v>6.7769764295381139E-3</v>
      </c>
      <c r="AA67" s="104">
        <f si="109" t="shared"/>
        <v>1.0772421852124523E-2</v>
      </c>
      <c r="AB67" s="104">
        <f si="109" t="shared"/>
        <v>2.6618493040018038E-3</v>
      </c>
      <c r="AC67" s="104">
        <f si="109" t="shared"/>
        <v>2.4235544847354845E-3</v>
      </c>
      <c r="AD67" s="104">
        <f si="109" t="shared"/>
        <v>2.7537477544811919E-3</v>
      </c>
      <c r="AE67" s="104">
        <f si="109" t="shared"/>
        <v>1.4643911225227107E-2</v>
      </c>
      <c r="AF67" s="104">
        <f si="109" t="shared"/>
        <v>2.3239622104950314E-2</v>
      </c>
      <c r="AG67" s="104">
        <f si="109" t="shared"/>
        <v>6.507692597900838E-4</v>
      </c>
      <c r="AH67" s="104">
        <f si="109" t="shared"/>
        <v>8.167207639697225E-3</v>
      </c>
      <c r="AI67" s="104">
        <f si="109" t="shared"/>
        <v>1.9565821259041761E-3</v>
      </c>
      <c r="AJ67" s="104">
        <f si="109" t="shared"/>
        <v>4.0125428087221093E-3</v>
      </c>
      <c r="AK67" s="104">
        <f si="109" t="shared"/>
        <v>1.7270497170324028E-2</v>
      </c>
      <c r="AL67" s="104">
        <f si="109" t="shared"/>
        <v>7.1199927388855963E-3</v>
      </c>
      <c r="AM67" s="104">
        <f si="109" t="shared"/>
        <v>2.8744980440645736E-4</v>
      </c>
      <c r="AN67" s="104">
        <f si="109" t="shared"/>
        <v>3.0347860390867614E-3</v>
      </c>
      <c r="AO67" s="104">
        <f si="109" t="shared"/>
        <v>3.5263358904881383E-4</v>
      </c>
      <c r="AP67" s="104">
        <f si="109" t="shared"/>
        <v>2.9920425737475114E-4</v>
      </c>
      <c r="AQ67" s="104">
        <f si="109" t="shared"/>
        <v>1.3229102522497925E-3</v>
      </c>
      <c r="AR67" s="104">
        <f si="109" t="shared"/>
        <v>7.2022739096636534E-4</v>
      </c>
      <c r="AS67" s="104">
        <f si="109" t="shared"/>
        <v>5.4604776970892087E-4</v>
      </c>
      <c r="AT67" s="104">
        <f si="109" t="shared"/>
        <v>0</v>
      </c>
      <c r="AU67" s="104">
        <f si="109" t="shared"/>
        <v>0.1090129340012236</v>
      </c>
      <c r="AW67" s="95">
        <v>7</v>
      </c>
      <c r="AX67" s="104">
        <f ref="AX67:BS67" si="110" t="shared">IF($BS$55&gt;0,AX40/$BS$55,0)</f>
        <v>6.5004588559192415E-3</v>
      </c>
      <c r="AY67" s="104">
        <f si="110" t="shared"/>
        <v>5.097602477821964E-3</v>
      </c>
      <c r="AZ67" s="104">
        <f si="110" t="shared"/>
        <v>1.772092000611808E-3</v>
      </c>
      <c r="BA67" s="104">
        <f si="110" t="shared"/>
        <v>5.0067872438054454E-4</v>
      </c>
      <c r="BB67" s="104">
        <f si="110" t="shared"/>
        <v>1.8055502447231568E-3</v>
      </c>
      <c r="BC67" s="104">
        <f si="110" t="shared"/>
        <v>1.2184775542979505E-2</v>
      </c>
      <c r="BD67" s="104">
        <f si="110" t="shared"/>
        <v>3.5643784414193941E-2</v>
      </c>
      <c r="BE67" s="104">
        <f si="110" t="shared"/>
        <v>2.8678494952584888E-5</v>
      </c>
      <c r="BF67" s="104">
        <f si="110" t="shared"/>
        <v>7.2269807280513918E-3</v>
      </c>
      <c r="BG67" s="104">
        <f si="110" t="shared"/>
        <v>1.0873929336188437E-3</v>
      </c>
      <c r="BH67" s="104">
        <f si="110" t="shared"/>
        <v>6.8469906699296422E-4</v>
      </c>
      <c r="BI67" s="104">
        <f si="110" t="shared"/>
        <v>1.3241100107066381E-2</v>
      </c>
      <c r="BJ67" s="104">
        <f si="110" t="shared"/>
        <v>1.6393344677271337E-2</v>
      </c>
      <c r="BK67" s="104">
        <f si="110" t="shared"/>
        <v>5.2577240746405628E-5</v>
      </c>
      <c r="BL67" s="104">
        <f si="110" t="shared"/>
        <v>2.418553074334659E-3</v>
      </c>
      <c r="BM67" s="104">
        <f si="110" t="shared"/>
        <v>6.5721550933007036E-5</v>
      </c>
      <c r="BN67" s="104">
        <f si="110" t="shared"/>
        <v>1.1889626032425818E-3</v>
      </c>
      <c r="BO67" s="104">
        <f si="110" t="shared"/>
        <v>2.4544011930253901E-3</v>
      </c>
      <c r="BP67" s="104">
        <f si="110" t="shared"/>
        <v>5.8551927194860811E-4</v>
      </c>
      <c r="BQ67" s="104">
        <f si="110" t="shared"/>
        <v>8.0060798409299478E-5</v>
      </c>
      <c r="BR67" s="104">
        <f si="110" t="shared"/>
        <v>0</v>
      </c>
      <c r="BS67" s="104">
        <f si="110" t="shared"/>
        <v>0.10901293400122361</v>
      </c>
    </row>
    <row r="68" spans="1:71" x14ac:dyDescent="0.25">
      <c r="A68" s="95">
        <v>8</v>
      </c>
      <c r="B68" s="104">
        <f ref="B68:W68" si="111" t="shared">IF($W$55&gt;0,B41/$W$55,0)</f>
        <v>7.0052220648178542E-4</v>
      </c>
      <c r="C68" s="104">
        <f si="111" t="shared"/>
        <v>2.5384903574919473E-4</v>
      </c>
      <c r="D68" s="104">
        <f si="111" t="shared"/>
        <v>6.860868363979029E-5</v>
      </c>
      <c r="E68" s="104">
        <f si="111" t="shared"/>
        <v>2.3969803255323281E-4</v>
      </c>
      <c r="F68" s="104">
        <f si="111" t="shared"/>
        <v>1.5741317492413759E-4</v>
      </c>
      <c r="G68" s="104">
        <f si="111" t="shared"/>
        <v>5.6748997769689817E-4</v>
      </c>
      <c r="H68" s="104">
        <f si="111" t="shared"/>
        <v>7.9304196814867177E-5</v>
      </c>
      <c r="I68" s="104">
        <f si="111" t="shared"/>
        <v>3.4711927485339591E-4</v>
      </c>
      <c r="J68" s="104">
        <f si="111" t="shared"/>
        <v>3.3214013872069051E-4</v>
      </c>
      <c r="K68" s="104">
        <f si="111" t="shared"/>
        <v>6.2261434788162795E-5</v>
      </c>
      <c r="L68" s="104">
        <f si="111" t="shared"/>
        <v>1.6425763416964402E-3</v>
      </c>
      <c r="M68" s="104">
        <f si="111" t="shared"/>
        <v>8.9035418843499818E-4</v>
      </c>
      <c r="N68" s="104">
        <f si="111" t="shared"/>
        <v>0</v>
      </c>
      <c r="O68" s="104">
        <f si="111" t="shared"/>
        <v>5.9885521661216469E-5</v>
      </c>
      <c r="P68" s="104">
        <f si="111" t="shared"/>
        <v>5.3717877608212326E-5</v>
      </c>
      <c r="Q68" s="104">
        <f si="111" t="shared"/>
        <v>0</v>
      </c>
      <c r="R68" s="104">
        <f si="111" t="shared"/>
        <v>9.5488649710861017E-5</v>
      </c>
      <c r="S68" s="104">
        <f si="111" t="shared"/>
        <v>5.9885521661216469E-5</v>
      </c>
      <c r="T68" s="104">
        <f si="111" t="shared"/>
        <v>3.2613419818997209E-4</v>
      </c>
      <c r="U68" s="104">
        <f si="111" t="shared"/>
        <v>0</v>
      </c>
      <c r="V68" s="104">
        <f si="111" t="shared"/>
        <v>0</v>
      </c>
      <c r="W68" s="104">
        <f si="111" t="shared"/>
        <v>5.9364484551850715E-3</v>
      </c>
      <c r="X68" s="21"/>
      <c r="Y68" s="95">
        <v>8</v>
      </c>
      <c r="Z68" s="104">
        <f ref="Z68:AU68" si="112" t="shared">IF($W$55&gt;0,Z41/$W$55,0)</f>
        <v>5.9988326987744358E-4</v>
      </c>
      <c r="AA68" s="104">
        <f si="112" t="shared"/>
        <v>7.1289820391614829E-4</v>
      </c>
      <c r="AB68" s="104">
        <f si="112" t="shared"/>
        <v>2.7123584169289088E-4</v>
      </c>
      <c r="AC68" s="104">
        <f si="112" t="shared"/>
        <v>3.8334665625928575E-4</v>
      </c>
      <c r="AD68" s="104">
        <f si="112" t="shared"/>
        <v>3.2412683082300463E-4</v>
      </c>
      <c r="AE68" s="104">
        <f si="112" t="shared"/>
        <v>1.1708347166409789E-3</v>
      </c>
      <c r="AF68" s="104">
        <f si="112" t="shared"/>
        <v>3.2683918923993356E-4</v>
      </c>
      <c r="AG68" s="104">
        <f si="112" t="shared"/>
        <v>2.0026246311658443E-4</v>
      </c>
      <c r="AH68" s="104">
        <f si="112" t="shared"/>
        <v>3.074006205852763E-4</v>
      </c>
      <c r="AI68" s="104">
        <f si="112" t="shared"/>
        <v>1.9122126839348809E-4</v>
      </c>
      <c r="AJ68" s="104">
        <f si="112" t="shared"/>
        <v>4.7556684243486868E-4</v>
      </c>
      <c r="AK68" s="104">
        <f si="112" t="shared"/>
        <v>5.4834845995579441E-4</v>
      </c>
      <c r="AL68" s="104">
        <f si="112" t="shared"/>
        <v>8.1370752507867259E-5</v>
      </c>
      <c r="AM68" s="104">
        <f si="112" t="shared"/>
        <v>9.9001082217905183E-5</v>
      </c>
      <c r="AN68" s="104">
        <f si="112" t="shared"/>
        <v>6.0123944908590812E-5</v>
      </c>
      <c r="AO68" s="104">
        <f si="112" t="shared"/>
        <v>2.802770364159872E-5</v>
      </c>
      <c r="AP68" s="104">
        <f si="112" t="shared"/>
        <v>5.0178630713184804E-5</v>
      </c>
      <c r="AQ68" s="104">
        <f si="112" t="shared"/>
        <v>2.8931823113908363E-5</v>
      </c>
      <c r="AR68" s="104">
        <f si="112" t="shared"/>
        <v>5.8315705963971539E-5</v>
      </c>
      <c r="AS68" s="104">
        <f si="112" t="shared"/>
        <v>1.8534449182347546E-5</v>
      </c>
      <c r="AT68" s="104">
        <f si="112" t="shared"/>
        <v>0</v>
      </c>
      <c r="AU68" s="104">
        <f si="112" t="shared"/>
        <v>5.9364484551850715E-3</v>
      </c>
      <c r="AW68" s="95">
        <v>8</v>
      </c>
      <c r="AX68" s="104">
        <f ref="AX68:BS68" si="113" t="shared">IF($BS$55&gt;0,AX41/$BS$55,0)</f>
        <v>7.8387886203732033E-4</v>
      </c>
      <c r="AY68" s="104">
        <f si="113" t="shared"/>
        <v>4.0388880391557049E-4</v>
      </c>
      <c r="AZ68" s="104">
        <f si="113" t="shared"/>
        <v>2.8559001223615784E-4</v>
      </c>
      <c r="BA68" s="104">
        <f si="113" t="shared"/>
        <v>1.194937289691037E-4</v>
      </c>
      <c r="BB68" s="104">
        <f si="113" t="shared"/>
        <v>3.2741281737534413E-4</v>
      </c>
      <c r="BC68" s="104">
        <f si="113" t="shared"/>
        <v>1.387322193331294E-3</v>
      </c>
      <c r="BD68" s="104">
        <f si="113" t="shared"/>
        <v>5.771547109207709E-4</v>
      </c>
      <c r="BE68" s="104">
        <f si="113" t="shared"/>
        <v>1.9118996635056593E-5</v>
      </c>
      <c r="BF68" s="104">
        <f si="113" t="shared"/>
        <v>2.6647101560110125E-4</v>
      </c>
      <c r="BG68" s="104">
        <f si="113" t="shared"/>
        <v>1.1232410523095748E-4</v>
      </c>
      <c r="BH68" s="104">
        <f si="113" t="shared"/>
        <v>2.6288620373202815E-4</v>
      </c>
      <c r="BI68" s="104">
        <f si="113" t="shared"/>
        <v>4.2898248699908229E-4</v>
      </c>
      <c r="BJ68" s="104">
        <f si="113" t="shared"/>
        <v>1.5534184765983482E-4</v>
      </c>
      <c r="BK68" s="104">
        <f si="113" t="shared"/>
        <v>3.9432930559804219E-5</v>
      </c>
      <c r="BL68" s="104">
        <f si="113" t="shared"/>
        <v>6.5721550933007036E-5</v>
      </c>
      <c r="BM68" s="104">
        <f si="113" t="shared"/>
        <v>5.974686448455185E-6</v>
      </c>
      <c r="BN68" s="104">
        <f si="113" t="shared"/>
        <v>4.9231416335270722E-4</v>
      </c>
      <c r="BO68" s="104">
        <f si="113" t="shared"/>
        <v>4.8992428877332521E-5</v>
      </c>
      <c r="BP68" s="104">
        <f si="113" t="shared"/>
        <v>1.5414691037014377E-4</v>
      </c>
      <c r="BQ68" s="104">
        <f si="113" t="shared"/>
        <v>0</v>
      </c>
      <c r="BR68" s="104">
        <f si="113" t="shared"/>
        <v>0</v>
      </c>
      <c r="BS68" s="104">
        <f si="113" t="shared"/>
        <v>5.9364484551850715E-3</v>
      </c>
    </row>
    <row r="69" spans="1:71" x14ac:dyDescent="0.25">
      <c r="A69" s="95">
        <v>9</v>
      </c>
      <c r="B69" s="104">
        <f ref="B69:W69" si="114" t="shared">IF($W$55&gt;0,B42/$W$55,0)</f>
        <v>1.1664531522735019E-2</v>
      </c>
      <c r="C69" s="104">
        <f si="114" t="shared"/>
        <v>6.8022299125249227E-3</v>
      </c>
      <c r="D69" s="104">
        <f si="114" t="shared"/>
        <v>1.7780138431373836E-3</v>
      </c>
      <c r="E69" s="104">
        <f si="114" t="shared"/>
        <v>2.8599442073165031E-3</v>
      </c>
      <c r="F69" s="104">
        <f si="114" t="shared"/>
        <v>1.5709535232242622E-3</v>
      </c>
      <c r="G69" s="104">
        <f si="114" t="shared"/>
        <v>6.239016938631374E-3</v>
      </c>
      <c r="H69" s="104">
        <f si="114" t="shared"/>
        <v>7.6816268006525204E-3</v>
      </c>
      <c r="I69" s="104">
        <f si="114" t="shared"/>
        <v>0</v>
      </c>
      <c r="J69" s="104">
        <f si="114" t="shared"/>
        <v>2.613922554686008E-2</v>
      </c>
      <c r="K69" s="104">
        <f si="114" t="shared"/>
        <v>1.6688795612494495E-4</v>
      </c>
      <c r="L69" s="104">
        <f si="114" t="shared"/>
        <v>1.3386385899135129E-3</v>
      </c>
      <c r="M69" s="104">
        <f si="114" t="shared"/>
        <v>9.7530605475695843E-3</v>
      </c>
      <c r="N69" s="104">
        <f si="114" t="shared"/>
        <v>7.4919229374404255E-5</v>
      </c>
      <c r="O69" s="104">
        <f si="114" t="shared"/>
        <v>1.5070640488677091E-4</v>
      </c>
      <c r="P69" s="104">
        <f si="114" t="shared"/>
        <v>3.1318337856299956E-3</v>
      </c>
      <c r="Q69" s="104">
        <f si="114" t="shared"/>
        <v>0</v>
      </c>
      <c r="R69" s="104">
        <f si="114" t="shared"/>
        <v>2.3603341601187712E-4</v>
      </c>
      <c r="S69" s="104">
        <f si="114" t="shared"/>
        <v>4.7433909897856991E-4</v>
      </c>
      <c r="T69" s="104">
        <f si="114" t="shared"/>
        <v>2.0914604871338579E-4</v>
      </c>
      <c r="U69" s="104">
        <f si="114" t="shared"/>
        <v>0</v>
      </c>
      <c r="V69" s="104">
        <f si="114" t="shared"/>
        <v>0</v>
      </c>
      <c r="W69" s="104">
        <f si="114" t="shared"/>
        <v>8.02711073722851E-2</v>
      </c>
      <c r="X69" s="30"/>
      <c r="Y69" s="95">
        <v>9</v>
      </c>
      <c r="Z69" s="104">
        <f ref="Z69:AU69" si="115" t="shared">IF($W$55&gt;0,Z42/$W$55,0)</f>
        <v>7.1902223131603124E-3</v>
      </c>
      <c r="AA69" s="104">
        <f si="115" t="shared"/>
        <v>9.2072147470432294E-3</v>
      </c>
      <c r="AB69" s="104">
        <f si="115" t="shared"/>
        <v>2.6495858664353283E-3</v>
      </c>
      <c r="AC69" s="104">
        <f si="115" t="shared"/>
        <v>2.25060976535744E-3</v>
      </c>
      <c r="AD69" s="104">
        <f si="115" t="shared"/>
        <v>2.4525012863848049E-3</v>
      </c>
      <c r="AE69" s="104">
        <f si="115" t="shared"/>
        <v>1.3189284652259168E-2</v>
      </c>
      <c r="AF69" s="104">
        <f si="115" t="shared"/>
        <v>7.2661719805944157E-3</v>
      </c>
      <c r="AG69" s="104">
        <f si="115" t="shared"/>
        <v>6.5182119645977967E-4</v>
      </c>
      <c r="AH69" s="104">
        <f si="115" t="shared"/>
        <v>1.0945404604269309E-2</v>
      </c>
      <c r="AI69" s="104">
        <f si="115" t="shared"/>
        <v>1.4084337062147156E-3</v>
      </c>
      <c r="AJ69" s="104">
        <f si="115" t="shared"/>
        <v>4.5954355738609832E-3</v>
      </c>
      <c r="AK69" s="104">
        <f si="115" t="shared"/>
        <v>8.9909024030853379E-3</v>
      </c>
      <c r="AL69" s="104">
        <f si="115" t="shared"/>
        <v>2.3640535724109117E-3</v>
      </c>
      <c r="AM69" s="104">
        <f si="115" t="shared"/>
        <v>2.7015008289852223E-4</v>
      </c>
      <c r="AN69" s="104">
        <f si="115" t="shared"/>
        <v>4.4156559813270909E-3</v>
      </c>
      <c r="AO69" s="104">
        <f si="115" t="shared"/>
        <v>2.1823512034862828E-4</v>
      </c>
      <c r="AP69" s="104">
        <f si="115" t="shared"/>
        <v>3.162967162762057E-4</v>
      </c>
      <c r="AQ69" s="104">
        <f si="115" t="shared"/>
        <v>5.5279821233683384E-4</v>
      </c>
      <c r="AR69" s="104">
        <f si="115" t="shared"/>
        <v>1.0546428503191419E-3</v>
      </c>
      <c r="AS69" s="104">
        <f si="115" t="shared"/>
        <v>2.8168674124294312E-4</v>
      </c>
      <c r="AT69" s="104">
        <f si="115" t="shared"/>
        <v>0</v>
      </c>
      <c r="AU69" s="104">
        <f si="115" t="shared"/>
        <v>8.0271107372285141E-2</v>
      </c>
      <c r="AW69" s="95">
        <v>9</v>
      </c>
      <c r="AX69" s="104">
        <f ref="AX69:BS69" si="116" t="shared">IF($BS$55&gt;0,AX42/$BS$55,0)</f>
        <v>6.9210767818904863E-3</v>
      </c>
      <c r="AY69" s="104">
        <f si="116" t="shared"/>
        <v>5.04741511165494E-3</v>
      </c>
      <c r="AZ69" s="104">
        <f si="116" t="shared"/>
        <v>2.0469275772407466E-3</v>
      </c>
      <c r="BA69" s="104">
        <f si="116" t="shared"/>
        <v>4.5049135821352093E-4</v>
      </c>
      <c r="BB69" s="104">
        <f si="116" t="shared"/>
        <v>2.0540972009788928E-3</v>
      </c>
      <c r="BC69" s="104">
        <f si="116" t="shared"/>
        <v>1.1514415723462833E-2</v>
      </c>
      <c r="BD69" s="104">
        <f si="116" t="shared"/>
        <v>1.3758507953502599E-2</v>
      </c>
      <c r="BE69" s="104">
        <f si="116" t="shared"/>
        <v>4.0627867849495259E-5</v>
      </c>
      <c r="BF69" s="104">
        <f si="116" t="shared"/>
        <v>1.2489484551850718E-2</v>
      </c>
      <c r="BG69" s="104">
        <f si="116" t="shared"/>
        <v>8.7588903334353011E-4</v>
      </c>
      <c r="BH69" s="104">
        <f si="116" t="shared"/>
        <v>1.6776919547262159E-3</v>
      </c>
      <c r="BI69" s="104">
        <f si="116" t="shared"/>
        <v>6.862524854695626E-3</v>
      </c>
      <c r="BJ69" s="104">
        <f si="116" t="shared"/>
        <v>5.1179164117467115E-3</v>
      </c>
      <c r="BK69" s="104">
        <f si="116" t="shared"/>
        <v>1.2905322728663199E-4</v>
      </c>
      <c r="BL69" s="104">
        <f si="116" t="shared"/>
        <v>6.2531068369531964E-3</v>
      </c>
      <c r="BM69" s="104">
        <f si="116" t="shared"/>
        <v>4.5407617008259407E-5</v>
      </c>
      <c r="BN69" s="104">
        <f si="116" t="shared"/>
        <v>1.9955452737840319E-3</v>
      </c>
      <c r="BO69" s="104">
        <f si="116" t="shared"/>
        <v>9.3922070969715504E-4</v>
      </c>
      <c r="BP69" s="104">
        <f si="116" t="shared"/>
        <v>2.0290035178953808E-3</v>
      </c>
      <c r="BQ69" s="104">
        <f si="116" t="shared"/>
        <v>2.2703808504129703E-5</v>
      </c>
      <c r="BR69" s="104">
        <f si="116" t="shared"/>
        <v>0</v>
      </c>
      <c r="BS69" s="104">
        <f si="116" t="shared"/>
        <v>8.02711073722851E-2</v>
      </c>
    </row>
    <row r="70" spans="1:71" x14ac:dyDescent="0.25">
      <c r="A70" s="95">
        <v>10</v>
      </c>
      <c r="B70" s="104">
        <f ref="B70:W70" si="117" t="shared">IF($W$55&gt;0,B43/$W$55,0)</f>
        <v>5.6164587476952212E-3</v>
      </c>
      <c r="C70" s="104">
        <f si="117" t="shared"/>
        <v>4.579265098894057E-4</v>
      </c>
      <c r="D70" s="104">
        <f si="117" t="shared"/>
        <v>6.5110772466364241E-4</v>
      </c>
      <c r="E70" s="104">
        <f si="117" t="shared"/>
        <v>1.1437478770821464E-3</v>
      </c>
      <c r="F70" s="104">
        <f si="117" t="shared"/>
        <v>3.316768710333253E-3</v>
      </c>
      <c r="G70" s="104">
        <f si="117" t="shared"/>
        <v>1.0233468829623935E-2</v>
      </c>
      <c r="H70" s="104">
        <f si="117" t="shared"/>
        <v>1.3633659821086579E-3</v>
      </c>
      <c r="I70" s="104">
        <f si="117" t="shared"/>
        <v>4.1783652987147915E-4</v>
      </c>
      <c r="J70" s="104">
        <f si="117" t="shared"/>
        <v>3.9565479334894107E-4</v>
      </c>
      <c r="K70" s="104">
        <f si="117" t="shared"/>
        <v>4.0061411797302111E-3</v>
      </c>
      <c r="L70" s="104">
        <f si="117" t="shared"/>
        <v>5.8873827358937826E-4</v>
      </c>
      <c r="M70" s="104">
        <f si="117" t="shared"/>
        <v>5.8601948996527906E-3</v>
      </c>
      <c r="N70" s="104">
        <f si="117" t="shared"/>
        <v>2.2687215368281634E-4</v>
      </c>
      <c r="O70" s="104">
        <f si="117" t="shared"/>
        <v>1.2488525387060505E-4</v>
      </c>
      <c r="P70" s="104">
        <f si="117" t="shared"/>
        <v>0</v>
      </c>
      <c r="Q70" s="104">
        <f si="117" t="shared"/>
        <v>3.2294926240779027E-4</v>
      </c>
      <c r="R70" s="104">
        <f si="117" t="shared"/>
        <v>0</v>
      </c>
      <c r="S70" s="104">
        <f si="117" t="shared"/>
        <v>3.6998904141383318E-5</v>
      </c>
      <c r="T70" s="104">
        <f si="117" t="shared"/>
        <v>0</v>
      </c>
      <c r="U70" s="104">
        <f si="117" t="shared"/>
        <v>0</v>
      </c>
      <c r="V70" s="104">
        <f si="117" t="shared"/>
        <v>0</v>
      </c>
      <c r="W70" s="104">
        <f si="117" t="shared"/>
        <v>3.4763115631691648E-2</v>
      </c>
      <c r="Y70" s="95">
        <v>10</v>
      </c>
      <c r="Z70" s="104">
        <f ref="Z70:AU70" si="118" t="shared">IF($W$55&gt;0,Z43/$W$55,0)</f>
        <v>3.3938628302813516E-3</v>
      </c>
      <c r="AA70" s="104">
        <f si="118" t="shared"/>
        <v>2.677278205518142E-3</v>
      </c>
      <c r="AB70" s="104">
        <f si="118" t="shared"/>
        <v>7.8390853416824701E-4</v>
      </c>
      <c r="AC70" s="104">
        <f si="118" t="shared"/>
        <v>1.0190810944187211E-3</v>
      </c>
      <c r="AD70" s="104">
        <f si="118" t="shared"/>
        <v>1.8675468019890588E-3</v>
      </c>
      <c r="AE70" s="104">
        <f si="118" t="shared"/>
        <v>9.9215153065670587E-3</v>
      </c>
      <c r="AF70" s="104">
        <f si="118" t="shared"/>
        <v>1.2487201826633018E-3</v>
      </c>
      <c r="AG70" s="104">
        <f si="118" t="shared"/>
        <v>2.4808399493089225E-4</v>
      </c>
      <c r="AH70" s="104">
        <f si="118" t="shared"/>
        <v>1.090093985161021E-3</v>
      </c>
      <c r="AI70" s="104">
        <f si="118" t="shared"/>
        <v>2.6717447335122485E-3</v>
      </c>
      <c r="AJ70" s="104">
        <f si="118" t="shared"/>
        <v>8.8720001161159243E-4</v>
      </c>
      <c r="AK70" s="104">
        <f si="118" t="shared"/>
        <v>6.6152657830456894E-3</v>
      </c>
      <c r="AL70" s="104">
        <f si="118" t="shared"/>
        <v>4.8048981917841966E-4</v>
      </c>
      <c r="AM70" s="104">
        <f si="118" t="shared"/>
        <v>1.438702721532312E-4</v>
      </c>
      <c r="AN70" s="104">
        <f si="118" t="shared"/>
        <v>2.2779459757594944E-4</v>
      </c>
      <c r="AO70" s="104">
        <f si="118" t="shared"/>
        <v>6.6124990470427421E-4</v>
      </c>
      <c r="AP70" s="104">
        <f si="118" t="shared"/>
        <v>8.392432542271821E-5</v>
      </c>
      <c r="AQ70" s="104">
        <f si="118" t="shared"/>
        <v>3.9103202174980788E-4</v>
      </c>
      <c r="AR70" s="104">
        <f si="118" t="shared"/>
        <v>2.0750520022100655E-4</v>
      </c>
      <c r="AS70" s="104">
        <f si="118" t="shared"/>
        <v>1.4294802681891563E-4</v>
      </c>
      <c r="AT70" s="104">
        <f si="118" t="shared"/>
        <v>0</v>
      </c>
      <c r="AU70" s="104">
        <f si="118" t="shared"/>
        <v>3.4763115631691641E-2</v>
      </c>
      <c r="AW70" s="95">
        <v>10</v>
      </c>
      <c r="AX70" s="104">
        <f ref="AX70:BS70" si="119" t="shared">IF($BS$55&gt;0,AX43/$BS$55,0)</f>
        <v>4.0532272866319972E-3</v>
      </c>
      <c r="AY70" s="104">
        <f si="119" t="shared"/>
        <v>1.7577527531355156E-3</v>
      </c>
      <c r="AZ70" s="104">
        <f si="119" t="shared"/>
        <v>9.8582326399510554E-4</v>
      </c>
      <c r="BA70" s="104">
        <f si="119" t="shared"/>
        <v>4.1703311410217191E-4</v>
      </c>
      <c r="BB70" s="104">
        <f si="119" t="shared"/>
        <v>2.0027148975221782E-3</v>
      </c>
      <c r="BC70" s="104">
        <f si="119" t="shared"/>
        <v>1.0449726598348119E-2</v>
      </c>
      <c r="BD70" s="104">
        <f si="119" t="shared"/>
        <v>3.6648726674824105E-3</v>
      </c>
      <c r="BE70" s="104">
        <f si="119" t="shared"/>
        <v>1.194937289691037E-5</v>
      </c>
      <c r="BF70" s="104">
        <f si="119" t="shared"/>
        <v>1.0300359437136739E-3</v>
      </c>
      <c r="BG70" s="104">
        <f si="119" t="shared"/>
        <v>2.4305024472315692E-3</v>
      </c>
      <c r="BH70" s="104">
        <f si="119" t="shared"/>
        <v>3.4175206485163661E-4</v>
      </c>
      <c r="BI70" s="104">
        <f si="119" t="shared"/>
        <v>4.7032731722239218E-3</v>
      </c>
      <c r="BJ70" s="104">
        <f si="119" t="shared"/>
        <v>6.2853701437748551E-4</v>
      </c>
      <c r="BK70" s="104">
        <f si="119" t="shared"/>
        <v>5.8551927194860815E-5</v>
      </c>
      <c r="BL70" s="104">
        <f si="119" t="shared"/>
        <v>3.2263306821657997E-4</v>
      </c>
      <c r="BM70" s="104">
        <f si="119" t="shared"/>
        <v>2.2225833588253289E-4</v>
      </c>
      <c r="BN70" s="104">
        <f si="119" t="shared"/>
        <v>6.3929144998470483E-4</v>
      </c>
      <c r="BO70" s="104">
        <f si="119" t="shared"/>
        <v>7.707345518507189E-4</v>
      </c>
      <c r="BP70" s="104">
        <f si="119" t="shared"/>
        <v>2.3420770877944326E-4</v>
      </c>
      <c r="BQ70" s="104">
        <f si="119" t="shared"/>
        <v>3.8237993270113186E-5</v>
      </c>
      <c r="BR70" s="104">
        <f si="119" t="shared"/>
        <v>0</v>
      </c>
      <c r="BS70" s="104">
        <f si="119" t="shared"/>
        <v>3.4763115631691648E-2</v>
      </c>
    </row>
    <row r="71" spans="1:71" x14ac:dyDescent="0.25">
      <c r="A71" s="95">
        <v>11</v>
      </c>
      <c r="B71" s="104">
        <f ref="B71:W71" si="120" t="shared">IF($W$55&gt;0,B44/$W$55,0)</f>
        <v>8.9285763904309642E-3</v>
      </c>
      <c r="C71" s="104">
        <f si="120" t="shared"/>
        <v>2.4545453697069797E-3</v>
      </c>
      <c r="D71" s="104">
        <f si="120" t="shared"/>
        <v>7.0749904653226109E-3</v>
      </c>
      <c r="E71" s="104">
        <f si="120" t="shared"/>
        <v>3.2157455214241707E-3</v>
      </c>
      <c r="F71" s="104">
        <f si="120" t="shared"/>
        <v>3.7468270097183315E-3</v>
      </c>
      <c r="G71" s="104">
        <f si="120" t="shared"/>
        <v>7.1118237239781168E-3</v>
      </c>
      <c r="H71" s="104">
        <f si="120" t="shared"/>
        <v>3.8423749490469989E-3</v>
      </c>
      <c r="I71" s="104">
        <f si="120" t="shared"/>
        <v>0</v>
      </c>
      <c r="J71" s="104">
        <f si="120" t="shared"/>
        <v>4.2600144237719198E-3</v>
      </c>
      <c r="K71" s="104">
        <f si="120" t="shared"/>
        <v>1.0410328214388248E-3</v>
      </c>
      <c r="L71" s="104">
        <f si="120" t="shared"/>
        <v>1.8355885474460976E-2</v>
      </c>
      <c r="M71" s="104">
        <f si="120" t="shared"/>
        <v>4.6270414542525411E-3</v>
      </c>
      <c r="N71" s="104">
        <f si="120" t="shared"/>
        <v>7.0221695336399818E-5</v>
      </c>
      <c r="O71" s="104">
        <f si="120" t="shared"/>
        <v>1.2103257504307909E-4</v>
      </c>
      <c r="P71" s="104">
        <f si="120" t="shared"/>
        <v>0</v>
      </c>
      <c r="Q71" s="104">
        <f si="120" t="shared"/>
        <v>1.0718136642859583E-3</v>
      </c>
      <c r="R71" s="104">
        <f si="120" t="shared"/>
        <v>1.5051592482704262E-3</v>
      </c>
      <c r="S71" s="104">
        <f si="120" t="shared"/>
        <v>1.6726176202032069E-3</v>
      </c>
      <c r="T71" s="104">
        <f si="120" t="shared"/>
        <v>2.8665908022408901E-3</v>
      </c>
      <c r="U71" s="104">
        <f si="120" t="shared"/>
        <v>0</v>
      </c>
      <c r="V71" s="104">
        <f si="120" t="shared"/>
        <v>0</v>
      </c>
      <c r="W71" s="104">
        <f si="120" t="shared"/>
        <v>7.19662932089324E-2</v>
      </c>
      <c r="Y71" s="95">
        <v>11</v>
      </c>
      <c r="Z71" s="104">
        <f ref="Z71:AU71" si="121" t="shared">IF($W$55&gt;0,Z44/$W$55,0)</f>
        <v>6.0164021942631738E-3</v>
      </c>
      <c r="AA71" s="104">
        <f si="121" t="shared"/>
        <v>7.4129206191236481E-3</v>
      </c>
      <c r="AB71" s="104">
        <f si="121" t="shared"/>
        <v>2.9631190643407863E-3</v>
      </c>
      <c r="AC71" s="104">
        <f si="121" t="shared"/>
        <v>2.6301267766814657E-3</v>
      </c>
      <c r="AD71" s="104">
        <f si="121" t="shared"/>
        <v>2.375003454751709E-3</v>
      </c>
      <c r="AE71" s="104">
        <f si="121" t="shared"/>
        <v>1.1815590957807036E-2</v>
      </c>
      <c r="AF71" s="104">
        <f si="121" t="shared"/>
        <v>3.5317674324974726E-3</v>
      </c>
      <c r="AG71" s="104">
        <f si="121" t="shared"/>
        <v>1.0901655202138992E-3</v>
      </c>
      <c r="AH71" s="104">
        <f si="121" t="shared"/>
        <v>4.8903759661475012E-3</v>
      </c>
      <c r="AI71" s="104">
        <f si="121" t="shared"/>
        <v>1.4774611655530478E-3</v>
      </c>
      <c r="AJ71" s="104">
        <f si="121" t="shared"/>
        <v>1.1990796130698554E-2</v>
      </c>
      <c r="AK71" s="104">
        <f si="121" t="shared"/>
        <v>6.0891482017210556E-3</v>
      </c>
      <c r="AL71" s="104">
        <f si="121" t="shared"/>
        <v>1.1772558108324909E-3</v>
      </c>
      <c r="AM71" s="104">
        <f si="121" t="shared"/>
        <v>7.3770599112218743E-4</v>
      </c>
      <c r="AN71" s="104">
        <f si="121" t="shared"/>
        <v>1.4364774993795926E-3</v>
      </c>
      <c r="AO71" s="104">
        <f si="121" t="shared"/>
        <v>2.7356597170781119E-4</v>
      </c>
      <c r="AP71" s="104">
        <f si="121" t="shared"/>
        <v>1.0030752295953078E-3</v>
      </c>
      <c r="AQ71" s="104">
        <f si="121" t="shared"/>
        <v>3.9036942030215756E-4</v>
      </c>
      <c r="AR71" s="104">
        <f si="121" t="shared"/>
        <v>4.4303343133504699E-3</v>
      </c>
      <c r="AS71" s="104">
        <f si="121" t="shared"/>
        <v>2.3463148884302908E-4</v>
      </c>
      <c r="AT71" s="104">
        <f si="121" t="shared"/>
        <v>0</v>
      </c>
      <c r="AU71" s="104">
        <f si="121" t="shared"/>
        <v>7.1966293208932414E-2</v>
      </c>
      <c r="AW71" s="95">
        <v>11</v>
      </c>
      <c r="AX71" s="104">
        <f ref="AX71:BS71" si="122" t="shared">IF($BS$55&gt;0,AX44/$BS$55,0)</f>
        <v>7.6260897828081984E-3</v>
      </c>
      <c r="AY71" s="104">
        <f si="122" t="shared"/>
        <v>3.8907158152340165E-3</v>
      </c>
      <c r="AZ71" s="104">
        <f si="122" t="shared"/>
        <v>3.4246902722545121E-3</v>
      </c>
      <c r="BA71" s="104">
        <f si="122" t="shared"/>
        <v>9.667042673600489E-4</v>
      </c>
      <c r="BB71" s="104">
        <f si="122" t="shared"/>
        <v>2.578674671153258E-3</v>
      </c>
      <c r="BC71" s="104">
        <f si="122" t="shared"/>
        <v>1.2042578005506271E-2</v>
      </c>
      <c r="BD71" s="104">
        <f si="122" t="shared"/>
        <v>6.1419776690119299E-3</v>
      </c>
      <c r="BE71" s="104">
        <f si="122" t="shared"/>
        <v>1.230785408381768E-4</v>
      </c>
      <c r="BF71" s="104">
        <f si="122" t="shared"/>
        <v>5.3150810645457326E-3</v>
      </c>
      <c r="BG71" s="104">
        <f si="122" t="shared"/>
        <v>9.2010171306209851E-4</v>
      </c>
      <c r="BH71" s="104">
        <f si="122" t="shared"/>
        <v>7.1994971703884976E-3</v>
      </c>
      <c r="BI71" s="104">
        <f si="122" t="shared"/>
        <v>4.1930349495258486E-3</v>
      </c>
      <c r="BJ71" s="104">
        <f si="122" t="shared"/>
        <v>1.4004665035178953E-3</v>
      </c>
      <c r="BK71" s="104">
        <f si="122" t="shared"/>
        <v>4.1583817681248086E-4</v>
      </c>
      <c r="BL71" s="104">
        <f si="122" t="shared"/>
        <v>1.7900160599571735E-3</v>
      </c>
      <c r="BM71" s="104">
        <f si="122" t="shared"/>
        <v>5.3772178036096668E-5</v>
      </c>
      <c r="BN71" s="104">
        <f si="122" t="shared"/>
        <v>7.0166717650657689E-3</v>
      </c>
      <c r="BO71" s="104">
        <f si="122" t="shared"/>
        <v>5.8551927194860811E-4</v>
      </c>
      <c r="BP71" s="104">
        <f si="122" t="shared"/>
        <v>6.2710308962985626E-3</v>
      </c>
      <c r="BQ71" s="104">
        <f si="122" t="shared"/>
        <v>1.0754435607219333E-5</v>
      </c>
      <c r="BR71" s="104">
        <f si="122" t="shared"/>
        <v>0</v>
      </c>
      <c r="BS71" s="104">
        <f si="122" t="shared"/>
        <v>7.19662932089324E-2</v>
      </c>
    </row>
    <row r="72" spans="1:71" x14ac:dyDescent="0.25">
      <c r="A72" s="95">
        <v>12</v>
      </c>
      <c r="B72" s="104">
        <f ref="B72:W72" si="123" t="shared">IF($W$55&gt;0,B45/$W$55,0)</f>
        <v>1.9129121448471464E-2</v>
      </c>
      <c r="C72" s="104">
        <f si="123" t="shared"/>
        <v>2.8753992311206754E-3</v>
      </c>
      <c r="D72" s="104">
        <f si="123" t="shared"/>
        <v>2.1985300384162049E-3</v>
      </c>
      <c r="E72" s="104">
        <f si="123" t="shared"/>
        <v>6.2631289556103996E-3</v>
      </c>
      <c r="F72" s="104">
        <f si="123" t="shared"/>
        <v>3.4411591622741573E-3</v>
      </c>
      <c r="G72" s="104">
        <f si="123" t="shared"/>
        <v>3.0201858397725777E-2</v>
      </c>
      <c r="H72" s="104">
        <f si="123" t="shared"/>
        <v>9.6309786052447277E-3</v>
      </c>
      <c r="I72" s="104">
        <f si="123" t="shared"/>
        <v>0</v>
      </c>
      <c r="J72" s="104">
        <f si="123" t="shared"/>
        <v>6.0537435814609838E-3</v>
      </c>
      <c r="K72" s="104">
        <f si="123" t="shared"/>
        <v>2.6728749061183483E-3</v>
      </c>
      <c r="L72" s="104">
        <f si="123" t="shared"/>
        <v>8.8380575875714683E-4</v>
      </c>
      <c r="M72" s="104">
        <f si="123" t="shared"/>
        <v>6.8346007670698192E-2</v>
      </c>
      <c r="N72" s="104">
        <f si="123" t="shared"/>
        <v>1.1376586552278428E-3</v>
      </c>
      <c r="O72" s="104">
        <f si="123" t="shared"/>
        <v>5.0594303235531144E-5</v>
      </c>
      <c r="P72" s="104">
        <f si="123" t="shared"/>
        <v>0</v>
      </c>
      <c r="Q72" s="104">
        <f si="123" t="shared"/>
        <v>5.0460623873760618E-4</v>
      </c>
      <c r="R72" s="104">
        <f si="123" t="shared"/>
        <v>0</v>
      </c>
      <c r="S72" s="104">
        <f si="123" t="shared"/>
        <v>1.6801911051295237E-3</v>
      </c>
      <c r="T72" s="104">
        <f si="123" t="shared"/>
        <v>0</v>
      </c>
      <c r="U72" s="104">
        <f si="123" t="shared"/>
        <v>9.4254942112291778E-4</v>
      </c>
      <c r="V72" s="104">
        <f si="123" t="shared"/>
        <v>0</v>
      </c>
      <c r="W72" s="104">
        <f si="123" t="shared"/>
        <v>0.15601220747935149</v>
      </c>
      <c r="Y72" s="95">
        <v>12</v>
      </c>
      <c r="Z72" s="104">
        <f ref="Z72:AU72" si="124" t="shared">IF($W$55&gt;0,Z45/$W$55,0)</f>
        <v>1.1920433403026313E-2</v>
      </c>
      <c r="AA72" s="104">
        <f si="124" t="shared"/>
        <v>1.0801065445068692E-2</v>
      </c>
      <c r="AB72" s="104">
        <f si="124" t="shared"/>
        <v>2.6480570348698961E-3</v>
      </c>
      <c r="AC72" s="104">
        <f si="124" t="shared"/>
        <v>2.9953236401637847E-3</v>
      </c>
      <c r="AD72" s="104">
        <f si="124" t="shared"/>
        <v>4.0693440689077709E-3</v>
      </c>
      <c r="AE72" s="104">
        <f si="124" t="shared"/>
        <v>3.0669250020800506E-2</v>
      </c>
      <c r="AF72" s="104">
        <f si="124" t="shared"/>
        <v>1.0968135289539979E-2</v>
      </c>
      <c r="AG72" s="104">
        <f si="124" t="shared"/>
        <v>5.6087733501074852E-4</v>
      </c>
      <c r="AH72" s="104">
        <f si="124" t="shared"/>
        <v>6.3617810062602132E-3</v>
      </c>
      <c r="AI72" s="104">
        <f si="124" t="shared"/>
        <v>3.5120468019928363E-3</v>
      </c>
      <c r="AJ72" s="104">
        <f si="124" t="shared"/>
        <v>3.5263670743760894E-3</v>
      </c>
      <c r="AK72" s="104">
        <f si="124" t="shared"/>
        <v>5.4728500980697745E-2</v>
      </c>
      <c r="AL72" s="104">
        <f si="124" t="shared"/>
        <v>3.8485732029992854E-3</v>
      </c>
      <c r="AM72" s="104">
        <f si="124" t="shared"/>
        <v>3.4607324926195121E-4</v>
      </c>
      <c r="AN72" s="104">
        <f si="124" t="shared"/>
        <v>1.449927578804382E-3</v>
      </c>
      <c r="AO72" s="104">
        <f si="124" t="shared"/>
        <v>9.1291736443238863E-4</v>
      </c>
      <c r="AP72" s="104">
        <f si="124" t="shared"/>
        <v>3.1981941655932045E-4</v>
      </c>
      <c r="AQ72" s="104">
        <f si="124" t="shared"/>
        <v>4.2471541176664976E-3</v>
      </c>
      <c r="AR72" s="104">
        <f si="124" t="shared"/>
        <v>6.837930063003381E-4</v>
      </c>
      <c r="AS72" s="104">
        <f si="124" t="shared"/>
        <v>1.4427674426127552E-3</v>
      </c>
      <c r="AT72" s="104">
        <f si="124" t="shared"/>
        <v>0</v>
      </c>
      <c r="AU72" s="104">
        <f si="124" t="shared"/>
        <v>0.15601220747935149</v>
      </c>
      <c r="AW72" s="95">
        <v>12</v>
      </c>
      <c r="AX72" s="104">
        <f ref="AX72:BS72" si="125" t="shared">IF($BS$55&gt;0,AX45/$BS$55,0)</f>
        <v>1.1819124732334048E-2</v>
      </c>
      <c r="AY72" s="104">
        <f si="125" t="shared"/>
        <v>7.2102516059957171E-3</v>
      </c>
      <c r="AZ72" s="104">
        <f si="125" t="shared"/>
        <v>2.965834353013154E-3</v>
      </c>
      <c r="BA72" s="104">
        <f si="125" t="shared"/>
        <v>7.9941304680330376E-4</v>
      </c>
      <c r="BB72" s="104">
        <f si="125" t="shared"/>
        <v>3.8142398286937903E-3</v>
      </c>
      <c r="BC72" s="104">
        <f si="125" t="shared"/>
        <v>2.6839486463750381E-2</v>
      </c>
      <c r="BD72" s="104">
        <f si="125" t="shared"/>
        <v>2.492280705108596E-2</v>
      </c>
      <c r="BE72" s="104">
        <f si="125" t="shared"/>
        <v>5.0187366167023554E-5</v>
      </c>
      <c r="BF72" s="104">
        <f si="125" t="shared"/>
        <v>5.4680330376261858E-3</v>
      </c>
      <c r="BG72" s="104">
        <f si="125" t="shared"/>
        <v>4.2766805598042218E-3</v>
      </c>
      <c r="BH72" s="104">
        <f si="125" t="shared"/>
        <v>1.1328005506271032E-3</v>
      </c>
      <c r="BI72" s="104">
        <f si="125" t="shared"/>
        <v>4.0486865249311714E-2</v>
      </c>
      <c r="BJ72" s="104">
        <f si="125" t="shared"/>
        <v>9.4161058427653724E-3</v>
      </c>
      <c r="BK72" s="104">
        <f si="125" t="shared"/>
        <v>1.230785408381768E-4</v>
      </c>
      <c r="BL72" s="104">
        <f si="125" t="shared"/>
        <v>1.2355651575405324E-3</v>
      </c>
      <c r="BM72" s="104">
        <f si="125" t="shared"/>
        <v>3.357773784031814E-4</v>
      </c>
      <c r="BN72" s="104">
        <f si="125" t="shared"/>
        <v>1.6286995258488835E-3</v>
      </c>
      <c r="BO72" s="104">
        <f si="125" t="shared"/>
        <v>1.2176410981951668E-2</v>
      </c>
      <c r="BP72" s="104">
        <f si="125" t="shared"/>
        <v>7.8387886203732033E-4</v>
      </c>
      <c r="BQ72" s="104">
        <f si="125" t="shared"/>
        <v>5.2696734475374729E-4</v>
      </c>
      <c r="BR72" s="104">
        <f si="125" t="shared"/>
        <v>0</v>
      </c>
      <c r="BS72" s="104">
        <f si="125" t="shared"/>
        <v>0.15601220747935149</v>
      </c>
    </row>
    <row r="73" spans="1:71" x14ac:dyDescent="0.25">
      <c r="A73" s="95">
        <v>13</v>
      </c>
      <c r="B73" s="104">
        <f ref="B73:W73" si="126" t="shared">IF($W$55&gt;0,B46/$W$55,0)</f>
        <v>6.9076899073772235E-3</v>
      </c>
      <c r="C73" s="104">
        <f si="126" t="shared"/>
        <v>1.0439698653207368E-3</v>
      </c>
      <c r="D73" s="104">
        <f si="126" t="shared"/>
        <v>4.6579099336842381E-4</v>
      </c>
      <c r="E73" s="104">
        <f si="126" t="shared"/>
        <v>1.7379312627748874E-3</v>
      </c>
      <c r="F73" s="104">
        <f si="126" t="shared"/>
        <v>1.4416408987209359E-3</v>
      </c>
      <c r="G73" s="104">
        <f si="126" t="shared"/>
        <v>3.8512593603984473E-3</v>
      </c>
      <c r="H73" s="104">
        <f si="126" t="shared"/>
        <v>2.8047144315887632E-2</v>
      </c>
      <c r="I73" s="104">
        <f si="126" t="shared"/>
        <v>9.1330795363137897E-4</v>
      </c>
      <c r="J73" s="104">
        <f si="126" t="shared"/>
        <v>1.6516074521334253E-3</v>
      </c>
      <c r="K73" s="104">
        <f si="126" t="shared"/>
        <v>7.4165935438859278E-4</v>
      </c>
      <c r="L73" s="104">
        <f si="126" t="shared"/>
        <v>1.5917997382364928E-3</v>
      </c>
      <c r="M73" s="104">
        <f si="126" t="shared"/>
        <v>7.7195856998433302E-3</v>
      </c>
      <c r="N73" s="104">
        <f si="126" t="shared"/>
        <v>5.9252948223839731E-2</v>
      </c>
      <c r="O73" s="104">
        <f si="126" t="shared"/>
        <v>1.8165974931942953E-4</v>
      </c>
      <c r="P73" s="104">
        <f si="126" t="shared"/>
        <v>2.5381402196730574E-3</v>
      </c>
      <c r="Q73" s="104">
        <f si="126" t="shared"/>
        <v>0</v>
      </c>
      <c r="R73" s="104">
        <f si="126" t="shared"/>
        <v>0</v>
      </c>
      <c r="S73" s="104">
        <f si="126" t="shared"/>
        <v>2.8869263388274875E-3</v>
      </c>
      <c r="T73" s="104">
        <f si="126" t="shared"/>
        <v>0</v>
      </c>
      <c r="U73" s="104">
        <f si="126" t="shared"/>
        <v>0</v>
      </c>
      <c r="V73" s="104">
        <f si="126" t="shared"/>
        <v>0</v>
      </c>
      <c r="W73" s="104">
        <f si="126" t="shared"/>
        <v>0.12097306133374121</v>
      </c>
      <c r="Y73" s="95">
        <v>13</v>
      </c>
      <c r="Z73" s="104">
        <f ref="Z73:AU73" si="127" t="shared">IF($W$55&gt;0,Z46/$W$55,0)</f>
        <v>4.823558700186378E-3</v>
      </c>
      <c r="AA73" s="104">
        <f si="127" t="shared"/>
        <v>5.367887991707166E-3</v>
      </c>
      <c r="AB73" s="104">
        <f si="127" t="shared"/>
        <v>1.4232679310759999E-3</v>
      </c>
      <c r="AC73" s="104">
        <f si="127" t="shared"/>
        <v>1.6365224803514603E-3</v>
      </c>
      <c r="AD73" s="104">
        <f si="127" t="shared"/>
        <v>1.8002925485795761E-3</v>
      </c>
      <c r="AE73" s="104">
        <f si="127" t="shared"/>
        <v>9.5516830440671614E-3</v>
      </c>
      <c r="AF73" s="104">
        <f si="127" t="shared"/>
        <v>1.9602923706326564E-2</v>
      </c>
      <c r="AG73" s="104">
        <f si="127" t="shared"/>
        <v>4.6774616609037421E-4</v>
      </c>
      <c r="AH73" s="104">
        <f si="127" t="shared"/>
        <v>6.0064734376038481E-3</v>
      </c>
      <c r="AI73" s="104">
        <f si="127" t="shared"/>
        <v>1.5257714989597847E-3</v>
      </c>
      <c r="AJ73" s="104">
        <f si="127" t="shared"/>
        <v>2.6485979379626224E-3</v>
      </c>
      <c r="AK73" s="104">
        <f si="127" t="shared"/>
        <v>1.5283635432051218E-2</v>
      </c>
      <c r="AL73" s="104">
        <f si="127" t="shared"/>
        <v>4.097197210527144E-2</v>
      </c>
      <c r="AM73" s="104">
        <f si="127" t="shared"/>
        <v>2.5920442453370861E-4</v>
      </c>
      <c r="AN73" s="104">
        <f si="127" t="shared"/>
        <v>4.0435890227258544E-3</v>
      </c>
      <c r="AO73" s="104">
        <f si="127" t="shared"/>
        <v>3.1222351137014895E-4</v>
      </c>
      <c r="AP73" s="104">
        <f si="127" t="shared"/>
        <v>3.5581698276899998E-4</v>
      </c>
      <c r="AQ73" s="104">
        <f si="127" t="shared"/>
        <v>3.0185533438880068E-3</v>
      </c>
      <c r="AR73" s="104">
        <f si="127" t="shared"/>
        <v>8.094247257029901E-4</v>
      </c>
      <c r="AS73" s="104">
        <f si="127" t="shared"/>
        <v>1.0639163425179041E-3</v>
      </c>
      <c r="AT73" s="104">
        <f si="127" t="shared"/>
        <v>0</v>
      </c>
      <c r="AU73" s="104">
        <f si="127" t="shared"/>
        <v>0.12097306133374117</v>
      </c>
      <c r="AW73" s="95">
        <v>13</v>
      </c>
      <c r="AX73" s="104">
        <f ref="AX73:BS73" si="128" t="shared">IF($BS$55&gt;0,AX46/$BS$55,0)</f>
        <v>2.7244570204955645E-3</v>
      </c>
      <c r="AY73" s="104">
        <f si="128" t="shared"/>
        <v>1.9919604619149586E-3</v>
      </c>
      <c r="AZ73" s="104">
        <f si="128" t="shared"/>
        <v>6.7991931783420011E-4</v>
      </c>
      <c r="BA73" s="104">
        <f si="128" t="shared"/>
        <v>1.7446084429489141E-4</v>
      </c>
      <c r="BB73" s="104">
        <f si="128" t="shared"/>
        <v>7.1935224839400429E-4</v>
      </c>
      <c r="BC73" s="104">
        <f si="128" t="shared"/>
        <v>5.2433848271642705E-3</v>
      </c>
      <c r="BD73" s="104">
        <f si="128" t="shared"/>
        <v>2.1101397598654023E-2</v>
      </c>
      <c r="BE73" s="104">
        <f si="128" t="shared"/>
        <v>1.194937289691037E-5</v>
      </c>
      <c r="BF73" s="104">
        <f si="128" t="shared"/>
        <v>3.2072116855307435E-3</v>
      </c>
      <c r="BG73" s="104">
        <f si="128" t="shared"/>
        <v>4.9231416335270722E-4</v>
      </c>
      <c r="BH73" s="104">
        <f si="128" t="shared"/>
        <v>3.6684574793514836E-4</v>
      </c>
      <c r="BI73" s="104">
        <f si="128" t="shared"/>
        <v>7.6177252217803611E-3</v>
      </c>
      <c r="BJ73" s="104">
        <f si="128" t="shared"/>
        <v>6.3862228510247782E-2</v>
      </c>
      <c r="BK73" s="104">
        <f si="128" t="shared"/>
        <v>2.031393392474763E-5</v>
      </c>
      <c r="BL73" s="104">
        <f si="128" t="shared"/>
        <v>4.2480020648516369E-3</v>
      </c>
      <c r="BM73" s="104">
        <f si="128" t="shared"/>
        <v>1.7924059345365556E-5</v>
      </c>
      <c r="BN73" s="104">
        <f si="128" t="shared"/>
        <v>6.249522025084124E-4</v>
      </c>
      <c r="BO73" s="104">
        <f si="128" t="shared"/>
        <v>7.0118920159070054E-3</v>
      </c>
      <c r="BP73" s="104">
        <f si="128" t="shared"/>
        <v>6.6916488222698068E-4</v>
      </c>
      <c r="BQ73" s="104">
        <f si="128" t="shared"/>
        <v>1.8760515448149281E-4</v>
      </c>
      <c r="BR73" s="104">
        <f si="128" t="shared"/>
        <v>0</v>
      </c>
      <c r="BS73" s="104">
        <f si="128" t="shared"/>
        <v>0.12097306133374121</v>
      </c>
    </row>
    <row r="74" spans="1:71" x14ac:dyDescent="0.25">
      <c r="A74" s="95">
        <v>14</v>
      </c>
      <c r="B74" s="104">
        <f ref="B74:W74" si="129" t="shared">IF($W$55&gt;0,B47/$W$55,0)</f>
        <v>4.6270460890186554E-3</v>
      </c>
      <c r="C74" s="104">
        <f si="129" t="shared"/>
        <v>1.3557345119390787E-3</v>
      </c>
      <c r="D74" s="104">
        <f si="129" t="shared"/>
        <v>1.1035485630303024E-4</v>
      </c>
      <c r="E74" s="104">
        <f si="129" t="shared"/>
        <v>1.318472810861941E-4</v>
      </c>
      <c r="F74" s="104">
        <f si="129" t="shared"/>
        <v>5.2759786336698585E-4</v>
      </c>
      <c r="G74" s="104">
        <f si="129" t="shared"/>
        <v>2.139819224500955E-3</v>
      </c>
      <c r="H74" s="104">
        <f si="129" t="shared"/>
        <v>7.5083775163274961E-4</v>
      </c>
      <c r="I74" s="104">
        <f si="129" t="shared"/>
        <v>7.4160808299351057E-5</v>
      </c>
      <c r="J74" s="104">
        <f si="129" t="shared"/>
        <v>9.1233165086233642E-4</v>
      </c>
      <c r="K74" s="104">
        <f si="129" t="shared"/>
        <v>4.0892268693566816E-4</v>
      </c>
      <c r="L74" s="104">
        <f si="129" t="shared"/>
        <v>2.3786363948173446E-3</v>
      </c>
      <c r="M74" s="104">
        <f si="129" t="shared"/>
        <v>1.4761378213341044E-3</v>
      </c>
      <c r="N74" s="104">
        <f si="129" t="shared"/>
        <v>0</v>
      </c>
      <c r="O74" s="104">
        <f si="129" t="shared"/>
        <v>1.2863201624254941E-2</v>
      </c>
      <c r="P74" s="104">
        <f si="129" t="shared"/>
        <v>0</v>
      </c>
      <c r="Q74" s="104">
        <f si="129" t="shared"/>
        <v>0</v>
      </c>
      <c r="R74" s="104">
        <f si="129" t="shared"/>
        <v>1.1373042211174768E-3</v>
      </c>
      <c r="S74" s="104">
        <f si="129" t="shared"/>
        <v>0</v>
      </c>
      <c r="T74" s="104">
        <f si="129" t="shared"/>
        <v>5.2228120006811849E-5</v>
      </c>
      <c r="U74" s="104">
        <f si="129" t="shared"/>
        <v>0</v>
      </c>
      <c r="V74" s="104">
        <f si="129" t="shared"/>
        <v>0</v>
      </c>
      <c r="W74" s="104">
        <f si="129" t="shared"/>
        <v>2.8946160905475679E-2</v>
      </c>
      <c r="Y74" s="95">
        <v>14</v>
      </c>
      <c r="Z74" s="104">
        <f ref="Z74:AU74" si="130" t="shared">IF($W$55&gt;0,Z47/$W$55,0)</f>
        <v>1.7995211763350975E-3</v>
      </c>
      <c r="AA74" s="104">
        <f si="130" t="shared"/>
        <v>2.5114413348632839E-3</v>
      </c>
      <c r="AB74" s="104">
        <f si="130" t="shared"/>
        <v>8.1545425360500035E-4</v>
      </c>
      <c r="AC74" s="104">
        <f si="130" t="shared"/>
        <v>9.0912795867449843E-4</v>
      </c>
      <c r="AD74" s="104">
        <f si="130" t="shared"/>
        <v>8.5686789163572584E-4</v>
      </c>
      <c r="AE74" s="104">
        <f si="130" t="shared"/>
        <v>3.4116949425311983E-3</v>
      </c>
      <c r="AF74" s="104">
        <f si="130" t="shared"/>
        <v>1.1211263438317839E-3</v>
      </c>
      <c r="AG74" s="104">
        <f si="130" t="shared"/>
        <v>6.2909288246673547E-4</v>
      </c>
      <c r="AH74" s="104">
        <f si="130" t="shared"/>
        <v>1.2404370629203029E-3</v>
      </c>
      <c r="AI74" s="104">
        <f si="130" t="shared"/>
        <v>6.3303703846966162E-4</v>
      </c>
      <c r="AJ74" s="104">
        <f si="130" t="shared"/>
        <v>2.8624712191237193E-3</v>
      </c>
      <c r="AK74" s="104">
        <f si="130" t="shared"/>
        <v>2.150551060595533E-3</v>
      </c>
      <c r="AL74" s="104">
        <f si="130" t="shared"/>
        <v>4.8710326636139075E-4</v>
      </c>
      <c r="AM74" s="104">
        <f si="130" t="shared"/>
        <v>6.1607716765707879E-3</v>
      </c>
      <c r="AN74" s="104">
        <f si="130" t="shared"/>
        <v>3.3919741625165669E-4</v>
      </c>
      <c r="AO74" s="104">
        <f si="130" t="shared"/>
        <v>1.360733821009553E-4</v>
      </c>
      <c r="AP74" s="104">
        <f si="130" t="shared"/>
        <v>1.5500533091500127E-3</v>
      </c>
      <c r="AQ74" s="104">
        <f si="130" t="shared"/>
        <v>1.8241721513533865E-4</v>
      </c>
      <c r="AR74" s="104">
        <f si="130" t="shared"/>
        <v>9.5054159670522414E-4</v>
      </c>
      <c r="AS74" s="104">
        <f si="130" t="shared"/>
        <v>1.9917987814777516E-4</v>
      </c>
      <c r="AT74" s="104">
        <f si="130" t="shared"/>
        <v>0</v>
      </c>
      <c r="AU74" s="104">
        <f si="130" t="shared"/>
        <v>2.8946160905475679E-2</v>
      </c>
      <c r="AW74" s="95">
        <v>14</v>
      </c>
      <c r="AX74" s="104">
        <f ref="AX74:BS74" si="131" t="shared">IF($BS$55&gt;0,AX47/$BS$55,0)</f>
        <v>2.5213176812480882E-3</v>
      </c>
      <c r="AY74" s="104">
        <f si="131" t="shared"/>
        <v>1.191352477821964E-3</v>
      </c>
      <c r="AZ74" s="104">
        <f si="131" t="shared"/>
        <v>1.063494187825023E-3</v>
      </c>
      <c r="BA74" s="104">
        <f si="131" t="shared"/>
        <v>3.4414193943101866E-4</v>
      </c>
      <c r="BB74" s="104">
        <f si="131" t="shared"/>
        <v>9.7028907922912201E-4</v>
      </c>
      <c r="BC74" s="104">
        <f si="131" t="shared"/>
        <v>4.0747361578464363E-3</v>
      </c>
      <c r="BD74" s="104">
        <f si="131" t="shared"/>
        <v>1.9608920923829916E-3</v>
      </c>
      <c r="BE74" s="104">
        <f si="131" t="shared"/>
        <v>5.7356989905169775E-5</v>
      </c>
      <c r="BF74" s="104">
        <f si="131" t="shared"/>
        <v>1.0563245640868768E-3</v>
      </c>
      <c r="BG74" s="104">
        <f si="131" t="shared"/>
        <v>3.3219256653410829E-4</v>
      </c>
      <c r="BH74" s="104">
        <f si="131" t="shared"/>
        <v>1.7553628785561333E-3</v>
      </c>
      <c r="BI74" s="104">
        <f si="131" t="shared"/>
        <v>1.4781374273478128E-3</v>
      </c>
      <c r="BJ74" s="104">
        <f si="131" t="shared"/>
        <v>3.620659987763842E-4</v>
      </c>
      <c r="BK74" s="104">
        <f si="131" t="shared"/>
        <v>4.4690654634444785E-3</v>
      </c>
      <c r="BL74" s="104">
        <f si="131" t="shared"/>
        <v>2.3540264606913429E-4</v>
      </c>
      <c r="BM74" s="104">
        <f si="131" t="shared"/>
        <v>2.1508871214438666E-5</v>
      </c>
      <c r="BN74" s="104">
        <f si="131" t="shared"/>
        <v>5.5098558427653715E-3</v>
      </c>
      <c r="BO74" s="104">
        <f si="131" t="shared"/>
        <v>2.2345327317222391E-4</v>
      </c>
      <c r="BP74" s="104">
        <f si="131" t="shared"/>
        <v>1.3132360813704496E-3</v>
      </c>
      <c r="BQ74" s="104">
        <f si="131" t="shared"/>
        <v>5.974686448455185E-6</v>
      </c>
      <c r="BR74" s="104">
        <f si="131" t="shared"/>
        <v>0</v>
      </c>
      <c r="BS74" s="104">
        <f si="131" t="shared"/>
        <v>2.8946160905475679E-2</v>
      </c>
    </row>
    <row r="75" spans="1:71" x14ac:dyDescent="0.25">
      <c r="A75" s="95">
        <v>15</v>
      </c>
      <c r="B75" s="104">
        <f ref="B75:W75" si="132" t="shared">IF($W$55&gt;0,B48/$W$55,0)</f>
        <v>2.7702596760941544E-3</v>
      </c>
      <c r="C75" s="104">
        <f si="132" t="shared"/>
        <v>3.7131389005921104E-3</v>
      </c>
      <c r="D75" s="104">
        <f si="132" t="shared"/>
        <v>1.4449689508238815E-3</v>
      </c>
      <c r="E75" s="104">
        <f si="132" t="shared"/>
        <v>8.5064693285907768E-4</v>
      </c>
      <c r="F75" s="104">
        <f si="132" t="shared"/>
        <v>4.9314307043545524E-4</v>
      </c>
      <c r="G75" s="104">
        <f si="132" t="shared"/>
        <v>1.9722914189630571E-3</v>
      </c>
      <c r="H75" s="104">
        <f si="132" t="shared"/>
        <v>3.4930991837703288E-3</v>
      </c>
      <c r="I75" s="104">
        <f si="132" t="shared"/>
        <v>0</v>
      </c>
      <c r="J75" s="104">
        <f si="132" t="shared"/>
        <v>6.6962990735658003E-3</v>
      </c>
      <c r="K75" s="104">
        <f si="132" t="shared"/>
        <v>5.8540724054511977E-4</v>
      </c>
      <c r="L75" s="104">
        <f si="132" t="shared"/>
        <v>1.0363678662014145E-3</v>
      </c>
      <c r="M75" s="104">
        <f si="132" t="shared"/>
        <v>1.4910193659436108E-3</v>
      </c>
      <c r="N75" s="104">
        <f si="132" t="shared"/>
        <v>6.2245208755546859E-3</v>
      </c>
      <c r="O75" s="104">
        <f si="132" t="shared"/>
        <v>0</v>
      </c>
      <c r="P75" s="104">
        <f si="132" t="shared"/>
        <v>1.8798083019323637E-2</v>
      </c>
      <c r="Q75" s="104">
        <f si="132" t="shared"/>
        <v>0</v>
      </c>
      <c r="R75" s="104">
        <f si="132" t="shared"/>
        <v>0</v>
      </c>
      <c r="S75" s="104">
        <f si="132" t="shared"/>
        <v>0</v>
      </c>
      <c r="T75" s="104">
        <f si="132" t="shared"/>
        <v>1.2580642899850735E-4</v>
      </c>
      <c r="U75" s="104">
        <f si="132" t="shared"/>
        <v>0</v>
      </c>
      <c r="V75" s="104">
        <f si="132" t="shared"/>
        <v>0</v>
      </c>
      <c r="W75" s="104">
        <f si="132" t="shared"/>
        <v>4.9695052003670845E-2</v>
      </c>
      <c r="Y75" s="95">
        <v>15</v>
      </c>
      <c r="Z75" s="104">
        <f ref="Z75:AU75" si="133" t="shared">IF($W$55&gt;0,Z48/$W$55,0)</f>
        <v>2.4620808548222791E-3</v>
      </c>
      <c r="AA75" s="104">
        <f si="133" t="shared"/>
        <v>3.4467112212914022E-3</v>
      </c>
      <c r="AB75" s="104">
        <f si="133" t="shared"/>
        <v>7.2913140983662237E-4</v>
      </c>
      <c r="AC75" s="104">
        <f si="133" t="shared"/>
        <v>7.887141704742411E-4</v>
      </c>
      <c r="AD75" s="104">
        <f si="133" t="shared"/>
        <v>1.0068476670458621E-3</v>
      </c>
      <c r="AE75" s="104">
        <f si="133" t="shared"/>
        <v>4.8696283355016525E-3</v>
      </c>
      <c r="AF75" s="104">
        <f si="133" t="shared"/>
        <v>4.6888602989909114E-3</v>
      </c>
      <c r="AG75" s="104">
        <f si="133" t="shared"/>
        <v>2.6054834312721407E-4</v>
      </c>
      <c r="AH75" s="104">
        <f si="133" t="shared"/>
        <v>5.4452583958989869E-3</v>
      </c>
      <c r="AI75" s="104">
        <f si="133" t="shared"/>
        <v>6.6651901730217561E-4</v>
      </c>
      <c r="AJ75" s="104">
        <f si="133" t="shared"/>
        <v>1.8561544754566645E-3</v>
      </c>
      <c r="AK75" s="104">
        <f si="133" t="shared"/>
        <v>4.2031093181994772E-3</v>
      </c>
      <c r="AL75" s="104">
        <f si="133" t="shared"/>
        <v>4.7201664952581344E-3</v>
      </c>
      <c r="AM75" s="104">
        <f si="133" t="shared"/>
        <v>1.6561987702660121E-4</v>
      </c>
      <c r="AN75" s="104">
        <f si="133" t="shared"/>
        <v>1.2077122618055634E-2</v>
      </c>
      <c r="AO75" s="104">
        <f si="133" t="shared"/>
        <v>1.2623466236783628E-4</v>
      </c>
      <c r="AP75" s="104">
        <f si="133" t="shared"/>
        <v>2.4540018364307379E-4</v>
      </c>
      <c r="AQ75" s="104">
        <f si="133" t="shared"/>
        <v>4.5848429371998144E-4</v>
      </c>
      <c r="AR75" s="104">
        <f si="133" t="shared"/>
        <v>1.262346623678363E-3</v>
      </c>
      <c r="AS75" s="104">
        <f si="133" t="shared"/>
        <v>2.1611374197373574E-4</v>
      </c>
      <c r="AT75" s="104">
        <f si="133" t="shared"/>
        <v>0</v>
      </c>
      <c r="AU75" s="104">
        <f si="133" t="shared"/>
        <v>4.9695052003670859E-2</v>
      </c>
      <c r="AW75" s="95">
        <v>15</v>
      </c>
      <c r="AX75" s="104">
        <f ref="AX75:BS75" si="134" t="shared">IF($BS$55&gt;0,AX48/$BS$55,0)</f>
        <v>1.3968816916488222E-3</v>
      </c>
      <c r="AY75" s="104">
        <f si="134" t="shared"/>
        <v>1.2403449066992964E-3</v>
      </c>
      <c r="AZ75" s="104">
        <f si="134" t="shared"/>
        <v>4.1105842765371675E-4</v>
      </c>
      <c r="BA75" s="104">
        <f si="134" t="shared"/>
        <v>1.2068866625879474E-4</v>
      </c>
      <c r="BB75" s="104">
        <f si="134" t="shared"/>
        <v>4.4093185989599266E-4</v>
      </c>
      <c r="BC75" s="104">
        <f si="134" t="shared"/>
        <v>2.8463406240440501E-3</v>
      </c>
      <c r="BD75" s="104">
        <f si="134" t="shared"/>
        <v>4.570635133068217E-3</v>
      </c>
      <c r="BE75" s="104">
        <f si="134" t="shared"/>
        <v>8.3645610278372596E-6</v>
      </c>
      <c r="BF75" s="104">
        <f si="134" t="shared"/>
        <v>3.5011662587947382E-3</v>
      </c>
      <c r="BG75" s="104">
        <f si="134" t="shared"/>
        <v>2.3540264606913429E-4</v>
      </c>
      <c r="BH75" s="104">
        <f si="134" t="shared"/>
        <v>3.9313436830835116E-4</v>
      </c>
      <c r="BI75" s="104">
        <f si="134" t="shared"/>
        <v>1.9417730957479351E-3</v>
      </c>
      <c r="BJ75" s="104">
        <f si="134" t="shared"/>
        <v>9.8940807586417861E-3</v>
      </c>
      <c r="BK75" s="104">
        <f si="134" t="shared"/>
        <v>4.0627867849495259E-5</v>
      </c>
      <c r="BL75" s="104">
        <f si="134" t="shared"/>
        <v>1.8106884750688283E-2</v>
      </c>
      <c r="BM75" s="104">
        <f si="134" t="shared"/>
        <v>1.0754435607219333E-5</v>
      </c>
      <c r="BN75" s="104">
        <f si="134" t="shared"/>
        <v>5.3652684307127561E-4</v>
      </c>
      <c r="BO75" s="104">
        <f si="134" t="shared"/>
        <v>5.5564583970633226E-4</v>
      </c>
      <c r="BP75" s="104">
        <f si="134" t="shared"/>
        <v>3.4318598959926583E-3</v>
      </c>
      <c r="BQ75" s="104">
        <f si="134" t="shared"/>
        <v>1.194937289691037E-5</v>
      </c>
      <c r="BR75" s="104">
        <f si="134" t="shared"/>
        <v>0</v>
      </c>
      <c r="BS75" s="104">
        <f si="134" t="shared"/>
        <v>4.9695052003670845E-2</v>
      </c>
    </row>
    <row r="76" spans="1:71" x14ac:dyDescent="0.25">
      <c r="A76" s="95">
        <v>16</v>
      </c>
      <c r="B76" s="104">
        <f ref="B76:W76" si="135" t="shared">IF($W$55&gt;0,B49/$W$55,0)</f>
        <v>5.7572307223327816E-4</v>
      </c>
      <c r="C76" s="104">
        <f si="135" t="shared"/>
        <v>5.2273397214311595E-4</v>
      </c>
      <c r="D76" s="104">
        <f si="135" t="shared"/>
        <v>1.0615837858551198E-3</v>
      </c>
      <c r="E76" s="104">
        <f si="135" t="shared"/>
        <v>6.6935118133839124E-4</v>
      </c>
      <c r="F76" s="104">
        <f si="135" t="shared"/>
        <v>1.1915951836441072E-3</v>
      </c>
      <c r="G76" s="104">
        <f si="135" t="shared"/>
        <v>6.15501698788879E-3</v>
      </c>
      <c r="H76" s="104">
        <f si="135" t="shared"/>
        <v>7.5632167808394361E-4</v>
      </c>
      <c r="I76" s="104">
        <f si="135" t="shared"/>
        <v>9.5601681822522256E-4</v>
      </c>
      <c r="J76" s="104">
        <f si="135" t="shared"/>
        <v>1.0225082081223656E-3</v>
      </c>
      <c r="K76" s="104">
        <f si="135" t="shared"/>
        <v>1.1193964634603692E-3</v>
      </c>
      <c r="L76" s="104">
        <f si="135" t="shared"/>
        <v>0</v>
      </c>
      <c r="M76" s="104">
        <f si="135" t="shared"/>
        <v>6.0108569168084462E-3</v>
      </c>
      <c r="N76" s="104">
        <f si="135" t="shared"/>
        <v>0</v>
      </c>
      <c r="O76" s="104">
        <f si="135" t="shared"/>
        <v>0</v>
      </c>
      <c r="P76" s="104">
        <f si="135" t="shared"/>
        <v>0</v>
      </c>
      <c r="Q76" s="104">
        <f si="135" t="shared"/>
        <v>2.584904094681876E-4</v>
      </c>
      <c r="R76" s="104">
        <f si="135" t="shared"/>
        <v>0</v>
      </c>
      <c r="S76" s="104">
        <f si="135" t="shared"/>
        <v>0</v>
      </c>
      <c r="T76" s="104">
        <f si="135" t="shared"/>
        <v>0</v>
      </c>
      <c r="U76" s="104">
        <f si="135" t="shared"/>
        <v>0</v>
      </c>
      <c r="V76" s="104">
        <f si="135" t="shared"/>
        <v>0</v>
      </c>
      <c r="W76" s="104">
        <f si="135" t="shared"/>
        <v>2.0299594677271337E-2</v>
      </c>
      <c r="Y76" s="95">
        <v>16</v>
      </c>
      <c r="Z76" s="104">
        <f ref="Z76:AU76" si="136" t="shared">IF($W$55&gt;0,Z49/$W$55,0)</f>
        <v>1.6462178242260407E-3</v>
      </c>
      <c r="AA76" s="104">
        <f si="136" t="shared"/>
        <v>1.6076933203486045E-3</v>
      </c>
      <c r="AB76" s="104">
        <f si="136" t="shared"/>
        <v>3.3732431443901179E-4</v>
      </c>
      <c r="AC76" s="104">
        <f si="136" t="shared"/>
        <v>5.7598831406995607E-4</v>
      </c>
      <c r="AD76" s="104">
        <f si="136" t="shared"/>
        <v>8.5975417189887394E-4</v>
      </c>
      <c r="AE76" s="104">
        <f si="136" t="shared"/>
        <v>4.9264383860828376E-3</v>
      </c>
      <c r="AF76" s="104">
        <f si="136" t="shared"/>
        <v>6.7089014069485892E-4</v>
      </c>
      <c r="AG76" s="104">
        <f si="136" t="shared"/>
        <v>1.1087540140335204E-4</v>
      </c>
      <c r="AH76" s="104">
        <f si="136" t="shared"/>
        <v>5.7504869202416485E-4</v>
      </c>
      <c r="AI76" s="104">
        <f si="136" t="shared"/>
        <v>1.3962783600456029E-3</v>
      </c>
      <c r="AJ76" s="104">
        <f si="136" t="shared"/>
        <v>4.0873558991913678E-4</v>
      </c>
      <c r="AK76" s="104">
        <f si="136" t="shared"/>
        <v>4.7751592367104665E-3</v>
      </c>
      <c r="AL76" s="104">
        <f si="136" t="shared"/>
        <v>3.702110860417009E-4</v>
      </c>
      <c r="AM76" s="104">
        <f si="136" t="shared"/>
        <v>5.8256566839049378E-5</v>
      </c>
      <c r="AN76" s="104">
        <f si="136" t="shared"/>
        <v>1.2496973209021883E-4</v>
      </c>
      <c r="AO76" s="104">
        <f si="136" t="shared"/>
        <v>1.0354634944618132E-3</v>
      </c>
      <c r="AP76" s="104">
        <f si="136" t="shared"/>
        <v>3.0067905465315812E-5</v>
      </c>
      <c r="AQ76" s="104">
        <f si="136" t="shared"/>
        <v>5.0175817245245752E-4</v>
      </c>
      <c r="AR76" s="104">
        <f si="136" t="shared"/>
        <v>9.302258253332078E-5</v>
      </c>
      <c r="AS76" s="104">
        <f si="136" t="shared"/>
        <v>1.9544138552455277E-4</v>
      </c>
      <c r="AT76" s="104">
        <f si="136" t="shared"/>
        <v>0</v>
      </c>
      <c r="AU76" s="104">
        <f si="136" t="shared"/>
        <v>2.0299594677271337E-2</v>
      </c>
      <c r="AW76" s="95">
        <v>16</v>
      </c>
      <c r="AX76" s="104">
        <f ref="AX76:BS76" si="137" t="shared">IF($BS$55&gt;0,AX49/$BS$55,0)</f>
        <v>1.9537224686448453E-3</v>
      </c>
      <c r="AY76" s="104">
        <f si="137" t="shared"/>
        <v>9.4041564698684615E-4</v>
      </c>
      <c r="AZ76" s="104">
        <f si="137" t="shared"/>
        <v>5.1262809727745486E-4</v>
      </c>
      <c r="BA76" s="104">
        <f si="137" t="shared"/>
        <v>1.6251147139798104E-4</v>
      </c>
      <c r="BB76" s="104">
        <f si="137" t="shared"/>
        <v>9.7387389109819512E-4</v>
      </c>
      <c r="BC76" s="104">
        <f si="137" t="shared"/>
        <v>4.4929642092382989E-3</v>
      </c>
      <c r="BD76" s="104">
        <f si="137" t="shared"/>
        <v>1.5390792291220556E-3</v>
      </c>
      <c r="BE76" s="104">
        <f si="137" t="shared"/>
        <v>4.7797491587641482E-6</v>
      </c>
      <c r="BF76" s="104">
        <f si="137" t="shared"/>
        <v>4.7916985316610584E-4</v>
      </c>
      <c r="BG76" s="104">
        <f si="137" t="shared"/>
        <v>1.5008412358519425E-3</v>
      </c>
      <c r="BH76" s="104">
        <f si="137" t="shared"/>
        <v>1.8163046803303763E-4</v>
      </c>
      <c r="BI76" s="104">
        <f si="137" t="shared"/>
        <v>4.0125994187825021E-3</v>
      </c>
      <c r="BJ76" s="104">
        <f si="137" t="shared"/>
        <v>5.293572193331294E-4</v>
      </c>
      <c r="BK76" s="104">
        <f si="137" t="shared"/>
        <v>2.9873432242275924E-5</v>
      </c>
      <c r="BL76" s="104">
        <f si="137" t="shared"/>
        <v>1.1351904252064851E-4</v>
      </c>
      <c r="BM76" s="104">
        <f si="137" t="shared"/>
        <v>4.7319516671765068E-4</v>
      </c>
      <c r="BN76" s="104">
        <f si="137" t="shared"/>
        <v>3.4294700214132761E-4</v>
      </c>
      <c r="BO76" s="104">
        <f si="137" t="shared"/>
        <v>1.7230995717344754E-3</v>
      </c>
      <c r="BP76" s="104">
        <f si="137" t="shared"/>
        <v>1.2905322728663199E-4</v>
      </c>
      <c r="BQ76" s="104">
        <f si="137" t="shared"/>
        <v>2.0433427653716732E-4</v>
      </c>
      <c r="BR76" s="104">
        <f si="137" t="shared"/>
        <v>0</v>
      </c>
      <c r="BS76" s="104">
        <f si="137" t="shared"/>
        <v>2.0299594677271337E-2</v>
      </c>
    </row>
    <row r="77" spans="1:71" x14ac:dyDescent="0.25">
      <c r="A77" s="95">
        <v>17</v>
      </c>
      <c r="B77" s="104">
        <f ref="B77:W77" si="138" t="shared">IF($W$55&gt;0,B50/$W$55,0)</f>
        <v>1.9169759279104698E-3</v>
      </c>
      <c r="C77" s="104">
        <f si="138" t="shared"/>
        <v>2.0135052085471167E-3</v>
      </c>
      <c r="D77" s="104">
        <f si="138" t="shared"/>
        <v>6.9266065118655921E-4</v>
      </c>
      <c r="E77" s="104">
        <f si="138" t="shared"/>
        <v>1.460204305146034E-3</v>
      </c>
      <c r="F77" s="104">
        <f si="138" t="shared"/>
        <v>6.1857677363105681E-4</v>
      </c>
      <c r="G77" s="104">
        <f si="138" t="shared"/>
        <v>8.6061669400284871E-4</v>
      </c>
      <c r="H77" s="104">
        <f si="138" t="shared"/>
        <v>1.6679618374942681E-3</v>
      </c>
      <c r="I77" s="104">
        <f si="138" t="shared"/>
        <v>0</v>
      </c>
      <c r="J77" s="104">
        <f si="138" t="shared"/>
        <v>5.0969545023492129E-4</v>
      </c>
      <c r="K77" s="104">
        <f si="138" t="shared"/>
        <v>0</v>
      </c>
      <c r="L77" s="104">
        <f si="138" t="shared"/>
        <v>7.5170257242774523E-3</v>
      </c>
      <c r="M77" s="104">
        <f si="138" t="shared"/>
        <v>2.0687978790234242E-3</v>
      </c>
      <c r="N77" s="104">
        <f si="138" t="shared"/>
        <v>0</v>
      </c>
      <c r="O77" s="104">
        <f si="138" t="shared"/>
        <v>1.1234284800069091E-3</v>
      </c>
      <c r="P77" s="104">
        <f si="138" t="shared"/>
        <v>1.2124543946232166E-4</v>
      </c>
      <c r="Q77" s="104">
        <f si="138" t="shared"/>
        <v>0</v>
      </c>
      <c r="R77" s="104">
        <f si="138" t="shared"/>
        <v>5.6417631758618244E-3</v>
      </c>
      <c r="S77" s="104">
        <f si="138" t="shared"/>
        <v>0</v>
      </c>
      <c r="T77" s="104">
        <f si="138" t="shared"/>
        <v>1.2197178126519353E-3</v>
      </c>
      <c r="U77" s="104">
        <f si="138" t="shared"/>
        <v>0</v>
      </c>
      <c r="V77" s="104">
        <f si="138" t="shared"/>
        <v>0</v>
      </c>
      <c r="W77" s="104">
        <f si="138" t="shared"/>
        <v>2.7432175359437136E-2</v>
      </c>
      <c r="Y77" s="95">
        <v>17</v>
      </c>
      <c r="Z77" s="104">
        <f ref="Z77:AU77" si="139" t="shared">IF($W$55&gt;0,Z50/$W$55,0)</f>
        <v>1.5728593086654953E-3</v>
      </c>
      <c r="AA77" s="104">
        <f si="139" t="shared"/>
        <v>2.1116555171074884E-3</v>
      </c>
      <c r="AB77" s="104">
        <f si="139" t="shared"/>
        <v>6.9066515767968249E-4</v>
      </c>
      <c r="AC77" s="104">
        <f si="139" t="shared"/>
        <v>7.2065202026801601E-4</v>
      </c>
      <c r="AD77" s="104">
        <f si="139" t="shared"/>
        <v>7.0420761175183321E-4</v>
      </c>
      <c r="AE77" s="104">
        <f si="139" t="shared"/>
        <v>3.2153655239877655E-3</v>
      </c>
      <c r="AF77" s="104">
        <f si="139" t="shared"/>
        <v>1.0340631002235022E-3</v>
      </c>
      <c r="AG77" s="104">
        <f si="139" t="shared"/>
        <v>3.8886189550032543E-4</v>
      </c>
      <c r="AH77" s="104">
        <f si="139" t="shared"/>
        <v>1.1520759142808149E-3</v>
      </c>
      <c r="AI77" s="104">
        <f si="139" t="shared"/>
        <v>4.6237807474914323E-4</v>
      </c>
      <c r="AJ77" s="104">
        <f si="139" t="shared"/>
        <v>4.0704747668292773E-3</v>
      </c>
      <c r="AK77" s="104">
        <f si="139" t="shared"/>
        <v>1.823394709000282E-3</v>
      </c>
      <c r="AL77" s="104">
        <f si="139" t="shared"/>
        <v>4.3335853030882046E-4</v>
      </c>
      <c r="AM77" s="104">
        <f si="139" t="shared"/>
        <v>1.6047808075498504E-3</v>
      </c>
      <c r="AN77" s="104">
        <f si="139" t="shared"/>
        <v>4.1497948549661594E-4</v>
      </c>
      <c r="AO77" s="104">
        <f si="139" t="shared"/>
        <v>1.0833963257720512E-4</v>
      </c>
      <c r="AP77" s="104">
        <f si="139" t="shared"/>
        <v>3.5094302409830369E-3</v>
      </c>
      <c r="AQ77" s="104">
        <f si="139" t="shared"/>
        <v>1.6734603960586142E-4</v>
      </c>
      <c r="AR77" s="104">
        <f si="139" t="shared"/>
        <v>3.1457186173309906E-3</v>
      </c>
      <c r="AS77" s="104">
        <f si="139" t="shared"/>
        <v>1.0156840554112979E-4</v>
      </c>
      <c r="AT77" s="104">
        <f si="139" t="shared"/>
        <v>0</v>
      </c>
      <c r="AU77" s="104">
        <f si="139" t="shared"/>
        <v>2.7432175359437136E-2</v>
      </c>
      <c r="AW77" s="95">
        <v>17</v>
      </c>
      <c r="AX77" s="104">
        <f ref="AX77:BS77" si="140" t="shared">IF($BS$55&gt;0,AX50/$BS$55,0)</f>
        <v>2.1281833129397371E-3</v>
      </c>
      <c r="AY77" s="104">
        <f si="140" t="shared"/>
        <v>9.9299288773325176E-4</v>
      </c>
      <c r="AZ77" s="104">
        <f si="140" t="shared"/>
        <v>9.5833970633221169E-4</v>
      </c>
      <c r="BA77" s="104">
        <f si="140" t="shared"/>
        <v>2.5452164270419088E-4</v>
      </c>
      <c r="BB77" s="104">
        <f si="140" t="shared"/>
        <v>7.1935224839400429E-4</v>
      </c>
      <c r="BC77" s="104">
        <f si="140" t="shared"/>
        <v>3.4330548332823494E-3</v>
      </c>
      <c r="BD77" s="104">
        <f si="140" t="shared"/>
        <v>1.6968109513612725E-3</v>
      </c>
      <c r="BE77" s="104">
        <f si="140" t="shared"/>
        <v>3.7043055980422145E-5</v>
      </c>
      <c r="BF77" s="104">
        <f si="140" t="shared"/>
        <v>1.1686486693178342E-3</v>
      </c>
      <c r="BG77" s="104">
        <f si="140" t="shared"/>
        <v>2.5452164270419088E-4</v>
      </c>
      <c r="BH77" s="104">
        <f si="140" t="shared"/>
        <v>2.0027148975221782E-3</v>
      </c>
      <c r="BI77" s="104">
        <f si="140" t="shared"/>
        <v>1.2582689660446619E-3</v>
      </c>
      <c r="BJ77" s="104">
        <f si="140" t="shared"/>
        <v>3.87159681859896E-4</v>
      </c>
      <c r="BK77" s="104">
        <f si="140" t="shared"/>
        <v>1.0073321352095442E-3</v>
      </c>
      <c r="BL77" s="104">
        <f si="140" t="shared"/>
        <v>4.8633947690425206E-4</v>
      </c>
      <c r="BM77" s="104">
        <f si="140" t="shared"/>
        <v>2.031393392474763E-5</v>
      </c>
      <c r="BN77" s="104">
        <f si="140" t="shared"/>
        <v>5.7488433007035792E-3</v>
      </c>
      <c r="BO77" s="104">
        <f si="140" t="shared"/>
        <v>1.9596971550933008E-4</v>
      </c>
      <c r="BP77" s="104">
        <f si="140" t="shared"/>
        <v>4.6793744264301013E-3</v>
      </c>
      <c r="BQ77" s="104">
        <f si="140" t="shared"/>
        <v>2.3898745793820741E-6</v>
      </c>
      <c r="BR77" s="104">
        <f si="140" t="shared"/>
        <v>0</v>
      </c>
      <c r="BS77" s="104">
        <f si="140" t="shared"/>
        <v>2.7432175359437136E-2</v>
      </c>
    </row>
    <row r="78" spans="1:71" x14ac:dyDescent="0.25">
      <c r="A78" s="95">
        <v>18</v>
      </c>
      <c r="B78" s="104">
        <f ref="B78:W78" si="141" t="shared">IF($W$55&gt;0,B51/$W$55,0)</f>
        <v>4.602627165250419E-3</v>
      </c>
      <c r="C78" s="104">
        <f si="141" t="shared"/>
        <v>1.5477484786078867E-3</v>
      </c>
      <c r="D78" s="104">
        <f si="141" t="shared"/>
        <v>3.8709585488561548E-4</v>
      </c>
      <c r="E78" s="104">
        <f si="141" t="shared"/>
        <v>1.5422916416605258E-3</v>
      </c>
      <c r="F78" s="104">
        <f si="141" t="shared"/>
        <v>9.9068238115996611E-4</v>
      </c>
      <c r="G78" s="104">
        <f si="141" t="shared"/>
        <v>3.5825314075780151E-3</v>
      </c>
      <c r="H78" s="104">
        <f si="141" t="shared"/>
        <v>4.6289592562355443E-3</v>
      </c>
      <c r="I78" s="104">
        <f si="141" t="shared"/>
        <v>0</v>
      </c>
      <c r="J78" s="104">
        <f si="141" t="shared"/>
        <v>0</v>
      </c>
      <c r="K78" s="104">
        <f si="141" t="shared"/>
        <v>2.6511855028313444E-4</v>
      </c>
      <c r="L78" s="104">
        <f si="141" t="shared"/>
        <v>0</v>
      </c>
      <c r="M78" s="104">
        <f si="141" t="shared"/>
        <v>2.6119074000673686E-2</v>
      </c>
      <c r="N78" s="104">
        <f si="141" t="shared"/>
        <v>1.2070634384181713E-2</v>
      </c>
      <c r="O78" s="104">
        <f si="141" t="shared"/>
        <v>0</v>
      </c>
      <c r="P78" s="104">
        <f si="141" t="shared"/>
        <v>0</v>
      </c>
      <c r="Q78" s="104">
        <f si="141" t="shared"/>
        <v>6.9493406966790352E-5</v>
      </c>
      <c r="R78" s="104">
        <f si="141" t="shared"/>
        <v>0</v>
      </c>
      <c r="S78" s="104">
        <f si="141" t="shared"/>
        <v>5.2015172010701485E-3</v>
      </c>
      <c r="T78" s="104">
        <f si="141" t="shared"/>
        <v>0</v>
      </c>
      <c r="U78" s="104">
        <f si="141" t="shared"/>
        <v>5.4942074988033839E-4</v>
      </c>
      <c r="V78" s="104">
        <f si="141" t="shared"/>
        <v>0</v>
      </c>
      <c r="W78" s="104">
        <f si="141" t="shared"/>
        <v>6.1557194478433774E-2</v>
      </c>
      <c r="Y78" s="95">
        <v>18</v>
      </c>
      <c r="Z78" s="104">
        <f ref="Z78:AU78" si="142" t="shared">IF($W$55&gt;0,Z51/$W$55,0)</f>
        <v>2.8189849964390477E-3</v>
      </c>
      <c r="AA78" s="104">
        <f si="142" t="shared"/>
        <v>2.6353656564752489E-3</v>
      </c>
      <c r="AB78" s="104">
        <f si="142" t="shared"/>
        <v>5.9176802827711362E-4</v>
      </c>
      <c r="AC78" s="104">
        <f si="142" t="shared"/>
        <v>7.8204713704788965E-4</v>
      </c>
      <c r="AD78" s="104">
        <f si="142" t="shared"/>
        <v>1.0275071873621909E-3</v>
      </c>
      <c r="AE78" s="104">
        <f si="142" t="shared"/>
        <v>6.58555995455656E-3</v>
      </c>
      <c r="AF78" s="104">
        <f si="142" t="shared"/>
        <v>4.726533061866078E-3</v>
      </c>
      <c r="AG78" s="104">
        <f si="142" t="shared"/>
        <v>1.7125119789369848E-4</v>
      </c>
      <c r="AH78" s="104">
        <f si="142" t="shared"/>
        <v>2.0521601880928203E-3</v>
      </c>
      <c r="AI78" s="104">
        <f si="142" t="shared"/>
        <v>9.932569477834512E-4</v>
      </c>
      <c r="AJ78" s="104">
        <f si="142" t="shared"/>
        <v>9.0763134883660185E-4</v>
      </c>
      <c r="AK78" s="104">
        <f si="142" t="shared"/>
        <v>2.0005945496159395E-2</v>
      </c>
      <c r="AL78" s="104">
        <f si="142" t="shared"/>
        <v>6.1374526534013832E-3</v>
      </c>
      <c r="AM78" s="104">
        <f si="142" t="shared"/>
        <v>1.2843839842027386E-4</v>
      </c>
      <c r="AN78" s="104">
        <f si="142" t="shared"/>
        <v>7.3542875539904951E-4</v>
      </c>
      <c r="AO78" s="104">
        <f si="142" t="shared"/>
        <v>3.9578054624321422E-4</v>
      </c>
      <c r="AP78" s="104">
        <f si="142" t="shared"/>
        <v>1.0179932319236521E-4</v>
      </c>
      <c r="AQ78" s="104">
        <f si="142" t="shared"/>
        <v>6.6512062470824784E-3</v>
      </c>
      <c r="AR78" s="104">
        <f si="142" t="shared"/>
        <v>2.8066168543689472E-4</v>
      </c>
      <c r="AS78" s="104">
        <f si="142" t="shared"/>
        <v>3.8284156684680148E-3</v>
      </c>
      <c r="AT78" s="104">
        <f si="142" t="shared"/>
        <v>0</v>
      </c>
      <c r="AU78" s="104">
        <f si="142" t="shared"/>
        <v>6.155719447843376E-2</v>
      </c>
      <c r="AW78" s="95">
        <v>18</v>
      </c>
      <c r="AX78" s="104">
        <f ref="AX78:BS78" si="143" t="shared">IF($BS$55&gt;0,AX51/$BS$55,0)</f>
        <v>2.0337832670541448E-3</v>
      </c>
      <c r="AY78" s="104">
        <f si="143" t="shared"/>
        <v>1.257074028754971E-3</v>
      </c>
      <c r="AZ78" s="104">
        <f si="143" t="shared"/>
        <v>5.1023822269807275E-4</v>
      </c>
      <c r="BA78" s="104">
        <f si="143" t="shared"/>
        <v>1.2427347812786786E-4</v>
      </c>
      <c r="BB78" s="104">
        <f si="143" t="shared"/>
        <v>6.3690157540532272E-4</v>
      </c>
      <c r="BC78" s="104">
        <f si="143" t="shared"/>
        <v>4.3949793514836341E-3</v>
      </c>
      <c r="BD78" s="104">
        <f si="143" t="shared"/>
        <v>4.6566706179259716E-3</v>
      </c>
      <c r="BE78" s="104">
        <f si="143" t="shared"/>
        <v>3.5848118690731109E-6</v>
      </c>
      <c r="BF78" s="104">
        <f si="143" t="shared"/>
        <v>1.0121118843683084E-3</v>
      </c>
      <c r="BG78" s="104">
        <f si="143" t="shared"/>
        <v>9.2607639951055372E-4</v>
      </c>
      <c r="BH78" s="104">
        <f si="143" t="shared"/>
        <v>1.9238490364025695E-4</v>
      </c>
      <c r="BI78" s="104">
        <f si="143" t="shared"/>
        <v>1.3372543208932395E-2</v>
      </c>
      <c r="BJ78" s="104">
        <f si="143" t="shared"/>
        <v>1.020834926583053E-2</v>
      </c>
      <c r="BK78" s="104">
        <f si="143" t="shared"/>
        <v>2.5093683083511777E-5</v>
      </c>
      <c r="BL78" s="104">
        <f si="143" t="shared"/>
        <v>5.4847621596818604E-4</v>
      </c>
      <c r="BM78" s="104">
        <f si="143" t="shared"/>
        <v>7.8865861119608438E-5</v>
      </c>
      <c r="BN78" s="104">
        <f si="143" t="shared"/>
        <v>4.0149892933618843E-4</v>
      </c>
      <c r="BO78" s="104">
        <f si="143" t="shared"/>
        <v>1.9319746099724686E-2</v>
      </c>
      <c r="BP78" s="104">
        <f si="143" t="shared"/>
        <v>1.6490134597736312E-4</v>
      </c>
      <c r="BQ78" s="104">
        <f si="143" t="shared"/>
        <v>1.6896413276231263E-3</v>
      </c>
      <c r="BR78" s="104">
        <f si="143" t="shared"/>
        <v>0</v>
      </c>
      <c r="BS78" s="104">
        <f si="143" t="shared"/>
        <v>6.1557194478433774E-2</v>
      </c>
    </row>
    <row r="79" spans="1:71" x14ac:dyDescent="0.25">
      <c r="A79" s="95">
        <v>19</v>
      </c>
      <c r="B79" s="104">
        <f ref="B79:W79" si="144" t="shared">IF($W$55&gt;0,B52/$W$55,0)</f>
        <v>3.8837990264423373E-3</v>
      </c>
      <c r="C79" s="104">
        <f si="144" t="shared"/>
        <v>1.2397264634870485E-3</v>
      </c>
      <c r="D79" s="104">
        <f si="144" t="shared"/>
        <v>1.2431990202279154E-3</v>
      </c>
      <c r="E79" s="104">
        <f si="144" t="shared"/>
        <v>1.6796130430052519E-3</v>
      </c>
      <c r="F79" s="104">
        <f si="144" t="shared"/>
        <v>1.4233381868108044E-3</v>
      </c>
      <c r="G79" s="104">
        <f si="144" t="shared"/>
        <v>3.4956173627978355E-3</v>
      </c>
      <c r="H79" s="104">
        <f si="144" t="shared"/>
        <v>3.0605258541825213E-3</v>
      </c>
      <c r="I79" s="104">
        <f si="144" t="shared"/>
        <v>0</v>
      </c>
      <c r="J79" s="104">
        <f si="144" t="shared"/>
        <v>3.5334716426258734E-3</v>
      </c>
      <c r="K79" s="104">
        <f si="144" t="shared"/>
        <v>4.2956778243818678E-4</v>
      </c>
      <c r="L79" s="104">
        <f si="144" t="shared"/>
        <v>1.2513134994680304E-2</v>
      </c>
      <c r="M79" s="104">
        <f si="144" t="shared"/>
        <v>0</v>
      </c>
      <c r="N79" s="104">
        <f si="144" t="shared"/>
        <v>0</v>
      </c>
      <c r="O79" s="104">
        <f si="144" t="shared"/>
        <v>1.6123056475336676E-3</v>
      </c>
      <c r="P79" s="104">
        <f si="144" t="shared"/>
        <v>1.4011250894172325E-3</v>
      </c>
      <c r="Q79" s="104">
        <f si="144" t="shared"/>
        <v>0</v>
      </c>
      <c r="R79" s="104">
        <f si="144" t="shared"/>
        <v>3.8205798727287219E-3</v>
      </c>
      <c r="S79" s="104">
        <f si="144" t="shared"/>
        <v>0</v>
      </c>
      <c r="T79" s="104">
        <f si="144" t="shared"/>
        <v>1.8396196227755065E-2</v>
      </c>
      <c r="U79" s="104">
        <f si="144" t="shared"/>
        <v>0</v>
      </c>
      <c r="V79" s="104">
        <f si="144" t="shared"/>
        <v>0</v>
      </c>
      <c r="W79" s="104">
        <f si="144" t="shared"/>
        <v>5.7732200214132764E-2</v>
      </c>
      <c r="Y79" s="95">
        <v>19</v>
      </c>
      <c r="Z79" s="104">
        <f ref="Z79:AU79" si="145" t="shared">IF($W$55&gt;0,Z52/$W$55,0)</f>
        <v>3.0256869769376329E-3</v>
      </c>
      <c r="AA79" s="104">
        <f si="145" t="shared"/>
        <v>3.3788291168972127E-3</v>
      </c>
      <c r="AB79" s="104">
        <f si="145" t="shared"/>
        <v>1.1357225612280309E-3</v>
      </c>
      <c r="AC79" s="104">
        <f si="145" t="shared"/>
        <v>1.2708757259039193E-3</v>
      </c>
      <c r="AD79" s="104">
        <f si="145" t="shared"/>
        <v>1.2196483167122522E-3</v>
      </c>
      <c r="AE79" s="104">
        <f si="145" t="shared"/>
        <v>5.6382848457126704E-3</v>
      </c>
      <c r="AF79" s="104">
        <f si="145" t="shared"/>
        <v>2.176619918207656E-3</v>
      </c>
      <c r="AG79" s="104">
        <f si="145" t="shared"/>
        <v>4.501472339608222E-4</v>
      </c>
      <c r="AH79" s="104">
        <f si="145" t="shared"/>
        <v>2.83712651331724E-3</v>
      </c>
      <c r="AI79" s="104">
        <f si="145" t="shared"/>
        <v>7.9674970466189115E-4</v>
      </c>
      <c r="AJ79" s="104">
        <f si="145" t="shared"/>
        <v>7.8149047639203273E-3</v>
      </c>
      <c r="AK79" s="104">
        <f si="145" t="shared"/>
        <v>3.9205317204771854E-3</v>
      </c>
      <c r="AL79" s="104">
        <f si="145" t="shared"/>
        <v>9.9838950679930556E-4</v>
      </c>
      <c r="AM79" s="104">
        <f si="145" t="shared"/>
        <v>8.9484474353955209E-4</v>
      </c>
      <c r="AN79" s="104">
        <f si="145" t="shared"/>
        <v>2.0567259818016258E-3</v>
      </c>
      <c r="AO79" s="104">
        <f si="145" t="shared"/>
        <v>1.7003140072127909E-4</v>
      </c>
      <c r="AP79" s="104">
        <f si="145" t="shared"/>
        <v>3.7439606504973953E-3</v>
      </c>
      <c r="AQ79" s="104">
        <f si="145" t="shared"/>
        <v>3.1063428977925989E-4</v>
      </c>
      <c r="AR79" s="104">
        <f si="145" t="shared"/>
        <v>1.5679946992155903E-2</v>
      </c>
      <c r="AS79" s="104">
        <f si="145" t="shared"/>
        <v>2.1253925090159885E-4</v>
      </c>
      <c r="AT79" s="104">
        <f si="145" t="shared"/>
        <v>0</v>
      </c>
      <c r="AU79" s="104">
        <f si="145" t="shared"/>
        <v>5.7732200214132764E-2</v>
      </c>
      <c r="AW79" s="95">
        <v>19</v>
      </c>
      <c r="AX79" s="104">
        <f ref="AX79:BS79" si="146" t="shared">IF($BS$55&gt;0,AX52/$BS$55,0)</f>
        <v>3.1343205108595902E-3</v>
      </c>
      <c r="AY79" s="104">
        <f si="146" t="shared"/>
        <v>1.3132360813704496E-3</v>
      </c>
      <c r="AZ79" s="104">
        <f si="146" t="shared"/>
        <v>1.1602841082899969E-3</v>
      </c>
      <c r="BA79" s="104">
        <f si="146" t="shared"/>
        <v>2.5213176812480882E-4</v>
      </c>
      <c r="BB79" s="104">
        <f si="146" t="shared"/>
        <v>9.0098271642704186E-4</v>
      </c>
      <c r="BC79" s="104">
        <f si="146" t="shared"/>
        <v>4.2671210614866929E-3</v>
      </c>
      <c r="BD79" s="104">
        <f si="146" t="shared"/>
        <v>2.6479810339553379E-3</v>
      </c>
      <c r="BE79" s="104">
        <f si="146" t="shared"/>
        <v>4.0627867849495259E-5</v>
      </c>
      <c r="BF79" s="104">
        <f si="146" t="shared"/>
        <v>2.1281833129397371E-3</v>
      </c>
      <c r="BG79" s="104">
        <f si="146" t="shared"/>
        <v>3.130735698990517E-4</v>
      </c>
      <c r="BH79" s="104">
        <f si="146" t="shared"/>
        <v>3.0853280819822574E-3</v>
      </c>
      <c r="BI79" s="104">
        <f si="146" t="shared"/>
        <v>1.6418438360354848E-3</v>
      </c>
      <c r="BJ79" s="104">
        <f si="146" t="shared"/>
        <v>1.4434842459467728E-3</v>
      </c>
      <c r="BK79" s="104">
        <f si="146" t="shared"/>
        <v>4.0388880391557049E-4</v>
      </c>
      <c r="BL79" s="104">
        <f si="146" t="shared"/>
        <v>4.0233538543897216E-3</v>
      </c>
      <c r="BM79" s="104">
        <f si="146" t="shared"/>
        <v>3.3458244111349038E-5</v>
      </c>
      <c r="BN79" s="104">
        <f si="146" t="shared"/>
        <v>5.1453999694096057E-3</v>
      </c>
      <c r="BO79" s="104">
        <f si="146" t="shared"/>
        <v>2.9156469868461306E-4</v>
      </c>
      <c r="BP79" s="104">
        <f si="146" t="shared"/>
        <v>2.550115669929642E-2</v>
      </c>
      <c r="BQ79" s="104">
        <f si="146" t="shared"/>
        <v>4.7797491587641482E-6</v>
      </c>
      <c r="BR79" s="104">
        <f si="146" t="shared"/>
        <v>0</v>
      </c>
      <c r="BS79" s="104">
        <f si="146" t="shared"/>
        <v>5.7732200214132764E-2</v>
      </c>
    </row>
    <row r="80" spans="1:71" x14ac:dyDescent="0.25">
      <c r="A80" s="95">
        <v>20</v>
      </c>
      <c r="B80" s="104">
        <f ref="B80:W80" si="147" t="shared">IF($W$55&gt;0,B53/$W$55,0)</f>
        <v>8.824524046096606E-4</v>
      </c>
      <c r="C80" s="104">
        <f si="147" t="shared"/>
        <v>4.6759024098526466E-4</v>
      </c>
      <c r="D80" s="104">
        <f si="147" t="shared"/>
        <v>4.6759024098526466E-4</v>
      </c>
      <c r="E80" s="104">
        <f si="147" t="shared"/>
        <v>6.2638167580396158E-4</v>
      </c>
      <c r="F80" s="104">
        <f si="147" t="shared"/>
        <v>8.893368942019816E-5</v>
      </c>
      <c r="G80" s="104">
        <f si="147" t="shared"/>
        <v>9.2438623093428875E-4</v>
      </c>
      <c r="H80" s="104">
        <f si="147" t="shared"/>
        <v>2.1442191074071025E-3</v>
      </c>
      <c r="I80" s="104">
        <f si="147" t="shared"/>
        <v>0</v>
      </c>
      <c r="J80" s="104">
        <f si="147" t="shared"/>
        <v>0</v>
      </c>
      <c r="K80" s="104">
        <f si="147" t="shared"/>
        <v>1.8519590419670932E-4</v>
      </c>
      <c r="L80" s="104">
        <f si="147" t="shared"/>
        <v>1.3568218779899869E-4</v>
      </c>
      <c r="M80" s="104">
        <f si="147" t="shared"/>
        <v>7.5796387129155396E-3</v>
      </c>
      <c r="N80" s="104">
        <f si="147" t="shared"/>
        <v>5.595026433334487E-5</v>
      </c>
      <c r="O80" s="104">
        <f si="147" t="shared"/>
        <v>0</v>
      </c>
      <c r="P80" s="104">
        <f si="147" t="shared"/>
        <v>0</v>
      </c>
      <c r="Q80" s="104">
        <f si="147" t="shared"/>
        <v>0</v>
      </c>
      <c r="R80" s="104">
        <f si="147" t="shared"/>
        <v>0</v>
      </c>
      <c r="S80" s="104">
        <f si="147" t="shared"/>
        <v>4.4151665692724563E-3</v>
      </c>
      <c r="T80" s="104">
        <f si="147" t="shared"/>
        <v>0</v>
      </c>
      <c r="U80" s="104">
        <f si="147" t="shared"/>
        <v>1.9225210599419191E-2</v>
      </c>
      <c r="V80" s="104">
        <f si="147" t="shared"/>
        <v>0</v>
      </c>
      <c r="W80" s="104">
        <f si="147" t="shared"/>
        <v>3.7198397828081979E-2</v>
      </c>
      <c r="Y80" s="95">
        <v>20</v>
      </c>
      <c r="Z80" s="104">
        <f ref="Z80:AU80" si="148" t="shared">IF($W$55&gt;0,Z53/$W$55,0)</f>
        <v>1.0387318679686405E-3</v>
      </c>
      <c r="AA80" s="104">
        <f si="148" t="shared"/>
        <v>1.10671431938526E-3</v>
      </c>
      <c r="AB80" s="104">
        <f si="148" t="shared"/>
        <v>3.0592103137478733E-4</v>
      </c>
      <c r="AC80" s="104">
        <f si="148" t="shared"/>
        <v>4.0189625690413236E-4</v>
      </c>
      <c r="AD80" s="104">
        <f si="148" t="shared"/>
        <v>4.7687690184893314E-4</v>
      </c>
      <c r="AE80" s="104">
        <f si="148" t="shared"/>
        <v>2.2214265742312991E-3</v>
      </c>
      <c r="AF80" s="104">
        <f si="148" t="shared"/>
        <v>1.6025863179535426E-3</v>
      </c>
      <c r="AG80" s="104">
        <f si="148" t="shared"/>
        <v>1.4196335442882288E-4</v>
      </c>
      <c r="AH80" s="104">
        <f si="148" t="shared"/>
        <v>1.0117388357885123E-3</v>
      </c>
      <c r="AI80" s="104">
        <f si="148" t="shared"/>
        <v>4.758771599163358E-4</v>
      </c>
      <c r="AJ80" s="104">
        <f si="148" t="shared"/>
        <v>3.94898063375951E-4</v>
      </c>
      <c r="AK80" s="104">
        <f si="148" t="shared"/>
        <v>7.1501543019362058E-3</v>
      </c>
      <c r="AL80" s="104">
        <f si="148" t="shared"/>
        <v>1.208687996510189E-3</v>
      </c>
      <c r="AM80" s="104">
        <f si="148" t="shared"/>
        <v>1.2996645123765474E-4</v>
      </c>
      <c r="AN80" s="104">
        <f si="148" t="shared"/>
        <v>2.9792309591400852E-4</v>
      </c>
      <c r="AO80" s="104">
        <f si="148" t="shared"/>
        <v>2.0494709618245558E-4</v>
      </c>
      <c r="AP80" s="104">
        <f si="148" t="shared"/>
        <v>5.5985548225451276E-5</v>
      </c>
      <c r="AQ80" s="104">
        <f si="148" t="shared"/>
        <v>5.3156278556200798E-3</v>
      </c>
      <c r="AR80" s="104">
        <f si="148" t="shared"/>
        <v>1.8895122526089804E-4</v>
      </c>
      <c r="AS80" s="104">
        <f si="148" t="shared"/>
        <v>1.3467523574018824E-2</v>
      </c>
      <c r="AT80" s="104">
        <f si="148" t="shared"/>
        <v>0</v>
      </c>
      <c r="AU80" s="104">
        <f si="148" t="shared"/>
        <v>3.7198397828081979E-2</v>
      </c>
      <c r="AW80" s="95">
        <v>20</v>
      </c>
      <c r="AX80" s="104">
        <f ref="AX80:BS80" si="149" t="shared">IF($BS$55&gt;0,AX53/$BS$55,0)</f>
        <v>7.6475986540226369E-4</v>
      </c>
      <c r="AY80" s="104">
        <f si="149" t="shared"/>
        <v>4.576609819516672E-4</v>
      </c>
      <c r="AZ80" s="104">
        <f si="149" t="shared"/>
        <v>1.9955452737840319E-4</v>
      </c>
      <c r="BA80" s="104">
        <f si="149" t="shared"/>
        <v>5.9746864484551849E-5</v>
      </c>
      <c r="BB80" s="104">
        <f si="149" t="shared"/>
        <v>2.2345327317222391E-4</v>
      </c>
      <c r="BC80" s="104">
        <f si="149" t="shared"/>
        <v>1.7458033802386051E-3</v>
      </c>
      <c r="BD80" s="104">
        <f si="149" t="shared"/>
        <v>1.0754435607219332E-3</v>
      </c>
      <c r="BE80" s="104">
        <f si="149" t="shared"/>
        <v>4.7797491587641482E-6</v>
      </c>
      <c r="BF80" s="104">
        <f si="149" t="shared"/>
        <v>3.130735698990517E-4</v>
      </c>
      <c r="BG80" s="104">
        <f si="149" t="shared"/>
        <v>3.2382800550627102E-4</v>
      </c>
      <c r="BH80" s="104">
        <f si="149" t="shared"/>
        <v>7.8865861119608438E-5</v>
      </c>
      <c r="BI80" s="104">
        <f si="149" t="shared"/>
        <v>5.1501797185683693E-3</v>
      </c>
      <c r="BJ80" s="104">
        <f si="149" t="shared"/>
        <v>1.7458033802386051E-3</v>
      </c>
      <c r="BK80" s="104">
        <f si="149" t="shared"/>
        <v>9.5594983175282964E-6</v>
      </c>
      <c r="BL80" s="104">
        <f si="149" t="shared"/>
        <v>9.5594983175282961E-5</v>
      </c>
      <c r="BM80" s="104">
        <f si="149" t="shared"/>
        <v>8.2450672988681559E-5</v>
      </c>
      <c r="BN80" s="104">
        <f si="149" t="shared"/>
        <v>1.2666335270724991E-4</v>
      </c>
      <c r="BO80" s="104">
        <f si="149" t="shared"/>
        <v>9.451953961456103E-3</v>
      </c>
      <c r="BP80" s="104">
        <f si="149" t="shared"/>
        <v>4.0627867849495259E-5</v>
      </c>
      <c r="BQ80" s="104">
        <f si="149" t="shared"/>
        <v>1.5248594753747324E-2</v>
      </c>
      <c r="BR80" s="104">
        <f si="149" t="shared"/>
        <v>0</v>
      </c>
      <c r="BS80" s="104">
        <f si="149" t="shared"/>
        <v>3.7198397828081979E-2</v>
      </c>
    </row>
    <row customFormat="1" r="81" s="95" spans="1:71" x14ac:dyDescent="0.25">
      <c r="A81" s="101" t="s">
        <v>15</v>
      </c>
      <c r="B81" s="105">
        <f ref="B81:W81" si="150" t="shared">IF($W$55&gt;0,B54/$W$55,0)</f>
        <v>0</v>
      </c>
      <c r="C81" s="105">
        <f si="150" t="shared"/>
        <v>0</v>
      </c>
      <c r="D81" s="105">
        <f si="150" t="shared"/>
        <v>0</v>
      </c>
      <c r="E81" s="105">
        <f si="150" t="shared"/>
        <v>0</v>
      </c>
      <c r="F81" s="105">
        <f si="150" t="shared"/>
        <v>0</v>
      </c>
      <c r="G81" s="105">
        <f si="150" t="shared"/>
        <v>0</v>
      </c>
      <c r="H81" s="105">
        <f si="150" t="shared"/>
        <v>0</v>
      </c>
      <c r="I81" s="105">
        <f si="150" t="shared"/>
        <v>0</v>
      </c>
      <c r="J81" s="105">
        <f si="150" t="shared"/>
        <v>0</v>
      </c>
      <c r="K81" s="105">
        <f si="150" t="shared"/>
        <v>0</v>
      </c>
      <c r="L81" s="105">
        <f si="150" t="shared"/>
        <v>0</v>
      </c>
      <c r="M81" s="105">
        <f si="150" t="shared"/>
        <v>0</v>
      </c>
      <c r="N81" s="105">
        <f si="150" t="shared"/>
        <v>0</v>
      </c>
      <c r="O81" s="105">
        <f si="150" t="shared"/>
        <v>0</v>
      </c>
      <c r="P81" s="105">
        <f si="150" t="shared"/>
        <v>0</v>
      </c>
      <c r="Q81" s="105">
        <f si="150" t="shared"/>
        <v>0</v>
      </c>
      <c r="R81" s="105">
        <f si="150" t="shared"/>
        <v>0</v>
      </c>
      <c r="S81" s="105">
        <f si="150" t="shared"/>
        <v>0</v>
      </c>
      <c r="T81" s="105">
        <f si="150" t="shared"/>
        <v>0</v>
      </c>
      <c r="U81" s="105">
        <f si="150" t="shared"/>
        <v>0</v>
      </c>
      <c r="V81" s="105">
        <f si="150" t="shared"/>
        <v>0</v>
      </c>
      <c r="W81" s="105">
        <f si="150" t="shared"/>
        <v>0</v>
      </c>
      <c r="Y81" s="101" t="s">
        <v>15</v>
      </c>
      <c r="Z81" s="105">
        <f ref="Z81:AU81" si="151" t="shared">IF($W$55&gt;0,Z54/$W$55,0)</f>
        <v>0</v>
      </c>
      <c r="AA81" s="105">
        <f si="151" t="shared"/>
        <v>0</v>
      </c>
      <c r="AB81" s="105">
        <f si="151" t="shared"/>
        <v>0</v>
      </c>
      <c r="AC81" s="105">
        <f si="151" t="shared"/>
        <v>0</v>
      </c>
      <c r="AD81" s="105">
        <f si="151" t="shared"/>
        <v>0</v>
      </c>
      <c r="AE81" s="105">
        <f si="151" t="shared"/>
        <v>0</v>
      </c>
      <c r="AF81" s="105">
        <f si="151" t="shared"/>
        <v>0</v>
      </c>
      <c r="AG81" s="105">
        <f si="151" t="shared"/>
        <v>0</v>
      </c>
      <c r="AH81" s="105">
        <f si="151" t="shared"/>
        <v>0</v>
      </c>
      <c r="AI81" s="105">
        <f si="151" t="shared"/>
        <v>0</v>
      </c>
      <c r="AJ81" s="105">
        <f si="151" t="shared"/>
        <v>0</v>
      </c>
      <c r="AK81" s="105">
        <f si="151" t="shared"/>
        <v>0</v>
      </c>
      <c r="AL81" s="105">
        <f si="151" t="shared"/>
        <v>0</v>
      </c>
      <c r="AM81" s="105">
        <f si="151" t="shared"/>
        <v>0</v>
      </c>
      <c r="AN81" s="105">
        <f si="151" t="shared"/>
        <v>0</v>
      </c>
      <c r="AO81" s="105">
        <f si="151" t="shared"/>
        <v>0</v>
      </c>
      <c r="AP81" s="105">
        <f si="151" t="shared"/>
        <v>0</v>
      </c>
      <c r="AQ81" s="105">
        <f si="151" t="shared"/>
        <v>0</v>
      </c>
      <c r="AR81" s="105">
        <f si="151" t="shared"/>
        <v>0</v>
      </c>
      <c r="AS81" s="105">
        <f si="151" t="shared"/>
        <v>0</v>
      </c>
      <c r="AT81" s="105">
        <f si="151" t="shared"/>
        <v>0</v>
      </c>
      <c r="AU81" s="105">
        <f si="151" t="shared"/>
        <v>0</v>
      </c>
      <c r="AW81" s="101" t="s">
        <v>15</v>
      </c>
      <c r="AX81" s="105">
        <f ref="AX81:BS81" si="152" t="shared">IF($BS$55&gt;0,AX54/$BS$55,0)</f>
        <v>0</v>
      </c>
      <c r="AY81" s="105">
        <f si="152" t="shared"/>
        <v>0</v>
      </c>
      <c r="AZ81" s="105">
        <f si="152" t="shared"/>
        <v>0</v>
      </c>
      <c r="BA81" s="105">
        <f si="152" t="shared"/>
        <v>0</v>
      </c>
      <c r="BB81" s="105">
        <f si="152" t="shared"/>
        <v>0</v>
      </c>
      <c r="BC81" s="105">
        <f si="152" t="shared"/>
        <v>0</v>
      </c>
      <c r="BD81" s="105">
        <f si="152" t="shared"/>
        <v>0</v>
      </c>
      <c r="BE81" s="105">
        <f si="152" t="shared"/>
        <v>0</v>
      </c>
      <c r="BF81" s="105">
        <f si="152" t="shared"/>
        <v>0</v>
      </c>
      <c r="BG81" s="105">
        <f si="152" t="shared"/>
        <v>0</v>
      </c>
      <c r="BH81" s="105">
        <f si="152" t="shared"/>
        <v>0</v>
      </c>
      <c r="BI81" s="105">
        <f si="152" t="shared"/>
        <v>0</v>
      </c>
      <c r="BJ81" s="105">
        <f si="152" t="shared"/>
        <v>0</v>
      </c>
      <c r="BK81" s="105">
        <f si="152" t="shared"/>
        <v>0</v>
      </c>
      <c r="BL81" s="105">
        <f si="152" t="shared"/>
        <v>0</v>
      </c>
      <c r="BM81" s="105">
        <f si="152" t="shared"/>
        <v>0</v>
      </c>
      <c r="BN81" s="105">
        <f si="152" t="shared"/>
        <v>0</v>
      </c>
      <c r="BO81" s="105">
        <f si="152" t="shared"/>
        <v>0</v>
      </c>
      <c r="BP81" s="105">
        <f si="152" t="shared"/>
        <v>0</v>
      </c>
      <c r="BQ81" s="105">
        <f si="152" t="shared"/>
        <v>0</v>
      </c>
      <c r="BR81" s="105">
        <f si="152" t="shared"/>
        <v>0</v>
      </c>
      <c r="BS81" s="105">
        <f si="152" t="shared"/>
        <v>0</v>
      </c>
    </row>
    <row ht="15.75" r="82" spans="1:71" thickBot="1" x14ac:dyDescent="0.3">
      <c r="A82" s="1" t="s">
        <v>3</v>
      </c>
      <c r="B82" s="106">
        <f ref="B82:W82" si="153" t="shared">IF($W$55&gt;0,B55/$W$55,0)</f>
        <v>0.10491431847131678</v>
      </c>
      <c r="C82" s="106">
        <f si="153" t="shared"/>
        <v>4.1846782230003751E-2</v>
      </c>
      <c r="D82" s="106">
        <f si="153" t="shared"/>
        <v>2.5297226140150356E-2</v>
      </c>
      <c r="E82" s="106">
        <f si="153" t="shared"/>
        <v>3.106151310530391E-2</v>
      </c>
      <c r="F82" s="106">
        <f si="153" t="shared"/>
        <v>2.8949667475930956E-2</v>
      </c>
      <c r="G82" s="106">
        <f si="153" t="shared"/>
        <v>0.14579277891941131</v>
      </c>
      <c r="H82" s="106">
        <f si="153" t="shared"/>
        <v>9.5008143755629562E-2</v>
      </c>
      <c r="I82" s="106">
        <f si="153" t="shared"/>
        <v>4.6427319759226159E-3</v>
      </c>
      <c r="J82" s="106">
        <f si="153" t="shared"/>
        <v>6.8780398132374548E-2</v>
      </c>
      <c r="K82" s="106">
        <f si="153" t="shared"/>
        <v>1.7466427727490914E-2</v>
      </c>
      <c r="L82" s="106">
        <f si="153" t="shared"/>
        <v>5.170910233049409E-2</v>
      </c>
      <c r="M82" s="106">
        <f si="153" t="shared"/>
        <v>0.19271641267257444</v>
      </c>
      <c r="N82" s="106">
        <f si="153" t="shared"/>
        <v>7.6922674943854394E-2</v>
      </c>
      <c r="O82" s="106">
        <f si="153" t="shared"/>
        <v>1.7452552090239371E-2</v>
      </c>
      <c r="P82" s="106">
        <f si="153" t="shared"/>
        <v>2.3034097794470767E-2</v>
      </c>
      <c r="Q82" s="106">
        <f si="153" t="shared"/>
        <v>2.5800642128210459E-3</v>
      </c>
      <c r="R82" s="106">
        <f si="153" t="shared"/>
        <v>1.1865289709327044E-2</v>
      </c>
      <c r="S82" s="106">
        <f si="153" t="shared"/>
        <v>1.67179686377961E-2</v>
      </c>
      <c r="T82" s="106">
        <f si="153" t="shared"/>
        <v>2.203522895097472E-2</v>
      </c>
      <c r="U82" s="106">
        <f si="153" t="shared"/>
        <v>2.1206620723913442E-2</v>
      </c>
      <c r="V82" s="106">
        <f si="153" t="shared"/>
        <v>0</v>
      </c>
      <c r="W82" s="106">
        <f si="153" t="shared"/>
        <v>1</v>
      </c>
      <c r="Y82" s="1" t="s">
        <v>3</v>
      </c>
      <c r="Z82" s="106">
        <f ref="Z82:AU82" si="154" t="shared">IF($W$55&gt;0,Z55/$W$55,0)</f>
        <v>7.3122396238167423E-2</v>
      </c>
      <c r="AA82" s="106">
        <f si="154" t="shared"/>
        <v>7.6922341720801465E-2</v>
      </c>
      <c r="AB82" s="106">
        <f si="154" t="shared"/>
        <v>2.4755552254074688E-2</v>
      </c>
      <c r="AC82" s="106">
        <f si="154" t="shared"/>
        <v>2.3696819507131595E-2</v>
      </c>
      <c r="AD82" s="106">
        <f si="154" t="shared"/>
        <v>2.801490213277396E-2</v>
      </c>
      <c r="AE82" s="106">
        <f si="154" t="shared"/>
        <v>0.15922344268037872</v>
      </c>
      <c r="AF82" s="106">
        <f si="154" t="shared"/>
        <v>8.9492449515398947E-2</v>
      </c>
      <c r="AG82" s="106">
        <f si="154" t="shared"/>
        <v>7.2284497680723779E-3</v>
      </c>
      <c r="AH82" s="106">
        <f si="154" t="shared"/>
        <v>5.8984374333509754E-2</v>
      </c>
      <c r="AI82" s="106">
        <f si="154" t="shared"/>
        <v>2.2157995218572889E-2</v>
      </c>
      <c r="AJ82" s="106">
        <f si="154" t="shared"/>
        <v>5.1934128301450472E-2</v>
      </c>
      <c r="AK82" s="106">
        <f si="154" t="shared"/>
        <v>0.17318038617889123</v>
      </c>
      <c r="AL82" s="106">
        <f si="154" t="shared"/>
        <v>7.2212831945391506E-2</v>
      </c>
      <c r="AM82" s="106">
        <f si="154" t="shared"/>
        <v>1.1827391605586251E-2</v>
      </c>
      <c r="AN82" s="106">
        <f si="154" t="shared"/>
        <v>3.2086263561869978E-2</v>
      </c>
      <c r="AO82" s="106">
        <f si="154" t="shared"/>
        <v>5.5764662830853256E-3</v>
      </c>
      <c r="AP82" s="106">
        <f si="154" t="shared"/>
        <v>1.206910147874758E-2</v>
      </c>
      <c r="AQ82" s="106">
        <f si="154" t="shared"/>
        <v>2.4567581668474316E-2</v>
      </c>
      <c r="AR82" s="106">
        <f si="154" t="shared"/>
        <v>3.0601152554519864E-2</v>
      </c>
      <c r="AS82" s="106">
        <f si="154" t="shared"/>
        <v>2.2345973053101671E-2</v>
      </c>
      <c r="AT82" s="106">
        <f si="154" t="shared"/>
        <v>0</v>
      </c>
      <c r="AU82" s="106">
        <f si="154" t="shared"/>
        <v>0.99999999999999989</v>
      </c>
      <c r="AW82" s="1" t="s">
        <v>3</v>
      </c>
      <c r="AX82" s="106">
        <f ref="AX82:BS82" si="155" t="shared">IF($BS$55&gt;0,AX55/$BS$55,0)</f>
        <v>7.3236511547873973E-2</v>
      </c>
      <c r="AY82" s="106">
        <f si="155" t="shared"/>
        <v>4.1656708855919239E-2</v>
      </c>
      <c r="AZ82" s="106">
        <f si="155" t="shared"/>
        <v>2.3117256806362802E-2</v>
      </c>
      <c r="BA82" s="106">
        <f si="155" t="shared"/>
        <v>6.5040436677883144E-3</v>
      </c>
      <c r="BB82" s="106">
        <f si="155" t="shared"/>
        <v>2.4570300550627103E-2</v>
      </c>
      <c r="BC82" s="106">
        <f si="155" t="shared"/>
        <v>0.14663194975527685</v>
      </c>
      <c r="BD82" s="106">
        <f si="155" t="shared"/>
        <v>0.14055210882532884</v>
      </c>
      <c r="BE82" s="106">
        <f si="155" t="shared"/>
        <v>5.3174709391251151E-4</v>
      </c>
      <c r="BF82" s="106">
        <f si="155" t="shared"/>
        <v>5.0661756271030894E-2</v>
      </c>
      <c r="BG82" s="106">
        <f si="155" t="shared"/>
        <v>1.7100747552768431E-2</v>
      </c>
      <c r="BH82" s="106">
        <f si="155" t="shared"/>
        <v>2.1764587794432549E-2</v>
      </c>
      <c r="BI82" s="106">
        <f si="155" t="shared"/>
        <v>0.12019754703273172</v>
      </c>
      <c r="BJ82" s="106">
        <f si="155" t="shared"/>
        <v>0.12439058198225757</v>
      </c>
      <c r="BK82" s="106">
        <f si="155" t="shared"/>
        <v>7.1708186754359127E-3</v>
      </c>
      <c r="BL82" s="106">
        <f si="155" t="shared"/>
        <v>4.1644759483022334E-2</v>
      </c>
      <c r="BM82" s="106">
        <f si="155" t="shared"/>
        <v>1.6717172682777608E-3</v>
      </c>
      <c r="BN82" s="106">
        <f si="155" t="shared"/>
        <v>3.5233920923829917E-2</v>
      </c>
      <c r="BO82" s="106">
        <f si="155" t="shared"/>
        <v>5.7671258412358518E-2</v>
      </c>
      <c r="BP82" s="106">
        <f si="155" t="shared"/>
        <v>4.7520266136433162E-2</v>
      </c>
      <c r="BQ82" s="106">
        <f si="155" t="shared"/>
        <v>1.8171411364331602E-2</v>
      </c>
      <c r="BR82" s="106">
        <f si="155" t="shared"/>
        <v>0</v>
      </c>
      <c r="BS82" s="106">
        <f si="155" t="shared"/>
        <v>1</v>
      </c>
    </row>
    <row ht="15.75" r="86" spans="1:71" thickBot="1" x14ac:dyDescent="0.3">
      <c r="AW86" s="23" t="s">
        <v>322</v>
      </c>
      <c r="AX86" s="24"/>
      <c r="AY86" s="24"/>
      <c r="AZ86" s="24"/>
      <c r="BA86" s="24"/>
      <c r="BB86" s="24"/>
      <c r="BC86" s="24"/>
      <c r="BD86" s="24"/>
      <c r="BE86" s="24"/>
      <c r="BF86" s="24"/>
    </row>
    <row r="87" spans="1:71" x14ac:dyDescent="0.2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25">
      <c r="AW88" s="31">
        <v>1</v>
      </c>
      <c r="AX88" s="103">
        <f>AX61-Z61</f>
        <v>-6.167790699614659E-5</v>
      </c>
      <c r="AY88" s="103">
        <f ref="AY88:BS88" si="156" t="shared">AY61-AA61</f>
        <v>-1.9751800386713322E-4</v>
      </c>
      <c r="AZ88" s="103">
        <f si="156" t="shared"/>
        <v>-5.7434815555027462E-5</v>
      </c>
      <c r="BA88" s="103">
        <f si="156" t="shared"/>
        <v>-3.0191263149191507E-4</v>
      </c>
      <c r="BB88" s="103">
        <f si="156" t="shared"/>
        <v>2.3755020221164077E-5</v>
      </c>
      <c r="BC88" s="103">
        <f si="156" t="shared"/>
        <v>6.7815143160572825E-4</v>
      </c>
      <c r="BD88" s="103">
        <f si="156" t="shared"/>
        <v>7.5735758717847951E-4</v>
      </c>
      <c r="BE88" s="103">
        <f si="156" t="shared"/>
        <v>-7.4372740642222478E-5</v>
      </c>
      <c r="BF88" s="103">
        <f si="156" t="shared"/>
        <v>-1.9709361247662786E-4</v>
      </c>
      <c r="BG88" s="103">
        <f si="156" t="shared"/>
        <v>-5.8543599747518072E-5</v>
      </c>
      <c r="BH88" s="103">
        <f si="156" t="shared"/>
        <v>-2.2995557023503815E-4</v>
      </c>
      <c r="BI88" s="103">
        <f si="156" t="shared"/>
        <v>-7.080722583322637E-4</v>
      </c>
      <c r="BJ88" s="103">
        <f si="156" t="shared"/>
        <v>1.1545316927199991E-4</v>
      </c>
      <c r="BK88" s="103">
        <f si="156" t="shared"/>
        <v>-1.7345250351047345E-5</v>
      </c>
      <c r="BL88" s="103">
        <f si="156" t="shared"/>
        <v>6.1864400693427903E-5</v>
      </c>
      <c r="BM88" s="103">
        <f si="156" t="shared"/>
        <v>-4.0232468312701678E-5</v>
      </c>
      <c r="BN88" s="103">
        <f si="156" t="shared"/>
        <v>2.1497120260966095E-4</v>
      </c>
      <c r="BO88" s="103">
        <f si="156" t="shared"/>
        <v>5.0622860820652679E-5</v>
      </c>
      <c r="BP88" s="103">
        <f si="156" t="shared"/>
        <v>6.2979147749447843E-5</v>
      </c>
      <c r="BQ88" s="103">
        <f si="156" t="shared"/>
        <v>-2.0995962142919388E-5</v>
      </c>
      <c r="BR88" s="103">
        <f si="156" t="shared"/>
        <v>0</v>
      </c>
      <c r="BS88" s="103">
        <f si="156" t="shared"/>
        <v>0</v>
      </c>
    </row>
    <row r="89" spans="1:71" x14ac:dyDescent="0.25">
      <c r="AW89" s="95">
        <v>2</v>
      </c>
      <c r="AX89" s="104">
        <f ref="AX89:AX109" si="157" t="shared">AX62-Z62</f>
        <v>3.5030747480993486E-4</v>
      </c>
      <c r="AY89" s="104">
        <f ref="AY89:AY109" si="158" t="shared">AY62-AA62</f>
        <v>-7.8151226971577797E-4</v>
      </c>
      <c r="AZ89" s="104">
        <f ref="AZ89:AZ109" si="159" t="shared">AZ62-AB62</f>
        <v>-1.8371472198838224E-4</v>
      </c>
      <c r="BA89" s="104">
        <f ref="BA89:BA109" si="160" t="shared">BA62-AC62</f>
        <v>-3.0303924468924213E-4</v>
      </c>
      <c r="BB89" s="104">
        <f ref="BB89:BB109" si="161" t="shared">BB62-AD62</f>
        <v>-8.7509153403273745E-5</v>
      </c>
      <c r="BC89" s="104">
        <f ref="BC89:BC109" si="162" t="shared">BC62-AE62</f>
        <v>4.4110598495110485E-4</v>
      </c>
      <c r="BD89" s="104">
        <f ref="BD89:BD109" si="163" t="shared">BD62-AF62</f>
        <v>1.8806902887501559E-3</v>
      </c>
      <c r="BE89" s="104">
        <f ref="BE89:BE109" si="164" t="shared">BE62-AG62</f>
        <v>-1.110881780507035E-4</v>
      </c>
      <c r="BF89" s="104">
        <f ref="BF89:BF109" si="165" t="shared">BF62-AH62</f>
        <v>-1.799075809528958E-4</v>
      </c>
      <c r="BG89" s="104">
        <f ref="BG89:BG109" si="166" t="shared">BG62-AI62</f>
        <v>-2.0042384097746218E-4</v>
      </c>
      <c r="BH89" s="104">
        <f ref="BH89:BH109" si="167" t="shared">BH62-AJ62</f>
        <v>-6.4458504841156603E-4</v>
      </c>
      <c r="BI89" s="104">
        <f ref="BI89:BI109" si="168" t="shared">BI62-AK62</f>
        <v>-8.0803469642475186E-4</v>
      </c>
      <c r="BJ89" s="104">
        <f ref="BJ89:BJ109" si="169" t="shared">BJ62-AL62</f>
        <v>3.1069976335677032E-4</v>
      </c>
      <c r="BK89" s="104">
        <f ref="BK89:BK109" si="170" t="shared">BK62-AM62</f>
        <v>-2.3020906297524664E-5</v>
      </c>
      <c r="BL89" s="104">
        <f ref="BL89:BL109" si="171" t="shared">BL62-AN62</f>
        <v>1.0250587872419586E-4</v>
      </c>
      <c r="BM89" s="104">
        <f ref="BM89:BM109" si="172" t="shared">BM62-AO62</f>
        <v>-4.5390237294660718E-5</v>
      </c>
      <c r="BN89" s="104">
        <f ref="BN89:BN109" si="173" t="shared">BN62-AP62</f>
        <v>2.6226446907196932E-4</v>
      </c>
      <c r="BO89" s="104">
        <f ref="BO89:BO109" si="174" t="shared">BO62-AQ62</f>
        <v>5.6256493323335766E-5</v>
      </c>
      <c r="BP89" s="104">
        <f ref="BP89:BP109" si="175" t="shared">BP62-AR62</f>
        <v>5.4001721423249129E-6</v>
      </c>
      <c r="BQ89" s="104">
        <f ref="BQ89:BQ109" si="176" t="shared">BQ62-AS62</f>
        <v>-4.1004646923549868E-5</v>
      </c>
      <c r="BR89" s="104">
        <f ref="BR89:BR109" si="177" t="shared">BR62-AT62</f>
        <v>0</v>
      </c>
      <c r="BS89" s="104">
        <f ref="BS89:BS109" si="178" t="shared">BS62-AU62</f>
        <v>0</v>
      </c>
    </row>
    <row r="90" spans="1:71" x14ac:dyDescent="0.25">
      <c r="AW90" s="95">
        <v>3</v>
      </c>
      <c r="AX90" s="104">
        <f si="157" t="shared"/>
        <v>3.6277015769546183E-4</v>
      </c>
      <c r="AY90" s="104">
        <f si="158" t="shared"/>
        <v>-1.3287760180527189E-3</v>
      </c>
      <c r="AZ90" s="104">
        <f si="159" t="shared"/>
        <v>-8.5614258037034364E-5</v>
      </c>
      <c r="BA90" s="104">
        <f si="160" t="shared"/>
        <v>-1.0661738035279869E-3</v>
      </c>
      <c r="BB90" s="104">
        <f si="161" t="shared"/>
        <v>4.3619455055198333E-5</v>
      </c>
      <c r="BC90" s="104">
        <f si="162" t="shared"/>
        <v>3.724025343468957E-4</v>
      </c>
      <c r="BD90" s="104">
        <f si="163" t="shared"/>
        <v>2.7232816397212431E-3</v>
      </c>
      <c r="BE90" s="104">
        <f si="164" t="shared"/>
        <v>-3.7081795913889608E-4</v>
      </c>
      <c r="BF90" s="104">
        <f si="165" t="shared"/>
        <v>-9.2881539986273531E-5</v>
      </c>
      <c r="BG90" s="104">
        <f si="166" t="shared"/>
        <v>-4.1172185678720681E-4</v>
      </c>
      <c r="BH90" s="104">
        <f si="167" t="shared"/>
        <v>-1.0833325470930143E-3</v>
      </c>
      <c r="BI90" s="104">
        <f si="168" t="shared"/>
        <v>-1.4080461611585843E-3</v>
      </c>
      <c r="BJ90" s="104">
        <f si="169" t="shared"/>
        <v>4.192968507119894E-4</v>
      </c>
      <c r="BK90" s="104">
        <f si="170" t="shared"/>
        <v>-3.048039932185204E-5</v>
      </c>
      <c r="BL90" s="104">
        <f si="171" t="shared"/>
        <v>3.5135067619990494E-5</v>
      </c>
      <c r="BM90" s="104">
        <f si="172" t="shared"/>
        <v>-1.429997898835552E-4</v>
      </c>
      <c r="BN90" s="104">
        <f si="173" t="shared"/>
        <v>1.5359303814159689E-3</v>
      </c>
      <c r="BO90" s="104">
        <f si="174" t="shared"/>
        <v>3.7377839272234028E-4</v>
      </c>
      <c r="BP90" s="104">
        <f si="175" t="shared"/>
        <v>2.2695522635534932E-4</v>
      </c>
      <c r="BQ90" s="104">
        <f si="176" t="shared"/>
        <v>-7.2325372657316257E-5</v>
      </c>
      <c r="BR90" s="104">
        <f si="177" t="shared"/>
        <v>0</v>
      </c>
      <c r="BS90" s="104">
        <f si="178" t="shared"/>
        <v>0</v>
      </c>
    </row>
    <row r="91" spans="1:71" x14ac:dyDescent="0.25">
      <c r="AW91" s="95">
        <v>4</v>
      </c>
      <c r="AX91" s="104">
        <f si="157" t="shared"/>
        <v>3.5944227341835845E-4</v>
      </c>
      <c r="AY91" s="104">
        <f si="158" t="shared"/>
        <v>-7.3015126887040625E-4</v>
      </c>
      <c r="AZ91" s="104">
        <f si="159" t="shared"/>
        <v>-1.3305500187595033E-4</v>
      </c>
      <c r="BA91" s="104">
        <f si="160" t="shared"/>
        <v>-6.3929151278029539E-4</v>
      </c>
      <c r="BB91" s="104">
        <f si="161" t="shared"/>
        <v>-6.5095353305554232E-5</v>
      </c>
      <c r="BC91" s="104">
        <f si="162" t="shared"/>
        <v>8.9729567333680016E-4</v>
      </c>
      <c r="BD91" s="104">
        <f si="163" t="shared"/>
        <v>5.8002076446214386E-4</v>
      </c>
      <c r="BE91" s="104">
        <f si="164" t="shared"/>
        <v>-2.9138504050048319E-4</v>
      </c>
      <c r="BF91" s="104">
        <f si="165" t="shared"/>
        <v>-1.4756869550236972E-4</v>
      </c>
      <c r="BG91" s="104">
        <f si="166" t="shared"/>
        <v>-6.3849802770002103E-5</v>
      </c>
      <c r="BH91" s="104">
        <f si="167" t="shared"/>
        <v>-3.521245148824625E-4</v>
      </c>
      <c r="BI91" s="104">
        <f si="168" t="shared"/>
        <v>-2.1762521442734886E-4</v>
      </c>
      <c r="BJ91" s="104">
        <f si="169" t="shared"/>
        <v>7.0460294571241016E-5</v>
      </c>
      <c r="BK91" s="104">
        <f si="170" t="shared"/>
        <v>-1.7085863804727796E-5</v>
      </c>
      <c r="BL91" s="104">
        <f si="171" t="shared"/>
        <v>5.9864606216548824E-5</v>
      </c>
      <c r="BM91" s="104">
        <f si="172" t="shared"/>
        <v>-1.6658477016476323E-5</v>
      </c>
      <c r="BN91" s="104">
        <f si="173" t="shared"/>
        <v>5.0507033399505615E-4</v>
      </c>
      <c r="BO91" s="104">
        <f si="174" t="shared"/>
        <v>1.1534633140565136E-4</v>
      </c>
      <c r="BP91" s="104">
        <f si="175" t="shared"/>
        <v>1.1784697740649623E-4</v>
      </c>
      <c r="BQ91" s="104">
        <f si="176" t="shared"/>
        <v>-3.145650907621943E-5</v>
      </c>
      <c r="BR91" s="104">
        <f si="177" t="shared"/>
        <v>0</v>
      </c>
      <c r="BS91" s="104">
        <f si="178" t="shared"/>
        <v>0</v>
      </c>
    </row>
    <row r="92" spans="1:71" x14ac:dyDescent="0.25">
      <c r="AW92" s="95">
        <v>5</v>
      </c>
      <c r="AX92" s="104">
        <f si="157" t="shared"/>
        <v>1.2748177956370052E-4</v>
      </c>
      <c r="AY92" s="104">
        <f si="158" t="shared"/>
        <v>-5.0519979874731548E-4</v>
      </c>
      <c r="AZ92" s="104">
        <f si="159" t="shared"/>
        <v>-5.1234451840110457E-5</v>
      </c>
      <c r="BA92" s="104">
        <f si="160" t="shared"/>
        <v>-3.3101047450898041E-4</v>
      </c>
      <c r="BB92" s="104">
        <f si="161" t="shared"/>
        <v>1.3610278712335167E-4</v>
      </c>
      <c r="BC92" s="104">
        <f si="162" t="shared"/>
        <v>9.6878094031010911E-4</v>
      </c>
      <c r="BD92" s="104">
        <f si="163" t="shared"/>
        <v>6.9488588608803445E-4</v>
      </c>
      <c r="BE92" s="104">
        <f si="164" t="shared"/>
        <v>-1.1748645976992327E-4</v>
      </c>
      <c r="BF92" s="104">
        <f si="165" t="shared"/>
        <v>-1.893460155151166E-4</v>
      </c>
      <c r="BG92" s="104">
        <f si="166" t="shared"/>
        <v>-6.3210629396236694E-5</v>
      </c>
      <c r="BH92" s="104">
        <f si="167" t="shared"/>
        <v>-2.5488517679874009E-4</v>
      </c>
      <c r="BI92" s="104">
        <f si="168" t="shared"/>
        <v>-7.5735850260546839E-4</v>
      </c>
      <c r="BJ92" s="104">
        <f si="169" t="shared"/>
        <v>3.4916837009904599E-6</v>
      </c>
      <c r="BK92" s="104">
        <f si="170" t="shared"/>
        <v>-5.9707345634901013E-5</v>
      </c>
      <c r="BL92" s="104">
        <f si="171" t="shared"/>
        <v>5.3078402675559749E-5</v>
      </c>
      <c r="BM92" s="104">
        <f si="172" t="shared"/>
        <v>-4.594069548762906E-5</v>
      </c>
      <c r="BN92" s="104">
        <f si="173" t="shared"/>
        <v>3.3572763577153136E-4</v>
      </c>
      <c r="BO92" s="104">
        <f si="174" t="shared"/>
        <v>4.0695436562579885E-5</v>
      </c>
      <c r="BP92" s="104">
        <f si="175" t="shared"/>
        <v>5.1949788894735467E-5</v>
      </c>
      <c r="BQ92" s="104">
        <f si="176" t="shared"/>
        <v>-3.6814790386170294E-5</v>
      </c>
      <c r="BR92" s="104">
        <f si="177" t="shared"/>
        <v>0</v>
      </c>
      <c r="BS92" s="104">
        <f si="178" t="shared"/>
        <v>0</v>
      </c>
    </row>
    <row r="93" spans="1:71" x14ac:dyDescent="0.25">
      <c r="AW93" s="95">
        <v>6</v>
      </c>
      <c r="AX93" s="104">
        <f si="157" t="shared"/>
        <v>-3.0006844297179869E-4</v>
      </c>
      <c r="AY93" s="104">
        <f si="158" t="shared"/>
        <v>-7.6504199574994468E-4</v>
      </c>
      <c r="AZ93" s="104">
        <f si="159" t="shared"/>
        <v>-9.6705940030742256E-5</v>
      </c>
      <c r="BA93" s="104">
        <f si="160" t="shared"/>
        <v>-5.0977260568736433E-4</v>
      </c>
      <c r="BB93" s="104">
        <f si="161" t="shared"/>
        <v>1.3097160387251614E-4</v>
      </c>
      <c r="BC93" s="104">
        <f si="162" t="shared"/>
        <v>9.6455002415776064E-4</v>
      </c>
      <c r="BD93" s="104">
        <f si="163" t="shared"/>
        <v>2.6702675279207358E-3</v>
      </c>
      <c r="BE93" s="104">
        <f si="164" t="shared"/>
        <v>-1.5121284884998766E-4</v>
      </c>
      <c r="BF93" s="104">
        <f si="165" t="shared"/>
        <v>-9.5213895490533313E-5</v>
      </c>
      <c r="BG93" s="104">
        <f si="166" t="shared"/>
        <v>-1.7328135438666038E-4</v>
      </c>
      <c r="BH93" s="104">
        <f si="167" t="shared"/>
        <v>-5.0847526088403506E-4</v>
      </c>
      <c r="BI93" s="104">
        <f si="168" t="shared"/>
        <v>-1.9174097523137557E-3</v>
      </c>
      <c r="BJ93" s="104">
        <f si="169" t="shared"/>
        <v>1.1318445380648675E-4</v>
      </c>
      <c r="BK93" s="104">
        <f si="170" t="shared"/>
        <v>-4.7086598388065474E-5</v>
      </c>
      <c r="BL93" s="104">
        <f si="171" t="shared"/>
        <v>1.7580531537363933E-5</v>
      </c>
      <c r="BM93" s="104">
        <f si="172" t="shared"/>
        <v>-1.451869586447132E-4</v>
      </c>
      <c r="BN93" s="104">
        <f si="173" t="shared"/>
        <v>5.7769591816359835E-4</v>
      </c>
      <c r="BO93" s="104">
        <f si="174" t="shared"/>
        <v>2.5759622050646039E-4</v>
      </c>
      <c r="BP93" s="104">
        <f si="175" t="shared"/>
        <v>3.2253191531260325E-5</v>
      </c>
      <c r="BQ93" s="104">
        <f si="176" t="shared"/>
        <v>-5.4643818098581431E-5</v>
      </c>
      <c r="BR93" s="104">
        <f si="177" t="shared"/>
        <v>0</v>
      </c>
      <c r="BS93" s="104">
        <f si="178" t="shared"/>
        <v>0</v>
      </c>
    </row>
    <row r="94" spans="1:71" x14ac:dyDescent="0.25">
      <c r="AW94" s="95">
        <v>7</v>
      </c>
      <c r="AX94" s="104">
        <f si="157" t="shared"/>
        <v>-2.7651757361887245E-4</v>
      </c>
      <c r="AY94" s="104">
        <f si="158" t="shared"/>
        <v>-5.6748193743025588E-3</v>
      </c>
      <c r="AZ94" s="104">
        <f si="159" t="shared"/>
        <v>-8.8975730338999577E-4</v>
      </c>
      <c r="BA94" s="104">
        <f si="160" t="shared"/>
        <v>-1.9228757603549399E-3</v>
      </c>
      <c r="BB94" s="104">
        <f si="161" t="shared"/>
        <v>-9.4819750975803506E-4</v>
      </c>
      <c r="BC94" s="104">
        <f si="162" t="shared"/>
        <v>-2.4591356822476016E-3</v>
      </c>
      <c r="BD94" s="104">
        <f si="163" t="shared"/>
        <v>1.2404162309243627E-2</v>
      </c>
      <c r="BE94" s="104">
        <f si="164" t="shared"/>
        <v>-6.2209076483749895E-4</v>
      </c>
      <c r="BF94" s="104">
        <f si="165" t="shared"/>
        <v>-9.4022691164583321E-4</v>
      </c>
      <c r="BG94" s="104">
        <f si="166" t="shared"/>
        <v>-8.6918919228533243E-4</v>
      </c>
      <c r="BH94" s="104">
        <f si="167" t="shared"/>
        <v>-3.3278437417291452E-3</v>
      </c>
      <c r="BI94" s="104">
        <f si="168" t="shared"/>
        <v>-4.0293970632576479E-3</v>
      </c>
      <c r="BJ94" s="104">
        <f si="169" t="shared"/>
        <v>9.2733519383857398E-3</v>
      </c>
      <c r="BK94" s="104">
        <f si="170" t="shared"/>
        <v>-2.3487256366005172E-4</v>
      </c>
      <c r="BL94" s="104">
        <f si="171" t="shared"/>
        <v>-6.162329647521024E-4</v>
      </c>
      <c r="BM94" s="104">
        <f si="172" t="shared"/>
        <v>-2.869120381158068E-4</v>
      </c>
      <c r="BN94" s="104">
        <f si="173" t="shared"/>
        <v>8.8975834586783062E-4</v>
      </c>
      <c r="BO94" s="104">
        <f si="174" t="shared"/>
        <v>1.1314909407755976E-3</v>
      </c>
      <c r="BP94" s="104">
        <f si="175" t="shared"/>
        <v>-1.3470811901775722E-4</v>
      </c>
      <c r="BQ94" s="104">
        <f si="176" t="shared"/>
        <v>-4.659869712996214E-4</v>
      </c>
      <c r="BR94" s="104">
        <f si="177" t="shared"/>
        <v>0</v>
      </c>
      <c r="BS94" s="104">
        <f si="178" t="shared"/>
        <v>0</v>
      </c>
    </row>
    <row r="95" spans="1:71" x14ac:dyDescent="0.25">
      <c r="AW95" s="95">
        <v>8</v>
      </c>
      <c r="AX95" s="104">
        <f si="157" t="shared"/>
        <v>1.8399559215987675E-4</v>
      </c>
      <c r="AY95" s="104">
        <f si="158" t="shared"/>
        <v>-3.0900940000057781E-4</v>
      </c>
      <c r="AZ95" s="104">
        <f si="159" t="shared"/>
        <v>1.4354170543266959E-5</v>
      </c>
      <c r="BA95" s="104">
        <f si="160" t="shared"/>
        <v>-2.6385292729018205E-4</v>
      </c>
      <c r="BB95" s="104">
        <f si="161" t="shared"/>
        <v>3.2859865523395025E-6</v>
      </c>
      <c r="BC95" s="104">
        <f si="162" t="shared"/>
        <v>2.1648747669031506E-4</v>
      </c>
      <c r="BD95" s="104">
        <f si="163" t="shared"/>
        <v>2.5031552168083734E-4</v>
      </c>
      <c r="BE95" s="104">
        <f si="164" t="shared"/>
        <v>-1.8114346648152784E-4</v>
      </c>
      <c r="BF95" s="104">
        <f si="165" t="shared"/>
        <v>-4.0929604984175048E-5</v>
      </c>
      <c r="BG95" s="104">
        <f si="166" t="shared"/>
        <v>-7.8897163162530606E-5</v>
      </c>
      <c r="BH95" s="104">
        <f si="167" t="shared"/>
        <v>-2.1268063870284054E-4</v>
      </c>
      <c r="BI95" s="104">
        <f si="168" t="shared"/>
        <v>-1.1936597295671213E-4</v>
      </c>
      <c r="BJ95" s="104">
        <f si="169" t="shared"/>
        <v>7.3971095151967564E-5</v>
      </c>
      <c r="BK95" s="104">
        <f si="170" t="shared"/>
        <v>-5.9568151658100964E-5</v>
      </c>
      <c r="BL95" s="104">
        <f si="171" t="shared"/>
        <v>5.5976060244162246E-6</v>
      </c>
      <c r="BM95" s="104">
        <f si="172" t="shared"/>
        <v>-2.2053017193143536E-5</v>
      </c>
      <c r="BN95" s="104">
        <f si="173" t="shared"/>
        <v>4.4213553263952241E-4</v>
      </c>
      <c r="BO95" s="104">
        <f si="174" t="shared"/>
        <v>2.0060605763424157E-5</v>
      </c>
      <c r="BP95" s="104">
        <f si="175" t="shared"/>
        <v>9.583120440617223E-5</v>
      </c>
      <c r="BQ95" s="104">
        <f si="176" t="shared"/>
        <v>-1.8534449182347546E-5</v>
      </c>
      <c r="BR95" s="104">
        <f si="177" t="shared"/>
        <v>0</v>
      </c>
      <c r="BS95" s="104">
        <f si="178" t="shared"/>
        <v>0</v>
      </c>
    </row>
    <row r="96" spans="1:71" x14ac:dyDescent="0.25">
      <c r="AW96" s="95">
        <v>9</v>
      </c>
      <c r="AX96" s="104">
        <f si="157" t="shared"/>
        <v>-2.6914553126982602E-4</v>
      </c>
      <c r="AY96" s="104">
        <f si="158" t="shared"/>
        <v>-4.1597996353882893E-3</v>
      </c>
      <c r="AZ96" s="104">
        <f si="159" t="shared"/>
        <v>-6.0265828919458175E-4</v>
      </c>
      <c r="BA96" s="104">
        <f si="160" t="shared"/>
        <v>-1.8001184071439191E-3</v>
      </c>
      <c r="BB96" s="104">
        <f si="161" t="shared"/>
        <v>-3.9840408540591215E-4</v>
      </c>
      <c r="BC96" s="104">
        <f si="162" t="shared"/>
        <v>-1.6748689287963345E-3</v>
      </c>
      <c r="BD96" s="104">
        <f si="163" t="shared"/>
        <v>6.4923359729081838E-3</v>
      </c>
      <c r="BE96" s="104">
        <f si="164" t="shared"/>
        <v>-6.1119332861028438E-4</v>
      </c>
      <c r="BF96" s="104">
        <f si="165" t="shared"/>
        <v>1.5440799475814095E-3</v>
      </c>
      <c r="BG96" s="104">
        <f si="166" t="shared"/>
        <v>-5.3254467287118545E-4</v>
      </c>
      <c r="BH96" s="104">
        <f si="167" t="shared"/>
        <v>-2.9177436191347673E-3</v>
      </c>
      <c r="BI96" s="104">
        <f si="168" t="shared"/>
        <v>-2.128377548389712E-3</v>
      </c>
      <c r="BJ96" s="104">
        <f si="169" t="shared"/>
        <v>2.7538628393357998E-3</v>
      </c>
      <c r="BK96" s="104">
        <f si="170" t="shared"/>
        <v>-1.4109685561189024E-4</v>
      </c>
      <c r="BL96" s="104">
        <f si="171" t="shared"/>
        <v>1.8374508556261056E-3</v>
      </c>
      <c r="BM96" s="104">
        <f si="172" t="shared"/>
        <v>-1.7282750334036886E-4</v>
      </c>
      <c r="BN96" s="104">
        <f si="173" t="shared"/>
        <v>1.6792485575078263E-3</v>
      </c>
      <c r="BO96" s="104">
        <f si="174" t="shared"/>
        <v>3.864224973603212E-4</v>
      </c>
      <c r="BP96" s="104">
        <f si="175" t="shared"/>
        <v>9.7436066757623893E-4</v>
      </c>
      <c r="BQ96" s="104">
        <f si="176" t="shared"/>
        <v>-2.5898293273881343E-4</v>
      </c>
      <c r="BR96" s="104">
        <f si="177" t="shared"/>
        <v>0</v>
      </c>
      <c r="BS96" s="104">
        <f si="178" t="shared"/>
        <v>0</v>
      </c>
    </row>
    <row r="97" spans="49:71" x14ac:dyDescent="0.25">
      <c r="AW97" s="95">
        <v>10</v>
      </c>
      <c r="AX97" s="104">
        <f si="157" t="shared"/>
        <v>6.593644563506456E-4</v>
      </c>
      <c r="AY97" s="104">
        <f si="158" t="shared"/>
        <v>-9.195254523826264E-4</v>
      </c>
      <c r="AZ97" s="104">
        <f si="159" t="shared"/>
        <v>2.0191472982685854E-4</v>
      </c>
      <c r="BA97" s="104">
        <f si="160" t="shared"/>
        <v>-6.0204798031654916E-4</v>
      </c>
      <c r="BB97" s="104">
        <f si="161" t="shared"/>
        <v>1.3516809553311936E-4</v>
      </c>
      <c r="BC97" s="104">
        <f si="162" t="shared"/>
        <v>5.2821129178106004E-4</v>
      </c>
      <c r="BD97" s="104">
        <f si="163" t="shared"/>
        <v>2.4161524848191089E-3</v>
      </c>
      <c r="BE97" s="104">
        <f si="164" t="shared"/>
        <v>-2.3613462203398187E-4</v>
      </c>
      <c r="BF97" s="104">
        <f si="165" t="shared"/>
        <v>-6.005804144734706E-5</v>
      </c>
      <c r="BG97" s="104">
        <f si="166" t="shared"/>
        <v>-2.412422862806793E-4</v>
      </c>
      <c r="BH97" s="104">
        <f si="167" t="shared"/>
        <v>-5.4544794675995582E-4</v>
      </c>
      <c r="BI97" s="104">
        <f si="168" t="shared"/>
        <v>-1.9119926108217677E-3</v>
      </c>
      <c r="BJ97" s="104">
        <f si="169" t="shared"/>
        <v>1.4804719519906584E-4</v>
      </c>
      <c r="BK97" s="104">
        <f si="170" t="shared"/>
        <v>-8.531834495837038E-5</v>
      </c>
      <c r="BL97" s="104">
        <f si="171" t="shared"/>
        <v>9.4838470640630528E-5</v>
      </c>
      <c r="BM97" s="104">
        <f si="172" t="shared"/>
        <v>-4.3899156882174135E-4</v>
      </c>
      <c r="BN97" s="104">
        <f si="173" t="shared"/>
        <v>5.5536712456198656E-4</v>
      </c>
      <c r="BO97" s="104">
        <f si="174" t="shared"/>
        <v>3.7970253010091102E-4</v>
      </c>
      <c r="BP97" s="104">
        <f si="175" t="shared"/>
        <v>2.6702508558436712E-5</v>
      </c>
      <c r="BQ97" s="104">
        <f si="176" t="shared"/>
        <v>-1.0471003354880245E-4</v>
      </c>
      <c r="BR97" s="104">
        <f si="177" t="shared"/>
        <v>0</v>
      </c>
      <c r="BS97" s="104">
        <f si="178" t="shared"/>
        <v>0</v>
      </c>
    </row>
    <row r="98" spans="49:71" x14ac:dyDescent="0.25">
      <c r="AW98" s="95">
        <v>11</v>
      </c>
      <c r="AX98" s="104">
        <f si="157" t="shared"/>
        <v>1.6096875885450246E-3</v>
      </c>
      <c r="AY98" s="104">
        <f si="158" t="shared"/>
        <v>-3.5222048038896316E-3</v>
      </c>
      <c r="AZ98" s="104">
        <f si="159" t="shared"/>
        <v>4.6157120791372576E-4</v>
      </c>
      <c r="BA98" s="104">
        <f si="160" t="shared"/>
        <v>-1.6634225093214168E-3</v>
      </c>
      <c r="BB98" s="104">
        <f si="161" t="shared"/>
        <v>2.0367121640154891E-4</v>
      </c>
      <c r="BC98" s="104">
        <f si="162" t="shared"/>
        <v>2.2698704769923486E-4</v>
      </c>
      <c r="BD98" s="104">
        <f si="163" t="shared"/>
        <v>2.6102102365144573E-3</v>
      </c>
      <c r="BE98" s="104">
        <f si="164" t="shared"/>
        <v>-9.6708697937572248E-4</v>
      </c>
      <c r="BF98" s="104">
        <f si="165" t="shared"/>
        <v>4.2470509839823145E-4</v>
      </c>
      <c r="BG98" s="104">
        <f si="166" t="shared"/>
        <v>-5.5735945249094933E-4</v>
      </c>
      <c r="BH98" s="104">
        <f si="167" t="shared"/>
        <v>-4.7912989603100566E-3</v>
      </c>
      <c r="BI98" s="104">
        <f si="168" t="shared"/>
        <v>-1.896113252195207E-3</v>
      </c>
      <c r="BJ98" s="104">
        <f si="169" t="shared"/>
        <v>2.2321069268540442E-4</v>
      </c>
      <c r="BK98" s="104">
        <f si="170" t="shared"/>
        <v>-3.2186781430970657E-4</v>
      </c>
      <c r="BL98" s="104">
        <f si="171" t="shared"/>
        <v>3.5353856057758091E-4</v>
      </c>
      <c r="BM98" s="104">
        <f si="172" t="shared"/>
        <v>-2.1979379367171453E-4</v>
      </c>
      <c r="BN98" s="104">
        <f si="173" t="shared"/>
        <v>6.0135965354704609E-3</v>
      </c>
      <c r="BO98" s="104">
        <f si="174" t="shared"/>
        <v>1.9514985164645056E-4</v>
      </c>
      <c r="BP98" s="104">
        <f si="175" t="shared"/>
        <v>1.8406965829480927E-3</v>
      </c>
      <c r="BQ98" s="104">
        <f si="176" t="shared"/>
        <v>-2.2387705323580976E-4</v>
      </c>
      <c r="BR98" s="104">
        <f si="177" t="shared"/>
        <v>0</v>
      </c>
      <c r="BS98" s="104">
        <f si="178" t="shared"/>
        <v>0</v>
      </c>
    </row>
    <row r="99" spans="49:71" x14ac:dyDescent="0.25">
      <c r="AW99" s="95">
        <v>12</v>
      </c>
      <c r="AX99" s="104">
        <f si="157" t="shared"/>
        <v>-1.0130867069226522E-4</v>
      </c>
      <c r="AY99" s="104">
        <f si="158" t="shared"/>
        <v>-3.5908138390729752E-3</v>
      </c>
      <c r="AZ99" s="104">
        <f si="159" t="shared"/>
        <v>3.1777731814325782E-4</v>
      </c>
      <c r="BA99" s="104">
        <f si="160" t="shared"/>
        <v>-2.1959105933604811E-3</v>
      </c>
      <c r="BB99" s="104">
        <f si="161" t="shared"/>
        <v>-2.5510424021398057E-4</v>
      </c>
      <c r="BC99" s="104">
        <f si="162" t="shared"/>
        <v>-3.8297635570501247E-3</v>
      </c>
      <c r="BD99" s="104">
        <f si="163" t="shared"/>
        <v>1.3954671761545981E-2</v>
      </c>
      <c r="BE99" s="104">
        <f si="164" t="shared"/>
        <v>-5.1068996884372502E-4</v>
      </c>
      <c r="BF99" s="104">
        <f si="165" t="shared"/>
        <v>-8.9374796863402745E-4</v>
      </c>
      <c r="BG99" s="104">
        <f si="166" t="shared"/>
        <v>7.646337578113855E-4</v>
      </c>
      <c r="BH99" s="104">
        <f si="167" t="shared"/>
        <v>-2.3935665237489862E-3</v>
      </c>
      <c r="BI99" s="104">
        <f si="168" t="shared"/>
        <v>-1.4241635731386031E-2</v>
      </c>
      <c r="BJ99" s="104">
        <f si="169" t="shared"/>
        <v>5.5675326397660874E-3</v>
      </c>
      <c r="BK99" s="104">
        <f si="170" t="shared"/>
        <v>-2.2299470842377441E-4</v>
      </c>
      <c r="BL99" s="104">
        <f si="171" t="shared"/>
        <v>-2.143624212638496E-4</v>
      </c>
      <c r="BM99" s="104">
        <f si="172" t="shared"/>
        <v>-5.7713998602920724E-4</v>
      </c>
      <c r="BN99" s="104">
        <f si="173" t="shared"/>
        <v>1.308880109289563E-3</v>
      </c>
      <c r="BO99" s="104">
        <f si="174" t="shared"/>
        <v>7.9292568642851703E-3</v>
      </c>
      <c r="BP99" s="104">
        <f si="175" t="shared"/>
        <v>1.0008585573698223E-4</v>
      </c>
      <c r="BQ99" s="104">
        <f si="176" t="shared"/>
        <v>-9.1580009785900793E-4</v>
      </c>
      <c r="BR99" s="104">
        <f si="177" t="shared"/>
        <v>0</v>
      </c>
      <c r="BS99" s="104">
        <f si="178" t="shared"/>
        <v>0</v>
      </c>
    </row>
    <row r="100" spans="49:71" x14ac:dyDescent="0.25">
      <c r="AW100" s="95">
        <v>13</v>
      </c>
      <c r="AX100" s="104">
        <f si="157" t="shared"/>
        <v>-2.0991016796908135E-3</v>
      </c>
      <c r="AY100" s="104">
        <f si="158" t="shared"/>
        <v>-3.3759275297922074E-3</v>
      </c>
      <c r="AZ100" s="104">
        <f si="159" t="shared"/>
        <v>-7.433486132417998E-4</v>
      </c>
      <c r="BA100" s="104">
        <f si="160" t="shared"/>
        <v>-1.4620616360565689E-3</v>
      </c>
      <c r="BB100" s="104">
        <f si="161" t="shared"/>
        <v>-1.0809403001855718E-3</v>
      </c>
      <c r="BC100" s="104">
        <f si="162" t="shared"/>
        <v>-4.3082982169028909E-3</v>
      </c>
      <c r="BD100" s="104">
        <f si="163" t="shared"/>
        <v>1.4984738923274586E-3</v>
      </c>
      <c r="BE100" s="104">
        <f si="164" t="shared"/>
        <v>-4.5579679319346383E-4</v>
      </c>
      <c r="BF100" s="104">
        <f si="165" t="shared"/>
        <v>-2.7992617520731047E-3</v>
      </c>
      <c r="BG100" s="104">
        <f si="166" t="shared"/>
        <v>-1.0334573356070775E-3</v>
      </c>
      <c r="BH100" s="104">
        <f si="167" t="shared"/>
        <v>-2.281752190027474E-3</v>
      </c>
      <c r="BI100" s="104">
        <f si="168" t="shared"/>
        <v>-7.6659102102708569E-3</v>
      </c>
      <c r="BJ100" s="104">
        <f si="169" t="shared"/>
        <v>2.2890256404976342E-2</v>
      </c>
      <c r="BK100" s="104">
        <f si="170" t="shared"/>
        <v>-2.3889049060896097E-4</v>
      </c>
      <c r="BL100" s="104">
        <f si="171" t="shared"/>
        <v>2.0441304212578254E-4</v>
      </c>
      <c r="BM100" s="104">
        <f si="172" t="shared"/>
        <v>-2.9429945202478342E-4</v>
      </c>
      <c r="BN100" s="104">
        <f si="173" t="shared"/>
        <v>2.6913521973941242E-4</v>
      </c>
      <c r="BO100" s="104">
        <f si="174" t="shared"/>
        <v>3.9933386720189985E-3</v>
      </c>
      <c r="BP100" s="104">
        <f si="175" t="shared"/>
        <v>-1.4025984347600942E-4</v>
      </c>
      <c r="BQ100" s="104">
        <f si="176" t="shared"/>
        <v>-8.7631118803641126E-4</v>
      </c>
      <c r="BR100" s="104">
        <f si="177" t="shared"/>
        <v>0</v>
      </c>
      <c r="BS100" s="104">
        <f si="178" t="shared"/>
        <v>0</v>
      </c>
    </row>
    <row r="101" spans="49:71" x14ac:dyDescent="0.25">
      <c r="AW101" s="95">
        <v>14</v>
      </c>
      <c r="AX101" s="104">
        <f si="157" t="shared"/>
        <v>7.2179650491299078E-4</v>
      </c>
      <c r="AY101" s="104">
        <f si="158" t="shared"/>
        <v>-1.3200888570413199E-3</v>
      </c>
      <c r="AZ101" s="104">
        <f si="159" t="shared"/>
        <v>2.4803993422002266E-4</v>
      </c>
      <c r="BA101" s="104">
        <f si="160" t="shared"/>
        <v>-5.6498601924347982E-4</v>
      </c>
      <c r="BB101" s="104">
        <f si="161" t="shared"/>
        <v>1.1342118759339616E-4</v>
      </c>
      <c r="BC101" s="104">
        <f si="162" t="shared"/>
        <v>6.6304121531523793E-4</v>
      </c>
      <c r="BD101" s="104">
        <f si="163" t="shared"/>
        <v>8.3976574855120769E-4</v>
      </c>
      <c r="BE101" s="104">
        <f si="164" t="shared"/>
        <v>-5.7173589256156565E-4</v>
      </c>
      <c r="BF101" s="104">
        <f si="165" t="shared"/>
        <v>-1.8411249883342612E-4</v>
      </c>
      <c r="BG101" s="104">
        <f si="166" t="shared"/>
        <v>-3.0084447193555333E-4</v>
      </c>
      <c r="BH101" s="104">
        <f si="167" t="shared"/>
        <v>-1.1071083405675859E-3</v>
      </c>
      <c r="BI101" s="104">
        <f si="168" t="shared"/>
        <v>-6.7241363324772028E-4</v>
      </c>
      <c r="BJ101" s="104">
        <f si="169" t="shared"/>
        <v>-1.2503726758500655E-4</v>
      </c>
      <c r="BK101" s="104">
        <f si="170" t="shared"/>
        <v>-1.6917062131263094E-3</v>
      </c>
      <c r="BL101" s="104">
        <f si="171" t="shared"/>
        <v>-1.037947701825224E-4</v>
      </c>
      <c r="BM101" s="104">
        <f si="172" t="shared"/>
        <v>-1.1456451088651663E-4</v>
      </c>
      <c r="BN101" s="104">
        <f si="173" t="shared"/>
        <v>3.9598025336153586E-3</v>
      </c>
      <c r="BO101" s="104">
        <f si="174" t="shared"/>
        <v>4.1036058036885266E-5</v>
      </c>
      <c r="BP101" s="104">
        <f si="175" t="shared"/>
        <v>3.6269448466522548E-4</v>
      </c>
      <c r="BQ101" s="104">
        <f si="176" t="shared"/>
        <v>-1.9320519169931997E-4</v>
      </c>
      <c r="BR101" s="104">
        <f si="177" t="shared"/>
        <v>0</v>
      </c>
      <c r="BS101" s="104">
        <f si="178" t="shared"/>
        <v>0</v>
      </c>
    </row>
    <row r="102" spans="49:71" x14ac:dyDescent="0.25">
      <c r="AW102" s="95">
        <v>15</v>
      </c>
      <c r="AX102" s="104">
        <f si="157" t="shared"/>
        <v>-1.0651991631734569E-3</v>
      </c>
      <c r="AY102" s="104">
        <f si="158" t="shared"/>
        <v>-2.2063663145921058E-3</v>
      </c>
      <c r="AZ102" s="104">
        <f si="159" t="shared"/>
        <v>-3.1807298218290562E-4</v>
      </c>
      <c r="BA102" s="104">
        <f si="160" t="shared"/>
        <v>-6.6802550421544635E-4</v>
      </c>
      <c r="BB102" s="104">
        <f si="161" t="shared"/>
        <v>-5.6591580714986946E-4</v>
      </c>
      <c r="BC102" s="104">
        <f si="162" t="shared"/>
        <v>-2.0232877114576024E-3</v>
      </c>
      <c r="BD102" s="104">
        <f si="163" t="shared"/>
        <v>-1.1822516592269443E-4</v>
      </c>
      <c r="BE102" s="104">
        <f si="164" t="shared"/>
        <v>-2.5218378209937681E-4</v>
      </c>
      <c r="BF102" s="104">
        <f si="165" t="shared"/>
        <v>-1.9440921371042487E-3</v>
      </c>
      <c r="BG102" s="104">
        <f si="166" t="shared"/>
        <v>-4.3111637123304132E-4</v>
      </c>
      <c r="BH102" s="104">
        <f si="167" t="shared"/>
        <v>-1.4630201071483134E-3</v>
      </c>
      <c r="BI102" s="104">
        <f si="168" t="shared"/>
        <v>-2.2613362224515421E-3</v>
      </c>
      <c r="BJ102" s="104">
        <f si="169" t="shared"/>
        <v>5.1739142633836516E-3</v>
      </c>
      <c r="BK102" s="104">
        <f si="170" t="shared"/>
        <v>-1.2499200917710595E-4</v>
      </c>
      <c r="BL102" s="104">
        <f si="171" t="shared"/>
        <v>6.0297621326326489E-3</v>
      </c>
      <c r="BM102" s="104">
        <f si="172" t="shared"/>
        <v>-1.1548022676061694E-4</v>
      </c>
      <c r="BN102" s="104">
        <f si="173" t="shared"/>
        <v>2.9112665942820183E-4</v>
      </c>
      <c r="BO102" s="104">
        <f si="174" t="shared"/>
        <v>9.7161545986350817E-5</v>
      </c>
      <c r="BP102" s="104">
        <f si="175" t="shared"/>
        <v>2.1695132723142953E-3</v>
      </c>
      <c r="BQ102" s="104">
        <f si="176" t="shared"/>
        <v>-2.0416436907682537E-4</v>
      </c>
      <c r="BR102" s="104">
        <f si="177" t="shared"/>
        <v>0</v>
      </c>
      <c r="BS102" s="104">
        <f si="178" t="shared"/>
        <v>0</v>
      </c>
    </row>
    <row r="103" spans="49:71" x14ac:dyDescent="0.25">
      <c r="AW103" s="95">
        <v>16</v>
      </c>
      <c r="AX103" s="104">
        <f si="157" t="shared"/>
        <v>3.0750464441880467E-4</v>
      </c>
      <c r="AY103" s="104">
        <f si="158" t="shared"/>
        <v>-6.6727767336175836E-4</v>
      </c>
      <c r="AZ103" s="104">
        <f si="159" t="shared"/>
        <v>1.7530378283844308E-4</v>
      </c>
      <c r="BA103" s="104">
        <f si="160" t="shared"/>
        <v>-4.1347684267197503E-4</v>
      </c>
      <c r="BB103" s="104">
        <f si="161" t="shared"/>
        <v>1.1411971919932117E-4</v>
      </c>
      <c r="BC103" s="104">
        <f si="162" t="shared"/>
        <v>-4.3347417684453868E-4</v>
      </c>
      <c r="BD103" s="104">
        <f si="163" t="shared"/>
        <v>8.6818908842719667E-4</v>
      </c>
      <c r="BE103" s="104">
        <f si="164" t="shared"/>
        <v>-1.060956522445879E-4</v>
      </c>
      <c r="BF103" s="104">
        <f si="165" t="shared"/>
        <v>-9.5878838858059004E-5</v>
      </c>
      <c r="BG103" s="104">
        <f si="166" t="shared"/>
        <v>1.0456287580633966E-4</v>
      </c>
      <c r="BH103" s="104">
        <f si="167" t="shared"/>
        <v>-2.2710512188609916E-4</v>
      </c>
      <c r="BI103" s="104">
        <f si="168" t="shared"/>
        <v>-7.625598179279644E-4</v>
      </c>
      <c r="BJ103" s="104">
        <f si="169" t="shared"/>
        <v>1.591461332914285E-4</v>
      </c>
      <c r="BK103" s="104">
        <f si="170" t="shared"/>
        <v>-2.8383134596773454E-5</v>
      </c>
      <c r="BL103" s="104">
        <f si="171" t="shared"/>
        <v>-1.1450689569570316E-5</v>
      </c>
      <c r="BM103" s="104">
        <f si="172" t="shared"/>
        <v>-5.6226832774416253E-4</v>
      </c>
      <c r="BN103" s="104">
        <f si="173" t="shared"/>
        <v>3.1287909667601177E-4</v>
      </c>
      <c r="BO103" s="104">
        <f si="174" t="shared"/>
        <v>1.221341399282018E-3</v>
      </c>
      <c r="BP103" s="104">
        <f si="175" t="shared"/>
        <v>3.6030644753311212E-5</v>
      </c>
      <c r="BQ103" s="104">
        <f si="176" t="shared"/>
        <v>8.8928910126145563E-6</v>
      </c>
      <c r="BR103" s="104">
        <f si="177" t="shared"/>
        <v>0</v>
      </c>
      <c r="BS103" s="104">
        <f si="178" t="shared"/>
        <v>0</v>
      </c>
    </row>
    <row r="104" spans="49:71" x14ac:dyDescent="0.25">
      <c r="AW104" s="95">
        <v>17</v>
      </c>
      <c r="AX104" s="104">
        <f si="157" t="shared"/>
        <v>5.5532400427424182E-4</v>
      </c>
      <c r="AY104" s="104">
        <f si="158" t="shared"/>
        <v>-1.1186626293742366E-3</v>
      </c>
      <c r="AZ104" s="104">
        <f si="159" t="shared"/>
        <v>2.676745486525292E-4</v>
      </c>
      <c r="BA104" s="104">
        <f si="160" t="shared"/>
        <v>-4.6613037756382513E-4</v>
      </c>
      <c r="BB104" s="104">
        <f si="161" t="shared"/>
        <v>1.5144636642171086E-5</v>
      </c>
      <c r="BC104" s="104">
        <f si="162" t="shared"/>
        <v>2.1768930929458395E-4</v>
      </c>
      <c r="BD104" s="104">
        <f si="163" t="shared"/>
        <v>6.6274785113777028E-4</v>
      </c>
      <c r="BE104" s="104">
        <f si="164" t="shared"/>
        <v>-3.518188395199033E-4</v>
      </c>
      <c r="BF104" s="104">
        <f si="165" t="shared"/>
        <v>1.6572755037019306E-5</v>
      </c>
      <c r="BG104" s="104">
        <f si="166" t="shared"/>
        <v>-2.0785643204495236E-4</v>
      </c>
      <c r="BH104" s="104">
        <f si="167" t="shared"/>
        <v>-2.0677598693070991E-3</v>
      </c>
      <c r="BI104" s="104">
        <f si="168" t="shared"/>
        <v>-5.6512574295562007E-4</v>
      </c>
      <c r="BJ104" s="104">
        <f si="169" t="shared"/>
        <v>-4.619884844892446E-5</v>
      </c>
      <c r="BK104" s="104">
        <f si="170" t="shared"/>
        <v>-5.9744867234030625E-4</v>
      </c>
      <c r="BL104" s="104">
        <f si="171" t="shared"/>
        <v>7.1359991407636113E-5</v>
      </c>
      <c r="BM104" s="104">
        <f si="172" t="shared"/>
        <v>-8.8025698652457486E-5</v>
      </c>
      <c r="BN104" s="104">
        <f si="173" t="shared"/>
        <v>2.2394130597205423E-3</v>
      </c>
      <c r="BO104" s="104">
        <f si="174" t="shared"/>
        <v>2.8623675903468665E-5</v>
      </c>
      <c r="BP104" s="104">
        <f si="175" t="shared"/>
        <v>1.5336558090991107E-3</v>
      </c>
      <c r="BQ104" s="104">
        <f si="176" t="shared"/>
        <v>-9.9178530961747705E-5</v>
      </c>
      <c r="BR104" s="104">
        <f si="177" t="shared"/>
        <v>0</v>
      </c>
      <c r="BS104" s="104">
        <f si="178" t="shared"/>
        <v>0</v>
      </c>
    </row>
    <row r="105" spans="49:71" x14ac:dyDescent="0.25">
      <c r="AW105" s="95">
        <v>18</v>
      </c>
      <c r="AX105" s="104">
        <f si="157" t="shared"/>
        <v>-7.8520172938490286E-4</v>
      </c>
      <c r="AY105" s="104">
        <f si="158" t="shared"/>
        <v>-1.3782916277202779E-3</v>
      </c>
      <c r="AZ105" s="104">
        <f si="159" t="shared"/>
        <v>-8.1529805579040864E-5</v>
      </c>
      <c r="BA105" s="104">
        <f si="160" t="shared"/>
        <v>-6.577736589200218E-4</v>
      </c>
      <c r="BB105" s="104">
        <f si="161" t="shared"/>
        <v>-3.9060561195686813E-4</v>
      </c>
      <c r="BC105" s="104">
        <f si="162" t="shared"/>
        <v>-2.1905806030729259E-3</v>
      </c>
      <c r="BD105" s="104">
        <f si="163" t="shared"/>
        <v>-6.9862443940106426E-5</v>
      </c>
      <c r="BE105" s="104">
        <f si="164" t="shared"/>
        <v>-1.6766638602462537E-4</v>
      </c>
      <c r="BF105" s="104">
        <f si="165" t="shared"/>
        <v>-1.0400483037245119E-3</v>
      </c>
      <c r="BG105" s="104">
        <f si="166" t="shared"/>
        <v>-6.7180548272897478E-5</v>
      </c>
      <c r="BH105" s="104">
        <f si="167" t="shared"/>
        <v>-7.1524644519634496E-4</v>
      </c>
      <c r="BI105" s="104">
        <f si="168" t="shared"/>
        <v>-6.6334022872270009E-3</v>
      </c>
      <c r="BJ105" s="104">
        <f si="169" t="shared"/>
        <v>4.0708966124291465E-3</v>
      </c>
      <c r="BK105" s="104">
        <f si="170" t="shared"/>
        <v>-1.0334471533676208E-4</v>
      </c>
      <c r="BL105" s="104">
        <f si="171" t="shared"/>
        <v>-1.8695253943086347E-4</v>
      </c>
      <c r="BM105" s="104">
        <f si="172" t="shared"/>
        <v>-3.1691468512360581E-4</v>
      </c>
      <c r="BN105" s="104">
        <f si="173" t="shared"/>
        <v>2.9969960614382324E-4</v>
      </c>
      <c r="BO105" s="104">
        <f si="174" t="shared"/>
        <v>1.2668539852642206E-2</v>
      </c>
      <c r="BP105" s="104">
        <f si="175" t="shared"/>
        <v>-1.157603394595316E-4</v>
      </c>
      <c r="BQ105" s="104">
        <f si="176" t="shared"/>
        <v>-2.1387743408448883E-3</v>
      </c>
      <c r="BR105" s="104">
        <f si="177" t="shared"/>
        <v>0</v>
      </c>
      <c r="BS105" s="104">
        <f si="178" t="shared"/>
        <v>0</v>
      </c>
    </row>
    <row r="106" spans="49:71" x14ac:dyDescent="0.25">
      <c r="AW106" s="95">
        <v>19</v>
      </c>
      <c r="AX106" s="104">
        <f si="157" t="shared"/>
        <v>1.0863353392195733E-4</v>
      </c>
      <c r="AY106" s="104">
        <f si="158" t="shared"/>
        <v>-2.0655930355267631E-3</v>
      </c>
      <c r="AZ106" s="104">
        <f si="159" t="shared"/>
        <v>2.4561547061966024E-5</v>
      </c>
      <c r="BA106" s="104">
        <f si="160" t="shared"/>
        <v>-1.0187439577791105E-3</v>
      </c>
      <c r="BB106" s="104">
        <f si="161" t="shared"/>
        <v>-3.1866560028521031E-4</v>
      </c>
      <c r="BC106" s="104">
        <f si="162" t="shared"/>
        <v>-1.3711637842259775E-3</v>
      </c>
      <c r="BD106" s="104">
        <f si="163" t="shared"/>
        <v>4.7136111574768184E-4</v>
      </c>
      <c r="BE106" s="104">
        <f si="164" t="shared"/>
        <v>-4.0951936611132692E-4</v>
      </c>
      <c r="BF106" s="104">
        <f si="165" t="shared"/>
        <v>-7.0894320037750286E-4</v>
      </c>
      <c r="BG106" s="104">
        <f si="166" t="shared"/>
        <v>-4.8367613476283945E-4</v>
      </c>
      <c r="BH106" s="104">
        <f si="167" t="shared"/>
        <v>-4.7295766819380695E-3</v>
      </c>
      <c r="BI106" s="104">
        <f si="168" t="shared"/>
        <v>-2.2786878844417006E-3</v>
      </c>
      <c r="BJ106" s="104">
        <f si="169" t="shared"/>
        <v>4.4509473914746724E-4</v>
      </c>
      <c r="BK106" s="104">
        <f si="170" t="shared"/>
        <v>-4.9095593962398165E-4</v>
      </c>
      <c r="BL106" s="104">
        <f si="171" t="shared"/>
        <v>1.9666278725880958E-3</v>
      </c>
      <c r="BM106" s="104">
        <f si="172" t="shared"/>
        <v>-1.3657315660993004E-4</v>
      </c>
      <c r="BN106" s="104">
        <f si="173" t="shared"/>
        <v>1.4014393189122104E-3</v>
      </c>
      <c r="BO106" s="104">
        <f si="174" t="shared"/>
        <v>-1.9069591094646838E-5</v>
      </c>
      <c r="BP106" s="104">
        <f si="175" t="shared"/>
        <v>9.8212097071405172E-3</v>
      </c>
      <c r="BQ106" s="104">
        <f si="176" t="shared"/>
        <v>-2.0775950174283469E-4</v>
      </c>
      <c r="BR106" s="104">
        <f si="177" t="shared"/>
        <v>0</v>
      </c>
      <c r="BS106" s="104">
        <f si="178" t="shared"/>
        <v>0</v>
      </c>
    </row>
    <row r="107" spans="49:71" x14ac:dyDescent="0.25">
      <c r="AW107" s="95">
        <v>20</v>
      </c>
      <c r="AX107" s="104">
        <f si="157" t="shared"/>
        <v>-2.7397200256637684E-4</v>
      </c>
      <c r="AY107" s="104">
        <f si="158" t="shared"/>
        <v>-6.490533374335927E-4</v>
      </c>
      <c r="AZ107" s="104">
        <f si="159" t="shared"/>
        <v>-1.0636650399638414E-4</v>
      </c>
      <c r="BA107" s="104">
        <f si="160" t="shared"/>
        <v>-3.4214939241958048E-4</v>
      </c>
      <c r="BB107" s="104">
        <f si="161" t="shared"/>
        <v>-2.5342362867670923E-4</v>
      </c>
      <c r="BC107" s="104">
        <f si="162" t="shared"/>
        <v>-4.7562319399269398E-4</v>
      </c>
      <c r="BD107" s="104">
        <f si="163" t="shared"/>
        <v>-5.2714275723160942E-4</v>
      </c>
      <c r="BE107" s="104">
        <f si="164" t="shared"/>
        <v>-1.3718360527005871E-4</v>
      </c>
      <c r="BF107" s="104">
        <f si="165" t="shared"/>
        <v>-6.9866526588946063E-4</v>
      </c>
      <c r="BG107" s="104">
        <f si="166" t="shared"/>
        <v>-1.5204915441006478E-4</v>
      </c>
      <c r="BH107" s="104">
        <f si="167" t="shared"/>
        <v>-3.1603220225634259E-4</v>
      </c>
      <c r="BI107" s="104">
        <f si="168" t="shared"/>
        <v>-1.9999745833678365E-3</v>
      </c>
      <c r="BJ107" s="104">
        <f si="169" t="shared"/>
        <v>5.3711538372841613E-4</v>
      </c>
      <c r="BK107" s="104">
        <f si="170" t="shared"/>
        <v>-1.2040695292012645E-4</v>
      </c>
      <c r="BL107" s="104">
        <f si="171" t="shared"/>
        <v>-2.0232811273872557E-4</v>
      </c>
      <c r="BM107" s="104">
        <f si="172" t="shared"/>
        <v>-1.2249642319377401E-4</v>
      </c>
      <c r="BN107" s="104">
        <f si="173" t="shared"/>
        <v>7.0677804481798643E-5</v>
      </c>
      <c r="BO107" s="104">
        <f si="174" t="shared"/>
        <v>4.1363261058360232E-3</v>
      </c>
      <c r="BP107" s="104">
        <f si="175" t="shared"/>
        <v>-1.4832335741140278E-4</v>
      </c>
      <c r="BQ107" s="104">
        <f si="176" t="shared"/>
        <v>1.7810711797284998E-3</v>
      </c>
      <c r="BR107" s="104">
        <f si="177" t="shared"/>
        <v>0</v>
      </c>
      <c r="BS107" s="104">
        <f si="178" t="shared"/>
        <v>0</v>
      </c>
    </row>
    <row r="108" spans="49:71" x14ac:dyDescent="0.25">
      <c r="AW108" s="101" t="s">
        <v>15</v>
      </c>
      <c r="AX108" s="105">
        <f si="157" t="shared"/>
        <v>0</v>
      </c>
      <c r="AY108" s="105">
        <f si="158" t="shared"/>
        <v>0</v>
      </c>
      <c r="AZ108" s="105">
        <f si="159" t="shared"/>
        <v>0</v>
      </c>
      <c r="BA108" s="105">
        <f si="160" t="shared"/>
        <v>0</v>
      </c>
      <c r="BB108" s="105">
        <f si="161" t="shared"/>
        <v>0</v>
      </c>
      <c r="BC108" s="105">
        <f si="162" t="shared"/>
        <v>0</v>
      </c>
      <c r="BD108" s="105">
        <f si="163" t="shared"/>
        <v>0</v>
      </c>
      <c r="BE108" s="105">
        <f si="164" t="shared"/>
        <v>0</v>
      </c>
      <c r="BF108" s="105">
        <f si="165" t="shared"/>
        <v>0</v>
      </c>
      <c r="BG108" s="105">
        <f si="166" t="shared"/>
        <v>0</v>
      </c>
      <c r="BH108" s="105">
        <f si="167" t="shared"/>
        <v>0</v>
      </c>
      <c r="BI108" s="105">
        <f si="168" t="shared"/>
        <v>0</v>
      </c>
      <c r="BJ108" s="105">
        <f si="169" t="shared"/>
        <v>0</v>
      </c>
      <c r="BK108" s="105">
        <f si="170" t="shared"/>
        <v>0</v>
      </c>
      <c r="BL108" s="105">
        <f si="171" t="shared"/>
        <v>0</v>
      </c>
      <c r="BM108" s="105">
        <f si="172" t="shared"/>
        <v>0</v>
      </c>
      <c r="BN108" s="105">
        <f si="173" t="shared"/>
        <v>0</v>
      </c>
      <c r="BO108" s="105">
        <f si="174" t="shared"/>
        <v>0</v>
      </c>
      <c r="BP108" s="105">
        <f si="175" t="shared"/>
        <v>0</v>
      </c>
      <c r="BQ108" s="105">
        <f si="176" t="shared"/>
        <v>0</v>
      </c>
      <c r="BR108" s="105">
        <f si="177" t="shared"/>
        <v>0</v>
      </c>
      <c r="BS108" s="105">
        <f si="178" t="shared"/>
        <v>0</v>
      </c>
    </row>
    <row ht="15.75" r="109" spans="49:71" thickBot="1" x14ac:dyDescent="0.3">
      <c r="AW109" s="1" t="s">
        <v>3</v>
      </c>
      <c r="AX109" s="106">
        <f si="157" t="shared"/>
        <v>1.1411530970655004E-4</v>
      </c>
      <c r="AY109" s="106">
        <f si="158" t="shared"/>
        <v>-3.5265632864882226E-2</v>
      </c>
      <c r="AZ109" s="106">
        <f si="159" t="shared"/>
        <v>-1.6382954477118863E-3</v>
      </c>
      <c r="BA109" s="106">
        <f si="160" t="shared"/>
        <v>-1.7192775839343279E-2</v>
      </c>
      <c r="BB109" s="106">
        <f si="161" t="shared"/>
        <v>-3.444601582146857E-3</v>
      </c>
      <c r="BC109" s="106">
        <f si="162" t="shared"/>
        <v>-1.2591492925101866E-2</v>
      </c>
      <c r="BD109" s="106">
        <f si="163" t="shared"/>
        <v>5.1059659309929895E-2</v>
      </c>
      <c r="BE109" s="106">
        <f si="164" t="shared"/>
        <v>-6.6967026741598665E-3</v>
      </c>
      <c r="BF109" s="106">
        <f si="165" t="shared"/>
        <v>-8.3226180624788593E-3</v>
      </c>
      <c r="BG109" s="106">
        <f si="166" t="shared"/>
        <v>-5.0572476658044575E-3</v>
      </c>
      <c r="BH109" s="106">
        <f si="167" t="shared"/>
        <v>-3.0169540507017922E-2</v>
      </c>
      <c r="BI109" s="106">
        <f si="168" t="shared"/>
        <v>-5.2982839146159505E-2</v>
      </c>
      <c r="BJ109" s="106">
        <f si="169" t="shared"/>
        <v>5.2177750036866061E-2</v>
      </c>
      <c r="BK109" s="106">
        <f si="170" t="shared"/>
        <v>-4.6565729301503381E-3</v>
      </c>
      <c r="BL109" s="106">
        <f si="171" t="shared"/>
        <v>9.558495921152356E-3</v>
      </c>
      <c r="BM109" s="106">
        <f si="172" t="shared"/>
        <v>-3.9047490148075648E-3</v>
      </c>
      <c r="BN109" s="106">
        <f si="173" t="shared"/>
        <v>2.3164819445082335E-2</v>
      </c>
      <c r="BO109" s="106">
        <f si="174" t="shared"/>
        <v>3.3103676743884203E-2</v>
      </c>
      <c r="BP109" s="106">
        <f si="175" t="shared"/>
        <v>1.6919113581913298E-2</v>
      </c>
      <c r="BQ109" s="106">
        <f si="176" t="shared"/>
        <v>-4.174561688770069E-3</v>
      </c>
      <c r="BR109" s="106">
        <f si="177" t="shared"/>
        <v>0</v>
      </c>
      <c r="BS109" s="106">
        <f si="178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B2:Y79"/>
  <sheetViews>
    <sheetView topLeftCell="B22" workbookViewId="0">
      <selection activeCell="C31" sqref="C31"/>
    </sheetView>
  </sheetViews>
  <sheetFormatPr defaultRowHeight="15" x14ac:dyDescent="0.25"/>
  <cols>
    <col min="24" max="24" bestFit="true" customWidth="true" width="10.5703125" collapsed="true"/>
  </cols>
  <sheetData>
    <row ht="15.75" r="2" spans="2:24" thickBot="1" x14ac:dyDescent="0.3">
      <c r="B2" s="4" t="s">
        <v>354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7"/>
      <c r="Q2" s="7"/>
      <c r="R2" s="7"/>
      <c r="S2" s="7"/>
      <c r="T2" s="7"/>
      <c r="U2" s="7"/>
      <c r="V2" s="7"/>
      <c r="W2" s="7"/>
    </row>
    <row r="3" spans="2:24" x14ac:dyDescent="0.2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25">
      <c r="B4" s="31">
        <v>1</v>
      </c>
      <c r="C4" s="95">
        <v>1606</v>
      </c>
      <c r="D4" s="95">
        <v>229</v>
      </c>
      <c r="E4" s="95">
        <v>145</v>
      </c>
      <c r="F4" s="95">
        <v>107</v>
      </c>
      <c r="G4" s="95">
        <v>243</v>
      </c>
      <c r="H4" s="95">
        <v>1347</v>
      </c>
      <c r="I4" s="95">
        <v>181</v>
      </c>
      <c r="J4" s="95">
        <v>3</v>
      </c>
      <c r="K4" s="95">
        <v>144</v>
      </c>
      <c r="L4" s="95">
        <v>78</v>
      </c>
      <c r="M4" s="95">
        <v>170</v>
      </c>
      <c r="N4" s="95">
        <v>601</v>
      </c>
      <c r="O4" s="95">
        <v>119</v>
      </c>
      <c r="P4" s="95">
        <v>10</v>
      </c>
      <c r="Q4" s="95">
        <v>17</v>
      </c>
      <c r="R4" s="95">
        <v>5</v>
      </c>
      <c r="S4" s="95">
        <v>2</v>
      </c>
      <c r="T4" s="95">
        <v>13</v>
      </c>
      <c r="U4" s="95">
        <v>75</v>
      </c>
      <c r="V4" s="95">
        <v>7</v>
      </c>
      <c r="W4" s="77"/>
      <c r="X4" s="77">
        <f>SUM(C4:W4)</f>
        <v>5102</v>
      </c>
    </row>
    <row r="5" spans="2:24" x14ac:dyDescent="0.25">
      <c r="B5" s="95">
        <v>2</v>
      </c>
      <c r="C5" s="95">
        <v>168</v>
      </c>
      <c r="D5" s="95">
        <v>841</v>
      </c>
      <c r="E5" s="95">
        <v>74</v>
      </c>
      <c r="F5" s="95">
        <v>37</v>
      </c>
      <c r="G5" s="95">
        <v>69</v>
      </c>
      <c r="H5" s="95">
        <v>363</v>
      </c>
      <c r="I5" s="95">
        <v>183</v>
      </c>
      <c r="J5" s="95">
        <v>6</v>
      </c>
      <c r="K5" s="95">
        <v>121</v>
      </c>
      <c r="L5" s="95">
        <v>32</v>
      </c>
      <c r="M5" s="95">
        <v>48</v>
      </c>
      <c r="N5" s="95">
        <v>216</v>
      </c>
      <c r="O5" s="95">
        <v>47</v>
      </c>
      <c r="P5" s="95">
        <v>1</v>
      </c>
      <c r="Q5" s="95">
        <v>15</v>
      </c>
      <c r="R5" s="95">
        <v>0</v>
      </c>
      <c r="S5" s="95">
        <v>4</v>
      </c>
      <c r="T5" s="95">
        <v>7</v>
      </c>
      <c r="U5" s="95">
        <v>17</v>
      </c>
      <c r="V5" s="95">
        <v>6</v>
      </c>
      <c r="W5" s="77"/>
      <c r="X5" s="77">
        <f ref="X5:X24" si="0" t="shared">SUM(C5:W5)</f>
        <v>2255</v>
      </c>
    </row>
    <row r="6" spans="2:24" x14ac:dyDescent="0.25">
      <c r="B6" s="95">
        <v>3</v>
      </c>
      <c r="C6" s="95">
        <v>1009</v>
      </c>
      <c r="D6" s="95">
        <v>696</v>
      </c>
      <c r="E6" s="95">
        <v>1971</v>
      </c>
      <c r="F6" s="95">
        <v>370</v>
      </c>
      <c r="G6" s="95">
        <v>446</v>
      </c>
      <c r="H6" s="95">
        <v>1550</v>
      </c>
      <c r="I6" s="95">
        <v>225</v>
      </c>
      <c r="J6" s="95">
        <v>91</v>
      </c>
      <c r="K6" s="95">
        <v>417</v>
      </c>
      <c r="L6" s="95">
        <v>293</v>
      </c>
      <c r="M6" s="95">
        <v>629</v>
      </c>
      <c r="N6" s="95">
        <v>797</v>
      </c>
      <c r="O6" s="95">
        <v>69</v>
      </c>
      <c r="P6" s="95">
        <v>32</v>
      </c>
      <c r="Q6" s="95">
        <v>20</v>
      </c>
      <c r="R6" s="95">
        <v>20</v>
      </c>
      <c r="S6" s="95">
        <v>7</v>
      </c>
      <c r="T6" s="95">
        <v>8</v>
      </c>
      <c r="U6" s="95">
        <v>36</v>
      </c>
      <c r="V6" s="95">
        <v>13</v>
      </c>
      <c r="W6" s="77"/>
      <c r="X6" s="77">
        <f si="0" t="shared"/>
        <v>8699</v>
      </c>
    </row>
    <row r="7" spans="2:24" x14ac:dyDescent="0.25">
      <c r="B7" s="95">
        <v>4</v>
      </c>
      <c r="C7" s="95">
        <v>299</v>
      </c>
      <c r="D7" s="95">
        <v>186</v>
      </c>
      <c r="E7" s="95">
        <v>303</v>
      </c>
      <c r="F7" s="95">
        <v>629</v>
      </c>
      <c r="G7" s="95">
        <v>710</v>
      </c>
      <c r="H7" s="95">
        <v>551</v>
      </c>
      <c r="I7" s="95">
        <v>149</v>
      </c>
      <c r="J7" s="95">
        <v>71</v>
      </c>
      <c r="K7" s="95">
        <v>137</v>
      </c>
      <c r="L7" s="95">
        <v>277</v>
      </c>
      <c r="M7" s="95">
        <v>149</v>
      </c>
      <c r="N7" s="95">
        <v>267</v>
      </c>
      <c r="O7" s="95">
        <v>33</v>
      </c>
      <c r="P7" s="95">
        <v>11</v>
      </c>
      <c r="Q7" s="95">
        <v>38</v>
      </c>
      <c r="R7" s="95">
        <v>16</v>
      </c>
      <c r="S7" s="95">
        <v>5</v>
      </c>
      <c r="T7" s="95">
        <v>8</v>
      </c>
      <c r="U7" s="95">
        <v>10</v>
      </c>
      <c r="V7" s="95">
        <v>2</v>
      </c>
      <c r="W7" s="77"/>
      <c r="X7" s="77">
        <f si="0" t="shared"/>
        <v>3851</v>
      </c>
    </row>
    <row r="8" spans="2:24" x14ac:dyDescent="0.25">
      <c r="B8" s="95">
        <v>5</v>
      </c>
      <c r="C8" s="95">
        <v>449</v>
      </c>
      <c r="D8" s="95">
        <v>172</v>
      </c>
      <c r="E8" s="95">
        <v>177</v>
      </c>
      <c r="F8" s="95">
        <v>188</v>
      </c>
      <c r="G8" s="95">
        <v>973</v>
      </c>
      <c r="H8" s="95">
        <v>913</v>
      </c>
      <c r="I8" s="95">
        <v>170</v>
      </c>
      <c r="J8" s="95">
        <v>23</v>
      </c>
      <c r="K8" s="95">
        <v>78</v>
      </c>
      <c r="L8" s="95">
        <v>201</v>
      </c>
      <c r="M8" s="95">
        <v>78</v>
      </c>
      <c r="N8" s="95">
        <v>481</v>
      </c>
      <c r="O8" s="95">
        <v>12</v>
      </c>
      <c r="P8" s="95">
        <v>7</v>
      </c>
      <c r="Q8" s="95">
        <v>16</v>
      </c>
      <c r="R8" s="95">
        <v>16</v>
      </c>
      <c r="S8" s="95">
        <v>4</v>
      </c>
      <c r="T8" s="95">
        <v>10</v>
      </c>
      <c r="U8" s="95">
        <v>49</v>
      </c>
      <c r="V8" s="95">
        <v>1</v>
      </c>
      <c r="W8" s="77"/>
      <c r="X8" s="77">
        <f si="0" t="shared"/>
        <v>4018</v>
      </c>
    </row>
    <row r="9" spans="2:24" x14ac:dyDescent="0.25">
      <c r="B9" s="95">
        <v>6</v>
      </c>
      <c r="C9" s="95">
        <v>698</v>
      </c>
      <c r="D9" s="95">
        <v>337</v>
      </c>
      <c r="E9" s="95">
        <v>142</v>
      </c>
      <c r="F9" s="95">
        <v>129</v>
      </c>
      <c r="G9" s="95">
        <v>371</v>
      </c>
      <c r="H9" s="95">
        <v>3506</v>
      </c>
      <c r="I9" s="95">
        <v>180</v>
      </c>
      <c r="J9" s="95">
        <v>12</v>
      </c>
      <c r="K9" s="95">
        <v>177</v>
      </c>
      <c r="L9" s="95">
        <v>202</v>
      </c>
      <c r="M9" s="95">
        <v>75</v>
      </c>
      <c r="N9" s="95">
        <v>1246</v>
      </c>
      <c r="O9" s="95">
        <v>61</v>
      </c>
      <c r="P9" s="95">
        <v>6</v>
      </c>
      <c r="Q9" s="95">
        <v>50</v>
      </c>
      <c r="R9" s="95">
        <v>26</v>
      </c>
      <c r="S9" s="95">
        <v>6</v>
      </c>
      <c r="T9" s="95">
        <v>24</v>
      </c>
      <c r="U9" s="95">
        <v>38</v>
      </c>
      <c r="V9" s="95">
        <v>12</v>
      </c>
      <c r="W9" s="77"/>
      <c r="X9" s="77">
        <f si="0" t="shared"/>
        <v>7298</v>
      </c>
    </row>
    <row r="10" spans="2:24" x14ac:dyDescent="0.25">
      <c r="B10" s="95">
        <v>7</v>
      </c>
      <c r="C10" s="95">
        <v>988</v>
      </c>
      <c r="D10" s="95">
        <v>1741</v>
      </c>
      <c r="E10" s="95">
        <v>776</v>
      </c>
      <c r="F10" s="95">
        <v>359</v>
      </c>
      <c r="G10" s="95">
        <v>618</v>
      </c>
      <c r="H10" s="95">
        <v>2291</v>
      </c>
      <c r="I10" s="95">
        <v>10900</v>
      </c>
      <c r="J10" s="95">
        <v>55</v>
      </c>
      <c r="K10" s="95">
        <v>1284</v>
      </c>
      <c r="L10" s="95">
        <v>394</v>
      </c>
      <c r="M10" s="95">
        <v>545</v>
      </c>
      <c r="N10" s="95">
        <v>3709</v>
      </c>
      <c r="O10" s="95">
        <v>3163</v>
      </c>
      <c r="P10" s="95">
        <v>25</v>
      </c>
      <c r="Q10" s="95">
        <v>240</v>
      </c>
      <c r="R10" s="95">
        <v>35</v>
      </c>
      <c r="S10" s="95">
        <v>25</v>
      </c>
      <c r="T10" s="95">
        <v>278</v>
      </c>
      <c r="U10" s="95">
        <v>76</v>
      </c>
      <c r="V10" s="95">
        <v>70</v>
      </c>
      <c r="W10" s="77"/>
      <c r="X10" s="77">
        <f si="0" t="shared"/>
        <v>27572</v>
      </c>
    </row>
    <row r="11" spans="2:24" x14ac:dyDescent="0.25">
      <c r="B11" s="95">
        <v>8</v>
      </c>
      <c r="C11" s="95">
        <v>126</v>
      </c>
      <c r="D11" s="95">
        <v>88</v>
      </c>
      <c r="E11" s="95">
        <v>176</v>
      </c>
      <c r="F11" s="95">
        <v>69</v>
      </c>
      <c r="G11" s="95">
        <v>89</v>
      </c>
      <c r="H11" s="95">
        <v>298</v>
      </c>
      <c r="I11" s="95">
        <v>39</v>
      </c>
      <c r="J11" s="95">
        <v>154</v>
      </c>
      <c r="K11" s="95">
        <v>59</v>
      </c>
      <c r="L11" s="95">
        <v>70</v>
      </c>
      <c r="M11" s="95">
        <v>169</v>
      </c>
      <c r="N11" s="95">
        <v>139</v>
      </c>
      <c r="O11" s="95">
        <v>10</v>
      </c>
      <c r="P11" s="95">
        <v>28</v>
      </c>
      <c r="Q11" s="95">
        <v>4</v>
      </c>
      <c r="R11" s="95">
        <v>8</v>
      </c>
      <c r="S11" s="95">
        <v>10</v>
      </c>
      <c r="T11" s="95">
        <v>3</v>
      </c>
      <c r="U11" s="95">
        <v>11</v>
      </c>
      <c r="V11" s="95">
        <v>6</v>
      </c>
      <c r="W11" s="77"/>
      <c r="X11" s="77">
        <f si="0" t="shared"/>
        <v>1556</v>
      </c>
    </row>
    <row r="12" spans="2:24" x14ac:dyDescent="0.25">
      <c r="B12" s="95">
        <v>9</v>
      </c>
      <c r="C12" s="95">
        <v>599</v>
      </c>
      <c r="D12" s="95">
        <v>907</v>
      </c>
      <c r="E12" s="95">
        <v>331</v>
      </c>
      <c r="F12" s="95">
        <v>176</v>
      </c>
      <c r="G12" s="95">
        <v>195</v>
      </c>
      <c r="H12" s="95">
        <v>1116</v>
      </c>
      <c r="I12" s="95">
        <v>1280</v>
      </c>
      <c r="J12" s="95">
        <v>34</v>
      </c>
      <c r="K12" s="95">
        <v>4051</v>
      </c>
      <c r="L12" s="95">
        <v>161</v>
      </c>
      <c r="M12" s="95">
        <v>602</v>
      </c>
      <c r="N12" s="95">
        <v>831</v>
      </c>
      <c r="O12" s="95">
        <v>397</v>
      </c>
      <c r="P12" s="95">
        <v>27</v>
      </c>
      <c r="Q12" s="95">
        <v>1086</v>
      </c>
      <c r="R12" s="95">
        <v>15</v>
      </c>
      <c r="S12" s="95">
        <v>24</v>
      </c>
      <c r="T12" s="95">
        <v>46</v>
      </c>
      <c r="U12" s="95">
        <v>161</v>
      </c>
      <c r="V12" s="95">
        <v>5</v>
      </c>
      <c r="W12" s="77"/>
      <c r="X12" s="77">
        <f si="0" t="shared"/>
        <v>12044</v>
      </c>
    </row>
    <row r="13" spans="2:24" x14ac:dyDescent="0.25">
      <c r="B13" s="95">
        <v>10</v>
      </c>
      <c r="C13" s="95">
        <v>811</v>
      </c>
      <c r="D13" s="95">
        <v>277</v>
      </c>
      <c r="E13" s="95">
        <v>195</v>
      </c>
      <c r="F13" s="95">
        <v>308</v>
      </c>
      <c r="G13" s="95">
        <v>574</v>
      </c>
      <c r="H13" s="95">
        <v>2201</v>
      </c>
      <c r="I13" s="95">
        <v>290</v>
      </c>
      <c r="J13" s="95">
        <v>34</v>
      </c>
      <c r="K13" s="95">
        <v>233</v>
      </c>
      <c r="L13" s="95">
        <v>1637</v>
      </c>
      <c r="M13" s="95">
        <v>223</v>
      </c>
      <c r="N13" s="95">
        <v>1478</v>
      </c>
      <c r="O13" s="95">
        <v>85</v>
      </c>
      <c r="P13" s="95">
        <v>6</v>
      </c>
      <c r="Q13" s="95">
        <v>22</v>
      </c>
      <c r="R13" s="95">
        <v>190</v>
      </c>
      <c r="S13" s="95">
        <v>29</v>
      </c>
      <c r="T13" s="95">
        <v>11</v>
      </c>
      <c r="U13" s="95">
        <v>33</v>
      </c>
      <c r="V13" s="95">
        <v>13</v>
      </c>
      <c r="W13" s="77"/>
      <c r="X13" s="77">
        <f si="0" t="shared"/>
        <v>8650</v>
      </c>
    </row>
    <row r="14" spans="2:24" x14ac:dyDescent="0.25">
      <c r="B14" s="95">
        <v>11</v>
      </c>
      <c r="C14" s="95">
        <v>1031</v>
      </c>
      <c r="D14" s="95">
        <v>718</v>
      </c>
      <c r="E14" s="95">
        <v>1256</v>
      </c>
      <c r="F14" s="95">
        <v>424</v>
      </c>
      <c r="G14" s="95">
        <v>508</v>
      </c>
      <c r="H14" s="95">
        <v>1687</v>
      </c>
      <c r="I14" s="95">
        <v>530</v>
      </c>
      <c r="J14" s="95">
        <v>281</v>
      </c>
      <c r="K14" s="95">
        <v>959</v>
      </c>
      <c r="L14" s="95">
        <v>218</v>
      </c>
      <c r="M14" s="95">
        <v>6918</v>
      </c>
      <c r="N14" s="95">
        <v>896</v>
      </c>
      <c r="O14" s="95">
        <v>171</v>
      </c>
      <c r="P14" s="95">
        <v>110</v>
      </c>
      <c r="Q14" s="95">
        <v>222</v>
      </c>
      <c r="R14" s="95">
        <v>7</v>
      </c>
      <c r="S14" s="95">
        <v>327</v>
      </c>
      <c r="T14" s="95">
        <v>30</v>
      </c>
      <c r="U14" s="95">
        <v>1442</v>
      </c>
      <c r="V14" s="95">
        <v>23</v>
      </c>
      <c r="W14" s="77"/>
      <c r="X14" s="77">
        <f si="0" t="shared"/>
        <v>17758</v>
      </c>
    </row>
    <row r="15" spans="2:24" x14ac:dyDescent="0.25">
      <c r="B15" s="95">
        <v>12</v>
      </c>
      <c r="C15" s="95">
        <v>2030</v>
      </c>
      <c r="D15" s="95">
        <v>1277</v>
      </c>
      <c r="E15" s="95">
        <v>529</v>
      </c>
      <c r="F15" s="95">
        <v>476</v>
      </c>
      <c r="G15" s="95">
        <v>864</v>
      </c>
      <c r="H15" s="95">
        <v>5144</v>
      </c>
      <c r="I15" s="95">
        <v>2374</v>
      </c>
      <c r="J15" s="95">
        <v>35</v>
      </c>
      <c r="K15" s="95">
        <v>855</v>
      </c>
      <c r="L15" s="95">
        <v>616</v>
      </c>
      <c r="M15" s="95">
        <v>644</v>
      </c>
      <c r="N15" s="95">
        <v>20638</v>
      </c>
      <c r="O15" s="95">
        <v>954</v>
      </c>
      <c r="P15" s="95">
        <v>21</v>
      </c>
      <c r="Q15" s="95">
        <v>122</v>
      </c>
      <c r="R15" s="95">
        <v>197</v>
      </c>
      <c r="S15" s="95">
        <v>34</v>
      </c>
      <c r="T15" s="95">
        <v>827</v>
      </c>
      <c r="U15" s="95">
        <v>41</v>
      </c>
      <c r="V15" s="95">
        <v>331</v>
      </c>
      <c r="W15" s="77"/>
      <c r="X15" s="77">
        <f si="0" t="shared"/>
        <v>38009</v>
      </c>
    </row>
    <row r="16" spans="2:24" x14ac:dyDescent="0.25">
      <c r="B16" s="95">
        <v>13</v>
      </c>
      <c r="C16" s="95">
        <v>294</v>
      </c>
      <c r="D16" s="95">
        <v>394</v>
      </c>
      <c r="E16" s="95">
        <v>105</v>
      </c>
      <c r="F16" s="95">
        <v>92</v>
      </c>
      <c r="G16" s="95">
        <v>62</v>
      </c>
      <c r="H16" s="95">
        <v>727</v>
      </c>
      <c r="I16" s="95">
        <v>3171</v>
      </c>
      <c r="J16" s="95">
        <v>1</v>
      </c>
      <c r="K16" s="95">
        <v>398</v>
      </c>
      <c r="L16" s="95">
        <v>68</v>
      </c>
      <c r="M16" s="95">
        <v>92</v>
      </c>
      <c r="N16" s="95">
        <v>1371</v>
      </c>
      <c r="O16" s="95">
        <v>15786</v>
      </c>
      <c r="P16" s="95">
        <v>3</v>
      </c>
      <c r="Q16" s="95">
        <v>530</v>
      </c>
      <c r="R16" s="95">
        <v>28</v>
      </c>
      <c r="S16" s="95">
        <v>4</v>
      </c>
      <c r="T16" s="95">
        <v>426</v>
      </c>
      <c r="U16" s="95">
        <v>28</v>
      </c>
      <c r="V16" s="95">
        <v>79</v>
      </c>
      <c r="W16" s="77"/>
      <c r="X16" s="77">
        <f si="0" t="shared"/>
        <v>23659</v>
      </c>
    </row>
    <row r="17" spans="2:24" x14ac:dyDescent="0.25">
      <c r="B17" s="95">
        <v>14</v>
      </c>
      <c r="C17" s="95">
        <v>43</v>
      </c>
      <c r="D17" s="95">
        <v>81</v>
      </c>
      <c r="E17" s="95">
        <v>19</v>
      </c>
      <c r="F17" s="95">
        <v>24</v>
      </c>
      <c r="G17" s="95">
        <v>22</v>
      </c>
      <c r="H17" s="95">
        <v>78</v>
      </c>
      <c r="I17" s="95">
        <v>33</v>
      </c>
      <c r="J17" s="95">
        <v>28</v>
      </c>
      <c r="K17" s="95">
        <v>23</v>
      </c>
      <c r="L17" s="95">
        <v>12</v>
      </c>
      <c r="M17" s="95">
        <v>68</v>
      </c>
      <c r="N17" s="95">
        <v>61</v>
      </c>
      <c r="O17" s="95">
        <v>4</v>
      </c>
      <c r="P17" s="95">
        <v>78</v>
      </c>
      <c r="Q17" s="95">
        <v>11</v>
      </c>
      <c r="R17" s="95">
        <v>1</v>
      </c>
      <c r="S17" s="95">
        <v>16</v>
      </c>
      <c r="T17" s="95">
        <v>3</v>
      </c>
      <c r="U17" s="95">
        <v>12</v>
      </c>
      <c r="V17" s="95">
        <v>2</v>
      </c>
      <c r="W17" s="77"/>
      <c r="X17" s="77">
        <f si="0" t="shared"/>
        <v>619</v>
      </c>
    </row>
    <row r="18" spans="2:24" x14ac:dyDescent="0.25">
      <c r="B18" s="95">
        <v>15</v>
      </c>
      <c r="C18" s="95">
        <v>312</v>
      </c>
      <c r="D18" s="95">
        <v>629</v>
      </c>
      <c r="E18" s="95">
        <v>117</v>
      </c>
      <c r="F18" s="95">
        <v>113</v>
      </c>
      <c r="G18" s="95">
        <v>149</v>
      </c>
      <c r="H18" s="95">
        <v>664</v>
      </c>
      <c r="I18" s="95">
        <v>521</v>
      </c>
      <c r="J18" s="95">
        <v>10</v>
      </c>
      <c r="K18" s="95">
        <v>1640</v>
      </c>
      <c r="L18" s="95">
        <v>72</v>
      </c>
      <c r="M18" s="95">
        <v>226</v>
      </c>
      <c r="N18" s="95">
        <v>433</v>
      </c>
      <c r="O18" s="95">
        <v>522</v>
      </c>
      <c r="P18" s="95">
        <v>1</v>
      </c>
      <c r="Q18" s="95">
        <v>7806</v>
      </c>
      <c r="R18" s="95">
        <v>14</v>
      </c>
      <c r="S18" s="95">
        <v>39</v>
      </c>
      <c r="T18" s="95">
        <v>16</v>
      </c>
      <c r="U18" s="95">
        <v>322</v>
      </c>
      <c r="V18" s="95">
        <v>4</v>
      </c>
      <c r="W18" s="77"/>
      <c r="X18" s="77">
        <f si="0" t="shared"/>
        <v>13610</v>
      </c>
    </row>
    <row r="19" spans="2:24" x14ac:dyDescent="0.25">
      <c r="B19" s="95">
        <v>16</v>
      </c>
      <c r="C19" s="95">
        <v>348</v>
      </c>
      <c r="D19" s="95">
        <v>109</v>
      </c>
      <c r="E19" s="95">
        <v>67</v>
      </c>
      <c r="F19" s="95">
        <v>84</v>
      </c>
      <c r="G19" s="95">
        <v>98</v>
      </c>
      <c r="H19" s="95">
        <v>634</v>
      </c>
      <c r="I19" s="95">
        <v>104</v>
      </c>
      <c r="J19" s="95">
        <v>14</v>
      </c>
      <c r="K19" s="95">
        <v>135</v>
      </c>
      <c r="L19" s="95">
        <v>493</v>
      </c>
      <c r="M19" s="95">
        <v>85</v>
      </c>
      <c r="N19" s="95">
        <v>684</v>
      </c>
      <c r="O19" s="95">
        <v>8</v>
      </c>
      <c r="P19" s="95">
        <v>1</v>
      </c>
      <c r="Q19" s="95">
        <v>3</v>
      </c>
      <c r="R19" s="95">
        <v>202</v>
      </c>
      <c r="S19" s="95">
        <v>11</v>
      </c>
      <c r="T19" s="95">
        <v>8</v>
      </c>
      <c r="U19" s="95">
        <v>9</v>
      </c>
      <c r="V19" s="95">
        <v>1</v>
      </c>
      <c r="W19" s="77"/>
      <c r="X19" s="77">
        <f si="0" t="shared"/>
        <v>3098</v>
      </c>
    </row>
    <row r="20" spans="2:24" x14ac:dyDescent="0.25">
      <c r="B20" s="95">
        <v>17</v>
      </c>
      <c r="C20" s="95">
        <v>45</v>
      </c>
      <c r="D20" s="95">
        <v>16</v>
      </c>
      <c r="E20" s="95">
        <v>17</v>
      </c>
      <c r="F20" s="95">
        <v>19</v>
      </c>
      <c r="G20" s="95">
        <v>18</v>
      </c>
      <c r="H20" s="95">
        <v>62</v>
      </c>
      <c r="I20" s="95">
        <v>33</v>
      </c>
      <c r="J20" s="95">
        <v>17</v>
      </c>
      <c r="K20" s="95">
        <v>25</v>
      </c>
      <c r="L20" s="95">
        <v>17</v>
      </c>
      <c r="M20" s="95">
        <v>159</v>
      </c>
      <c r="N20" s="95">
        <v>23</v>
      </c>
      <c r="O20" s="95">
        <v>5</v>
      </c>
      <c r="P20" s="95">
        <v>14</v>
      </c>
      <c r="Q20" s="95">
        <v>17</v>
      </c>
      <c r="R20" s="95">
        <v>3</v>
      </c>
      <c r="S20" s="95">
        <v>81</v>
      </c>
      <c r="T20" s="95">
        <v>2</v>
      </c>
      <c r="U20" s="95">
        <v>47</v>
      </c>
      <c r="V20" s="95">
        <v>1</v>
      </c>
      <c r="W20" s="77"/>
      <c r="X20" s="77">
        <f si="0" t="shared"/>
        <v>621</v>
      </c>
    </row>
    <row r="21" spans="2:24" x14ac:dyDescent="0.25">
      <c r="B21" s="95">
        <v>18</v>
      </c>
      <c r="C21" s="95">
        <v>82</v>
      </c>
      <c r="D21" s="95">
        <v>134</v>
      </c>
      <c r="E21" s="95">
        <v>29</v>
      </c>
      <c r="F21" s="95">
        <v>25</v>
      </c>
      <c r="G21" s="95">
        <v>59</v>
      </c>
      <c r="H21" s="95">
        <v>239</v>
      </c>
      <c r="I21" s="95">
        <v>186</v>
      </c>
      <c r="J21" s="95">
        <v>19</v>
      </c>
      <c r="K21" s="95">
        <v>77</v>
      </c>
      <c r="L21" s="95">
        <v>22</v>
      </c>
      <c r="M21" s="95">
        <v>12</v>
      </c>
      <c r="N21" s="95">
        <v>1359</v>
      </c>
      <c r="O21" s="95">
        <v>265</v>
      </c>
      <c r="P21" s="95">
        <v>1</v>
      </c>
      <c r="Q21" s="95">
        <v>7</v>
      </c>
      <c r="R21" s="95">
        <v>17</v>
      </c>
      <c r="S21" s="95">
        <v>1</v>
      </c>
      <c r="T21" s="95">
        <v>1455</v>
      </c>
      <c r="U21" s="95">
        <v>6</v>
      </c>
      <c r="V21" s="95">
        <v>614</v>
      </c>
      <c r="W21" s="77"/>
      <c r="X21" s="77">
        <f si="0" t="shared"/>
        <v>4609</v>
      </c>
    </row>
    <row r="22" spans="2:24" x14ac:dyDescent="0.25">
      <c r="B22" s="95">
        <v>19</v>
      </c>
      <c r="C22" s="95">
        <v>296</v>
      </c>
      <c r="D22" s="95">
        <v>237</v>
      </c>
      <c r="E22" s="95">
        <v>104</v>
      </c>
      <c r="F22" s="95">
        <v>51</v>
      </c>
      <c r="G22" s="95">
        <v>54</v>
      </c>
      <c r="H22" s="95">
        <v>367</v>
      </c>
      <c r="I22" s="95">
        <v>183</v>
      </c>
      <c r="J22" s="95">
        <v>51</v>
      </c>
      <c r="K22" s="95">
        <v>207</v>
      </c>
      <c r="L22" s="95">
        <v>20</v>
      </c>
      <c r="M22" s="95">
        <v>1874</v>
      </c>
      <c r="N22" s="95">
        <v>319</v>
      </c>
      <c r="O22" s="95">
        <v>67</v>
      </c>
      <c r="P22" s="95">
        <v>42</v>
      </c>
      <c r="Q22" s="95">
        <v>439</v>
      </c>
      <c r="R22" s="95">
        <v>4</v>
      </c>
      <c r="S22" s="95">
        <v>239</v>
      </c>
      <c r="T22" s="95">
        <v>3</v>
      </c>
      <c r="U22" s="95">
        <v>4099</v>
      </c>
      <c r="V22" s="95">
        <v>1</v>
      </c>
      <c r="W22" s="77"/>
      <c r="X22" s="77">
        <f si="0" t="shared"/>
        <v>8657</v>
      </c>
    </row>
    <row r="23" spans="2:24" x14ac:dyDescent="0.25">
      <c r="B23" s="95">
        <v>20</v>
      </c>
      <c r="C23" s="95">
        <v>71</v>
      </c>
      <c r="D23" s="95">
        <v>176</v>
      </c>
      <c r="E23" s="95">
        <v>8</v>
      </c>
      <c r="F23" s="95">
        <v>22</v>
      </c>
      <c r="G23" s="95">
        <v>59</v>
      </c>
      <c r="H23" s="95">
        <v>140</v>
      </c>
      <c r="I23" s="95">
        <v>141</v>
      </c>
      <c r="J23" s="95">
        <v>2</v>
      </c>
      <c r="K23" s="95">
        <v>58</v>
      </c>
      <c r="L23" s="95">
        <v>65</v>
      </c>
      <c r="M23" s="95">
        <v>15</v>
      </c>
      <c r="N23" s="95">
        <v>1834</v>
      </c>
      <c r="O23" s="95">
        <v>180</v>
      </c>
      <c r="P23" s="95">
        <v>1</v>
      </c>
      <c r="Q23" s="95">
        <v>10</v>
      </c>
      <c r="R23" s="95">
        <v>22</v>
      </c>
      <c r="S23" s="95">
        <v>5</v>
      </c>
      <c r="T23" s="95">
        <v>1554</v>
      </c>
      <c r="U23" s="95">
        <v>1</v>
      </c>
      <c r="V23" s="95">
        <v>8436</v>
      </c>
      <c r="W23" s="58"/>
      <c r="X23" s="77">
        <f si="0" t="shared"/>
        <v>12800</v>
      </c>
    </row>
    <row r="24" spans="2:24" x14ac:dyDescent="0.25">
      <c r="B24" s="101" t="s">
        <v>15</v>
      </c>
      <c r="C24" s="60"/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/>
      <c r="Q24" s="60"/>
      <c r="R24" s="60"/>
      <c r="S24" s="60"/>
      <c r="T24" s="60"/>
      <c r="U24" s="60"/>
      <c r="V24" s="60"/>
      <c r="W24" s="60"/>
      <c r="X24" s="77">
        <f si="0" t="shared"/>
        <v>0</v>
      </c>
    </row>
    <row ht="15.75" r="25" spans="2:24" thickBot="1" x14ac:dyDescent="0.3">
      <c r="B25" s="1" t="s">
        <v>3</v>
      </c>
      <c r="C25" s="107">
        <f>SUM(C4:C24)</f>
        <v>11305</v>
      </c>
      <c r="D25" s="107">
        <f ref="D25:X25" si="1" t="shared">SUM(D4:D24)</f>
        <v>9245</v>
      </c>
      <c r="E25" s="107">
        <f si="1" t="shared"/>
        <v>6541</v>
      </c>
      <c r="F25" s="107">
        <f si="1" t="shared"/>
        <v>3702</v>
      </c>
      <c r="G25" s="107">
        <f si="1" t="shared"/>
        <v>6181</v>
      </c>
      <c r="H25" s="107">
        <f si="1" t="shared"/>
        <v>23878</v>
      </c>
      <c r="I25" s="107">
        <f si="1" t="shared"/>
        <v>20873</v>
      </c>
      <c r="J25" s="107">
        <f si="1" t="shared"/>
        <v>941</v>
      </c>
      <c r="K25" s="107">
        <f si="1" t="shared"/>
        <v>11078</v>
      </c>
      <c r="L25" s="107">
        <f si="1" t="shared"/>
        <v>4948</v>
      </c>
      <c r="M25" s="107">
        <f si="1" t="shared"/>
        <v>12781</v>
      </c>
      <c r="N25" s="107">
        <f si="1" t="shared"/>
        <v>37383</v>
      </c>
      <c r="O25" s="107">
        <f si="1" t="shared"/>
        <v>21958</v>
      </c>
      <c r="P25" s="107">
        <f si="1" t="shared"/>
        <v>425</v>
      </c>
      <c r="Q25" s="107">
        <f si="1" t="shared"/>
        <v>10675</v>
      </c>
      <c r="R25" s="107">
        <f si="1" t="shared"/>
        <v>826</v>
      </c>
      <c r="S25" s="107">
        <f si="1" t="shared"/>
        <v>873</v>
      </c>
      <c r="T25" s="107">
        <f si="1" t="shared"/>
        <v>4732</v>
      </c>
      <c r="U25" s="107">
        <f si="1" t="shared"/>
        <v>6513</v>
      </c>
      <c r="V25" s="107">
        <f si="1" t="shared"/>
        <v>9627</v>
      </c>
      <c r="W25" s="107">
        <f si="1" t="shared"/>
        <v>0</v>
      </c>
      <c r="X25" s="107">
        <f si="1" t="shared"/>
        <v>204485</v>
      </c>
    </row>
    <row r="26" spans="2:24" x14ac:dyDescent="0.25"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</row>
    <row r="27" spans="2:24" x14ac:dyDescent="0.25"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</row>
    <row r="28" spans="2:24" x14ac:dyDescent="0.25"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</row>
    <row ht="15.75" r="29" spans="2:24" thickBot="1" x14ac:dyDescent="0.3">
      <c r="B29" s="4" t="s">
        <v>355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7"/>
      <c r="Q29" s="7"/>
      <c r="R29" s="7"/>
      <c r="S29" s="7"/>
      <c r="T29" s="7"/>
      <c r="U29" s="7"/>
      <c r="V29" s="7"/>
      <c r="W29" s="7"/>
      <c r="X29" s="7"/>
    </row>
    <row r="30" spans="2:24" x14ac:dyDescent="0.2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25">
      <c r="B31" s="31">
        <v>1</v>
      </c>
      <c r="C31" s="77">
        <f>IF($X4&gt;0,(C4/$X4)*County_Flow!$BS7,0)</f>
        <v>3176.1152489219917</v>
      </c>
      <c r="D31" s="77">
        <f>IF($X4&gt;0,(D4/$X4)*County_Flow!$BS7,0)</f>
        <v>452.88318306546455</v>
      </c>
      <c r="E31" s="77">
        <f>IF($X4&gt;0,(E4/$X4)*County_Flow!$BS7,0)</f>
        <v>286.76009408075265</v>
      </c>
      <c r="F31" s="77">
        <f>IF($X4&gt;0,(F4/$X4)*County_Flow!$BS7,0)</f>
        <v>211.60917287338299</v>
      </c>
      <c r="G31" s="77">
        <f>IF($X4&gt;0,(G4/$X4)*County_Flow!$BS7,0)</f>
        <v>480.5703645629165</v>
      </c>
      <c r="H31" s="77">
        <f>IF($X4&gt;0,(H4/$X4)*County_Flow!$BS7,0)</f>
        <v>2663.9023912191296</v>
      </c>
      <c r="I31" s="77">
        <f>IF($X4&gt;0,(I4/$X4)*County_Flow!$BS7,0)</f>
        <v>357.95570364562917</v>
      </c>
      <c r="J31" s="77">
        <f>IF($X4&gt;0,(J4/$X4)*County_Flow!$BS7,0)</f>
        <v>5.9329674637397094</v>
      </c>
      <c r="K31" s="77">
        <f>IF($X4&gt;0,(K4/$X4)*County_Flow!$BS7,0)</f>
        <v>284.78243825950608</v>
      </c>
      <c r="L31" s="77">
        <f>IF($X4&gt;0,(L4/$X4)*County_Flow!$BS7,0)</f>
        <v>154.25715405723244</v>
      </c>
      <c r="M31" s="77">
        <f>IF($X4&gt;0,(M4/$X4)*County_Flow!$BS7,0)</f>
        <v>336.20148961191688</v>
      </c>
      <c r="N31" s="77">
        <f>IF($X4&gt;0,(N4/$X4)*County_Flow!$BS7,0)</f>
        <v>1188.5711485691886</v>
      </c>
      <c r="O31" s="77">
        <f>IF($X4&gt;0,(O4/$X4)*County_Flow!$BS7,0)</f>
        <v>235.34104272834182</v>
      </c>
      <c r="P31" s="77">
        <f>IF($X4&gt;0,(P4/$X4)*County_Flow!$BS7,0)</f>
        <v>19.776558212465702</v>
      </c>
      <c r="Q31" s="77">
        <f>IF($X4&gt;0,(Q4/$X4)*County_Flow!$BS7,0)</f>
        <v>33.620148961191688</v>
      </c>
      <c r="R31" s="77">
        <f>IF($X4&gt;0,(R4/$X4)*County_Flow!$BS7,0)</f>
        <v>9.8882791062328508</v>
      </c>
      <c r="S31" s="77">
        <f>IF($X4&gt;0,(S4/$X4)*County_Flow!$BS7,0)</f>
        <v>3.95531164249314</v>
      </c>
      <c r="T31" s="77">
        <f>IF($X4&gt;0,(T4/$X4)*County_Flow!$BS7,0)</f>
        <v>25.709525676205409</v>
      </c>
      <c r="U31" s="77">
        <f>IF($X4&gt;0,(U4/$X4)*County_Flow!$BS7,0)</f>
        <v>148.32418659349275</v>
      </c>
      <c r="V31" s="77">
        <f>IF($X4&gt;0,(V4/$X4)*County_Flow!$BS7,0)</f>
        <v>13.84359074872599</v>
      </c>
      <c r="W31" s="77">
        <f>IF($X4&gt;0,(W4/$X4)*County_Flow!$BS7,0)</f>
        <v>0</v>
      </c>
      <c r="X31" s="77">
        <f>IF($X4&gt;0,(X4/$X4)*County_Flow!$BS7,0)</f>
        <v>10090</v>
      </c>
    </row>
    <row r="32" spans="2:24" x14ac:dyDescent="0.25">
      <c r="B32" s="95">
        <v>2</v>
      </c>
      <c r="C32" s="77">
        <f>IF($X5&gt;0,(C5/$X5)*County_Flow!$BS8,0)</f>
        <v>1079.1485587583149</v>
      </c>
      <c r="D32" s="77">
        <f>IF($X5&gt;0,(D5/$X5)*County_Flow!$BS8,0)</f>
        <v>5402.1662971175165</v>
      </c>
      <c r="E32" s="77">
        <f>IF($X5&gt;0,(E5/$X5)*County_Flow!$BS8,0)</f>
        <v>475.3392461197339</v>
      </c>
      <c r="F32" s="77">
        <f>IF($X5&gt;0,(F5/$X5)*County_Flow!$BS8,0)</f>
        <v>237.66962305986695</v>
      </c>
      <c r="G32" s="77">
        <f>IF($X5&gt;0,(G5/$X5)*County_Flow!$BS8,0)</f>
        <v>443.22172949002214</v>
      </c>
      <c r="H32" s="77">
        <f>IF($X5&gt;0,(H5/$X5)*County_Flow!$BS8,0)</f>
        <v>2331.7317073170734</v>
      </c>
      <c r="I32" s="77">
        <f>IF($X5&gt;0,(I5/$X5)*County_Flow!$BS8,0)</f>
        <v>1175.5011086474501</v>
      </c>
      <c r="J32" s="77">
        <f>IF($X5&gt;0,(J5/$X5)*County_Flow!$BS8,0)</f>
        <v>38.5410199556541</v>
      </c>
      <c r="K32" s="77">
        <f>IF($X5&gt;0,(K5/$X5)*County_Flow!$BS8,0)</f>
        <v>777.2439024390244</v>
      </c>
      <c r="L32" s="77">
        <f>IF($X5&gt;0,(L5/$X5)*County_Flow!$BS8,0)</f>
        <v>205.55210643015522</v>
      </c>
      <c r="M32" s="77">
        <f>IF($X5&gt;0,(M5/$X5)*County_Flow!$BS8,0)</f>
        <v>308.3281596452328</v>
      </c>
      <c r="N32" s="77">
        <f>IF($X5&gt;0,(N5/$X5)*County_Flow!$BS8,0)</f>
        <v>1387.4767184035477</v>
      </c>
      <c r="O32" s="77">
        <f>IF($X5&gt;0,(O5/$X5)*County_Flow!$BS8,0)</f>
        <v>301.9046563192905</v>
      </c>
      <c r="P32" s="77">
        <f>IF($X5&gt;0,(P5/$X5)*County_Flow!$BS8,0)</f>
        <v>6.4235033259423506</v>
      </c>
      <c r="Q32" s="77">
        <f>IF($X5&gt;0,(Q5/$X5)*County_Flow!$BS8,0)</f>
        <v>96.352549889135261</v>
      </c>
      <c r="R32" s="77">
        <f>IF($X5&gt;0,(R5/$X5)*County_Flow!$BS8,0)</f>
        <v>0</v>
      </c>
      <c r="S32" s="77">
        <f>IF($X5&gt;0,(S5/$X5)*County_Flow!$BS8,0)</f>
        <v>25.694013303769403</v>
      </c>
      <c r="T32" s="77">
        <f>IF($X5&gt;0,(T5/$X5)*County_Flow!$BS8,0)</f>
        <v>44.964523281596449</v>
      </c>
      <c r="U32" s="77">
        <f>IF($X5&gt;0,(U5/$X5)*County_Flow!$BS8,0)</f>
        <v>109.19955654101996</v>
      </c>
      <c r="V32" s="77">
        <f>IF($X5&gt;0,(V5/$X5)*County_Flow!$BS8,0)</f>
        <v>38.5410199556541</v>
      </c>
      <c r="W32" s="77">
        <f>IF($X5&gt;0,(W5/$X5)*County_Flow!$BS8,0)</f>
        <v>0</v>
      </c>
      <c r="X32" s="77">
        <f>IF($X5&gt;0,(X5/$X5)*County_Flow!$BS8,0)</f>
        <v>14485</v>
      </c>
    </row>
    <row r="33" spans="2:24" x14ac:dyDescent="0.25">
      <c r="B33" s="95">
        <v>3</v>
      </c>
      <c r="C33" s="77">
        <f>IF($X6&gt;0,(C6/$X6)*County_Flow!$BS9,0)</f>
        <v>3971.509368892976</v>
      </c>
      <c r="D33" s="77">
        <f>IF($X6&gt;0,(D6/$X6)*County_Flow!$BS9,0)</f>
        <v>2739.5148867685944</v>
      </c>
      <c r="E33" s="77">
        <f>IF($X6&gt;0,(E6/$X6)*County_Flow!$BS9,0)</f>
        <v>7758.0227612369245</v>
      </c>
      <c r="F33" s="77">
        <f>IF($X6&gt;0,(F6/$X6)*County_Flow!$BS9,0)</f>
        <v>1456.3513047476722</v>
      </c>
      <c r="G33" s="77">
        <f>IF($X6&gt;0,(G6/$X6)*County_Flow!$BS9,0)</f>
        <v>1755.4937349120589</v>
      </c>
      <c r="H33" s="77">
        <f>IF($X6&gt;0,(H6/$X6)*County_Flow!$BS9,0)</f>
        <v>6100.9311415105185</v>
      </c>
      <c r="I33" s="77">
        <f>IF($X6&gt;0,(I6/$X6)*County_Flow!$BS9,0)</f>
        <v>885.61903667088177</v>
      </c>
      <c r="J33" s="77">
        <f>IF($X6&gt;0,(J6/$X6)*County_Flow!$BS9,0)</f>
        <v>358.18369927577885</v>
      </c>
      <c r="K33" s="77">
        <f>IF($X6&gt;0,(K6/$X6)*County_Flow!$BS9,0)</f>
        <v>1641.3472812967009</v>
      </c>
      <c r="L33" s="77">
        <f>IF($X6&gt;0,(L6/$X6)*County_Flow!$BS9,0)</f>
        <v>1153.2727899758593</v>
      </c>
      <c r="M33" s="77">
        <f>IF($X6&gt;0,(M6/$X6)*County_Flow!$BS9,0)</f>
        <v>2475.7972180710426</v>
      </c>
      <c r="N33" s="77">
        <f>IF($X6&gt;0,(N6/$X6)*County_Flow!$BS9,0)</f>
        <v>3137.0594321186345</v>
      </c>
      <c r="O33" s="77">
        <f>IF($X6&gt;0,(O6/$X6)*County_Flow!$BS9,0)</f>
        <v>271.58983791240377</v>
      </c>
      <c r="P33" s="77">
        <f>IF($X6&gt;0,(P6/$X6)*County_Flow!$BS9,0)</f>
        <v>125.95470743763651</v>
      </c>
      <c r="Q33" s="77">
        <f>IF($X6&gt;0,(Q6/$X6)*County_Flow!$BS9,0)</f>
        <v>78.72169214852282</v>
      </c>
      <c r="R33" s="77">
        <f>IF($X6&gt;0,(R6/$X6)*County_Flow!$BS9,0)</f>
        <v>78.72169214852282</v>
      </c>
      <c r="S33" s="77">
        <f>IF($X6&gt;0,(S6/$X6)*County_Flow!$BS9,0)</f>
        <v>27.552592251982986</v>
      </c>
      <c r="T33" s="77">
        <f>IF($X6&gt;0,(T6/$X6)*County_Flow!$BS9,0)</f>
        <v>31.488676859409129</v>
      </c>
      <c r="U33" s="77">
        <f>IF($X6&gt;0,(U6/$X6)*County_Flow!$BS9,0)</f>
        <v>141.69904586734108</v>
      </c>
      <c r="V33" s="77">
        <f>IF($X6&gt;0,(V6/$X6)*County_Flow!$BS9,0)</f>
        <v>51.169099896539834</v>
      </c>
      <c r="W33" s="77">
        <f>IF($X6&gt;0,(W6/$X6)*County_Flow!$BS9,0)</f>
        <v>0</v>
      </c>
      <c r="X33" s="77">
        <f>IF($X6&gt;0,(X6/$X6)*County_Flow!$BS9,0)</f>
        <v>34240</v>
      </c>
    </row>
    <row r="34" spans="2:24" x14ac:dyDescent="0.25">
      <c r="B34" s="95">
        <v>4</v>
      </c>
      <c r="C34" s="77">
        <f>IF($X7&gt;0,(C7/$X7)*County_Flow!$BS10,0)</f>
        <v>939.31498312126723</v>
      </c>
      <c r="D34" s="77">
        <f>IF($X7&gt;0,(D7/$X7)*County_Flow!$BS10,0)</f>
        <v>584.32303297844715</v>
      </c>
      <c r="E34" s="77">
        <f>IF($X7&gt;0,(E7/$X7)*County_Flow!$BS10,0)</f>
        <v>951.88106985198647</v>
      </c>
      <c r="F34" s="77">
        <f>IF($X7&gt;0,(F7/$X7)*County_Flow!$BS10,0)</f>
        <v>1976.0171384056091</v>
      </c>
      <c r="G34" s="77">
        <f>IF($X7&gt;0,(G7/$X7)*County_Flow!$BS10,0)</f>
        <v>2230.4803947026744</v>
      </c>
      <c r="H34" s="77">
        <f>IF($X7&gt;0,(H7/$X7)*County_Flow!$BS10,0)</f>
        <v>1730.9784471565827</v>
      </c>
      <c r="I34" s="77">
        <f>IF($X7&gt;0,(I7/$X7)*County_Flow!$BS10,0)</f>
        <v>468.08673071929371</v>
      </c>
      <c r="J34" s="77">
        <f>IF($X7&gt;0,(J7/$X7)*County_Flow!$BS10,0)</f>
        <v>223.04803947026744</v>
      </c>
      <c r="K34" s="77">
        <f>IF($X7&gt;0,(K7/$X7)*County_Flow!$BS10,0)</f>
        <v>430.38847052713584</v>
      </c>
      <c r="L34" s="77">
        <f>IF($X7&gt;0,(L7/$X7)*County_Flow!$BS10,0)</f>
        <v>870.2015061023111</v>
      </c>
      <c r="M34" s="77">
        <f>IF($X7&gt;0,(M7/$X7)*County_Flow!$BS10,0)</f>
        <v>468.08673071929371</v>
      </c>
      <c r="N34" s="77">
        <f>IF($X7&gt;0,(N7/$X7)*County_Flow!$BS10,0)</f>
        <v>838.7862892755129</v>
      </c>
      <c r="O34" s="77">
        <f>IF($X7&gt;0,(O7/$X7)*County_Flow!$BS10,0)</f>
        <v>103.67021552843417</v>
      </c>
      <c r="P34" s="77">
        <f>IF($X7&gt;0,(P7/$X7)*County_Flow!$BS10,0)</f>
        <v>34.556738509478059</v>
      </c>
      <c r="Q34" s="77">
        <f>IF($X7&gt;0,(Q7/$X7)*County_Flow!$BS10,0)</f>
        <v>119.37782394183328</v>
      </c>
      <c r="R34" s="77">
        <f>IF($X7&gt;0,(R7/$X7)*County_Flow!$BS10,0)</f>
        <v>50.264346922877174</v>
      </c>
      <c r="S34" s="77">
        <f>IF($X7&gt;0,(S7/$X7)*County_Flow!$BS10,0)</f>
        <v>15.707608413399118</v>
      </c>
      <c r="T34" s="77">
        <f>IF($X7&gt;0,(T7/$X7)*County_Flow!$BS10,0)</f>
        <v>25.132173461438587</v>
      </c>
      <c r="U34" s="77">
        <f>IF($X7&gt;0,(U7/$X7)*County_Flow!$BS10,0)</f>
        <v>31.415216826798236</v>
      </c>
      <c r="V34" s="77">
        <f>IF($X7&gt;0,(V7/$X7)*County_Flow!$BS10,0)</f>
        <v>6.2830433653596467</v>
      </c>
      <c r="W34" s="77">
        <f>IF($X7&gt;0,(W7/$X7)*County_Flow!$BS10,0)</f>
        <v>0</v>
      </c>
      <c r="X34" s="77">
        <f>IF($X7&gt;0,(X7/$X7)*County_Flow!$BS10,0)</f>
        <v>12098</v>
      </c>
    </row>
    <row r="35" spans="2:24" x14ac:dyDescent="0.25">
      <c r="B35" s="95">
        <v>5</v>
      </c>
      <c r="C35" s="77">
        <f>IF($X8&gt;0,(C8/$X8)*County_Flow!$BS11,0)</f>
        <v>1402.5383275261324</v>
      </c>
      <c r="D35" s="77">
        <f>IF($X8&gt;0,(D8/$X8)*County_Flow!$BS11,0)</f>
        <v>537.27526132404182</v>
      </c>
      <c r="E35" s="77">
        <f>IF($X8&gt;0,(E8/$X8)*County_Flow!$BS11,0)</f>
        <v>552.89372822299651</v>
      </c>
      <c r="F35" s="77">
        <f>IF($X8&gt;0,(F8/$X8)*County_Flow!$BS11,0)</f>
        <v>587.25435540069691</v>
      </c>
      <c r="G35" s="77">
        <f>IF($X8&gt;0,(G8/$X8)*County_Flow!$BS11,0)</f>
        <v>3039.3536585365855</v>
      </c>
      <c r="H35" s="77">
        <f>IF($X8&gt;0,(H8/$X8)*County_Flow!$BS11,0)</f>
        <v>2851.9320557491292</v>
      </c>
      <c r="I35" s="77">
        <f>IF($X8&gt;0,(I8/$X8)*County_Flow!$BS11,0)</f>
        <v>531.02787456445992</v>
      </c>
      <c r="J35" s="77">
        <f>IF($X8&gt;0,(J8/$X8)*County_Flow!$BS11,0)</f>
        <v>71.844947735191639</v>
      </c>
      <c r="K35" s="77">
        <f>IF($X8&gt;0,(K8/$X8)*County_Flow!$BS11,0)</f>
        <v>243.64808362369337</v>
      </c>
      <c r="L35" s="77">
        <f>IF($X8&gt;0,(L8/$X8)*County_Flow!$BS11,0)</f>
        <v>627.86236933797909</v>
      </c>
      <c r="M35" s="77">
        <f>IF($X8&gt;0,(M8/$X8)*County_Flow!$BS11,0)</f>
        <v>243.64808362369337</v>
      </c>
      <c r="N35" s="77">
        <f>IF($X8&gt;0,(N8/$X8)*County_Flow!$BS11,0)</f>
        <v>1502.4965156794424</v>
      </c>
      <c r="O35" s="77">
        <f>IF($X8&gt;0,(O8/$X8)*County_Flow!$BS11,0)</f>
        <v>37.484320557491287</v>
      </c>
      <c r="P35" s="77">
        <f>IF($X8&gt;0,(P8/$X8)*County_Flow!$BS11,0)</f>
        <v>21.865853658536587</v>
      </c>
      <c r="Q35" s="77">
        <f>IF($X8&gt;0,(Q8/$X8)*County_Flow!$BS11,0)</f>
        <v>49.979094076655052</v>
      </c>
      <c r="R35" s="77">
        <f>IF($X8&gt;0,(R8/$X8)*County_Flow!$BS11,0)</f>
        <v>49.979094076655052</v>
      </c>
      <c r="S35" s="77">
        <f>IF($X8&gt;0,(S8/$X8)*County_Flow!$BS11,0)</f>
        <v>12.494773519163763</v>
      </c>
      <c r="T35" s="77">
        <f>IF($X8&gt;0,(T8/$X8)*County_Flow!$BS11,0)</f>
        <v>31.236933797909405</v>
      </c>
      <c r="U35" s="77">
        <f>IF($X8&gt;0,(U8/$X8)*County_Flow!$BS11,0)</f>
        <v>153.0609756097561</v>
      </c>
      <c r="V35" s="77">
        <f>IF($X8&gt;0,(V8/$X8)*County_Flow!$BS11,0)</f>
        <v>3.1236933797909407</v>
      </c>
      <c r="W35" s="77">
        <f>IF($X8&gt;0,(W8/$X8)*County_Flow!$BS11,0)</f>
        <v>0</v>
      </c>
      <c r="X35" s="77">
        <f>IF($X8&gt;0,(X8/$X8)*County_Flow!$BS11,0)</f>
        <v>12551</v>
      </c>
    </row>
    <row r="36" spans="2:24" x14ac:dyDescent="0.25">
      <c r="B36" s="95">
        <v>6</v>
      </c>
      <c r="C36" s="77">
        <f>IF($X9&gt;0,(C9/$X9)*County_Flow!$BS12,0)</f>
        <v>3079.1192107426691</v>
      </c>
      <c r="D36" s="77">
        <f>IF($X9&gt;0,(D9/$X9)*County_Flow!$BS12,0)</f>
        <v>1486.6234584817757</v>
      </c>
      <c r="E36" s="77">
        <f>IF($X9&gt;0,(E9/$X9)*County_Flow!$BS12,0)</f>
        <v>626.41107152644554</v>
      </c>
      <c r="F36" s="77">
        <f>IF($X9&gt;0,(F9/$X9)*County_Flow!$BS12,0)</f>
        <v>569.06357906275684</v>
      </c>
      <c r="G36" s="77">
        <f>IF($X9&gt;0,(G9/$X9)*County_Flow!$BS12,0)</f>
        <v>1636.6092080021924</v>
      </c>
      <c r="H36" s="77">
        <f>IF($X9&gt;0,(H9/$X9)*County_Flow!$BS12,0)</f>
        <v>15466.177582899425</v>
      </c>
      <c r="I36" s="77">
        <f>IF($X9&gt;0,(I9/$X9)*County_Flow!$BS12,0)</f>
        <v>794.04220334338174</v>
      </c>
      <c r="J36" s="77">
        <f>IF($X9&gt;0,(J9/$X9)*County_Flow!$BS12,0)</f>
        <v>52.936146889558778</v>
      </c>
      <c r="K36" s="77">
        <f>IF($X9&gt;0,(K9/$X9)*County_Flow!$BS12,0)</f>
        <v>780.8081666209921</v>
      </c>
      <c r="L36" s="77">
        <f>IF($X9&gt;0,(L9/$X9)*County_Flow!$BS12,0)</f>
        <v>891.09180597423949</v>
      </c>
      <c r="M36" s="77">
        <f>IF($X9&gt;0,(M9/$X9)*County_Flow!$BS12,0)</f>
        <v>330.85091805974241</v>
      </c>
      <c r="N36" s="77">
        <f>IF($X9&gt;0,(N9/$X9)*County_Flow!$BS12,0)</f>
        <v>5496.5365853658541</v>
      </c>
      <c r="O36" s="77">
        <f>IF($X9&gt;0,(O9/$X9)*County_Flow!$BS12,0)</f>
        <v>269.09208002192378</v>
      </c>
      <c r="P36" s="77">
        <f>IF($X9&gt;0,(P9/$X9)*County_Flow!$BS12,0)</f>
        <v>26.468073444779389</v>
      </c>
      <c r="Q36" s="77">
        <f>IF($X9&gt;0,(Q9/$X9)*County_Flow!$BS12,0)</f>
        <v>220.56727870649493</v>
      </c>
      <c r="R36" s="77">
        <f>IF($X9&gt;0,(R9/$X9)*County_Flow!$BS12,0)</f>
        <v>114.69498492737736</v>
      </c>
      <c r="S36" s="77">
        <f>IF($X9&gt;0,(S9/$X9)*County_Flow!$BS12,0)</f>
        <v>26.468073444779389</v>
      </c>
      <c r="T36" s="77">
        <f>IF($X9&gt;0,(T9/$X9)*County_Flow!$BS12,0)</f>
        <v>105.87229377911756</v>
      </c>
      <c r="U36" s="77">
        <f>IF($X9&gt;0,(U9/$X9)*County_Flow!$BS12,0)</f>
        <v>167.63113181693615</v>
      </c>
      <c r="V36" s="77">
        <f>IF($X9&gt;0,(V9/$X9)*County_Flow!$BS12,0)</f>
        <v>52.936146889558778</v>
      </c>
      <c r="W36" s="77">
        <f>IF($X9&gt;0,(W9/$X9)*County_Flow!$BS12,0)</f>
        <v>0</v>
      </c>
      <c r="X36" s="77">
        <f>IF($X9&gt;0,(X9/$X9)*County_Flow!$BS12,0)</f>
        <v>32194</v>
      </c>
    </row>
    <row r="37" spans="2:24" x14ac:dyDescent="0.25">
      <c r="B37" s="95">
        <v>7</v>
      </c>
      <c r="C37" s="77">
        <f>IF($X10&gt;0,(C10/$X10)*County_Flow!$BS13,0)</f>
        <v>3269.050195850863</v>
      </c>
      <c r="D37" s="77">
        <f>IF($X10&gt;0,(D10/$X10)*County_Flow!$BS13,0)</f>
        <v>5760.5429058465115</v>
      </c>
      <c r="E37" s="77">
        <f>IF($X10&gt;0,(E10/$X10)*County_Flow!$BS13,0)</f>
        <v>2567.5940809516901</v>
      </c>
      <c r="F37" s="77">
        <f>IF($X10&gt;0,(F10/$X10)*County_Flow!$BS13,0)</f>
        <v>1187.8431379660526</v>
      </c>
      <c r="G37" s="77">
        <f>IF($X10&gt;0,(G10/$X10)*County_Flow!$BS13,0)</f>
        <v>2044.8107500362687</v>
      </c>
      <c r="H37" s="77">
        <f>IF($X10&gt;0,(H10/$X10)*County_Flow!$BS13,0)</f>
        <v>7580.3582982736107</v>
      </c>
      <c r="I37" s="77">
        <f>IF($X10&gt;0,(I10/$X10)*County_Flow!$BS13,0)</f>
        <v>36065.432322646164</v>
      </c>
      <c r="J37" s="77">
        <f>IF($X10&gt;0,(J10/$X10)*County_Flow!$BS13,0)</f>
        <v>181.98153924271</v>
      </c>
      <c r="K37" s="77">
        <f>IF($X10&gt;0,(K10/$X10)*County_Flow!$BS13,0)</f>
        <v>4248.4417525025392</v>
      </c>
      <c r="L37" s="77">
        <f>IF($X10&gt;0,(L10/$X10)*County_Flow!$BS13,0)</f>
        <v>1303.6495720295952</v>
      </c>
      <c r="M37" s="77">
        <f>IF($X10&gt;0,(M10/$X10)*County_Flow!$BS13,0)</f>
        <v>1803.2716161323081</v>
      </c>
      <c r="N37" s="77">
        <f>IF($X10&gt;0,(N10/$X10)*County_Flow!$BS13,0)</f>
        <v>12272.173255476569</v>
      </c>
      <c r="O37" s="77">
        <f>IF($X10&gt;0,(O10/$X10)*County_Flow!$BS13,0)</f>
        <v>10465.592884085303</v>
      </c>
      <c r="P37" s="77">
        <f>IF($X10&gt;0,(P10/$X10)*County_Flow!$BS13,0)</f>
        <v>82.718881473959087</v>
      </c>
      <c r="Q37" s="77">
        <f>IF($X10&gt;0,(Q10/$X10)*County_Flow!$BS13,0)</f>
        <v>794.1012621500073</v>
      </c>
      <c r="R37" s="77">
        <f>IF($X10&gt;0,(R10/$X10)*County_Flow!$BS13,0)</f>
        <v>115.80643406354272</v>
      </c>
      <c r="S37" s="77">
        <f>IF($X10&gt;0,(S10/$X10)*County_Flow!$BS13,0)</f>
        <v>82.718881473959087</v>
      </c>
      <c r="T37" s="77">
        <f>IF($X10&gt;0,(T10/$X10)*County_Flow!$BS13,0)</f>
        <v>919.833961990425</v>
      </c>
      <c r="U37" s="77">
        <f>IF($X10&gt;0,(U10/$X10)*County_Flow!$BS13,0)</f>
        <v>251.46539968083565</v>
      </c>
      <c r="V37" s="77">
        <f>IF($X10&gt;0,(V10/$X10)*County_Flow!$BS13,0)</f>
        <v>231.61286812708545</v>
      </c>
      <c r="W37" s="77">
        <f>IF($X10&gt;0,(W10/$X10)*County_Flow!$BS13,0)</f>
        <v>0</v>
      </c>
      <c r="X37" s="77">
        <f>IF($X10&gt;0,(X10/$X10)*County_Flow!$BS13,0)</f>
        <v>91229</v>
      </c>
    </row>
    <row r="38" spans="2:24" x14ac:dyDescent="0.25">
      <c r="B38" s="95">
        <v>8</v>
      </c>
      <c r="C38" s="77">
        <f>IF($X11&gt;0,(C11/$X11)*County_Flow!$BS14,0)</f>
        <v>402.29305912596396</v>
      </c>
      <c r="D38" s="77">
        <f>IF($X11&gt;0,(D11/$X11)*County_Flow!$BS14,0)</f>
        <v>280.96658097686372</v>
      </c>
      <c r="E38" s="77">
        <f>IF($X11&gt;0,(E11/$X11)*County_Flow!$BS14,0)</f>
        <v>561.93316195372745</v>
      </c>
      <c r="F38" s="77">
        <f>IF($X11&gt;0,(F11/$X11)*County_Flow!$BS14,0)</f>
        <v>220.30334190231363</v>
      </c>
      <c r="G38" s="77">
        <f>IF($X11&gt;0,(G11/$X11)*County_Flow!$BS14,0)</f>
        <v>284.15938303341903</v>
      </c>
      <c r="H38" s="77">
        <f>IF($X11&gt;0,(H11/$X11)*County_Flow!$BS14,0)</f>
        <v>951.45501285347041</v>
      </c>
      <c r="I38" s="77">
        <f>IF($X11&gt;0,(I11/$X11)*County_Flow!$BS14,0)</f>
        <v>124.51928020565553</v>
      </c>
      <c r="J38" s="77">
        <f>IF($X11&gt;0,(J11/$X11)*County_Flow!$BS14,0)</f>
        <v>491.69151670951157</v>
      </c>
      <c r="K38" s="77">
        <f>IF($X11&gt;0,(K11/$X11)*County_Flow!$BS14,0)</f>
        <v>188.37532133676092</v>
      </c>
      <c r="L38" s="77">
        <f>IF($X11&gt;0,(L11/$X11)*County_Flow!$BS14,0)</f>
        <v>223.49614395886888</v>
      </c>
      <c r="M38" s="77">
        <f>IF($X11&gt;0,(M11/$X11)*County_Flow!$BS14,0)</f>
        <v>539.58354755784069</v>
      </c>
      <c r="N38" s="77">
        <f>IF($X11&gt;0,(N11/$X11)*County_Flow!$BS14,0)</f>
        <v>443.79948586118252</v>
      </c>
      <c r="O38" s="77">
        <f>IF($X11&gt;0,(O11/$X11)*County_Flow!$BS14,0)</f>
        <v>31.9280205655527</v>
      </c>
      <c r="P38" s="77">
        <f>IF($X11&gt;0,(P11/$X11)*County_Flow!$BS14,0)</f>
        <v>89.398457583547568</v>
      </c>
      <c r="Q38" s="77">
        <f>IF($X11&gt;0,(Q11/$X11)*County_Flow!$BS14,0)</f>
        <v>12.771208226221079</v>
      </c>
      <c r="R38" s="77">
        <f>IF($X11&gt;0,(R11/$X11)*County_Flow!$BS14,0)</f>
        <v>25.542416452442158</v>
      </c>
      <c r="S38" s="77">
        <f>IF($X11&gt;0,(S11/$X11)*County_Flow!$BS14,0)</f>
        <v>31.9280205655527</v>
      </c>
      <c r="T38" s="77">
        <f>IF($X11&gt;0,(T11/$X11)*County_Flow!$BS14,0)</f>
        <v>9.5784061696658096</v>
      </c>
      <c r="U38" s="77">
        <f>IF($X11&gt;0,(U11/$X11)*County_Flow!$BS14,0)</f>
        <v>35.120822622107966</v>
      </c>
      <c r="V38" s="77">
        <f>IF($X11&gt;0,(V11/$X11)*County_Flow!$BS14,0)</f>
        <v>19.156812339331619</v>
      </c>
      <c r="W38" s="77">
        <f>IF($X11&gt;0,(W11/$X11)*County_Flow!$BS14,0)</f>
        <v>0</v>
      </c>
      <c r="X38" s="77">
        <f>IF($X11&gt;0,(X11/$X11)*County_Flow!$BS14,0)</f>
        <v>4968</v>
      </c>
    </row>
    <row r="39" spans="2:24" x14ac:dyDescent="0.25">
      <c r="B39" s="95">
        <v>9</v>
      </c>
      <c r="C39" s="77">
        <f>IF($X12&gt;0,(C12/$X12)*County_Flow!$BS15,0)</f>
        <v>3340.9518432414479</v>
      </c>
      <c r="D39" s="77">
        <f>IF($X12&gt;0,(D12/$X12)*County_Flow!$BS15,0)</f>
        <v>5058.8369312520754</v>
      </c>
      <c r="E39" s="77">
        <f>IF($X12&gt;0,(E12/$X12)*County_Flow!$BS15,0)</f>
        <v>1846.16871471272</v>
      </c>
      <c r="F39" s="77">
        <f>IF($X12&gt;0,(F12/$X12)*County_Flow!$BS15,0)</f>
        <v>981.64862172035873</v>
      </c>
      <c r="G39" s="77">
        <f>IF($X12&gt;0,(G12/$X12)*County_Flow!$BS15,0)</f>
        <v>1087.6220524742612</v>
      </c>
      <c r="H39" s="77">
        <f>IF($X12&gt;0,(H12/$X12)*County_Flow!$BS15,0)</f>
        <v>6224.5446695450019</v>
      </c>
      <c r="I39" s="77">
        <f>IF($X12&gt;0,(I12/$X12)*County_Flow!$BS15,0)</f>
        <v>7139.2627034207908</v>
      </c>
      <c r="J39" s="77">
        <f>IF($X12&gt;0,(J12/$X12)*County_Flow!$BS15,0)</f>
        <v>189.63666555961476</v>
      </c>
      <c r="K39" s="77">
        <f>IF($X12&gt;0,(K12/$X12)*County_Flow!$BS15,0)</f>
        <v>22594.650946529393</v>
      </c>
      <c r="L39" s="77">
        <f>IF($X12&gt;0,(L12/$X12)*County_Flow!$BS15,0)</f>
        <v>897.98538691464626</v>
      </c>
      <c r="M39" s="77">
        <f>IF($X12&gt;0,(M12/$X12)*County_Flow!$BS15,0)</f>
        <v>3357.6844902025905</v>
      </c>
      <c r="N39" s="77">
        <f>IF($X12&gt;0,(N12/$X12)*County_Flow!$BS15,0)</f>
        <v>4634.9432082364665</v>
      </c>
      <c r="O39" s="77">
        <f>IF($X12&gt;0,(O12/$X12)*County_Flow!$BS15,0)</f>
        <v>2214.2869478578546</v>
      </c>
      <c r="P39" s="77">
        <f>IF($X12&gt;0,(P12/$X12)*County_Flow!$BS15,0)</f>
        <v>150.59382265028228</v>
      </c>
      <c r="Q39" s="77">
        <f>IF($X12&gt;0,(Q12/$X12)*County_Flow!$BS15,0)</f>
        <v>6057.2181999335762</v>
      </c>
      <c r="R39" s="77">
        <f>IF($X12&gt;0,(R12/$X12)*County_Flow!$BS15,0)</f>
        <v>83.663234805712378</v>
      </c>
      <c r="S39" s="77">
        <f>IF($X12&gt;0,(S12/$X12)*County_Flow!$BS15,0)</f>
        <v>133.86117568913983</v>
      </c>
      <c r="T39" s="77">
        <f>IF($X12&gt;0,(T12/$X12)*County_Flow!$BS15,0)</f>
        <v>256.56725340418467</v>
      </c>
      <c r="U39" s="77">
        <f>IF($X12&gt;0,(U12/$X12)*County_Flow!$BS15,0)</f>
        <v>897.98538691464626</v>
      </c>
      <c r="V39" s="77">
        <f>IF($X12&gt;0,(V12/$X12)*County_Flow!$BS15,0)</f>
        <v>27.887744935237464</v>
      </c>
      <c r="W39" s="77">
        <f>IF($X12&gt;0,(W12/$X12)*County_Flow!$BS15,0)</f>
        <v>0</v>
      </c>
      <c r="X39" s="77">
        <f>IF($X12&gt;0,(X12/$X12)*County_Flow!$BS15,0)</f>
        <v>67176</v>
      </c>
    </row>
    <row r="40" spans="2:24" x14ac:dyDescent="0.25">
      <c r="B40" s="95">
        <v>10</v>
      </c>
      <c r="C40" s="77">
        <f>IF($X13&gt;0,(C13/$X13)*County_Flow!$BS16,0)</f>
        <v>2727.5852023121388</v>
      </c>
      <c r="D40" s="77">
        <f>IF($X13&gt;0,(D13/$X13)*County_Flow!$BS16,0)</f>
        <v>931.61664739884384</v>
      </c>
      <c r="E40" s="77">
        <f>IF($X13&gt;0,(E13/$X13)*County_Flow!$BS16,0)</f>
        <v>655.83121387283234</v>
      </c>
      <c r="F40" s="77">
        <f>IF($X13&gt;0,(F13/$X13)*County_Flow!$BS16,0)</f>
        <v>1035.8769942196532</v>
      </c>
      <c r="G40" s="77">
        <f>IF($X13&gt;0,(G13/$X13)*County_Flow!$BS16,0)</f>
        <v>1930.4980346820807</v>
      </c>
      <c r="H40" s="77">
        <f>IF($X13&gt;0,(H13/$X13)*County_Flow!$BS16,0)</f>
        <v>7402.4846242774565</v>
      </c>
      <c r="I40" s="77">
        <f>IF($X13&gt;0,(I13/$X13)*County_Flow!$BS16,0)</f>
        <v>975.33872832369934</v>
      </c>
      <c r="J40" s="77">
        <f>IF($X13&gt;0,(J13/$X13)*County_Flow!$BS16,0)</f>
        <v>114.3500578034682</v>
      </c>
      <c r="K40" s="77">
        <f>IF($X13&gt;0,(K13/$X13)*County_Flow!$BS16,0)</f>
        <v>783.63421965317923</v>
      </c>
      <c r="L40" s="77">
        <f>IF($X13&gt;0,(L13/$X13)*County_Flow!$BS16,0)</f>
        <v>5505.6189595375718</v>
      </c>
      <c r="M40" s="77">
        <f>IF($X13&gt;0,(M13/$X13)*County_Flow!$BS16,0)</f>
        <v>750.0018497109827</v>
      </c>
      <c r="N40" s="77">
        <f>IF($X13&gt;0,(N13/$X13)*County_Flow!$BS16,0)</f>
        <v>4970.864277456647</v>
      </c>
      <c r="O40" s="77">
        <f>IF($X13&gt;0,(O13/$X13)*County_Flow!$BS16,0)</f>
        <v>285.87514450867053</v>
      </c>
      <c r="P40" s="77">
        <f>IF($X13&gt;0,(P13/$X13)*County_Flow!$BS16,0)</f>
        <v>20.179421965317918</v>
      </c>
      <c r="Q40" s="77">
        <f>IF($X13&gt;0,(Q13/$X13)*County_Flow!$BS16,0)</f>
        <v>73.991213872832375</v>
      </c>
      <c r="R40" s="77">
        <f>IF($X13&gt;0,(R13/$X13)*County_Flow!$BS16,0)</f>
        <v>639.01502890173413</v>
      </c>
      <c r="S40" s="77">
        <f>IF($X13&gt;0,(S13/$X13)*County_Flow!$BS16,0)</f>
        <v>97.533872832369937</v>
      </c>
      <c r="T40" s="77">
        <f>IF($X13&gt;0,(T13/$X13)*County_Flow!$BS16,0)</f>
        <v>36.995606936416188</v>
      </c>
      <c r="U40" s="77">
        <f>IF($X13&gt;0,(U13/$X13)*County_Flow!$BS16,0)</f>
        <v>110.98682080924856</v>
      </c>
      <c r="V40" s="77">
        <f>IF($X13&gt;0,(V13/$X13)*County_Flow!$BS16,0)</f>
        <v>43.72208092485549</v>
      </c>
      <c r="W40" s="77">
        <f>IF($X13&gt;0,(W13/$X13)*County_Flow!$BS16,0)</f>
        <v>0</v>
      </c>
      <c r="X40" s="77">
        <f>IF($X13&gt;0,(X13/$X13)*County_Flow!$BS16,0)</f>
        <v>29092</v>
      </c>
    </row>
    <row r="41" spans="2:24" x14ac:dyDescent="0.25">
      <c r="B41" s="95">
        <v>11</v>
      </c>
      <c r="C41" s="77">
        <f>IF($X14&gt;0,(C14/$X14)*County_Flow!$BS17,0)</f>
        <v>3496.6215790066449</v>
      </c>
      <c r="D41" s="77">
        <f>IF($X14&gt;0,(D14/$X14)*County_Flow!$BS17,0)</f>
        <v>2435.0866088523485</v>
      </c>
      <c r="E41" s="77">
        <f>IF($X14&gt;0,(E14/$X14)*County_Flow!$BS17,0)</f>
        <v>4259.7058227277848</v>
      </c>
      <c r="F41" s="77">
        <f>IF($X14&gt;0,(F14/$X14)*County_Flow!$BS17,0)</f>
        <v>1437.9898637233923</v>
      </c>
      <c r="G41" s="77">
        <f>IF($X14&gt;0,(G14/$X14)*County_Flow!$BS17,0)</f>
        <v>1722.8746480459511</v>
      </c>
      <c r="H41" s="77">
        <f>IF($X14&gt;0,(H14/$X14)*County_Flow!$BS17,0)</f>
        <v>5721.4360851447236</v>
      </c>
      <c r="I41" s="77">
        <f>IF($X14&gt;0,(I14/$X14)*County_Flow!$BS17,0)</f>
        <v>1797.4873296542405</v>
      </c>
      <c r="J41" s="77">
        <f>IF($X14&gt;0,(J14/$X14)*County_Flow!$BS17,0)</f>
        <v>953.00743326951238</v>
      </c>
      <c r="K41" s="77">
        <f>IF($X14&gt;0,(K14/$X14)*County_Flow!$BS17,0)</f>
        <v>3252.4346210158801</v>
      </c>
      <c r="L41" s="77">
        <f>IF($X14&gt;0,(L14/$X14)*County_Flow!$BS17,0)</f>
        <v>739.34384502759315</v>
      </c>
      <c r="M41" s="77">
        <f>IF($X14&gt;0,(M14/$X14)*County_Flow!$BS17,0)</f>
        <v>23462.296880279311</v>
      </c>
      <c r="N41" s="77">
        <f>IF($X14&gt;0,(N14/$X14)*County_Flow!$BS17,0)</f>
        <v>3038.771032773961</v>
      </c>
      <c r="O41" s="77">
        <f>IF($X14&gt;0,(O14/$X14)*County_Flow!$BS17,0)</f>
        <v>579.94402522806615</v>
      </c>
      <c r="P41" s="77">
        <f>IF($X14&gt;0,(P14/$X14)*County_Flow!$BS17,0)</f>
        <v>373.06340804144611</v>
      </c>
      <c r="Q41" s="77">
        <f>IF($X14&gt;0,(Q14/$X14)*County_Flow!$BS17,0)</f>
        <v>752.90978713819129</v>
      </c>
      <c r="R41" s="77">
        <f>IF($X14&gt;0,(R14/$X14)*County_Flow!$BS17,0)</f>
        <v>23.74039869354657</v>
      </c>
      <c r="S41" s="77">
        <f>IF($X14&gt;0,(S14/$X14)*County_Flow!$BS17,0)</f>
        <v>1109.0157675413898</v>
      </c>
      <c r="T41" s="77">
        <f>IF($X14&gt;0,(T14/$X14)*County_Flow!$BS17,0)</f>
        <v>101.7445658294853</v>
      </c>
      <c r="U41" s="77">
        <f>IF($X14&gt;0,(U14/$X14)*County_Flow!$BS17,0)</f>
        <v>4890.5221308705932</v>
      </c>
      <c r="V41" s="77">
        <f>IF($X14&gt;0,(V14/$X14)*County_Flow!$BS17,0)</f>
        <v>78.004167135938729</v>
      </c>
      <c r="W41" s="77">
        <f>IF($X14&gt;0,(W14/$X14)*County_Flow!$BS17,0)</f>
        <v>0</v>
      </c>
      <c r="X41" s="77">
        <f>IF($X14&gt;0,(X14/$X14)*County_Flow!$BS17,0)</f>
        <v>60226</v>
      </c>
    </row>
    <row r="42" spans="2:24" x14ac:dyDescent="0.25">
      <c r="B42" s="95">
        <v>12</v>
      </c>
      <c r="C42" s="77">
        <f>IF($X15&gt;0,(C15/$X15)*County_Flow!$BS18,0)</f>
        <v>6973.0545397142787</v>
      </c>
      <c r="D42" s="77">
        <f>IF($X15&gt;0,(D15/$X15)*County_Flow!$BS18,0)</f>
        <v>4386.4978557710019</v>
      </c>
      <c r="E42" s="77">
        <f>IF($X15&gt;0,(E15/$X15)*County_Flow!$BS18,0)</f>
        <v>1817.1161830092874</v>
      </c>
      <c r="F42" s="77">
        <f>IF($X15&gt;0,(F15/$X15)*County_Flow!$BS18,0)</f>
        <v>1635.0610644847272</v>
      </c>
      <c r="G42" s="77">
        <f>IF($X15&gt;0,(G15/$X15)*County_Flow!$BS18,0)</f>
        <v>2967.8419321739584</v>
      </c>
      <c r="H42" s="77">
        <f>IF($X15&gt;0,(H15/$X15)*County_Flow!$BS18,0)</f>
        <v>17669.651503591253</v>
      </c>
      <c r="I42" s="77">
        <f>IF($X15&gt;0,(I15/$X15)*County_Flow!$BS18,0)</f>
        <v>8154.6953090057614</v>
      </c>
      <c r="J42" s="77">
        <f>IF($X15&gt;0,(J15/$X15)*County_Flow!$BS18,0)</f>
        <v>120.22507827093582</v>
      </c>
      <c r="K42" s="77">
        <f>IF($X15&gt;0,(K15/$X15)*County_Flow!$BS18,0)</f>
        <v>2936.9269120471467</v>
      </c>
      <c r="L42" s="77">
        <f>IF($X15&gt;0,(L15/$X15)*County_Flow!$BS18,0)</f>
        <v>2115.9613775684707</v>
      </c>
      <c r="M42" s="77">
        <f>IF($X15&gt;0,(M15/$X15)*County_Flow!$BS18,0)</f>
        <v>2212.1414401852194</v>
      </c>
      <c r="N42" s="77">
        <f>IF($X15&gt;0,(N15/$X15)*County_Flow!$BS18,0)</f>
        <v>70891.576153016387</v>
      </c>
      <c r="O42" s="77">
        <f>IF($X15&gt;0,(O15/$X15)*County_Flow!$BS18,0)</f>
        <v>3276.9921334420796</v>
      </c>
      <c r="P42" s="77">
        <f>IF($X15&gt;0,(P15/$X15)*County_Flow!$BS18,0)</f>
        <v>72.135046962561503</v>
      </c>
      <c r="Q42" s="77">
        <f>IF($X15&gt;0,(Q15/$X15)*County_Flow!$BS18,0)</f>
        <v>419.07027283011917</v>
      </c>
      <c r="R42" s="77">
        <f>IF($X15&gt;0,(R15/$X15)*County_Flow!$BS18,0)</f>
        <v>676.69544055355311</v>
      </c>
      <c r="S42" s="77">
        <f>IF($X15&gt;0,(S15/$X15)*County_Flow!$BS18,0)</f>
        <v>116.79007603462337</v>
      </c>
      <c r="T42" s="77">
        <f>IF($X15&gt;0,(T15/$X15)*County_Flow!$BS18,0)</f>
        <v>2840.746849430398</v>
      </c>
      <c r="U42" s="77">
        <f>IF($X15&gt;0,(U15/$X15)*County_Flow!$BS18,0)</f>
        <v>140.83509168881056</v>
      </c>
      <c r="V42" s="77">
        <f>IF($X15&gt;0,(V15/$X15)*County_Flow!$BS18,0)</f>
        <v>1136.9857402194216</v>
      </c>
      <c r="W42" s="77">
        <f>IF($X15&gt;0,(W15/$X15)*County_Flow!$BS18,0)</f>
        <v>0</v>
      </c>
      <c r="X42" s="77">
        <f>IF($X15&gt;0,(X15/$X15)*County_Flow!$BS18,0)</f>
        <v>130561</v>
      </c>
    </row>
    <row r="43" spans="2:24" x14ac:dyDescent="0.25">
      <c r="B43" s="95">
        <v>13</v>
      </c>
      <c r="C43" s="77">
        <f>IF($X16&gt;0,(C16/$X16)*County_Flow!$BS19,0)</f>
        <v>1258.0401538526567</v>
      </c>
      <c r="D43" s="77">
        <f>IF($X16&gt;0,(D16/$X16)*County_Flow!$BS19,0)</f>
        <v>1685.944968088254</v>
      </c>
      <c r="E43" s="77">
        <f>IF($X16&gt;0,(E16/$X16)*County_Flow!$BS19,0)</f>
        <v>449.30005494737736</v>
      </c>
      <c r="F43" s="77">
        <f>IF($X16&gt;0,(F16/$X16)*County_Flow!$BS19,0)</f>
        <v>393.67242909674962</v>
      </c>
      <c r="G43" s="77">
        <f>IF($X16&gt;0,(G16/$X16)*County_Flow!$BS19,0)</f>
        <v>265.30098482607042</v>
      </c>
      <c r="H43" s="77">
        <f>IF($X16&gt;0,(H16/$X16)*County_Flow!$BS19,0)</f>
        <v>3110.8679994927934</v>
      </c>
      <c r="I43" s="77">
        <f>IF($X16&gt;0,(I16/$X16)*County_Flow!$BS19,0)</f>
        <v>13568.861659410793</v>
      </c>
      <c r="J43" s="77">
        <f>IF($X16&gt;0,(J16/$X16)*County_Flow!$BS19,0)</f>
        <v>4.2790481423559745</v>
      </c>
      <c r="K43" s="77">
        <f>IF($X16&gt;0,(K16/$X16)*County_Flow!$BS19,0)</f>
        <v>1703.0611606576779</v>
      </c>
      <c r="L43" s="77">
        <f>IF($X16&gt;0,(L16/$X16)*County_Flow!$BS19,0)</f>
        <v>290.97527368020627</v>
      </c>
      <c r="M43" s="77">
        <f>IF($X16&gt;0,(M16/$X16)*County_Flow!$BS19,0)</f>
        <v>393.67242909674962</v>
      </c>
      <c r="N43" s="77">
        <f>IF($X16&gt;0,(N16/$X16)*County_Flow!$BS19,0)</f>
        <v>5866.5750031700409</v>
      </c>
      <c r="O43" s="77">
        <f>IF($X16&gt;0,(O16/$X16)*County_Flow!$BS19,0)</f>
        <v>67549.053975231407</v>
      </c>
      <c r="P43" s="77">
        <f>IF($X16&gt;0,(P16/$X16)*County_Flow!$BS19,0)</f>
        <v>12.837144427067924</v>
      </c>
      <c r="Q43" s="77">
        <f>IF($X16&gt;0,(Q16/$X16)*County_Flow!$BS19,0)</f>
        <v>2267.8955154486666</v>
      </c>
      <c r="R43" s="77">
        <f>IF($X16&gt;0,(R16/$X16)*County_Flow!$BS19,0)</f>
        <v>119.81334798596727</v>
      </c>
      <c r="S43" s="77">
        <f>IF($X16&gt;0,(S16/$X16)*County_Flow!$BS19,0)</f>
        <v>17.116192569423898</v>
      </c>
      <c r="T43" s="77">
        <f>IF($X16&gt;0,(T16/$X16)*County_Flow!$BS19,0)</f>
        <v>1822.8745086436452</v>
      </c>
      <c r="U43" s="77">
        <f>IF($X16&gt;0,(U16/$X16)*County_Flow!$BS19,0)</f>
        <v>119.81334798596727</v>
      </c>
      <c r="V43" s="77">
        <f>IF($X16&gt;0,(V16/$X16)*County_Flow!$BS19,0)</f>
        <v>338.044803246122</v>
      </c>
      <c r="W43" s="77">
        <f>IF($X16&gt;0,(W16/$X16)*County_Flow!$BS19,0)</f>
        <v>0</v>
      </c>
      <c r="X43" s="77">
        <f>IF($X16&gt;0,(X16/$X16)*County_Flow!$BS19,0)</f>
        <v>101238</v>
      </c>
    </row>
    <row r="44" spans="2:24" x14ac:dyDescent="0.25">
      <c r="B44" s="95">
        <v>14</v>
      </c>
      <c r="C44" s="77">
        <f>IF($X17&gt;0,(C17/$X17)*County_Flow!$BS20,0)</f>
        <v>1682.7657512116316</v>
      </c>
      <c r="D44" s="77">
        <f>IF($X17&gt;0,(D17/$X17)*County_Flow!$BS20,0)</f>
        <v>3169.8610662358647</v>
      </c>
      <c r="E44" s="77">
        <f>IF($X17&gt;0,(E17/$X17)*County_Flow!$BS20,0)</f>
        <v>743.5476575121163</v>
      </c>
      <c r="F44" s="77">
        <f>IF($X17&gt;0,(F17/$X17)*County_Flow!$BS20,0)</f>
        <v>939.21809369951529</v>
      </c>
      <c r="G44" s="77">
        <f>IF($X17&gt;0,(G17/$X17)*County_Flow!$BS20,0)</f>
        <v>860.94991922455586</v>
      </c>
      <c r="H44" s="77">
        <f>IF($X17&gt;0,(H17/$X17)*County_Flow!$BS20,0)</f>
        <v>3052.458804523425</v>
      </c>
      <c r="I44" s="77">
        <f>IF($X17&gt;0,(I17/$X17)*County_Flow!$BS20,0)</f>
        <v>1291.4248788368336</v>
      </c>
      <c r="J44" s="77">
        <f>IF($X17&gt;0,(J17/$X17)*County_Flow!$BS20,0)</f>
        <v>1095.7544426494346</v>
      </c>
      <c r="K44" s="77">
        <f>IF($X17&gt;0,(K17/$X17)*County_Flow!$BS20,0)</f>
        <v>900.08400646203552</v>
      </c>
      <c r="L44" s="77">
        <f>IF($X17&gt;0,(L17/$X17)*County_Flow!$BS20,0)</f>
        <v>469.60904684975765</v>
      </c>
      <c r="M44" s="77">
        <f>IF($X17&gt;0,(M17/$X17)*County_Flow!$BS20,0)</f>
        <v>2661.1179321486266</v>
      </c>
      <c r="N44" s="77">
        <f>IF($X17&gt;0,(N17/$X17)*County_Flow!$BS20,0)</f>
        <v>2387.1793214862682</v>
      </c>
      <c r="O44" s="77">
        <f>IF($X17&gt;0,(O17/$X17)*County_Flow!$BS20,0)</f>
        <v>156.53634894991924</v>
      </c>
      <c r="P44" s="77">
        <f>IF($X17&gt;0,(P17/$X17)*County_Flow!$BS20,0)</f>
        <v>3052.458804523425</v>
      </c>
      <c r="Q44" s="77">
        <f>IF($X17&gt;0,(Q17/$X17)*County_Flow!$BS20,0)</f>
        <v>430.47495961227793</v>
      </c>
      <c r="R44" s="77">
        <f>IF($X17&gt;0,(R17/$X17)*County_Flow!$BS20,0)</f>
        <v>39.134087237479811</v>
      </c>
      <c r="S44" s="77">
        <f>IF($X17&gt;0,(S17/$X17)*County_Flow!$BS20,0)</f>
        <v>626.14539579967698</v>
      </c>
      <c r="T44" s="77">
        <f>IF($X17&gt;0,(T17/$X17)*County_Flow!$BS20,0)</f>
        <v>117.40226171243941</v>
      </c>
      <c r="U44" s="77">
        <f>IF($X17&gt;0,(U17/$X17)*County_Flow!$BS20,0)</f>
        <v>469.60904684975765</v>
      </c>
      <c r="V44" s="77">
        <f>IF($X17&gt;0,(V17/$X17)*County_Flow!$BS20,0)</f>
        <v>78.268174474959622</v>
      </c>
      <c r="W44" s="77">
        <f>IF($X17&gt;0,(W17/$X17)*County_Flow!$BS20,0)</f>
        <v>0</v>
      </c>
      <c r="X44" s="77">
        <f>IF($X17&gt;0,(X17/$X17)*County_Flow!$BS20,0)</f>
        <v>24224</v>
      </c>
    </row>
    <row r="45" spans="2:24" x14ac:dyDescent="0.25">
      <c r="B45" s="95">
        <v>15</v>
      </c>
      <c r="C45" s="77">
        <f>IF($X18&gt;0,(C18/$X18)*County_Flow!$BS21,0)</f>
        <v>953.37663482733285</v>
      </c>
      <c r="D45" s="77">
        <f>IF($X18&gt;0,(D18/$X18)*County_Flow!$BS21,0)</f>
        <v>1922.0317413666423</v>
      </c>
      <c r="E45" s="77">
        <f>IF($X18&gt;0,(E18/$X18)*County_Flow!$BS21,0)</f>
        <v>357.5162380602498</v>
      </c>
      <c r="F45" s="77">
        <f>IF($X18&gt;0,(F18/$X18)*County_Flow!$BS21,0)</f>
        <v>345.29346069066861</v>
      </c>
      <c r="G45" s="77">
        <f>IF($X18&gt;0,(G18/$X18)*County_Flow!$BS21,0)</f>
        <v>455.29845701689936</v>
      </c>
      <c r="H45" s="77">
        <f>IF($X18&gt;0,(H18/$X18)*County_Flow!$BS21,0)</f>
        <v>2028.9810433504774</v>
      </c>
      <c r="I45" s="77">
        <f>IF($X18&gt;0,(I18/$X18)*County_Flow!$BS21,0)</f>
        <v>1592.01675238795</v>
      </c>
      <c r="J45" s="77">
        <f>IF($X18&gt;0,(J18/$X18)*County_Flow!$BS21,0)</f>
        <v>30.556943423952973</v>
      </c>
      <c r="K45" s="77">
        <f>IF($X18&gt;0,(K18/$X18)*County_Flow!$BS21,0)</f>
        <v>5011.3387215282883</v>
      </c>
      <c r="L45" s="77">
        <f>IF($X18&gt;0,(L18/$X18)*County_Flow!$BS21,0)</f>
        <v>220.00999265246142</v>
      </c>
      <c r="M45" s="77">
        <f>IF($X18&gt;0,(M18/$X18)*County_Flow!$BS21,0)</f>
        <v>690.58692138133722</v>
      </c>
      <c r="N45" s="77">
        <f>IF($X18&gt;0,(N18/$X18)*County_Flow!$BS21,0)</f>
        <v>1323.1156502571639</v>
      </c>
      <c r="O45" s="77">
        <f>IF($X18&gt;0,(O18/$X18)*County_Flow!$BS21,0)</f>
        <v>1595.0724467303455</v>
      </c>
      <c r="P45" s="77">
        <f>IF($X18&gt;0,(P18/$X18)*County_Flow!$BS21,0)</f>
        <v>3.0556943423952974</v>
      </c>
      <c r="Q45" s="77">
        <f>IF($X18&gt;0,(Q18/$X18)*County_Flow!$BS21,0)</f>
        <v>23852.750036737692</v>
      </c>
      <c r="R45" s="77">
        <f>IF($X18&gt;0,(R18/$X18)*County_Flow!$BS21,0)</f>
        <v>42.779720793534167</v>
      </c>
      <c r="S45" s="77">
        <f>IF($X18&gt;0,(S18/$X18)*County_Flow!$BS21,0)</f>
        <v>119.17207935341661</v>
      </c>
      <c r="T45" s="77">
        <f>IF($X18&gt;0,(T18/$X18)*County_Flow!$BS21,0)</f>
        <v>48.891109478324758</v>
      </c>
      <c r="U45" s="77">
        <f>IF($X18&gt;0,(U18/$X18)*County_Flow!$BS21,0)</f>
        <v>983.93357825128578</v>
      </c>
      <c r="V45" s="77">
        <f>IF($X18&gt;0,(V18/$X18)*County_Flow!$BS21,0)</f>
        <v>12.222777369581189</v>
      </c>
      <c r="W45" s="77">
        <f>IF($X18&gt;0,(W18/$X18)*County_Flow!$BS21,0)</f>
        <v>0</v>
      </c>
      <c r="X45" s="77">
        <f>IF($X18&gt;0,(X18/$X18)*County_Flow!$BS21,0)</f>
        <v>41588</v>
      </c>
    </row>
    <row r="46" spans="2:24" x14ac:dyDescent="0.25">
      <c r="B46" s="95">
        <v>16</v>
      </c>
      <c r="C46" s="77">
        <f>IF($X19&gt;0,(C19/$X19)*County_Flow!$BS22,0)</f>
        <v>1908.2711426726921</v>
      </c>
      <c r="D46" s="77">
        <f>IF($X19&gt;0,(D19/$X19)*County_Flow!$BS22,0)</f>
        <v>597.70561652679146</v>
      </c>
      <c r="E46" s="77">
        <f>IF($X19&gt;0,(E19/$X19)*County_Flow!$BS22,0)</f>
        <v>367.3970303421562</v>
      </c>
      <c r="F46" s="77">
        <f>IF($X19&gt;0,(F19/$X19)*County_Flow!$BS22,0)</f>
        <v>460.61717236927052</v>
      </c>
      <c r="G46" s="77">
        <f>IF($X19&gt;0,(G19/$X19)*County_Flow!$BS22,0)</f>
        <v>537.38670109748227</v>
      </c>
      <c r="H46" s="77">
        <f>IF($X19&gt;0,(H19/$X19)*County_Flow!$BS22,0)</f>
        <v>3476.5629438347323</v>
      </c>
      <c r="I46" s="77">
        <f>IF($X19&gt;0,(I19/$X19)*County_Flow!$BS22,0)</f>
        <v>570.28792769528729</v>
      </c>
      <c r="J46" s="77">
        <f>IF($X19&gt;0,(J19/$X19)*County_Flow!$BS22,0)</f>
        <v>76.769528728211753</v>
      </c>
      <c r="K46" s="77">
        <f>IF($X19&gt;0,(K19/$X19)*County_Flow!$BS22,0)</f>
        <v>740.27759845061337</v>
      </c>
      <c r="L46" s="77">
        <f>IF($X19&gt;0,(L19/$X19)*County_Flow!$BS22,0)</f>
        <v>2703.3841187863136</v>
      </c>
      <c r="M46" s="77">
        <f>IF($X19&gt;0,(M19/$X19)*County_Flow!$BS22,0)</f>
        <v>466.10071013557132</v>
      </c>
      <c r="N46" s="77">
        <f>IF($X19&gt;0,(N19/$X19)*County_Flow!$BS22,0)</f>
        <v>3750.739832149774</v>
      </c>
      <c r="O46" s="77">
        <f>IF($X19&gt;0,(O19/$X19)*County_Flow!$BS22,0)</f>
        <v>43.868302130406711</v>
      </c>
      <c r="P46" s="77">
        <f>IF($X19&gt;0,(P19/$X19)*County_Flow!$BS22,0)</f>
        <v>5.4835377663008389</v>
      </c>
      <c r="Q46" s="77">
        <f>IF($X19&gt;0,(Q19/$X19)*County_Flow!$BS22,0)</f>
        <v>16.450613298902518</v>
      </c>
      <c r="R46" s="77">
        <f>IF($X19&gt;0,(R19/$X19)*County_Flow!$BS22,0)</f>
        <v>1107.6746287927695</v>
      </c>
      <c r="S46" s="77">
        <f>IF($X19&gt;0,(S19/$X19)*County_Flow!$BS22,0)</f>
        <v>60.318915429309236</v>
      </c>
      <c r="T46" s="77">
        <f>IF($X19&gt;0,(T19/$X19)*County_Flow!$BS22,0)</f>
        <v>43.868302130406711</v>
      </c>
      <c r="U46" s="77">
        <f>IF($X19&gt;0,(U19/$X19)*County_Flow!$BS22,0)</f>
        <v>49.351839896707553</v>
      </c>
      <c r="V46" s="77">
        <f>IF($X19&gt;0,(V19/$X19)*County_Flow!$BS22,0)</f>
        <v>5.4835377663008389</v>
      </c>
      <c r="W46" s="77">
        <f>IF($X19&gt;0,(W19/$X19)*County_Flow!$BS22,0)</f>
        <v>0</v>
      </c>
      <c r="X46" s="77">
        <f>IF($X19&gt;0,(X19/$X19)*County_Flow!$BS22,0)</f>
        <v>16988</v>
      </c>
    </row>
    <row r="47" spans="2:24" x14ac:dyDescent="0.25">
      <c r="B47" s="95">
        <v>17</v>
      </c>
      <c r="C47" s="77">
        <f>IF($X20&gt;0,(C20/$X20)*County_Flow!$BS23,0)</f>
        <v>1663.5507246376812</v>
      </c>
      <c r="D47" s="77">
        <f>IF($X20&gt;0,(D20/$X20)*County_Flow!$BS23,0)</f>
        <v>591.4847020933978</v>
      </c>
      <c r="E47" s="77">
        <f>IF($X20&gt;0,(E20/$X20)*County_Flow!$BS23,0)</f>
        <v>628.45249597423515</v>
      </c>
      <c r="F47" s="77">
        <f>IF($X20&gt;0,(F20/$X20)*County_Flow!$BS23,0)</f>
        <v>702.38808373590985</v>
      </c>
      <c r="G47" s="77">
        <f>IF($X20&gt;0,(G20/$X20)*County_Flow!$BS23,0)</f>
        <v>665.4202898550725</v>
      </c>
      <c r="H47" s="77">
        <f>IF($X20&gt;0,(H20/$X20)*County_Flow!$BS23,0)</f>
        <v>2292.0032206119163</v>
      </c>
      <c r="I47" s="77">
        <f>IF($X20&gt;0,(I20/$X20)*County_Flow!$BS23,0)</f>
        <v>1219.9371980676328</v>
      </c>
      <c r="J47" s="77">
        <f>IF($X20&gt;0,(J20/$X20)*County_Flow!$BS23,0)</f>
        <v>628.45249597423515</v>
      </c>
      <c r="K47" s="77">
        <f>IF($X20&gt;0,(K20/$X20)*County_Flow!$BS23,0)</f>
        <v>924.19484702093393</v>
      </c>
      <c r="L47" s="77">
        <f>IF($X20&gt;0,(L20/$X20)*County_Flow!$BS23,0)</f>
        <v>628.45249597423515</v>
      </c>
      <c r="M47" s="77">
        <f>IF($X20&gt;0,(M20/$X20)*County_Flow!$BS23,0)</f>
        <v>5877.8792270531403</v>
      </c>
      <c r="N47" s="77">
        <f>IF($X20&gt;0,(N20/$X20)*County_Flow!$BS23,0)</f>
        <v>850.25925925925924</v>
      </c>
      <c r="O47" s="77">
        <f>IF($X20&gt;0,(O20/$X20)*County_Flow!$BS23,0)</f>
        <v>184.83896940418677</v>
      </c>
      <c r="P47" s="77">
        <f>IF($X20&gt;0,(P20/$X20)*County_Flow!$BS23,0)</f>
        <v>517.54911433172299</v>
      </c>
      <c r="Q47" s="77">
        <f>IF($X20&gt;0,(Q20/$X20)*County_Flow!$BS23,0)</f>
        <v>628.45249597423515</v>
      </c>
      <c r="R47" s="77">
        <f>IF($X20&gt;0,(R20/$X20)*County_Flow!$BS23,0)</f>
        <v>110.90338164251207</v>
      </c>
      <c r="S47" s="77">
        <f>IF($X20&gt;0,(S20/$X20)*County_Flow!$BS23,0)</f>
        <v>2994.391304347826</v>
      </c>
      <c r="T47" s="77">
        <f>IF($X20&gt;0,(T20/$X20)*County_Flow!$BS23,0)</f>
        <v>73.935587761674725</v>
      </c>
      <c r="U47" s="77">
        <f>IF($X20&gt;0,(U20/$X20)*County_Flow!$BS23,0)</f>
        <v>1737.4863123993559</v>
      </c>
      <c r="V47" s="77">
        <f>IF($X20&gt;0,(V20/$X20)*County_Flow!$BS23,0)</f>
        <v>36.967793880837363</v>
      </c>
      <c r="W47" s="77">
        <f>IF($X20&gt;0,(W20/$X20)*County_Flow!$BS23,0)</f>
        <v>0</v>
      </c>
      <c r="X47" s="77">
        <f>IF($X20&gt;0,(X20/$X20)*County_Flow!$BS23,0)</f>
        <v>22957</v>
      </c>
    </row>
    <row r="48" spans="2:24" x14ac:dyDescent="0.25">
      <c r="B48" s="95">
        <v>18</v>
      </c>
      <c r="C48" s="77">
        <f>IF($X21&gt;0,(C21/$X21)*County_Flow!$BS24,0)</f>
        <v>916.51768279453245</v>
      </c>
      <c r="D48" s="77">
        <f>IF($X21&gt;0,(D21/$X21)*County_Flow!$BS24,0)</f>
        <v>1497.7240182252117</v>
      </c>
      <c r="E48" s="77">
        <f>IF($X21&gt;0,(E21/$X21)*County_Flow!$BS24,0)</f>
        <v>324.13430245172486</v>
      </c>
      <c r="F48" s="77">
        <f>IF($X21&gt;0,(F21/$X21)*County_Flow!$BS24,0)</f>
        <v>279.42612280321111</v>
      </c>
      <c r="G48" s="77">
        <f>IF($X21&gt;0,(G21/$X21)*County_Flow!$BS24,0)</f>
        <v>659.44564981557824</v>
      </c>
      <c r="H48" s="77">
        <f>IF($X21&gt;0,(H21/$X21)*County_Flow!$BS24,0)</f>
        <v>2671.3137339986984</v>
      </c>
      <c r="I48" s="77">
        <f>IF($X21&gt;0,(I21/$X21)*County_Flow!$BS24,0)</f>
        <v>2078.9303536558909</v>
      </c>
      <c r="J48" s="77">
        <f>IF($X21&gt;0,(J21/$X21)*County_Flow!$BS24,0)</f>
        <v>212.36385333044043</v>
      </c>
      <c r="K48" s="77">
        <f>IF($X21&gt;0,(K21/$X21)*County_Flow!$BS24,0)</f>
        <v>860.63245823389025</v>
      </c>
      <c r="L48" s="77">
        <f>IF($X21&gt;0,(L21/$X21)*County_Flow!$BS24,0)</f>
        <v>245.89498806682579</v>
      </c>
      <c r="M48" s="77">
        <f>IF($X21&gt;0,(M21/$X21)*County_Flow!$BS24,0)</f>
        <v>134.12453894554133</v>
      </c>
      <c r="N48" s="77">
        <f>IF($X21&gt;0,(N21/$X21)*County_Flow!$BS24,0)</f>
        <v>15189.604035582555</v>
      </c>
      <c r="O48" s="77">
        <f>IF($X21&gt;0,(O21/$X21)*County_Flow!$BS24,0)</f>
        <v>2961.916901714038</v>
      </c>
      <c r="P48" s="77">
        <f>IF($X21&gt;0,(P21/$X21)*County_Flow!$BS24,0)</f>
        <v>11.177044912128444</v>
      </c>
      <c r="Q48" s="77">
        <f>IF($X21&gt;0,(Q21/$X21)*County_Flow!$BS24,0)</f>
        <v>78.239314384899103</v>
      </c>
      <c r="R48" s="77">
        <f>IF($X21&gt;0,(R21/$X21)*County_Flow!$BS24,0)</f>
        <v>190.00976350618356</v>
      </c>
      <c r="S48" s="77">
        <f>IF($X21&gt;0,(S21/$X21)*County_Flow!$BS24,0)</f>
        <v>11.177044912128444</v>
      </c>
      <c r="T48" s="77">
        <f>IF($X21&gt;0,(T21/$X21)*County_Flow!$BS24,0)</f>
        <v>16262.600347146885</v>
      </c>
      <c r="U48" s="77">
        <f>IF($X21&gt;0,(U21/$X21)*County_Flow!$BS24,0)</f>
        <v>67.062269472770666</v>
      </c>
      <c r="V48" s="77">
        <f>IF($X21&gt;0,(V21/$X21)*County_Flow!$BS24,0)</f>
        <v>6862.7055760468656</v>
      </c>
      <c r="W48" s="77">
        <f>IF($X21&gt;0,(W21/$X21)*County_Flow!$BS24,0)</f>
        <v>0</v>
      </c>
      <c r="X48" s="77">
        <f>IF($X21&gt;0,(X21/$X21)*County_Flow!$BS24,0)</f>
        <v>51515</v>
      </c>
    </row>
    <row r="49" spans="2:24" x14ac:dyDescent="0.25">
      <c r="B49" s="95">
        <v>19</v>
      </c>
      <c r="C49" s="77">
        <f>IF($X22&gt;0,(C22/$X22)*County_Flow!$BS25,0)</f>
        <v>1651.9514843479267</v>
      </c>
      <c r="D49" s="77">
        <f>IF($X22&gt;0,(D22/$X22)*County_Flow!$BS25,0)</f>
        <v>1322.6773709137115</v>
      </c>
      <c r="E49" s="77">
        <f>IF($X22&gt;0,(E22/$X22)*County_Flow!$BS25,0)</f>
        <v>580.41538639251473</v>
      </c>
      <c r="F49" s="77">
        <f>IF($X22&gt;0,(F22/$X22)*County_Flow!$BS25,0)</f>
        <v>284.62677601940629</v>
      </c>
      <c r="G49" s="77">
        <f>IF($X22&gt;0,(G22/$X22)*County_Flow!$BS25,0)</f>
        <v>301.36952754995957</v>
      </c>
      <c r="H49" s="77">
        <f>IF($X22&gt;0,(H22/$X22)*County_Flow!$BS25,0)</f>
        <v>2048.196603904355</v>
      </c>
      <c r="I49" s="77">
        <f>IF($X22&gt;0,(I22/$X22)*County_Flow!$BS25,0)</f>
        <v>1021.3078433637519</v>
      </c>
      <c r="J49" s="77">
        <f>IF($X22&gt;0,(J22/$X22)*County_Flow!$BS25,0)</f>
        <v>284.62677601940629</v>
      </c>
      <c r="K49" s="77">
        <f>IF($X22&gt;0,(K22/$X22)*County_Flow!$BS25,0)</f>
        <v>1155.2498556081784</v>
      </c>
      <c r="L49" s="77">
        <f>IF($X22&gt;0,(L22/$X22)*County_Flow!$BS25,0)</f>
        <v>111.61834353702206</v>
      </c>
      <c r="M49" s="77">
        <f>IF($X22&gt;0,(M22/$X22)*County_Flow!$BS25,0)</f>
        <v>10458.638789418967</v>
      </c>
      <c r="N49" s="77">
        <f>IF($X22&gt;0,(N22/$X22)*County_Flow!$BS25,0)</f>
        <v>1780.3125794155017</v>
      </c>
      <c r="O49" s="77">
        <f>IF($X22&gt;0,(O22/$X22)*County_Flow!$BS25,0)</f>
        <v>373.92145084902387</v>
      </c>
      <c r="P49" s="77">
        <f>IF($X22&gt;0,(P22/$X22)*County_Flow!$BS25,0)</f>
        <v>234.39852142774632</v>
      </c>
      <c r="Q49" s="77">
        <f>IF($X22&gt;0,(Q22/$X22)*County_Flow!$BS25,0)</f>
        <v>2450.0226406376341</v>
      </c>
      <c r="R49" s="77">
        <f>IF($X22&gt;0,(R22/$X22)*County_Flow!$BS25,0)</f>
        <v>22.323668707404412</v>
      </c>
      <c r="S49" s="77">
        <f>IF($X22&gt;0,(S22/$X22)*County_Flow!$BS25,0)</f>
        <v>1333.8392052674137</v>
      </c>
      <c r="T49" s="77">
        <f>IF($X22&gt;0,(T22/$X22)*County_Flow!$BS25,0)</f>
        <v>16.74275153055331</v>
      </c>
      <c r="U49" s="77">
        <f>IF($X22&gt;0,(U22/$X22)*County_Flow!$BS25,0)</f>
        <v>22876.179507912671</v>
      </c>
      <c r="V49" s="77">
        <f>IF($X22&gt;0,(V22/$X22)*County_Flow!$BS25,0)</f>
        <v>5.580917176851103</v>
      </c>
      <c r="W49" s="77">
        <f>IF($X22&gt;0,(W22/$X22)*County_Flow!$BS25,0)</f>
        <v>0</v>
      </c>
      <c r="X49" s="77">
        <f>IF($X22&gt;0,(X22/$X22)*County_Flow!$BS25,0)</f>
        <v>48314</v>
      </c>
    </row>
    <row r="50" spans="2:24" x14ac:dyDescent="0.25">
      <c r="B50" s="95">
        <v>20</v>
      </c>
      <c r="C50" s="58">
        <f>IF($X23&gt;0,(C23/$X23)*County_Flow!$BS26,0)</f>
        <v>172.67421874999999</v>
      </c>
      <c r="D50" s="58">
        <f>IF($X23&gt;0,(D23/$X23)*County_Flow!$BS26,0)</f>
        <v>428.03750000000002</v>
      </c>
      <c r="E50" s="58">
        <f>IF($X23&gt;0,(E23/$X23)*County_Flow!$BS26,0)</f>
        <v>19.456250000000001</v>
      </c>
      <c r="F50" s="58">
        <f>IF($X23&gt;0,(F23/$X23)*County_Flow!$BS26,0)</f>
        <v>53.504687500000003</v>
      </c>
      <c r="G50" s="58">
        <f>IF($X23&gt;0,(G23/$X23)*County_Flow!$BS26,0)</f>
        <v>143.48984375000001</v>
      </c>
      <c r="H50" s="58">
        <f>IF($X23&gt;0,(H23/$X23)*County_Flow!$BS26,0)</f>
        <v>340.484375</v>
      </c>
      <c r="I50" s="58">
        <f>IF($X23&gt;0,(I23/$X23)*County_Flow!$BS26,0)</f>
        <v>342.91640624999997</v>
      </c>
      <c r="J50" s="58">
        <f>IF($X23&gt;0,(J23/$X23)*County_Flow!$BS26,0)</f>
        <v>4.8640625000000002</v>
      </c>
      <c r="K50" s="58">
        <f>IF($X23&gt;0,(K23/$X23)*County_Flow!$BS26,0)</f>
        <v>141.05781249999998</v>
      </c>
      <c r="L50" s="58">
        <f>IF($X23&gt;0,(L23/$X23)*County_Flow!$BS26,0)</f>
        <v>158.08203125</v>
      </c>
      <c r="M50" s="58">
        <f>IF($X23&gt;0,(M23/$X23)*County_Flow!$BS26,0)</f>
        <v>36.48046875</v>
      </c>
      <c r="N50" s="58">
        <f>IF($X23&gt;0,(N23/$X23)*County_Flow!$BS26,0)</f>
        <v>4460.3453124999996</v>
      </c>
      <c r="O50" s="58">
        <f>IF($X23&gt;0,(O23/$X23)*County_Flow!$BS26,0)</f>
        <v>437.765625</v>
      </c>
      <c r="P50" s="58">
        <f>IF($X23&gt;0,(P23/$X23)*County_Flow!$BS26,0)</f>
        <v>2.4320312500000001</v>
      </c>
      <c r="Q50" s="58">
        <f>IF($X23&gt;0,(Q23/$X23)*County_Flow!$BS26,0)</f>
        <v>24.3203125</v>
      </c>
      <c r="R50" s="58">
        <f>IF($X23&gt;0,(R23/$X23)*County_Flow!$BS26,0)</f>
        <v>53.504687500000003</v>
      </c>
      <c r="S50" s="58">
        <f>IF($X23&gt;0,(S23/$X23)*County_Flow!$BS26,0)</f>
        <v>12.16015625</v>
      </c>
      <c r="T50" s="58">
        <f>IF($X23&gt;0,(T23/$X23)*County_Flow!$BS26,0)</f>
        <v>3779.3765624999996</v>
      </c>
      <c r="U50" s="58">
        <f>IF($X23&gt;0,(U23/$X23)*County_Flow!$BS26,0)</f>
        <v>2.4320312500000001</v>
      </c>
      <c r="V50" s="58">
        <f>IF($X23&gt;0,(V23/$X23)*County_Flow!$BS26,0)</f>
        <v>20516.615624999999</v>
      </c>
      <c r="W50" s="58">
        <f>IF($X23&gt;0,(W23/$X23)*County_Flow!$BS26,0)</f>
        <v>0</v>
      </c>
      <c r="X50" s="77">
        <f>IF($X23&gt;0,(X23/$X23)*County_Flow!$BS26,0)</f>
        <v>31130</v>
      </c>
    </row>
    <row r="51" spans="2:24" x14ac:dyDescent="0.25">
      <c r="B51" s="101" t="s">
        <v>15</v>
      </c>
      <c r="C51" s="60">
        <f>IF($X24&gt;0,(C24/$X24)*County_Flow!$BS27,0)</f>
        <v>0</v>
      </c>
      <c r="D51" s="60">
        <f>IF($X24&gt;0,(D24/$X24)*County_Flow!$BS27,0)</f>
        <v>0</v>
      </c>
      <c r="E51" s="60">
        <f>IF($X24&gt;0,(E24/$X24)*County_Flow!$BS27,0)</f>
        <v>0</v>
      </c>
      <c r="F51" s="60">
        <f>IF($X24&gt;0,(F24/$X24)*County_Flow!$BS27,0)</f>
        <v>0</v>
      </c>
      <c r="G51" s="60">
        <f>IF($X24&gt;0,(G24/$X24)*County_Flow!$BS27,0)</f>
        <v>0</v>
      </c>
      <c r="H51" s="60">
        <f>IF($X24&gt;0,(H24/$X24)*County_Flow!$BS27,0)</f>
        <v>0</v>
      </c>
      <c r="I51" s="60">
        <f>IF($X24&gt;0,(I24/$X24)*County_Flow!$BS27,0)</f>
        <v>0</v>
      </c>
      <c r="J51" s="60">
        <f>IF($X24&gt;0,(J24/$X24)*County_Flow!$BS27,0)</f>
        <v>0</v>
      </c>
      <c r="K51" s="60">
        <f>IF($X24&gt;0,(K24/$X24)*County_Flow!$BS27,0)</f>
        <v>0</v>
      </c>
      <c r="L51" s="60">
        <f>IF($X24&gt;0,(L24/$X24)*County_Flow!$BS27,0)</f>
        <v>0</v>
      </c>
      <c r="M51" s="60">
        <f>IF($X24&gt;0,(M24/$X24)*County_Flow!$BS27,0)</f>
        <v>0</v>
      </c>
      <c r="N51" s="60">
        <f>IF($X24&gt;0,(N24/$X24)*County_Flow!$BS27,0)</f>
        <v>0</v>
      </c>
      <c r="O51" s="60">
        <f>IF($X24&gt;0,(O24/$X24)*County_Flow!$BS27,0)</f>
        <v>0</v>
      </c>
      <c r="P51" s="60">
        <f>IF($X24&gt;0,(P24/$X24)*County_Flow!$BS27,0)</f>
        <v>0</v>
      </c>
      <c r="Q51" s="60">
        <f>IF($X24&gt;0,(Q24/$X24)*County_Flow!$BS27,0)</f>
        <v>0</v>
      </c>
      <c r="R51" s="60">
        <f>IF($X24&gt;0,(R24/$X24)*County_Flow!$BS27,0)</f>
        <v>0</v>
      </c>
      <c r="S51" s="60">
        <f>IF($X24&gt;0,(S24/$X24)*County_Flow!$BS27,0)</f>
        <v>0</v>
      </c>
      <c r="T51" s="60">
        <f>IF($X24&gt;0,(T24/$X24)*County_Flow!$BS27,0)</f>
        <v>0</v>
      </c>
      <c r="U51" s="60">
        <f>IF($X24&gt;0,(U24/$X24)*County_Flow!$BS27,0)</f>
        <v>0</v>
      </c>
      <c r="V51" s="60">
        <f>IF($X24&gt;0,(V24/$X24)*County_Flow!$BS27,0)</f>
        <v>0</v>
      </c>
      <c r="W51" s="60">
        <f>IF($X24&gt;0,(W24/$X24)*County_Flow!$BS27,0)</f>
        <v>0</v>
      </c>
      <c r="X51" s="77">
        <f>IF($X24&gt;0,(X24/$X24)*County_Flow!$BS27,0)</f>
        <v>0</v>
      </c>
    </row>
    <row ht="15.75" r="52" spans="2:24" thickBot="1" x14ac:dyDescent="0.3">
      <c r="B52" s="1" t="s">
        <v>3</v>
      </c>
      <c r="C52" s="107">
        <f>IF($X25&gt;0,(C25/$X25)*County_Flow!$BS28,0)</f>
        <v>46266.217668777659</v>
      </c>
      <c r="D52" s="107">
        <f>IF($X25&gt;0,(D25/$X25)*County_Flow!$BS28,0)</f>
        <v>37835.575616793409</v>
      </c>
      <c r="E52" s="107">
        <f>IF($X25&gt;0,(E25/$X25)*County_Flow!$BS28,0)</f>
        <v>26769.334787392716</v>
      </c>
      <c r="F52" s="107">
        <f>IF($X25&gt;0,(F25/$X25)*County_Flow!$BS28,0)</f>
        <v>15150.600425459081</v>
      </c>
      <c r="G52" s="107">
        <f>IF($X25&gt;0,(G25/$X25)*County_Flow!$BS28,0)</f>
        <v>25296.018700638189</v>
      </c>
      <c r="H52" s="107">
        <f>IF($X25&gt;0,(H25/$X25)*County_Flow!$BS28,0)</f>
        <v>97721.781998679609</v>
      </c>
      <c r="I52" s="107">
        <f>IF($X25&gt;0,(I25/$X25)*County_Flow!$BS28,0)</f>
        <v>85423.685218964718</v>
      </c>
      <c r="J52" s="107">
        <f>IF($X25&gt;0,(J25/$X25)*County_Flow!$BS28,0)</f>
        <v>3851.0845489889239</v>
      </c>
      <c r="K52" s="107">
        <f>IF($X25&gt;0,(K25/$X25)*County_Flow!$BS28,0)</f>
        <v>45337.210025185217</v>
      </c>
      <c r="L52" s="107">
        <f>IF($X25&gt;0,(L25/$X25)*County_Flow!$BS28,0)</f>
        <v>20249.911103503924</v>
      </c>
      <c r="M52" s="107">
        <f>IF($X25&gt;0,(M25/$X25)*County_Flow!$BS28,0)</f>
        <v>52306.813624471237</v>
      </c>
      <c r="N52" s="107">
        <f>IF($X25&gt;0,(N25/$X25)*County_Flow!$BS28,0)</f>
        <v>152991.59797540162</v>
      </c>
      <c r="O52" s="107">
        <f>IF($X25&gt;0,(O25/$X25)*County_Flow!$BS28,0)</f>
        <v>89864.096202655448</v>
      </c>
      <c r="P52" s="107">
        <f>IF($X25&gt;0,(P25/$X25)*County_Flow!$BS28,0)</f>
        <v>1739.3314913074307</v>
      </c>
      <c r="Q52" s="107">
        <f>IF($X25&gt;0,(Q25/$X25)*County_Flow!$BS28,0)</f>
        <v>43687.914516957237</v>
      </c>
      <c r="R52" s="107">
        <f>IF($X25&gt;0,(R25/$X25)*County_Flow!$BS28,0)</f>
        <v>3380.4419101645599</v>
      </c>
      <c r="S52" s="107">
        <f>IF($X25&gt;0,(S25/$X25)*County_Flow!$BS28,0)</f>
        <v>3572.7915103797345</v>
      </c>
      <c r="T52" s="107">
        <f>IF($X25&gt;0,(T25/$X25)*County_Flow!$BS28,0)</f>
        <v>19365.921451451206</v>
      </c>
      <c r="U52" s="107">
        <f>IF($X25&gt;0,(U25/$X25)*County_Flow!$BS28,0)</f>
        <v>26654.743536200702</v>
      </c>
      <c r="V52" s="107">
        <f>IF($X25&gt;0,(V25/$X25)*County_Flow!$BS28,0)</f>
        <v>39398.927686627387</v>
      </c>
      <c r="W52" s="107">
        <f>IF($X25&gt;0,(W25/$X25)*County_Flow!$BS28,0)</f>
        <v>0</v>
      </c>
      <c r="X52" s="107">
        <f>IF($X25&gt;0,(X25/$X25)*County_Flow!$BS28,0)</f>
        <v>836864</v>
      </c>
    </row>
    <row r="53" spans="2:24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</row>
    <row r="54" spans="2:24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</row>
    <row r="55" spans="2:24" x14ac:dyDescent="0.25">
      <c r="B55" s="95"/>
      <c r="C55" s="95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</row>
    <row ht="15.75" r="56" spans="2:24" thickBot="1" x14ac:dyDescent="0.3">
      <c r="B56" s="4" t="s">
        <v>355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7"/>
      <c r="Q56" s="7"/>
      <c r="R56" s="7"/>
      <c r="S56" s="7"/>
      <c r="T56" s="7"/>
      <c r="U56" s="7"/>
      <c r="V56" s="7"/>
      <c r="W56" s="7"/>
      <c r="X56" s="7"/>
    </row>
    <row r="57" spans="2:24" x14ac:dyDescent="0.2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25">
      <c r="B58" s="31">
        <v>1</v>
      </c>
      <c r="C58" s="103">
        <f>IF($X$52&gt;0,C31/$X$52,0)</f>
        <v>3.7952585472932183E-3</v>
      </c>
      <c r="D58" s="103">
        <f ref="D58:X58" si="2" t="shared">IF($X$52&gt;0,D31/$X$52,0)</f>
        <v>5.41167003318896E-4</v>
      </c>
      <c r="E58" s="103">
        <f si="2" t="shared"/>
        <v>3.4266032961240134E-4</v>
      </c>
      <c r="F58" s="103">
        <f si="2" t="shared"/>
        <v>2.5285969150708236E-4</v>
      </c>
      <c r="G58" s="103">
        <f si="2" t="shared"/>
        <v>5.7425144893664504E-4</v>
      </c>
      <c r="H58" s="103">
        <f si="2" t="shared"/>
        <v>3.1831963033648594E-3</v>
      </c>
      <c r="I58" s="103">
        <f si="2" t="shared"/>
        <v>4.2773461834375617E-4</v>
      </c>
      <c r="J58" s="103">
        <f si="2" t="shared"/>
        <v>7.0895240609462341E-6</v>
      </c>
      <c r="K58" s="103">
        <f si="2" t="shared"/>
        <v>3.4029715492541927E-4</v>
      </c>
      <c r="L58" s="103">
        <f si="2" t="shared"/>
        <v>1.8432762558460208E-4</v>
      </c>
      <c r="M58" s="103">
        <f si="2" t="shared"/>
        <v>4.017396967869533E-4</v>
      </c>
      <c r="N58" s="103">
        <f si="2" t="shared"/>
        <v>1.4202679868762292E-3</v>
      </c>
      <c r="O58" s="103">
        <f si="2" t="shared"/>
        <v>2.8121778775086731E-4</v>
      </c>
      <c r="P58" s="103">
        <f si="2" t="shared"/>
        <v>2.3631746869820785E-5</v>
      </c>
      <c r="Q58" s="103">
        <f si="2" t="shared"/>
        <v>4.0173969678695327E-5</v>
      </c>
      <c r="R58" s="103">
        <f si="2" t="shared"/>
        <v>1.1815873434910393E-5</v>
      </c>
      <c r="S58" s="103">
        <f si="2" t="shared"/>
        <v>4.7263493739641567E-6</v>
      </c>
      <c r="T58" s="103">
        <f si="2" t="shared"/>
        <v>3.0721270930767017E-5</v>
      </c>
      <c r="U58" s="103">
        <f si="2" t="shared"/>
        <v>1.7723810152365588E-4</v>
      </c>
      <c r="V58" s="103">
        <f si="2" t="shared"/>
        <v>1.6542222808874549E-5</v>
      </c>
      <c r="W58" s="103">
        <f si="2" t="shared"/>
        <v>0</v>
      </c>
      <c r="X58" s="103">
        <f si="2" t="shared"/>
        <v>1.2056917252982564E-2</v>
      </c>
    </row>
    <row r="59" spans="2:24" x14ac:dyDescent="0.25">
      <c r="B59" s="95">
        <v>2</v>
      </c>
      <c r="C59" s="104">
        <f ref="C59:X59" si="3" t="shared">IF($X$52&gt;0,C32/$X$52,0)</f>
        <v>1.2895148539766497E-3</v>
      </c>
      <c r="D59" s="104">
        <f si="3" t="shared"/>
        <v>6.4552499535378708E-3</v>
      </c>
      <c r="E59" s="104">
        <f si="3" t="shared"/>
        <v>5.6800059044209564E-4</v>
      </c>
      <c r="F59" s="104">
        <f si="3" t="shared"/>
        <v>2.8400029522104782E-4</v>
      </c>
      <c r="G59" s="104">
        <f si="3" t="shared"/>
        <v>5.29622172168981E-4</v>
      </c>
      <c r="H59" s="104">
        <f si="3" t="shared"/>
        <v>2.7862731666281181E-3</v>
      </c>
      <c r="I59" s="104">
        <f si="3" t="shared"/>
        <v>1.4046501087959932E-3</v>
      </c>
      <c r="J59" s="104">
        <f si="3" t="shared"/>
        <v>4.605410192773748E-5</v>
      </c>
      <c r="K59" s="104">
        <f si="3" t="shared"/>
        <v>9.287577222093726E-4</v>
      </c>
      <c r="L59" s="104">
        <f si="3" t="shared"/>
        <v>2.4562187694793328E-4</v>
      </c>
      <c r="M59" s="104">
        <f si="3" t="shared"/>
        <v>3.6843281542189984E-4</v>
      </c>
      <c r="N59" s="104">
        <f si="3" t="shared"/>
        <v>1.6579476693985495E-3</v>
      </c>
      <c r="O59" s="104">
        <f si="3" t="shared"/>
        <v>3.6075713176727701E-4</v>
      </c>
      <c r="P59" s="104">
        <f si="3" t="shared"/>
        <v>7.6756836546229151E-6</v>
      </c>
      <c r="Q59" s="104">
        <f si="3" t="shared"/>
        <v>1.1513525481934371E-4</v>
      </c>
      <c r="R59" s="104">
        <f si="3" t="shared"/>
        <v>0</v>
      </c>
      <c r="S59" s="104">
        <f si="3" t="shared"/>
        <v>3.070273461849166E-5</v>
      </c>
      <c r="T59" s="104">
        <f si="3" t="shared"/>
        <v>5.3729785582360394E-5</v>
      </c>
      <c r="U59" s="104">
        <f si="3" t="shared"/>
        <v>1.3048662212858955E-4</v>
      </c>
      <c r="V59" s="104">
        <f si="3" t="shared"/>
        <v>4.605410192773748E-5</v>
      </c>
      <c r="W59" s="104">
        <f si="3" t="shared"/>
        <v>0</v>
      </c>
      <c r="X59" s="104">
        <f si="3" t="shared"/>
        <v>1.7308666641174673E-2</v>
      </c>
    </row>
    <row r="60" spans="2:24" x14ac:dyDescent="0.25">
      <c r="B60" s="95">
        <v>3</v>
      </c>
      <c r="C60" s="104">
        <f ref="C60:X60" si="4" t="shared">IF($X$52&gt;0,C33/$X$52,0)</f>
        <v>4.7457046412475333E-3</v>
      </c>
      <c r="D60" s="104">
        <f si="4" t="shared"/>
        <v>3.2735484938635124E-3</v>
      </c>
      <c r="E60" s="104">
        <f si="4" t="shared"/>
        <v>9.270350691673826E-3</v>
      </c>
      <c r="F60" s="104">
        <f si="4" t="shared"/>
        <v>1.7402484809331889E-3</v>
      </c>
      <c r="G60" s="104">
        <f si="4" t="shared"/>
        <v>2.0977049256654117E-3</v>
      </c>
      <c r="H60" s="104">
        <f si="4" t="shared"/>
        <v>7.2902301228282233E-3</v>
      </c>
      <c r="I60" s="104">
        <f si="4" t="shared"/>
        <v>1.0582592113782905E-3</v>
      </c>
      <c r="J60" s="104">
        <f si="4" t="shared"/>
        <v>4.2800705882410861E-4</v>
      </c>
      <c r="K60" s="104">
        <f si="4" t="shared"/>
        <v>1.9613070717544321E-3</v>
      </c>
      <c r="L60" s="104">
        <f si="4" t="shared"/>
        <v>1.3780886619281739E-3</v>
      </c>
      <c r="M60" s="104">
        <f si="4" t="shared"/>
        <v>2.9584224175864208E-3</v>
      </c>
      <c r="N60" s="104">
        <f si="4" t="shared"/>
        <v>3.748589295415545E-3</v>
      </c>
      <c r="O60" s="104">
        <f si="4" t="shared"/>
        <v>3.2453282482267581E-4</v>
      </c>
      <c r="P60" s="104">
        <f si="4" t="shared"/>
        <v>1.5050797672935687E-4</v>
      </c>
      <c r="Q60" s="104">
        <f si="4" t="shared"/>
        <v>9.4067485455848052E-5</v>
      </c>
      <c r="R60" s="104">
        <f si="4" t="shared"/>
        <v>9.4067485455848052E-5</v>
      </c>
      <c r="S60" s="104">
        <f si="4" t="shared"/>
        <v>3.2923619909546814E-5</v>
      </c>
      <c r="T60" s="104">
        <f si="4" t="shared"/>
        <v>3.7626994182339218E-5</v>
      </c>
      <c r="U60" s="104">
        <f si="4" t="shared"/>
        <v>1.6932147382052649E-4</v>
      </c>
      <c r="V60" s="104">
        <f si="4" t="shared"/>
        <v>6.1143865546301225E-5</v>
      </c>
      <c r="W60" s="104">
        <f si="4" t="shared"/>
        <v>0</v>
      </c>
      <c r="X60" s="104">
        <f si="4" t="shared"/>
        <v>4.0914652799021109E-2</v>
      </c>
    </row>
    <row r="61" spans="2:24" x14ac:dyDescent="0.25">
      <c r="B61" s="95">
        <v>4</v>
      </c>
      <c r="C61" s="104">
        <f ref="C61:X61" si="5" t="shared">IF($X$52&gt;0,C34/$X$52,0)</f>
        <v>1.1224225000971092E-3</v>
      </c>
      <c r="D61" s="104">
        <f si="5" t="shared"/>
        <v>6.9822938133131209E-4</v>
      </c>
      <c r="E61" s="104">
        <f si="5" t="shared"/>
        <v>1.1374381857171374E-3</v>
      </c>
      <c r="F61" s="104">
        <f si="5" t="shared"/>
        <v>2.3612165637494375E-3</v>
      </c>
      <c r="G61" s="104">
        <f si="5" t="shared"/>
        <v>2.6652841975550083E-3</v>
      </c>
      <c r="H61" s="104">
        <f si="5" t="shared"/>
        <v>2.0684106941588867E-3</v>
      </c>
      <c r="I61" s="104">
        <f si="5" t="shared"/>
        <v>5.5933428934605111E-4</v>
      </c>
      <c r="J61" s="104">
        <f si="5" t="shared"/>
        <v>2.6652841975550085E-4</v>
      </c>
      <c r="K61" s="104">
        <f si="5" t="shared"/>
        <v>5.1428723248596645E-4</v>
      </c>
      <c r="L61" s="104">
        <f si="5" t="shared"/>
        <v>1.0398362291869541E-3</v>
      </c>
      <c r="M61" s="104">
        <f si="5" t="shared"/>
        <v>5.5933428934605111E-4</v>
      </c>
      <c r="N61" s="104">
        <f si="5" t="shared"/>
        <v>1.0022970151368836E-3</v>
      </c>
      <c r="O61" s="104">
        <f si="5" t="shared"/>
        <v>1.2387940636523278E-4</v>
      </c>
      <c r="P61" s="104">
        <f si="5" t="shared"/>
        <v>4.1293135455077601E-5</v>
      </c>
      <c r="Q61" s="104">
        <f si="5" t="shared"/>
        <v>1.4264901339026804E-4</v>
      </c>
      <c r="R61" s="104">
        <f si="5" t="shared"/>
        <v>6.0062742480112869E-5</v>
      </c>
      <c r="S61" s="104">
        <f si="5" t="shared"/>
        <v>1.8769607025035272E-5</v>
      </c>
      <c r="T61" s="104">
        <f si="5" t="shared"/>
        <v>3.0031371240056434E-5</v>
      </c>
      <c r="U61" s="104">
        <f si="5" t="shared"/>
        <v>3.7539214050070543E-5</v>
      </c>
      <c r="V61" s="104">
        <f si="5" t="shared"/>
        <v>7.5078428100141086E-6</v>
      </c>
      <c r="W61" s="104">
        <f si="5" t="shared"/>
        <v>0</v>
      </c>
      <c r="X61" s="104">
        <f si="5" t="shared"/>
        <v>1.4456351330682167E-2</v>
      </c>
    </row>
    <row r="62" spans="2:24" x14ac:dyDescent="0.25">
      <c r="B62" s="95">
        <v>5</v>
      </c>
      <c r="C62" s="104">
        <f ref="C62:X62" si="6" t="shared">IF($X$52&gt;0,C35/$X$52,0)</f>
        <v>1.6759453477818767E-3</v>
      </c>
      <c r="D62" s="104">
        <f si="6" t="shared"/>
        <v>6.4201024458459416E-4</v>
      </c>
      <c r="E62" s="104">
        <f si="6" t="shared"/>
        <v>6.6067333308996031E-4</v>
      </c>
      <c r="F62" s="104">
        <f si="6" t="shared"/>
        <v>7.0173212780176575E-4</v>
      </c>
      <c r="G62" s="104">
        <f si="6" t="shared"/>
        <v>3.6318370231442449E-3</v>
      </c>
      <c r="H62" s="104">
        <f si="6" t="shared"/>
        <v>3.4078799610798519E-3</v>
      </c>
      <c r="I62" s="104">
        <f si="6" t="shared"/>
        <v>6.3454500918244769E-4</v>
      </c>
      <c r="J62" s="104">
        <f si="6" t="shared"/>
        <v>8.5850207124684103E-5</v>
      </c>
      <c r="K62" s="104">
        <f si="6" t="shared"/>
        <v>2.9114418068371128E-4</v>
      </c>
      <c r="L62" s="104">
        <f si="6" t="shared"/>
        <v>7.5025615791571765E-4</v>
      </c>
      <c r="M62" s="104">
        <f si="6" t="shared"/>
        <v>2.9114418068371128E-4</v>
      </c>
      <c r="N62" s="104">
        <f si="6" t="shared"/>
        <v>1.7953891142162195E-3</v>
      </c>
      <c r="O62" s="104">
        <f si="6" t="shared"/>
        <v>4.479141241287866E-5</v>
      </c>
      <c r="P62" s="104">
        <f si="6" t="shared"/>
        <v>2.6128323907512555E-5</v>
      </c>
      <c r="Q62" s="104">
        <f si="6" t="shared"/>
        <v>5.9721883217171552E-5</v>
      </c>
      <c r="R62" s="104">
        <f si="6" t="shared"/>
        <v>5.9721883217171552E-5</v>
      </c>
      <c r="S62" s="104">
        <f si="6" t="shared"/>
        <v>1.4930470804292888E-5</v>
      </c>
      <c r="T62" s="104">
        <f si="6" t="shared"/>
        <v>3.7326177010732218E-5</v>
      </c>
      <c r="U62" s="104">
        <f si="6" t="shared"/>
        <v>1.8289826735258787E-4</v>
      </c>
      <c r="V62" s="104">
        <f si="6" t="shared"/>
        <v>3.732617701073222E-6</v>
      </c>
      <c r="W62" s="104">
        <f si="6" t="shared"/>
        <v>0</v>
      </c>
      <c r="X62" s="104">
        <f si="6" t="shared"/>
        <v>1.4997657922912206E-2</v>
      </c>
    </row>
    <row r="63" spans="2:24" x14ac:dyDescent="0.25">
      <c r="B63" s="95">
        <v>6</v>
      </c>
      <c r="C63" s="104">
        <f ref="C63:X63" si="7" t="shared">IF($X$52&gt;0,C36/$X$52,0)</f>
        <v>3.6793543643204502E-3</v>
      </c>
      <c r="D63" s="104">
        <f si="7" t="shared"/>
        <v>1.7764218062693289E-3</v>
      </c>
      <c r="E63" s="104">
        <f si="7" t="shared"/>
        <v>7.4852194804226919E-4</v>
      </c>
      <c r="F63" s="104">
        <f si="7" t="shared"/>
        <v>6.7999529082713177E-4</v>
      </c>
      <c r="G63" s="104">
        <f si="7" t="shared"/>
        <v>1.9556453712935343E-3</v>
      </c>
      <c r="H63" s="104">
        <f si="7" t="shared"/>
        <v>1.8481112322790112E-2</v>
      </c>
      <c r="I63" s="104">
        <f si="7" t="shared"/>
        <v>9.4883063836343992E-4</v>
      </c>
      <c r="J63" s="104">
        <f si="7" t="shared"/>
        <v>6.3255375890895982E-5</v>
      </c>
      <c r="K63" s="104">
        <f si="7" t="shared"/>
        <v>9.3301679439071591E-4</v>
      </c>
      <c r="L63" s="104">
        <f si="7" t="shared"/>
        <v>1.0647988274967491E-3</v>
      </c>
      <c r="M63" s="104">
        <f si="7" t="shared"/>
        <v>3.9534609931809995E-4</v>
      </c>
      <c r="N63" s="104">
        <f si="7" t="shared"/>
        <v>6.568016530004701E-3</v>
      </c>
      <c r="O63" s="104">
        <f si="7" t="shared"/>
        <v>3.2154816077872123E-4</v>
      </c>
      <c r="P63" s="104">
        <f si="7" t="shared"/>
        <v>3.1627687945447991E-5</v>
      </c>
      <c r="Q63" s="104">
        <f si="7" t="shared"/>
        <v>2.6356406621206663E-4</v>
      </c>
      <c r="R63" s="104">
        <f si="7" t="shared"/>
        <v>1.3705331443027464E-4</v>
      </c>
      <c r="S63" s="104">
        <f si="7" t="shared"/>
        <v>3.1627687945447991E-5</v>
      </c>
      <c r="T63" s="104">
        <f si="7" t="shared"/>
        <v>1.2651075178179196E-4</v>
      </c>
      <c r="U63" s="104">
        <f si="7" t="shared"/>
        <v>2.0030869032117065E-4</v>
      </c>
      <c r="V63" s="104">
        <f si="7" t="shared"/>
        <v>6.3255375890895982E-5</v>
      </c>
      <c r="W63" s="104">
        <f si="7" t="shared"/>
        <v>0</v>
      </c>
      <c r="X63" s="104">
        <f si="7" t="shared"/>
        <v>3.8469811104313245E-2</v>
      </c>
    </row>
    <row r="64" spans="2:24" x14ac:dyDescent="0.25">
      <c r="B64" s="95">
        <v>7</v>
      </c>
      <c r="C64" s="104">
        <f ref="C64:X64" si="8" t="shared">IF($X$52&gt;0,C37/$X$52,0)</f>
        <v>3.9063099808939843E-3</v>
      </c>
      <c r="D64" s="104">
        <f si="8" t="shared"/>
        <v>6.883487527061161E-3</v>
      </c>
      <c r="E64" s="104">
        <f si="8" t="shared"/>
        <v>3.0681139121191618E-3</v>
      </c>
      <c r="F64" s="104">
        <f si="8" t="shared"/>
        <v>1.4193980598592516E-3</v>
      </c>
      <c r="G64" s="104">
        <f si="8" t="shared"/>
        <v>2.4434206155794355E-3</v>
      </c>
      <c r="H64" s="104">
        <f si="8" t="shared"/>
        <v>9.0580527998260305E-3</v>
      </c>
      <c r="I64" s="104">
        <f si="8" t="shared"/>
        <v>4.3095929951158331E-2</v>
      </c>
      <c r="J64" s="104">
        <f si="8" t="shared"/>
        <v>2.1745652727648697E-4</v>
      </c>
      <c r="K64" s="104">
        <f si="8" t="shared"/>
        <v>5.0766214731456233E-3</v>
      </c>
      <c r="L64" s="104">
        <f si="8" t="shared"/>
        <v>1.5577794863079249E-3</v>
      </c>
      <c r="M64" s="104">
        <f si="8" t="shared"/>
        <v>2.1547964975579164E-3</v>
      </c>
      <c r="N64" s="104">
        <f si="8" t="shared"/>
        <v>1.4664477448518003E-2</v>
      </c>
      <c r="O64" s="104">
        <f si="8" t="shared"/>
        <v>1.2505727195918696E-2</v>
      </c>
      <c r="P64" s="104">
        <f si="8" t="shared"/>
        <v>9.8843876034766798E-5</v>
      </c>
      <c r="Q64" s="104">
        <f si="8" t="shared"/>
        <v>9.4890120993376139E-4</v>
      </c>
      <c r="R64" s="104">
        <f si="8" t="shared"/>
        <v>1.3838142644867352E-4</v>
      </c>
      <c r="S64" s="104">
        <f si="8" t="shared"/>
        <v>9.8843876034766798E-5</v>
      </c>
      <c r="T64" s="104">
        <f si="8" t="shared"/>
        <v>1.0991439015066069E-3</v>
      </c>
      <c r="U64" s="104">
        <f si="8" t="shared"/>
        <v>3.0048538314569108E-4</v>
      </c>
      <c r="V64" s="104">
        <f si="8" t="shared"/>
        <v>2.7676285289734704E-4</v>
      </c>
      <c r="W64" s="104">
        <f si="8" t="shared"/>
        <v>0</v>
      </c>
      <c r="X64" s="104">
        <f si="8" t="shared"/>
        <v>0.10901293400122361</v>
      </c>
    </row>
    <row r="65" spans="2:24" x14ac:dyDescent="0.25">
      <c r="B65" s="95">
        <v>8</v>
      </c>
      <c r="C65" s="104">
        <f ref="C65:X65" si="9" t="shared">IF($X$52&gt;0,C38/$X$52,0)</f>
        <v>4.8071497773349549E-4</v>
      </c>
      <c r="D65" s="104">
        <f si="9" t="shared"/>
        <v>3.3573744476625081E-4</v>
      </c>
      <c r="E65" s="104">
        <f si="9" t="shared"/>
        <v>6.7147488953250161E-4</v>
      </c>
      <c r="F65" s="104">
        <f si="9" t="shared"/>
        <v>2.6324867828262852E-4</v>
      </c>
      <c r="G65" s="104">
        <f si="9" t="shared"/>
        <v>3.3955264300223101E-4</v>
      </c>
      <c r="H65" s="104">
        <f si="9" t="shared"/>
        <v>1.1369290743220768E-3</v>
      </c>
      <c r="I65" s="104">
        <f si="9" t="shared"/>
        <v>1.4879273120322481E-4</v>
      </c>
      <c r="J65" s="104">
        <f si="9" t="shared"/>
        <v>5.8754052834093904E-4</v>
      </c>
      <c r="K65" s="104">
        <f si="9" t="shared"/>
        <v>2.2509669592282727E-4</v>
      </c>
      <c r="L65" s="104">
        <f si="9" t="shared"/>
        <v>2.6706387651860862E-4</v>
      </c>
      <c r="M65" s="104">
        <f si="9" t="shared"/>
        <v>6.4476850188064088E-4</v>
      </c>
      <c r="N65" s="104">
        <f si="9" t="shared"/>
        <v>5.3031255480123719E-4</v>
      </c>
      <c r="O65" s="104">
        <f si="9" t="shared"/>
        <v>3.8151982359801233E-5</v>
      </c>
      <c r="P65" s="104">
        <f si="9" t="shared"/>
        <v>1.0682555060744346E-4</v>
      </c>
      <c r="Q65" s="104">
        <f si="9" t="shared"/>
        <v>1.5260792943920492E-5</v>
      </c>
      <c r="R65" s="104">
        <f si="9" t="shared"/>
        <v>3.0521585887840984E-5</v>
      </c>
      <c r="S65" s="104">
        <f si="9" t="shared"/>
        <v>3.8151982359801233E-5</v>
      </c>
      <c r="T65" s="104">
        <f si="9" t="shared"/>
        <v>1.1445594707940371E-5</v>
      </c>
      <c r="U65" s="104">
        <f si="9" t="shared"/>
        <v>4.1967180595781351E-5</v>
      </c>
      <c r="V65" s="104">
        <f si="9" t="shared"/>
        <v>2.2891189415880741E-5</v>
      </c>
      <c r="W65" s="104">
        <f si="9" t="shared"/>
        <v>0</v>
      </c>
      <c r="X65" s="104">
        <f si="9" t="shared"/>
        <v>5.9364484551850715E-3</v>
      </c>
    </row>
    <row r="66" spans="2:24" x14ac:dyDescent="0.25">
      <c r="B66" s="95">
        <v>9</v>
      </c>
      <c r="C66" s="104">
        <f ref="C66:X66" si="10" t="shared">IF($X$52&gt;0,C39/$X$52,0)</f>
        <v>3.9922279405512099E-3</v>
      </c>
      <c r="D66" s="104">
        <f si="10" t="shared"/>
        <v>6.0449928916192783E-3</v>
      </c>
      <c r="E66" s="104">
        <f si="10" t="shared"/>
        <v>2.206055840271203E-3</v>
      </c>
      <c r="F66" s="104">
        <f si="10" t="shared"/>
        <v>1.1730085434674675E-3</v>
      </c>
      <c r="G66" s="104">
        <f si="10" t="shared"/>
        <v>1.2996401475917966E-3</v>
      </c>
      <c r="H66" s="104">
        <f si="10" t="shared"/>
        <v>7.4379405369868964E-3</v>
      </c>
      <c r="I66" s="104">
        <f si="10" t="shared"/>
        <v>8.530971225217945E-3</v>
      </c>
      <c r="J66" s="104">
        <f si="10" t="shared"/>
        <v>2.2660392316985168E-4</v>
      </c>
      <c r="K66" s="104">
        <f si="10" t="shared"/>
        <v>2.6999190963560855E-2</v>
      </c>
      <c r="L66" s="104">
        <f si="10" t="shared"/>
        <v>1.0730362244219447E-3</v>
      </c>
      <c r="M66" s="104">
        <f si="10" t="shared"/>
        <v>4.0122224043603145E-3</v>
      </c>
      <c r="N66" s="104">
        <f si="10" t="shared"/>
        <v>5.5384664751219632E-3</v>
      </c>
      <c r="O66" s="104">
        <f si="10" t="shared"/>
        <v>2.6459340440715034E-3</v>
      </c>
      <c r="P66" s="104">
        <f si="10" t="shared"/>
        <v>1.7995017428194099E-4</v>
      </c>
      <c r="Q66" s="104">
        <f si="10" t="shared"/>
        <v>7.2379958988958498E-3</v>
      </c>
      <c r="R66" s="104">
        <f si="10" t="shared"/>
        <v>9.9972319045522787E-5</v>
      </c>
      <c r="S66" s="104">
        <f si="10" t="shared"/>
        <v>1.5995571047283647E-4</v>
      </c>
      <c r="T66" s="104">
        <f si="10" t="shared"/>
        <v>3.0658177840626994E-4</v>
      </c>
      <c r="U66" s="104">
        <f si="10" t="shared"/>
        <v>1.0730362244219447E-3</v>
      </c>
      <c r="V66" s="104">
        <f si="10" t="shared"/>
        <v>3.3324106348507598E-5</v>
      </c>
      <c r="W66" s="104">
        <f si="10" t="shared"/>
        <v>0</v>
      </c>
      <c r="X66" s="104">
        <f si="10" t="shared"/>
        <v>8.02711073722851E-2</v>
      </c>
    </row>
    <row r="67" spans="2:24" x14ac:dyDescent="0.25">
      <c r="B67" s="95">
        <v>10</v>
      </c>
      <c r="C67" s="104">
        <f ref="C67:X67" si="11" t="shared">IF($X$52&gt;0,C40/$X$52,0)</f>
        <v>3.2592932690522461E-3</v>
      </c>
      <c r="D67" s="104">
        <f si="11" t="shared"/>
        <v>1.113223471673825E-3</v>
      </c>
      <c r="E67" s="104">
        <f si="11" t="shared"/>
        <v>7.8367717319998515E-4</v>
      </c>
      <c r="F67" s="104">
        <f si="11" t="shared"/>
        <v>1.2378080479261305E-3</v>
      </c>
      <c r="G67" s="104">
        <f si="11" t="shared"/>
        <v>2.3068240893168793E-3</v>
      </c>
      <c r="H67" s="104">
        <f si="11" t="shared"/>
        <v>8.8455049139136779E-3</v>
      </c>
      <c r="I67" s="104">
        <f si="11" t="shared"/>
        <v>1.1654686165538241E-3</v>
      </c>
      <c r="J67" s="104">
        <f si="11" t="shared"/>
        <v>1.3664114814768971E-4</v>
      </c>
      <c r="K67" s="104">
        <f si="11" t="shared"/>
        <v>9.3639375054152074E-4</v>
      </c>
      <c r="L67" s="104">
        <f si="11" t="shared"/>
        <v>6.5788693975814133E-3</v>
      </c>
      <c r="M67" s="104">
        <f si="11" t="shared"/>
        <v>8.962051775569061E-4</v>
      </c>
      <c r="N67" s="104">
        <f si="11" t="shared"/>
        <v>5.939871087126041E-3</v>
      </c>
      <c r="O67" s="104">
        <f si="11" t="shared"/>
        <v>3.4160287036922432E-4</v>
      </c>
      <c r="P67" s="104">
        <f si="11" t="shared"/>
        <v>2.4113143790768772E-5</v>
      </c>
      <c r="Q67" s="104">
        <f si="11" t="shared"/>
        <v>8.8414860566152177E-5</v>
      </c>
      <c r="R67" s="104">
        <f si="11" t="shared"/>
        <v>7.6358288670767783E-4</v>
      </c>
      <c r="S67" s="104">
        <f si="11" t="shared"/>
        <v>1.165468616553824E-4</v>
      </c>
      <c r="T67" s="104">
        <f si="11" t="shared"/>
        <v>4.4207430283076088E-5</v>
      </c>
      <c r="U67" s="104">
        <f si="11" t="shared"/>
        <v>1.3262229084922827E-4</v>
      </c>
      <c r="V67" s="104">
        <f si="11" t="shared"/>
        <v>5.2245144879999008E-5</v>
      </c>
      <c r="W67" s="104">
        <f si="11" t="shared"/>
        <v>0</v>
      </c>
      <c r="X67" s="104">
        <f si="11" t="shared"/>
        <v>3.4763115631691648E-2</v>
      </c>
    </row>
    <row r="68" spans="2:24" x14ac:dyDescent="0.25">
      <c r="B68" s="95">
        <v>11</v>
      </c>
      <c r="C68" s="104">
        <f ref="C68:X68" si="12" t="shared">IF($X$52&gt;0,C41/$X$52,0)</f>
        <v>4.1782435126933946E-3</v>
      </c>
      <c r="D68" s="104">
        <f si="12" t="shared"/>
        <v>2.9097757925449635E-3</v>
      </c>
      <c r="E68" s="104">
        <f si="12" t="shared"/>
        <v>5.0900813306914679E-3</v>
      </c>
      <c r="F68" s="104">
        <f si="12" t="shared"/>
        <v>1.7183077103608141E-3</v>
      </c>
      <c r="G68" s="104">
        <f si="12" t="shared"/>
        <v>2.058727162413428E-3</v>
      </c>
      <c r="H68" s="104">
        <f si="12" t="shared"/>
        <v>6.836757328723333E-3</v>
      </c>
      <c r="I68" s="104">
        <f si="12" t="shared"/>
        <v>2.1478846379510176E-3</v>
      </c>
      <c r="J68" s="104">
        <f si="12" t="shared"/>
        <v>1.138784119366483E-3</v>
      </c>
      <c r="K68" s="104">
        <f si="12" t="shared"/>
        <v>3.8864554109340108E-3</v>
      </c>
      <c r="L68" s="104">
        <f si="12" t="shared"/>
        <v>8.8346953032702221E-4</v>
      </c>
      <c r="M68" s="104">
        <f si="12" t="shared"/>
        <v>2.8035973444047433E-2</v>
      </c>
      <c r="N68" s="104">
        <f si="12" t="shared"/>
        <v>3.6311408218945504E-3</v>
      </c>
      <c r="O68" s="104">
        <f si="12" t="shared"/>
        <v>6.9299674167853573E-4</v>
      </c>
      <c r="P68" s="104">
        <f si="12" t="shared"/>
        <v>4.4578737768794706E-4</v>
      </c>
      <c r="Q68" s="104">
        <f si="12" t="shared"/>
        <v>8.9967998042476591E-4</v>
      </c>
      <c r="R68" s="104">
        <f si="12" t="shared"/>
        <v>2.8368287671051175E-5</v>
      </c>
      <c r="S68" s="104">
        <f si="12" t="shared"/>
        <v>1.3252042954905335E-3</v>
      </c>
      <c r="T68" s="104">
        <f si="12" t="shared"/>
        <v>1.2157837573307645E-4</v>
      </c>
      <c r="U68" s="104">
        <f si="12" t="shared"/>
        <v>5.8438672602365415E-3</v>
      </c>
      <c r="V68" s="104">
        <f si="12" t="shared"/>
        <v>9.3210088062025293E-5</v>
      </c>
      <c r="W68" s="104">
        <f si="12" t="shared"/>
        <v>0</v>
      </c>
      <c r="X68" s="104">
        <f si="12" t="shared"/>
        <v>7.19662932089324E-2</v>
      </c>
    </row>
    <row r="69" spans="2:24" x14ac:dyDescent="0.25">
      <c r="B69" s="95">
        <v>12</v>
      </c>
      <c r="C69" s="104">
        <f ref="C69:X69" si="13" t="shared">IF($X$52&gt;0,C42/$X$52,0)</f>
        <v>8.3323628925539624E-3</v>
      </c>
      <c r="D69" s="104">
        <f si="13" t="shared"/>
        <v>5.2415898590105463E-3</v>
      </c>
      <c r="E69" s="104">
        <f si="13" t="shared"/>
        <v>2.1713398867788405E-3</v>
      </c>
      <c r="F69" s="104">
        <f si="13" t="shared"/>
        <v>1.9537954368747217E-3</v>
      </c>
      <c r="G69" s="104">
        <f si="13" t="shared"/>
        <v>3.5463849946633604E-3</v>
      </c>
      <c r="H69" s="104">
        <f si="13" t="shared"/>
        <v>2.1114125477486489E-2</v>
      </c>
      <c r="I69" s="104">
        <f si="13" t="shared"/>
        <v>9.7443495107995583E-3</v>
      </c>
      <c r="J69" s="104">
        <f si="13" t="shared"/>
        <v>1.4366142918196485E-4</v>
      </c>
      <c r="K69" s="104">
        <f si="13" t="shared"/>
        <v>3.5094434843022842E-3</v>
      </c>
      <c r="L69" s="104">
        <f si="13" t="shared"/>
        <v>2.5284411536025814E-3</v>
      </c>
      <c r="M69" s="104">
        <f si="13" t="shared"/>
        <v>2.6433702969481535E-3</v>
      </c>
      <c r="N69" s="104">
        <f si="13" t="shared"/>
        <v>8.4710987870211155E-2</v>
      </c>
      <c r="O69" s="104">
        <f si="13" t="shared"/>
        <v>3.9158000982741281E-3</v>
      </c>
      <c r="P69" s="104">
        <f si="13" t="shared"/>
        <v>8.6196857509178912E-5</v>
      </c>
      <c r="Q69" s="104">
        <f si="13" t="shared"/>
        <v>5.0076269600570606E-4</v>
      </c>
      <c r="R69" s="104">
        <f si="13" t="shared"/>
        <v>8.0860861568134504E-4</v>
      </c>
      <c r="S69" s="104">
        <f si="13" t="shared"/>
        <v>1.3955681691962298E-4</v>
      </c>
      <c r="T69" s="104">
        <f si="13" t="shared"/>
        <v>3.394514340956712E-3</v>
      </c>
      <c r="U69" s="104">
        <f si="13" t="shared"/>
        <v>1.6828910275601598E-4</v>
      </c>
      <c r="V69" s="104">
        <f si="13" t="shared"/>
        <v>1.358626658835153E-3</v>
      </c>
      <c r="W69" s="104">
        <f si="13" t="shared"/>
        <v>0</v>
      </c>
      <c r="X69" s="104">
        <f si="13" t="shared"/>
        <v>0.15601220747935149</v>
      </c>
    </row>
    <row r="70" spans="2:24" x14ac:dyDescent="0.25">
      <c r="B70" s="95">
        <v>13</v>
      </c>
      <c r="C70" s="104">
        <f ref="C70:X70" si="14" t="shared">IF($X$52&gt;0,C43/$X$52,0)</f>
        <v>1.5032790917671888E-3</v>
      </c>
      <c r="D70" s="104">
        <f si="14" t="shared"/>
        <v>2.0145985107356203E-3</v>
      </c>
      <c r="E70" s="104">
        <f si="14" t="shared"/>
        <v>5.3688538991685311E-4</v>
      </c>
      <c r="F70" s="104">
        <f si="14" t="shared"/>
        <v>4.7041386545095692E-4</v>
      </c>
      <c r="G70" s="104">
        <f si="14" t="shared"/>
        <v>3.170180397604275E-4</v>
      </c>
      <c r="H70" s="104">
        <f si="14" t="shared"/>
        <v>3.7172921759004969E-3</v>
      </c>
      <c r="I70" s="104">
        <f si="14" t="shared"/>
        <v>1.6213938775488962E-2</v>
      </c>
      <c r="J70" s="104">
        <f si="14" t="shared"/>
        <v>5.113194189684315E-6</v>
      </c>
      <c r="K70" s="104">
        <f si="14" t="shared"/>
        <v>2.0350512874943573E-3</v>
      </c>
      <c r="L70" s="104">
        <f si="14" t="shared"/>
        <v>3.4769720489853342E-4</v>
      </c>
      <c r="M70" s="104">
        <f si="14" t="shared"/>
        <v>4.7041386545095692E-4</v>
      </c>
      <c r="N70" s="104">
        <f si="14" t="shared"/>
        <v>7.0101892340571955E-3</v>
      </c>
      <c r="O70" s="104">
        <f si="14" t="shared"/>
        <v>8.0716883478356594E-2</v>
      </c>
      <c r="P70" s="104">
        <f si="14" t="shared"/>
        <v>1.5339582569052945E-5</v>
      </c>
      <c r="Q70" s="104">
        <f si="14" t="shared"/>
        <v>2.709992920532687E-3</v>
      </c>
      <c r="R70" s="104">
        <f si="14" t="shared"/>
        <v>1.4316943731116079E-4</v>
      </c>
      <c r="S70" s="104">
        <f si="14" t="shared"/>
        <v>2.045277675873726E-5</v>
      </c>
      <c r="T70" s="104">
        <f si="14" t="shared"/>
        <v>2.1782207248055184E-3</v>
      </c>
      <c r="U70" s="104">
        <f si="14" t="shared"/>
        <v>1.4316943731116079E-4</v>
      </c>
      <c r="V70" s="104">
        <f si="14" t="shared"/>
        <v>4.039423409850609E-4</v>
      </c>
      <c r="W70" s="104">
        <f si="14" t="shared"/>
        <v>0</v>
      </c>
      <c r="X70" s="104">
        <f si="14" t="shared"/>
        <v>0.12097306133374121</v>
      </c>
    </row>
    <row r="71" spans="2:24" x14ac:dyDescent="0.25">
      <c r="B71" s="95">
        <v>14</v>
      </c>
      <c r="C71" s="104">
        <f ref="C71:X71" si="15" t="shared">IF($X$52&gt;0,C44/$X$52,0)</f>
        <v>2.0107995459377288E-3</v>
      </c>
      <c r="D71" s="104">
        <f si="15" t="shared"/>
        <v>3.787785191185025E-3</v>
      </c>
      <c r="E71" s="104">
        <f si="15" t="shared"/>
        <v>8.8849282262364764E-4</v>
      </c>
      <c r="F71" s="104">
        <f si="15" t="shared"/>
        <v>1.1223067233140812E-3</v>
      </c>
      <c r="G71" s="104">
        <f si="15" t="shared"/>
        <v>1.0287811630379079E-3</v>
      </c>
      <c r="H71" s="104">
        <f si="15" t="shared"/>
        <v>3.6474968507707642E-3</v>
      </c>
      <c r="I71" s="104">
        <f si="15" t="shared"/>
        <v>1.5431717445568618E-3</v>
      </c>
      <c r="J71" s="104">
        <f si="15" t="shared"/>
        <v>1.3093578438664283E-3</v>
      </c>
      <c r="K71" s="104">
        <f si="15" t="shared"/>
        <v>1.0755439431759945E-3</v>
      </c>
      <c r="L71" s="104">
        <f si="15" t="shared"/>
        <v>5.6115336165704058E-4</v>
      </c>
      <c r="M71" s="104">
        <f si="15" t="shared"/>
        <v>3.1798690493898968E-3</v>
      </c>
      <c r="N71" s="104">
        <f si="15" t="shared"/>
        <v>2.85252958842329E-3</v>
      </c>
      <c r="O71" s="104">
        <f si="15" t="shared"/>
        <v>1.8705112055234692E-4</v>
      </c>
      <c r="P71" s="104">
        <f si="15" t="shared"/>
        <v>3.6474968507707642E-3</v>
      </c>
      <c r="Q71" s="104">
        <f si="15" t="shared"/>
        <v>5.1439058151895396E-4</v>
      </c>
      <c r="R71" s="104">
        <f si="15" t="shared"/>
        <v>4.6762780138086731E-5</v>
      </c>
      <c r="S71" s="104">
        <f si="15" t="shared"/>
        <v>7.4820448220938769E-4</v>
      </c>
      <c r="T71" s="104">
        <f si="15" t="shared"/>
        <v>1.4028834041426014E-4</v>
      </c>
      <c r="U71" s="104">
        <f si="15" t="shared"/>
        <v>5.6115336165704058E-4</v>
      </c>
      <c r="V71" s="104">
        <f si="15" t="shared"/>
        <v>9.3525560276173461E-5</v>
      </c>
      <c r="W71" s="104">
        <f si="15" t="shared"/>
        <v>0</v>
      </c>
      <c r="X71" s="104">
        <f si="15" t="shared"/>
        <v>2.8946160905475679E-2</v>
      </c>
    </row>
    <row r="72" spans="2:24" x14ac:dyDescent="0.25">
      <c r="B72" s="95">
        <v>15</v>
      </c>
      <c r="C72" s="104">
        <f ref="C72:X72" si="16" t="shared">IF($X$52&gt;0,C45/$X$52,0)</f>
        <v>1.1392252920753346E-3</v>
      </c>
      <c r="D72" s="104">
        <f si="16" t="shared"/>
        <v>2.2967073997287998E-3</v>
      </c>
      <c r="E72" s="104">
        <f si="16" t="shared"/>
        <v>4.2720948452825048E-4</v>
      </c>
      <c r="F72" s="104">
        <f si="16" t="shared"/>
        <v>4.1260403206574617E-4</v>
      </c>
      <c r="G72" s="104">
        <f si="16" t="shared"/>
        <v>5.4405310422828482E-4</v>
      </c>
      <c r="H72" s="104">
        <f si="16" t="shared"/>
        <v>2.4245051087757119E-3</v>
      </c>
      <c r="I72" s="104">
        <f si="16" t="shared"/>
        <v>1.9023601832411838E-3</v>
      </c>
      <c r="J72" s="104">
        <f si="16" t="shared"/>
        <v>3.651363115626072E-5</v>
      </c>
      <c r="K72" s="104">
        <f si="16" t="shared"/>
        <v>5.9882355096267589E-3</v>
      </c>
      <c r="L72" s="104">
        <f si="16" t="shared"/>
        <v>2.6289814432507724E-4</v>
      </c>
      <c r="M72" s="104">
        <f si="16" t="shared"/>
        <v>8.2520806413149234E-4</v>
      </c>
      <c r="N72" s="104">
        <f si="16" t="shared"/>
        <v>1.5810402290660896E-3</v>
      </c>
      <c r="O72" s="104">
        <f si="16" t="shared"/>
        <v>1.90601154635681E-3</v>
      </c>
      <c r="P72" s="104">
        <f si="16" t="shared"/>
        <v>3.6513631156260721E-6</v>
      </c>
      <c r="Q72" s="104">
        <f si="16" t="shared"/>
        <v>2.8502540480577123E-2</v>
      </c>
      <c r="R72" s="104">
        <f si="16" t="shared"/>
        <v>5.1119083618765019E-5</v>
      </c>
      <c r="S72" s="104">
        <f si="16" t="shared"/>
        <v>1.4240316150941683E-4</v>
      </c>
      <c r="T72" s="104">
        <f si="16" t="shared"/>
        <v>5.8421809850017154E-5</v>
      </c>
      <c r="U72" s="104">
        <f si="16" t="shared"/>
        <v>1.1757389232315953E-3</v>
      </c>
      <c r="V72" s="104">
        <f si="16" t="shared"/>
        <v>1.4605452462504289E-5</v>
      </c>
      <c r="W72" s="104">
        <f si="16" t="shared"/>
        <v>0</v>
      </c>
      <c r="X72" s="104">
        <f si="16" t="shared"/>
        <v>4.9695052003670845E-2</v>
      </c>
    </row>
    <row r="73" spans="2:24" x14ac:dyDescent="0.25">
      <c r="B73" s="95">
        <v>16</v>
      </c>
      <c r="C73" s="104">
        <f ref="C73:X73" si="17" t="shared">IF($X$52&gt;0,C46/$X$52,0)</f>
        <v>2.2802643472209249E-3</v>
      </c>
      <c r="D73" s="104">
        <f si="17" t="shared"/>
        <v>7.1422072944563454E-4</v>
      </c>
      <c r="E73" s="104">
        <f si="17" t="shared"/>
        <v>4.3901641167759184E-4</v>
      </c>
      <c r="F73" s="104">
        <f si="17" t="shared"/>
        <v>5.504086355360853E-4</v>
      </c>
      <c r="G73" s="104">
        <f si="17" t="shared"/>
        <v>6.4214340812543294E-4</v>
      </c>
      <c r="H73" s="104">
        <f si="17" t="shared"/>
        <v>4.1542747015461678E-3</v>
      </c>
      <c r="I73" s="104">
        <f si="17" t="shared"/>
        <v>6.8145831066372469E-4</v>
      </c>
      <c r="J73" s="104">
        <f si="17" t="shared"/>
        <v>9.1734772589347559E-5</v>
      </c>
      <c r="K73" s="104">
        <f si="17" t="shared"/>
        <v>8.8458530711156579E-4</v>
      </c>
      <c r="L73" s="104">
        <f si="17" t="shared"/>
        <v>3.23037449189631E-3</v>
      </c>
      <c r="M73" s="104">
        <f si="17" t="shared"/>
        <v>5.569611192924672E-4</v>
      </c>
      <c r="N73" s="104">
        <f si="17" t="shared"/>
        <v>4.4818988893652661E-3</v>
      </c>
      <c r="O73" s="104">
        <f si="17" t="shared"/>
        <v>5.2419870051055738E-5</v>
      </c>
      <c r="P73" s="104">
        <f si="17" t="shared"/>
        <v>6.5524837563819673E-6</v>
      </c>
      <c r="Q73" s="104">
        <f si="17" t="shared"/>
        <v>1.9657451269145904E-5</v>
      </c>
      <c r="R73" s="104">
        <f si="17" t="shared"/>
        <v>1.3236017187891575E-3</v>
      </c>
      <c r="S73" s="104">
        <f si="17" t="shared"/>
        <v>7.2077321320201655E-5</v>
      </c>
      <c r="T73" s="104">
        <f si="17" t="shared"/>
        <v>5.2419870051055738E-5</v>
      </c>
      <c r="U73" s="104">
        <f si="17" t="shared"/>
        <v>5.8972353807437711E-5</v>
      </c>
      <c r="V73" s="104">
        <f si="17" t="shared"/>
        <v>6.5524837563819673E-6</v>
      </c>
      <c r="W73" s="104">
        <f si="17" t="shared"/>
        <v>0</v>
      </c>
      <c r="X73" s="104">
        <f si="17" t="shared"/>
        <v>2.0299594677271337E-2</v>
      </c>
    </row>
    <row r="74" spans="2:24" x14ac:dyDescent="0.25">
      <c r="B74" s="95">
        <v>17</v>
      </c>
      <c r="C74" s="104">
        <f ref="C74:X74" si="18" t="shared">IF($X$52&gt;0,C47/$X$52,0)</f>
        <v>1.9878387941621115E-3</v>
      </c>
      <c r="D74" s="104">
        <f si="18" t="shared"/>
        <v>7.0678712681319521E-4</v>
      </c>
      <c r="E74" s="104">
        <f si="18" t="shared"/>
        <v>7.5096132223901994E-4</v>
      </c>
      <c r="F74" s="104">
        <f si="18" t="shared"/>
        <v>8.393097130906693E-4</v>
      </c>
      <c r="G74" s="104">
        <f si="18" t="shared"/>
        <v>7.9513551766484457E-4</v>
      </c>
      <c r="H74" s="104">
        <f si="18" t="shared"/>
        <v>2.7388001164011314E-3</v>
      </c>
      <c r="I74" s="104">
        <f si="18" t="shared"/>
        <v>1.4577484490522149E-3</v>
      </c>
      <c r="J74" s="104">
        <f si="18" t="shared"/>
        <v>7.5096132223901994E-4</v>
      </c>
      <c r="K74" s="104">
        <f si="18" t="shared"/>
        <v>1.1043548856456173E-3</v>
      </c>
      <c r="L74" s="104">
        <f si="18" t="shared"/>
        <v>7.5096132223901994E-4</v>
      </c>
      <c r="M74" s="104">
        <f si="18" t="shared"/>
        <v>7.0236970727061273E-3</v>
      </c>
      <c r="N74" s="104">
        <f si="18" t="shared"/>
        <v>1.016006494793968E-3</v>
      </c>
      <c r="O74" s="104">
        <f si="18" t="shared"/>
        <v>2.2087097712912345E-4</v>
      </c>
      <c r="P74" s="104">
        <f si="18" t="shared"/>
        <v>6.1843873596154574E-4</v>
      </c>
      <c r="Q74" s="104">
        <f si="18" t="shared"/>
        <v>7.5096132223901994E-4</v>
      </c>
      <c r="R74" s="104">
        <f si="18" t="shared"/>
        <v>1.3252258627747409E-4</v>
      </c>
      <c r="S74" s="104">
        <f si="18" t="shared"/>
        <v>3.5781098294918002E-3</v>
      </c>
      <c r="T74" s="104">
        <f si="18" t="shared"/>
        <v>8.8348390851649401E-5</v>
      </c>
      <c r="U74" s="104">
        <f si="18" t="shared"/>
        <v>2.076187185013761E-3</v>
      </c>
      <c r="V74" s="104">
        <f si="18" t="shared"/>
        <v>4.41741954258247E-5</v>
      </c>
      <c r="W74" s="104">
        <f si="18" t="shared"/>
        <v>0</v>
      </c>
      <c r="X74" s="104">
        <f si="18" t="shared"/>
        <v>2.7432175359437136E-2</v>
      </c>
    </row>
    <row r="75" spans="2:24" x14ac:dyDescent="0.25">
      <c r="B75" s="95">
        <v>18</v>
      </c>
      <c r="C75" s="104">
        <f ref="C75:X75" si="19" t="shared">IF($X$52&gt;0,C48/$X$52,0)</f>
        <v>1.0951811558324082E-3</v>
      </c>
      <c r="D75" s="104">
        <f si="19" t="shared"/>
        <v>1.7896862790432039E-3</v>
      </c>
      <c r="E75" s="104">
        <f si="19" t="shared"/>
        <v>3.8732016486755897E-4</v>
      </c>
      <c r="F75" s="104">
        <f si="19" t="shared"/>
        <v>3.3389669385134398E-4</v>
      </c>
      <c r="G75" s="104">
        <f si="19" t="shared"/>
        <v>7.8799619748917173E-4</v>
      </c>
      <c r="H75" s="104">
        <f si="19" t="shared"/>
        <v>3.1920523932188485E-3</v>
      </c>
      <c r="I75" s="104">
        <f si="19" t="shared"/>
        <v>2.4841914022539994E-3</v>
      </c>
      <c r="J75" s="104">
        <f si="19" t="shared"/>
        <v>2.5376148732702137E-4</v>
      </c>
      <c r="K75" s="104">
        <f si="19" t="shared"/>
        <v>1.0284018170621395E-3</v>
      </c>
      <c r="L75" s="104">
        <f si="19" t="shared"/>
        <v>2.938290905891827E-4</v>
      </c>
      <c r="M75" s="104">
        <f si="19" t="shared"/>
        <v>1.602704130486451E-4</v>
      </c>
      <c r="N75" s="104">
        <f si="19" t="shared"/>
        <v>1.8150624277759056E-2</v>
      </c>
      <c r="O75" s="104">
        <f si="19" t="shared"/>
        <v>3.5393049548242462E-3</v>
      </c>
      <c r="P75" s="104">
        <f si="19" t="shared"/>
        <v>1.3355867754053758E-5</v>
      </c>
      <c r="Q75" s="104">
        <f si="19" t="shared"/>
        <v>9.34910742783763E-5</v>
      </c>
      <c r="R75" s="104">
        <f si="19" t="shared"/>
        <v>2.270497518189139E-4</v>
      </c>
      <c r="S75" s="104">
        <f si="19" t="shared"/>
        <v>1.3355867754053758E-5</v>
      </c>
      <c r="T75" s="104">
        <f si="19" t="shared"/>
        <v>1.9432787582148215E-2</v>
      </c>
      <c r="U75" s="104">
        <f si="19" t="shared"/>
        <v>8.013520652432255E-5</v>
      </c>
      <c r="V75" s="104">
        <f si="19" t="shared"/>
        <v>8.2005028009890079E-3</v>
      </c>
      <c r="W75" s="104">
        <f si="19" t="shared"/>
        <v>0</v>
      </c>
      <c r="X75" s="104">
        <f si="19" t="shared"/>
        <v>6.1557194478433774E-2</v>
      </c>
    </row>
    <row r="76" spans="2:24" x14ac:dyDescent="0.25">
      <c r="B76" s="95">
        <v>19</v>
      </c>
      <c r="C76" s="104">
        <f ref="C76:X76" si="20" t="shared">IF($X$52&gt;0,C49/$X$52,0)</f>
        <v>1.973978429407797E-3</v>
      </c>
      <c r="D76" s="104">
        <f si="20" t="shared"/>
        <v>1.5805165127352968E-3</v>
      </c>
      <c r="E76" s="104">
        <f si="20" t="shared"/>
        <v>6.9355998871084752E-4</v>
      </c>
      <c r="F76" s="104">
        <f si="20" t="shared"/>
        <v>3.4011114831012718E-4</v>
      </c>
      <c r="G76" s="104">
        <f si="20" t="shared"/>
        <v>3.6011768644601702E-4</v>
      </c>
      <c r="H76" s="104">
        <f si="20" t="shared"/>
        <v>2.4474664986238563E-3</v>
      </c>
      <c r="I76" s="104">
        <f si="20" t="shared"/>
        <v>1.2203988262892798E-3</v>
      </c>
      <c r="J76" s="104">
        <f si="20" t="shared"/>
        <v>3.4011114831012718E-4</v>
      </c>
      <c r="K76" s="104">
        <f si="20" t="shared"/>
        <v>1.3804511313763987E-3</v>
      </c>
      <c r="L76" s="104">
        <f si="20" t="shared"/>
        <v>1.333769209059322E-4</v>
      </c>
      <c r="M76" s="104">
        <f si="20" t="shared"/>
        <v>1.2497417488885849E-2</v>
      </c>
      <c r="N76" s="104">
        <f si="20" t="shared"/>
        <v>2.1273618884496185E-3</v>
      </c>
      <c r="O76" s="104">
        <f si="20" t="shared"/>
        <v>4.4681268503487289E-4</v>
      </c>
      <c r="P76" s="104">
        <f si="20" t="shared"/>
        <v>2.8009153390245767E-4</v>
      </c>
      <c r="Q76" s="104">
        <f si="20" t="shared"/>
        <v>2.927623413885212E-3</v>
      </c>
      <c r="R76" s="104">
        <f si="20" t="shared"/>
        <v>2.6675384181186444E-5</v>
      </c>
      <c r="S76" s="104">
        <f si="20" t="shared"/>
        <v>1.5938542048258902E-3</v>
      </c>
      <c r="T76" s="104">
        <f si="20" t="shared"/>
        <v>2.0006538135889834E-5</v>
      </c>
      <c r="U76" s="104">
        <f si="20" t="shared"/>
        <v>2.7335599939670809E-2</v>
      </c>
      <c r="V76" s="104">
        <f si="20" t="shared"/>
        <v>6.6688460452966111E-6</v>
      </c>
      <c r="W76" s="104">
        <f si="20" t="shared"/>
        <v>0</v>
      </c>
      <c r="X76" s="104">
        <f si="20" t="shared"/>
        <v>5.7732200214132764E-2</v>
      </c>
    </row>
    <row r="77" spans="2:24" x14ac:dyDescent="0.25">
      <c r="B77" s="95">
        <v>20</v>
      </c>
      <c r="C77" s="104">
        <f ref="C77:X77" si="21" t="shared">IF($X$52&gt;0,C50/$X$52,0)</f>
        <v>2.0633486295264223E-4</v>
      </c>
      <c r="D77" s="104">
        <f si="21" t="shared"/>
        <v>5.1147797013612723E-4</v>
      </c>
      <c r="E77" s="104">
        <f si="21" t="shared"/>
        <v>2.324899864255124E-5</v>
      </c>
      <c r="F77" s="104">
        <f si="21" t="shared"/>
        <v>6.3934746267015904E-5</v>
      </c>
      <c r="G77" s="104">
        <f si="21" t="shared"/>
        <v>1.7146136498881541E-4</v>
      </c>
      <c r="H77" s="104">
        <f si="21" t="shared"/>
        <v>4.0685747624464669E-4</v>
      </c>
      <c r="I77" s="104">
        <f si="21" t="shared"/>
        <v>4.0976360107496557E-4</v>
      </c>
      <c r="J77" s="104">
        <f si="21" t="shared"/>
        <v>5.81224966063781E-6</v>
      </c>
      <c r="K77" s="104">
        <f si="21" t="shared"/>
        <v>1.6855524015849647E-4</v>
      </c>
      <c r="L77" s="104">
        <f si="21" t="shared"/>
        <v>1.888981139707288E-4</v>
      </c>
      <c r="M77" s="104">
        <f si="21" t="shared"/>
        <v>4.3591872454783572E-5</v>
      </c>
      <c r="N77" s="104">
        <f si="21" t="shared"/>
        <v>5.3298329388048711E-3</v>
      </c>
      <c r="O77" s="104">
        <f si="21" t="shared"/>
        <v>5.2310246945740286E-4</v>
      </c>
      <c r="P77" s="104">
        <f si="21" t="shared"/>
        <v>2.906124830318905E-6</v>
      </c>
      <c r="Q77" s="104">
        <f si="21" t="shared"/>
        <v>2.906124830318905E-5</v>
      </c>
      <c r="R77" s="104">
        <f si="21" t="shared"/>
        <v>6.3934746267015904E-5</v>
      </c>
      <c r="S77" s="104">
        <f si="21" t="shared"/>
        <v>1.4530624151594525E-5</v>
      </c>
      <c r="T77" s="104">
        <f si="21" t="shared"/>
        <v>4.5161179863155779E-3</v>
      </c>
      <c r="U77" s="104">
        <f si="21" t="shared"/>
        <v>2.906124830318905E-6</v>
      </c>
      <c r="V77" s="104">
        <f si="21" t="shared"/>
        <v>2.4516069068570279E-2</v>
      </c>
      <c r="W77" s="104">
        <f si="21" t="shared"/>
        <v>0</v>
      </c>
      <c r="X77" s="104">
        <f si="21" t="shared"/>
        <v>3.7198397828081979E-2</v>
      </c>
    </row>
    <row r="78" spans="2:24" x14ac:dyDescent="0.25">
      <c r="B78" s="101" t="s">
        <v>15</v>
      </c>
      <c r="C78" s="105">
        <f ref="C78:X78" si="22" t="shared">IF($X$52&gt;0,C51/$X$52,0)</f>
        <v>0</v>
      </c>
      <c r="D78" s="105">
        <f si="22" t="shared"/>
        <v>0</v>
      </c>
      <c r="E78" s="105">
        <f si="22" t="shared"/>
        <v>0</v>
      </c>
      <c r="F78" s="105">
        <f si="22" t="shared"/>
        <v>0</v>
      </c>
      <c r="G78" s="105">
        <f si="22" t="shared"/>
        <v>0</v>
      </c>
      <c r="H78" s="105">
        <f si="22" t="shared"/>
        <v>0</v>
      </c>
      <c r="I78" s="105">
        <f si="22" t="shared"/>
        <v>0</v>
      </c>
      <c r="J78" s="105">
        <f si="22" t="shared"/>
        <v>0</v>
      </c>
      <c r="K78" s="105">
        <f si="22" t="shared"/>
        <v>0</v>
      </c>
      <c r="L78" s="105">
        <f si="22" t="shared"/>
        <v>0</v>
      </c>
      <c r="M78" s="105">
        <f si="22" t="shared"/>
        <v>0</v>
      </c>
      <c r="N78" s="105">
        <f si="22" t="shared"/>
        <v>0</v>
      </c>
      <c r="O78" s="105">
        <f si="22" t="shared"/>
        <v>0</v>
      </c>
      <c r="P78" s="105">
        <f si="22" t="shared"/>
        <v>0</v>
      </c>
      <c r="Q78" s="105">
        <f si="22" t="shared"/>
        <v>0</v>
      </c>
      <c r="R78" s="105">
        <f si="22" t="shared"/>
        <v>0</v>
      </c>
      <c r="S78" s="105">
        <f si="22" t="shared"/>
        <v>0</v>
      </c>
      <c r="T78" s="105">
        <f si="22" t="shared"/>
        <v>0</v>
      </c>
      <c r="U78" s="105">
        <f si="22" t="shared"/>
        <v>0</v>
      </c>
      <c r="V78" s="105">
        <f si="22" t="shared"/>
        <v>0</v>
      </c>
      <c r="W78" s="105">
        <f si="22" t="shared"/>
        <v>0</v>
      </c>
      <c r="X78" s="105">
        <f si="22" t="shared"/>
        <v>0</v>
      </c>
    </row>
    <row ht="15.75" r="79" spans="2:24" thickBot="1" x14ac:dyDescent="0.3">
      <c r="B79" s="1" t="s">
        <v>3</v>
      </c>
      <c r="C79" s="106">
        <f ref="C79:X79" si="23" t="shared">IF($X$52&gt;0,C52/$X$52,0)</f>
        <v>5.5285228745384746E-2</v>
      </c>
      <c r="D79" s="106">
        <f si="23" t="shared"/>
        <v>4.5211140181431402E-2</v>
      </c>
      <c r="E79" s="106">
        <f si="23" t="shared"/>
        <v>3.1987676357679046E-2</v>
      </c>
      <c r="F79" s="106">
        <f si="23" t="shared"/>
        <v>1.8104017409589945E-2</v>
      </c>
      <c r="G79" s="106">
        <f si="23" t="shared"/>
        <v>3.0227156026114387E-2</v>
      </c>
      <c r="H79" s="106">
        <f si="23" t="shared"/>
        <v>0.11677140132528058</v>
      </c>
      <c r="I79" s="106">
        <f si="23" t="shared"/>
        <v>0.10207594689096999</v>
      </c>
      <c r="J79" s="106">
        <f si="23" t="shared"/>
        <v>4.6018045333398542E-3</v>
      </c>
      <c r="K79" s="106">
        <f si="23" t="shared"/>
        <v>5.4175122869648137E-2</v>
      </c>
      <c r="L79" s="106">
        <f si="23" t="shared"/>
        <v>2.4197373890505417E-2</v>
      </c>
      <c r="M79" s="106">
        <f si="23" t="shared"/>
        <v>6.250336210479987E-2</v>
      </c>
      <c r="N79" s="106">
        <f si="23" t="shared"/>
        <v>0.18281536543022714</v>
      </c>
      <c r="O79" s="106">
        <f si="23" t="shared"/>
        <v>0.10738195955693572</v>
      </c>
      <c r="P79" s="106">
        <f si="23" t="shared"/>
        <v>2.0783920580971708E-3</v>
      </c>
      <c r="Q79" s="106">
        <f si="23" t="shared"/>
        <v>5.220431816514659E-2</v>
      </c>
      <c r="R79" s="106">
        <f si="23" t="shared"/>
        <v>4.0394160940900314E-3</v>
      </c>
      <c r="S79" s="106">
        <f si="23" t="shared"/>
        <v>4.2692618040443067E-3</v>
      </c>
      <c r="T79" s="106">
        <f si="23" t="shared"/>
        <v>2.3141061691566617E-2</v>
      </c>
      <c r="U79" s="106">
        <f si="23" t="shared"/>
        <v>3.1850746998557354E-2</v>
      </c>
      <c r="V79" s="106">
        <f si="23" t="shared"/>
        <v>4.7079247866591685E-2</v>
      </c>
      <c r="W79" s="106">
        <f si="23" t="shared"/>
        <v>0</v>
      </c>
      <c r="X79" s="106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T36"/>
  <sheetViews>
    <sheetView workbookViewId="0" zoomScaleNormal="100">
      <selection activeCell="L36" sqref="L36"/>
    </sheetView>
  </sheetViews>
  <sheetFormatPr defaultRowHeight="15" x14ac:dyDescent="0.25"/>
  <cols>
    <col min="2" max="2" bestFit="true" customWidth="true" width="11.140625" collapsed="true"/>
    <col min="3" max="4" bestFit="true" customWidth="true" width="9.28515625" collapsed="true"/>
    <col min="5" max="5" bestFit="true" customWidth="true" width="9.5703125" collapsed="true"/>
    <col min="9" max="9" bestFit="true" customWidth="true" width="11.140625" collapsed="true"/>
    <col min="14" max="15" bestFit="true" customWidth="true" width="9.5703125" collapsed="true"/>
  </cols>
  <sheetData>
    <row r="1" spans="1:19" x14ac:dyDescent="0.25">
      <c r="A1" t="s">
        <v>22</v>
      </c>
    </row>
    <row r="2" spans="1:19" x14ac:dyDescent="0.25">
      <c r="A2" t="s">
        <v>247</v>
      </c>
    </row>
    <row r="3" spans="1:19" x14ac:dyDescent="0.25">
      <c r="A3" t="s">
        <v>36</v>
      </c>
    </row>
    <row ht="15.75" r="5" spans="1:19" thickBot="1" x14ac:dyDescent="0.3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2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25">
      <c r="A7" s="31">
        <v>1</v>
      </c>
      <c r="B7" s="14" t="n">
        <v>5842.177936572467</v>
      </c>
      <c r="C7" s="14" t="n">
        <v>3908.771462747</v>
      </c>
      <c r="D7" s="14" t="n">
        <v>542.1572323704848</v>
      </c>
      <c r="E7" s="14">
        <f ref="E7:E13" si="0" t="shared">SUM(B7:D7)</f>
        <v>10293.106631689951</v>
      </c>
      <c r="F7" s="14"/>
      <c r="G7" s="14"/>
      <c r="H7">
        <f>A7</f>
        <v>1</v>
      </c>
      <c r="I7" s="14" t="n">
        <v>6960.0</v>
      </c>
      <c r="J7" s="14" t="n">
        <v>2252.0</v>
      </c>
      <c r="K7" s="14" t="n">
        <v>252.0</v>
      </c>
      <c r="L7" s="14">
        <f>SUM(I7:K7)</f>
        <v>8838</v>
      </c>
      <c r="O7">
        <f>H7</f>
        <v>1</v>
      </c>
      <c r="P7" s="14">
        <f>I7-B7</f>
        <v>650.82206342753307</v>
      </c>
      <c r="Q7" s="14">
        <f>J7-C7</f>
        <v>-1834.771462747</v>
      </c>
      <c r="R7" s="14">
        <f>K7-D7</f>
        <v>-271.15723237048485</v>
      </c>
      <c r="S7" s="14">
        <f>L7-E7</f>
        <v>-1455.1066316899505</v>
      </c>
    </row>
    <row r="8" spans="1:19" x14ac:dyDescent="0.25">
      <c r="A8">
        <v>2</v>
      </c>
      <c r="B8" s="14" t="n">
        <v>292.4118718076069</v>
      </c>
      <c r="C8" s="14" t="n">
        <v>373.7870880286917</v>
      </c>
      <c r="D8" s="14" t="n">
        <v>100.678900806562</v>
      </c>
      <c r="E8" s="14">
        <f si="0" t="shared"/>
        <v>766.87786064286058</v>
      </c>
      <c r="F8" s="14"/>
      <c r="G8" s="14"/>
      <c r="H8">
        <f ref="H8:H13" si="1" t="shared">A8</f>
        <v>2</v>
      </c>
      <c r="I8" s="14" t="n">
        <v>1000.0</v>
      </c>
      <c r="J8" s="14" t="n">
        <v>258.0</v>
      </c>
      <c r="K8" s="14" t="n">
        <v>33.0</v>
      </c>
      <c r="L8" s="14">
        <f ref="L8:L13" si="2" t="shared">SUM(I8:K8)</f>
        <v>1235</v>
      </c>
      <c r="O8">
        <f ref="O8:O13" si="3" t="shared">H8</f>
        <v>2</v>
      </c>
      <c r="P8" s="14">
        <f ref="P8:P13" si="4" t="shared">I8-B8</f>
        <v>644.58812819239313</v>
      </c>
      <c r="Q8" s="14">
        <f ref="Q8:Q13" si="5" t="shared">J8-C8</f>
        <v>-115.7870880286917</v>
      </c>
      <c r="R8" s="14">
        <f ref="R8:R13" si="6" t="shared">K8-D8</f>
        <v>-60.678900806561998</v>
      </c>
      <c r="S8" s="14">
        <f ref="S8:S13" si="7" t="shared">L8-E8</f>
        <v>468.12213935713942</v>
      </c>
    </row>
    <row r="9" spans="1:19" x14ac:dyDescent="0.25">
      <c r="A9">
        <v>3</v>
      </c>
      <c r="B9" s="14" t="n">
        <v>273.6375172963036</v>
      </c>
      <c r="C9" s="14" t="n">
        <v>0.0</v>
      </c>
      <c r="D9" s="14" t="n">
        <v>0.0</v>
      </c>
      <c r="E9" s="14">
        <f si="0" t="shared"/>
        <v>273.6375172963036</v>
      </c>
      <c r="F9" s="14"/>
      <c r="G9" s="14"/>
      <c r="H9">
        <f si="1" t="shared"/>
        <v>3</v>
      </c>
      <c r="I9" s="14" t="n">
        <v>719.0</v>
      </c>
      <c r="J9" s="14" t="n">
        <v>213.0</v>
      </c>
      <c r="K9" s="14" t="n">
        <v>30.0</v>
      </c>
      <c r="L9" s="14">
        <f si="2" t="shared"/>
        <v>862</v>
      </c>
      <c r="O9">
        <f si="3" t="shared"/>
        <v>3</v>
      </c>
      <c r="P9" s="14">
        <f si="4" t="shared"/>
        <v>385.3624827036964</v>
      </c>
      <c r="Q9" s="14">
        <f si="5" t="shared"/>
        <v>177</v>
      </c>
      <c r="R9" s="14">
        <f si="6" t="shared"/>
        <v>26</v>
      </c>
      <c r="S9" s="14">
        <f si="7" t="shared"/>
        <v>588.3624827036964</v>
      </c>
    </row>
    <row r="10" spans="1:19" x14ac:dyDescent="0.25">
      <c r="A10">
        <v>4</v>
      </c>
      <c r="B10" s="14" t="n">
        <v>2610.9711699869436</v>
      </c>
      <c r="C10" s="14" t="n">
        <v>1451.0713045708537</v>
      </c>
      <c r="D10" s="14" t="n">
        <v>97.9807391672096</v>
      </c>
      <c r="E10" s="14">
        <f si="0" t="shared"/>
        <v>4160.0232137250068</v>
      </c>
      <c r="F10" s="14"/>
      <c r="G10" s="14"/>
      <c r="H10">
        <f si="1" t="shared"/>
        <v>4</v>
      </c>
      <c r="I10" s="14" t="n">
        <v>3353.0</v>
      </c>
      <c r="J10" s="14" t="n">
        <v>971.0</v>
      </c>
      <c r="K10" s="14" t="n">
        <v>261.0</v>
      </c>
      <c r="L10" s="14">
        <f si="2" t="shared"/>
        <v>4263</v>
      </c>
      <c r="O10">
        <f si="3" t="shared"/>
        <v>4</v>
      </c>
      <c r="P10" s="14">
        <f si="4" t="shared"/>
        <v>551.02883001305645</v>
      </c>
      <c r="Q10" s="14">
        <f si="5" t="shared"/>
        <v>-582.07130457085373</v>
      </c>
      <c r="R10" s="14">
        <f si="6" t="shared"/>
        <v>134.01926083279039</v>
      </c>
      <c r="S10" s="14">
        <f si="7" t="shared"/>
        <v>102.97678627499317</v>
      </c>
    </row>
    <row r="11" spans="1:19" x14ac:dyDescent="0.25">
      <c r="A11">
        <v>5</v>
      </c>
      <c r="B11" s="14" t="n">
        <v>2170.910495366342</v>
      </c>
      <c r="C11" s="14" t="n">
        <v>1740.7075348738601</v>
      </c>
      <c r="D11" s="14" t="n">
        <v>87.3482823205358</v>
      </c>
      <c r="E11" s="14">
        <f si="0" t="shared"/>
        <v>3998.9663125607376</v>
      </c>
      <c r="F11" s="14"/>
      <c r="G11" s="14"/>
      <c r="H11">
        <f si="1" t="shared"/>
        <v>5</v>
      </c>
      <c r="I11" s="14" t="n">
        <v>2424.0</v>
      </c>
      <c r="J11" s="14" t="n">
        <v>668.0</v>
      </c>
      <c r="K11" s="14" t="n">
        <v>115.0</v>
      </c>
      <c r="L11" s="14">
        <f si="2" t="shared"/>
        <v>2924</v>
      </c>
      <c r="O11">
        <f si="3" t="shared"/>
        <v>5</v>
      </c>
      <c r="P11" s="14">
        <f si="4" t="shared"/>
        <v>26.08950463365818</v>
      </c>
      <c r="Q11" s="14">
        <f si="5" t="shared"/>
        <v>-1107.7075348738601</v>
      </c>
      <c r="R11" s="14">
        <f si="6" t="shared"/>
        <v>6.6517176794641983</v>
      </c>
      <c r="S11" s="14">
        <f si="7" t="shared"/>
        <v>-1074.9663125607376</v>
      </c>
    </row>
    <row r="12" spans="1:19" x14ac:dyDescent="0.25">
      <c r="A12">
        <v>6</v>
      </c>
      <c r="B12" s="15" t="n">
        <v>3483.1944021650193</v>
      </c>
      <c r="C12" s="15" t="n">
        <v>1005.1058193272922</v>
      </c>
      <c r="D12" s="15" t="n">
        <v>0.0</v>
      </c>
      <c r="E12" s="15">
        <f si="0" t="shared"/>
        <v>4488.3002214923117</v>
      </c>
      <c r="F12" s="14"/>
      <c r="G12" s="14"/>
      <c r="H12">
        <f si="1" t="shared"/>
        <v>6</v>
      </c>
      <c r="I12" s="15" t="n">
        <v>2122.0</v>
      </c>
      <c r="J12" s="15" t="n">
        <v>885.0</v>
      </c>
      <c r="K12" s="15" t="n">
        <v>189.0</v>
      </c>
      <c r="L12" s="14">
        <f si="2" t="shared"/>
        <v>3118</v>
      </c>
      <c r="O12">
        <f si="3" t="shared"/>
        <v>6</v>
      </c>
      <c r="P12" s="14">
        <f si="4" t="shared"/>
        <v>-1411.1944021650193</v>
      </c>
      <c r="Q12" s="14">
        <f si="5" t="shared"/>
        <v>-171.10581932729224</v>
      </c>
      <c r="R12" s="14">
        <f si="6" t="shared"/>
        <v>212</v>
      </c>
      <c r="S12" s="14">
        <f si="7" t="shared"/>
        <v>-1370.3002214923117</v>
      </c>
    </row>
    <row customFormat="1" r="13" s="95" spans="1:19" x14ac:dyDescent="0.25">
      <c r="A13" s="6">
        <v>7</v>
      </c>
      <c r="B13" s="16" t="n">
        <v>1665.4444940979279</v>
      </c>
      <c r="C13" s="16" t="n">
        <v>862.7980648066753</v>
      </c>
      <c r="D13" s="16" t="n">
        <v>0.0</v>
      </c>
      <c r="E13" s="16">
        <f si="0" t="shared"/>
        <v>2528.2425589046034</v>
      </c>
      <c r="F13" s="14"/>
      <c r="G13" s="14"/>
      <c r="H13" s="6">
        <f si="1" t="shared"/>
        <v>7</v>
      </c>
      <c r="I13" s="16" t="n">
        <v>1508.0</v>
      </c>
      <c r="J13" s="16" t="n">
        <v>427.0</v>
      </c>
      <c r="K13" s="16" t="n">
        <v>89.0</v>
      </c>
      <c r="L13" s="16">
        <f si="2" t="shared"/>
        <v>1840</v>
      </c>
      <c r="O13" s="6">
        <f si="3" t="shared"/>
        <v>7</v>
      </c>
      <c r="P13" s="16">
        <f si="4" t="shared"/>
        <v>-256.44449409792787</v>
      </c>
      <c r="Q13" s="16">
        <f si="5" t="shared"/>
        <v>-498.79806480667526</v>
      </c>
      <c r="R13" s="16">
        <f si="6" t="shared"/>
        <v>67</v>
      </c>
      <c r="S13" s="16">
        <f si="7" t="shared"/>
        <v>-688.24255890460336</v>
      </c>
    </row>
    <row ht="15.75" r="14" spans="1:19" thickBot="1" x14ac:dyDescent="0.3">
      <c r="A14" s="17" t="s">
        <v>3</v>
      </c>
      <c r="B14" s="17">
        <f>SUM(B7:B13)</f>
        <v>16338.747887292609</v>
      </c>
      <c r="C14" s="17">
        <f>SUM(C7:C13)</f>
        <v>9342.2412743543719</v>
      </c>
      <c r="D14" s="17">
        <f>SUM(D7:D13)</f>
        <v>828.16515466479211</v>
      </c>
      <c r="E14" s="17">
        <f>SUM(E7:E13)</f>
        <v>26509.154316311771</v>
      </c>
      <c r="F14" s="14"/>
      <c r="G14" s="14"/>
      <c r="H14" s="17" t="s">
        <v>3</v>
      </c>
      <c r="I14" s="17">
        <f>SUM(I7:I13)</f>
        <v>16929</v>
      </c>
      <c r="J14" s="17">
        <f>SUM(J7:J13)</f>
        <v>5209</v>
      </c>
      <c r="K14" s="17">
        <f>SUM(K7:K13)</f>
        <v>942</v>
      </c>
      <c r="L14" s="17">
        <f>SUM(L7:L13)</f>
        <v>23080</v>
      </c>
      <c r="O14" s="17" t="s">
        <v>3</v>
      </c>
      <c r="P14" s="17">
        <f>I14-B14</f>
        <v>590.25211270739055</v>
      </c>
      <c r="Q14" s="17">
        <f>J14-C14</f>
        <v>-4133.2412743543719</v>
      </c>
      <c r="R14" s="17">
        <f>K14-D14</f>
        <v>113.83484533520789</v>
      </c>
      <c r="S14" s="17">
        <f>L14-E14</f>
        <v>-3429.1543163117713</v>
      </c>
    </row>
    <row r="15" spans="1:19" x14ac:dyDescent="0.25"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O15" s="14"/>
      <c r="P15" s="14"/>
      <c r="Q15" s="14"/>
      <c r="R15" s="14"/>
      <c r="S15" s="14"/>
    </row>
    <row ht="15.75" r="16" spans="1:19" thickBot="1" x14ac:dyDescent="0.3">
      <c r="A16" s="4" t="s">
        <v>206</v>
      </c>
      <c r="B16" s="17"/>
      <c r="C16" s="17"/>
      <c r="D16" s="17"/>
      <c r="E16" s="17"/>
      <c r="F16" s="14"/>
      <c r="G16" s="14"/>
      <c r="H16" s="18" t="s">
        <v>38</v>
      </c>
      <c r="I16" s="17"/>
      <c r="J16" s="17"/>
      <c r="K16" s="17"/>
      <c r="L16" s="17"/>
      <c r="O16" s="18" t="s">
        <v>54</v>
      </c>
      <c r="P16" s="17"/>
      <c r="Q16" s="17"/>
      <c r="R16" s="17"/>
      <c r="S16" s="17"/>
    </row>
    <row r="17" spans="1:19" x14ac:dyDescent="0.25">
      <c r="A17" s="2"/>
      <c r="B17" s="3" t="str">
        <f>B6</f>
        <v>FT</v>
      </c>
      <c r="C17" s="196" t="str">
        <f>C6</f>
        <v>PT</v>
      </c>
      <c r="D17" s="196" t="str">
        <f>D6</f>
        <v>NotFTPT</v>
      </c>
      <c r="E17" s="196" t="str">
        <f>E6</f>
        <v>Total</v>
      </c>
      <c r="F17" s="14"/>
      <c r="G17" s="14"/>
      <c r="H17" s="20"/>
      <c r="I17" s="19" t="str">
        <f>I6</f>
        <v>FT</v>
      </c>
      <c r="J17" s="19" t="str">
        <f>J6</f>
        <v>PT</v>
      </c>
      <c r="K17" s="19" t="str">
        <f>K6</f>
        <v>NotFTPT</v>
      </c>
      <c r="L17" s="19" t="str">
        <f>L6</f>
        <v>Total</v>
      </c>
      <c r="O17" s="20"/>
      <c r="P17" s="19" t="s">
        <v>8</v>
      </c>
      <c r="Q17" s="19" t="s">
        <v>9</v>
      </c>
      <c r="R17" s="19" t="s">
        <v>10</v>
      </c>
      <c r="S17" s="19" t="s">
        <v>3</v>
      </c>
    </row>
    <row r="18" spans="1:19" x14ac:dyDescent="0.25">
      <c r="A18">
        <f ref="A18:A23" si="8" t="shared">A7</f>
        <v>1</v>
      </c>
      <c r="B18" s="14" t="n">
        <v>276955.8027984246</v>
      </c>
      <c r="C18" s="14" t="n">
        <v>30418.82198413343</v>
      </c>
      <c r="D18" s="14" t="n">
        <v>12395.865561480652</v>
      </c>
      <c r="E18" s="14">
        <f>SUM(B18:D18)</f>
        <v>319770.4903440387</v>
      </c>
      <c r="F18" s="14"/>
      <c r="G18" s="14"/>
      <c r="H18" s="95">
        <f ref="H18:H23" si="9" t="shared">H7</f>
        <v>1</v>
      </c>
      <c r="I18" s="14" t="n">
        <v>318682.0</v>
      </c>
      <c r="J18" s="14" t="n">
        <v>40761.0</v>
      </c>
      <c r="K18" s="14" t="n">
        <v>14201.0</v>
      </c>
      <c r="L18" s="14">
        <f>SUM(I18:K18)</f>
        <v>373644</v>
      </c>
      <c r="O18" s="95">
        <f ref="O18:O23" si="10" t="shared">O7</f>
        <v>1</v>
      </c>
      <c r="P18" s="14">
        <f>I18-B18</f>
        <v>41726.197201575385</v>
      </c>
      <c r="Q18" s="14">
        <f>J18-C18</f>
        <v>10342.178015866572</v>
      </c>
      <c r="R18" s="14">
        <f>K18-D18</f>
        <v>1805.1344385193479</v>
      </c>
      <c r="S18" s="14">
        <f>L18-E18</f>
        <v>53873.509655961301</v>
      </c>
    </row>
    <row r="19" spans="1:19" x14ac:dyDescent="0.25">
      <c r="A19">
        <f si="8" t="shared"/>
        <v>2</v>
      </c>
      <c r="B19" s="14" t="n">
        <v>37323.20354998853</v>
      </c>
      <c r="C19" s="14" t="n">
        <v>3773.4444467912617</v>
      </c>
      <c r="D19" s="14" t="n">
        <v>865.2272335211433</v>
      </c>
      <c r="E19" s="14">
        <f ref="E19:E24" si="11" t="shared">SUM(B19:D19)</f>
        <v>41961.875230300939</v>
      </c>
      <c r="F19" s="14"/>
      <c r="G19" s="14"/>
      <c r="H19" s="95">
        <f si="9" t="shared"/>
        <v>2</v>
      </c>
      <c r="I19" s="14" t="n">
        <v>43152.0</v>
      </c>
      <c r="J19" s="14" t="n">
        <v>5412.0</v>
      </c>
      <c r="K19" s="14" t="n">
        <v>1356.0</v>
      </c>
      <c r="L19" s="14">
        <f ref="L19:L24" si="12" t="shared">SUM(I19:K19)</f>
        <v>49920</v>
      </c>
      <c r="O19" s="95">
        <f si="10" t="shared"/>
        <v>2</v>
      </c>
      <c r="P19" s="14">
        <f ref="P19:P24" si="13" t="shared">I19-B19</f>
        <v>5828.7964500114686</v>
      </c>
      <c r="Q19" s="14">
        <f ref="Q19:Q24" si="14" t="shared">J19-C19</f>
        <v>1638.5555532087383</v>
      </c>
      <c r="R19" s="14">
        <f ref="R19:R24" si="15" t="shared">K19-D19</f>
        <v>490.77276647885674</v>
      </c>
      <c r="S19" s="14">
        <f ref="S19:S24" si="16" t="shared">L19-E19</f>
        <v>7958.1247696990613</v>
      </c>
    </row>
    <row r="20" spans="1:19" x14ac:dyDescent="0.25">
      <c r="A20">
        <f si="8" t="shared"/>
        <v>3</v>
      </c>
      <c r="B20" s="14" t="n">
        <v>30097.995930952904</v>
      </c>
      <c r="C20" s="14" t="n">
        <v>2578.397757035845</v>
      </c>
      <c r="D20" s="14" t="n">
        <v>228.071457286276</v>
      </c>
      <c r="E20" s="14">
        <f si="11" t="shared"/>
        <v>32904.465145275026</v>
      </c>
      <c r="F20" s="14"/>
      <c r="G20" s="14"/>
      <c r="H20" s="95">
        <f si="9" t="shared"/>
        <v>3</v>
      </c>
      <c r="I20" s="14" t="n">
        <v>33200.0</v>
      </c>
      <c r="J20" s="14" t="n">
        <v>3516.0</v>
      </c>
      <c r="K20" s="14" t="n">
        <v>1048.0</v>
      </c>
      <c r="L20" s="14">
        <f si="12" t="shared"/>
        <v>37764</v>
      </c>
      <c r="O20" s="95">
        <f si="10" t="shared"/>
        <v>3</v>
      </c>
      <c r="P20" s="14">
        <f si="13" t="shared"/>
        <v>3102.004069047096</v>
      </c>
      <c r="Q20" s="14">
        <f si="14" t="shared"/>
        <v>937.60224296415481</v>
      </c>
      <c r="R20" s="14">
        <f si="15" t="shared"/>
        <v>819.92854271372403</v>
      </c>
      <c r="S20" s="14">
        <f si="16" t="shared"/>
        <v>4859.5348547249741</v>
      </c>
    </row>
    <row r="21" spans="1:19" x14ac:dyDescent="0.25">
      <c r="A21">
        <f si="8" t="shared"/>
        <v>4</v>
      </c>
      <c r="B21" s="14" t="n">
        <v>137168.9217253484</v>
      </c>
      <c r="C21" s="14" t="n">
        <v>14656.25662275794</v>
      </c>
      <c r="D21" s="14" t="n">
        <v>7264.8341253290855</v>
      </c>
      <c r="E21" s="14">
        <f si="11" t="shared"/>
        <v>159090.01247343543</v>
      </c>
      <c r="F21" s="14"/>
      <c r="G21" s="14"/>
      <c r="H21" s="95">
        <f si="9" t="shared"/>
        <v>4</v>
      </c>
      <c r="I21" s="14" t="n">
        <v>158768.0</v>
      </c>
      <c r="J21" s="14" t="n">
        <v>18782.0</v>
      </c>
      <c r="K21" s="14" t="n">
        <v>11389.0</v>
      </c>
      <c r="L21" s="14">
        <f si="12" t="shared"/>
        <v>188939</v>
      </c>
      <c r="O21" s="95">
        <f si="10" t="shared"/>
        <v>4</v>
      </c>
      <c r="P21" s="14">
        <f si="13" t="shared"/>
        <v>21599.078274651605</v>
      </c>
      <c r="Q21" s="14">
        <f si="14" t="shared"/>
        <v>4125.7433772420609</v>
      </c>
      <c r="R21" s="14">
        <f si="15" t="shared"/>
        <v>4124.1658746709145</v>
      </c>
      <c r="S21" s="14">
        <f si="16" t="shared"/>
        <v>29848.987526564568</v>
      </c>
    </row>
    <row r="22" spans="1:19" x14ac:dyDescent="0.25">
      <c r="A22">
        <f si="8" t="shared"/>
        <v>5</v>
      </c>
      <c r="B22" s="14" t="n">
        <v>72311.10700370214</v>
      </c>
      <c r="C22" s="14" t="n">
        <v>9897.433995111114</v>
      </c>
      <c r="D22" s="14" t="n">
        <v>2690.2730552267785</v>
      </c>
      <c r="E22" s="14">
        <f si="11" t="shared"/>
        <v>84898.814054040035</v>
      </c>
      <c r="F22" s="14"/>
      <c r="G22" s="14"/>
      <c r="H22" s="95">
        <f si="9" t="shared"/>
        <v>5</v>
      </c>
      <c r="I22" s="14" t="n">
        <v>87509.0</v>
      </c>
      <c r="J22" s="14" t="n">
        <v>10961.0</v>
      </c>
      <c r="K22" s="14" t="n">
        <v>3375.0</v>
      </c>
      <c r="L22" s="14">
        <f si="12" t="shared"/>
        <v>101845</v>
      </c>
      <c r="O22" s="95">
        <f si="10" t="shared"/>
        <v>5</v>
      </c>
      <c r="P22" s="14">
        <f si="13" t="shared"/>
        <v>15197.892996297858</v>
      </c>
      <c r="Q22" s="14">
        <f si="14" t="shared"/>
        <v>1063.5660048888858</v>
      </c>
      <c r="R22" s="14">
        <f si="15" t="shared"/>
        <v>684.72694477322148</v>
      </c>
      <c r="S22" s="14">
        <f si="16" t="shared"/>
        <v>16946.185945959965</v>
      </c>
    </row>
    <row r="23" spans="1:19" x14ac:dyDescent="0.25">
      <c r="A23">
        <f si="8" t="shared"/>
        <v>6</v>
      </c>
      <c r="B23" s="15" t="n">
        <v>92570.09426592007</v>
      </c>
      <c r="C23" s="15" t="n">
        <v>15046.094214480576</v>
      </c>
      <c r="D23" s="15" t="n">
        <v>3543.074077464527</v>
      </c>
      <c r="E23" s="14">
        <f si="11" t="shared"/>
        <v>111159.26255786516</v>
      </c>
      <c r="F23" s="14"/>
      <c r="G23" s="14"/>
      <c r="H23" s="95">
        <f si="9" t="shared"/>
        <v>6</v>
      </c>
      <c r="I23" s="15" t="n">
        <v>112439.0</v>
      </c>
      <c r="J23" s="15" t="n">
        <v>18171.0</v>
      </c>
      <c r="K23" s="15" t="n">
        <v>7137.0</v>
      </c>
      <c r="L23" s="14">
        <f si="12" t="shared"/>
        <v>137747</v>
      </c>
      <c r="O23" s="95">
        <f si="10" t="shared"/>
        <v>6</v>
      </c>
      <c r="P23" s="14">
        <f si="13" t="shared"/>
        <v>19868.905734079934</v>
      </c>
      <c r="Q23" s="14">
        <f si="14" t="shared"/>
        <v>3124.9057855194242</v>
      </c>
      <c r="R23" s="14">
        <f si="15" t="shared"/>
        <v>3593.9259225354731</v>
      </c>
      <c r="S23" s="14">
        <f si="16" t="shared"/>
        <v>26587.737442134836</v>
      </c>
    </row>
    <row customFormat="1" r="24" s="95" spans="1:19" x14ac:dyDescent="0.25">
      <c r="A24" s="6">
        <v>7</v>
      </c>
      <c r="B24" s="16" t="n">
        <v>55276.35666840568</v>
      </c>
      <c r="C24" s="16" t="n">
        <v>6762.34108344349</v>
      </c>
      <c r="D24" s="16" t="n">
        <v>3333.9580494946636</v>
      </c>
      <c r="E24" s="16">
        <f si="11" t="shared"/>
        <v>65372.655801343833</v>
      </c>
      <c r="F24" s="14"/>
      <c r="G24" s="14"/>
      <c r="H24" s="6">
        <v>7</v>
      </c>
      <c r="I24" s="16" t="n">
        <v>65526.0</v>
      </c>
      <c r="J24" s="16" t="n">
        <v>7668.0</v>
      </c>
      <c r="K24" s="16" t="n">
        <v>2856.0</v>
      </c>
      <c r="L24" s="16">
        <f si="12" t="shared"/>
        <v>76050</v>
      </c>
      <c r="O24" s="6">
        <v>7</v>
      </c>
      <c r="P24" s="16">
        <f si="13" t="shared"/>
        <v>10249.643331594321</v>
      </c>
      <c r="Q24" s="16">
        <f si="14" t="shared"/>
        <v>905.65891655651012</v>
      </c>
      <c r="R24" s="16">
        <f si="15" t="shared"/>
        <v>-477.95804949466356</v>
      </c>
      <c r="S24" s="16">
        <f si="16" t="shared"/>
        <v>10677.344198656167</v>
      </c>
    </row>
    <row ht="15.75" r="25" spans="1:19" thickBot="1" x14ac:dyDescent="0.3">
      <c r="A25" s="17" t="s">
        <v>3</v>
      </c>
      <c r="B25" s="17">
        <f>SUM(B18:B24)</f>
        <v>701703.48194274236</v>
      </c>
      <c r="C25" s="17">
        <f>SUM(C18:C24)</f>
        <v>83132.79010375365</v>
      </c>
      <c r="D25" s="17">
        <f>SUM(D18:D24)</f>
        <v>30321.303559803127</v>
      </c>
      <c r="E25" s="17">
        <f>SUM(E18:E24)</f>
        <v>815157.57560629898</v>
      </c>
      <c r="F25" s="14"/>
      <c r="G25" s="14"/>
      <c r="H25" s="17" t="s">
        <v>3</v>
      </c>
      <c r="I25" s="17">
        <f>SUM(I18:I24)</f>
        <v>819276</v>
      </c>
      <c r="J25" s="17">
        <f>SUM(J18:J24)</f>
        <v>105271</v>
      </c>
      <c r="K25" s="17">
        <f>SUM(K18:K24)</f>
        <v>41362</v>
      </c>
      <c r="L25" s="17">
        <f>SUM(L18:L24)</f>
        <v>965909</v>
      </c>
      <c r="O25" s="17" t="s">
        <v>3</v>
      </c>
      <c r="P25" s="17">
        <f>I25-B25</f>
        <v>117572.51805725764</v>
      </c>
      <c r="Q25" s="17">
        <f>J25-C25</f>
        <v>22138.20989624635</v>
      </c>
      <c r="R25" s="17">
        <f>K25-D25</f>
        <v>11040.696440196873</v>
      </c>
      <c r="S25" s="17">
        <f>L25-E25</f>
        <v>150751.42439370102</v>
      </c>
    </row>
    <row ht="15.75" r="27" spans="1:19" thickBot="1" x14ac:dyDescent="0.3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2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25">
      <c r="A29" s="95">
        <f ref="A29:A34" si="17" t="shared">A18</f>
        <v>1</v>
      </c>
      <c r="B29" s="21">
        <f ref="B29:E36" si="18" t="shared">IF(B18&gt;0,B7/B18,0)</f>
        <v>2.1094260808193106E-2</v>
      </c>
      <c r="C29" s="21">
        <f si="18" t="shared"/>
        <v>0.12849844957131573</v>
      </c>
      <c r="D29" s="21">
        <f si="18" t="shared"/>
        <v>4.3736940327523663E-2</v>
      </c>
      <c r="E29" s="21">
        <f si="18" t="shared"/>
        <v>3.2189044775881831E-2</v>
      </c>
      <c r="F29" s="21"/>
      <c r="G29" s="21"/>
      <c r="H29" s="95">
        <f ref="H29:H34" si="19" t="shared">H18</f>
        <v>1</v>
      </c>
      <c r="I29" s="21">
        <f ref="I29:L36" si="20" t="shared">IF(I18&gt;0,I7/I18,0)</f>
        <v>2.0374542647529512E-2</v>
      </c>
      <c r="J29" s="21">
        <f si="20" t="shared"/>
        <v>5.0881970511027698E-2</v>
      </c>
      <c r="K29" s="21">
        <f si="20" t="shared"/>
        <v>1.9083163157524119E-2</v>
      </c>
      <c r="L29" s="21">
        <f si="20" t="shared"/>
        <v>2.3653531168706041E-2</v>
      </c>
      <c r="O29" s="95">
        <f ref="O29:O34" si="21" t="shared">O18</f>
        <v>1</v>
      </c>
      <c r="P29" s="21">
        <f>I29-B29</f>
        <v>-7.1971816066359467E-4</v>
      </c>
      <c r="Q29" s="21">
        <f>J29-C29</f>
        <v>-7.7616479060288041E-2</v>
      </c>
      <c r="R29" s="21">
        <f>K29-D29</f>
        <v>-2.4653777169999544E-2</v>
      </c>
      <c r="S29" s="21">
        <f>L29-E29</f>
        <v>-8.5355136071757903E-3</v>
      </c>
    </row>
    <row r="30" spans="1:19" x14ac:dyDescent="0.25">
      <c r="A30" s="95">
        <f si="17" t="shared"/>
        <v>2</v>
      </c>
      <c r="B30" s="21">
        <f si="18" t="shared"/>
        <v>7.834586637665425E-3</v>
      </c>
      <c r="C30" s="21">
        <f si="18" t="shared"/>
        <v>9.9057265397544295E-2</v>
      </c>
      <c r="D30" s="21">
        <f si="18" t="shared"/>
        <v>0.11636122501234439</v>
      </c>
      <c r="E30" s="21">
        <f si="18" t="shared"/>
        <v>1.8275586027411216E-2</v>
      </c>
      <c r="F30" s="21"/>
      <c r="G30" s="21"/>
      <c r="H30" s="95">
        <f si="19" t="shared"/>
        <v>2</v>
      </c>
      <c r="I30" s="21">
        <f si="20" t="shared"/>
        <v>2.171394141638858E-2</v>
      </c>
      <c r="J30" s="21">
        <f si="20" t="shared"/>
        <v>4.7671840354767181E-2</v>
      </c>
      <c r="K30" s="21">
        <f si="20" t="shared"/>
        <v>2.9498525073746312E-2</v>
      </c>
      <c r="L30" s="21">
        <f si="20" t="shared"/>
        <v>2.4739583333333332E-2</v>
      </c>
      <c r="O30" s="95">
        <f si="21" t="shared"/>
        <v>2</v>
      </c>
      <c r="P30" s="21">
        <f ref="P30:P35" si="22" t="shared">I30-B30</f>
        <v>1.3879354778723155E-2</v>
      </c>
      <c r="Q30" s="21">
        <f ref="Q30:Q35" si="23" t="shared">J30-C30</f>
        <v>-5.1385425042777114E-2</v>
      </c>
      <c r="R30" s="21">
        <f ref="R30:R35" si="24" t="shared">K30-D30</f>
        <v>-8.6862699938598076E-2</v>
      </c>
      <c r="S30" s="21">
        <f ref="S30:S35" si="25" t="shared">L30-E30</f>
        <v>6.4639973059221166E-3</v>
      </c>
    </row>
    <row r="31" spans="1:19" x14ac:dyDescent="0.25">
      <c r="A31" s="95">
        <f si="17" t="shared"/>
        <v>3</v>
      </c>
      <c r="B31" s="21">
        <f si="18" t="shared"/>
        <v>9.0915527373998228E-3</v>
      </c>
      <c r="C31" s="21">
        <f si="18" t="shared"/>
        <v>0</v>
      </c>
      <c r="D31" s="21">
        <f si="18" t="shared"/>
        <v>0</v>
      </c>
      <c r="E31" s="21">
        <f si="18" t="shared"/>
        <v>8.3161211126872563E-3</v>
      </c>
      <c r="F31" s="21"/>
      <c r="G31" s="21"/>
      <c r="H31" s="95">
        <f si="19" t="shared"/>
        <v>3</v>
      </c>
      <c r="I31" s="21">
        <f si="20" t="shared"/>
        <v>1.9849397590361445E-2</v>
      </c>
      <c r="J31" s="21">
        <f si="20" t="shared"/>
        <v>5.0341296928327645E-2</v>
      </c>
      <c r="K31" s="21">
        <f si="20" t="shared"/>
        <v>2.4809160305343511E-2</v>
      </c>
      <c r="L31" s="21">
        <f si="20" t="shared"/>
        <v>2.2825971825018537E-2</v>
      </c>
      <c r="O31" s="95">
        <f si="21" t="shared"/>
        <v>3</v>
      </c>
      <c r="P31" s="21">
        <f si="22" t="shared"/>
        <v>1.0757844852961622E-2</v>
      </c>
      <c r="Q31" s="21">
        <f si="23" t="shared"/>
        <v>5.0341296928327645E-2</v>
      </c>
      <c r="R31" s="21">
        <f si="24" t="shared"/>
        <v>2.4809160305343511E-2</v>
      </c>
      <c r="S31" s="21">
        <f si="25" t="shared"/>
        <v>1.450985071233128E-2</v>
      </c>
    </row>
    <row r="32" spans="1:19" x14ac:dyDescent="0.25">
      <c r="A32" s="95">
        <f si="17" t="shared"/>
        <v>4</v>
      </c>
      <c r="B32" s="21">
        <f si="18" t="shared"/>
        <v>1.9034713819613296E-2</v>
      </c>
      <c r="C32" s="21">
        <f si="18" t="shared"/>
        <v>9.9006952588265917E-2</v>
      </c>
      <c r="D32" s="21">
        <f si="18" t="shared"/>
        <v>1.3486989169593908E-2</v>
      </c>
      <c r="E32" s="21">
        <f si="18" t="shared"/>
        <v>2.6148864715311027E-2</v>
      </c>
      <c r="F32" s="21"/>
      <c r="G32" s="21"/>
      <c r="H32" s="95">
        <f si="19" t="shared"/>
        <v>4</v>
      </c>
      <c r="I32" s="21">
        <f si="20" t="shared"/>
        <v>1.991585206086869E-2</v>
      </c>
      <c r="J32" s="21">
        <f si="20" t="shared"/>
        <v>4.6267703120008517E-2</v>
      </c>
      <c r="K32" s="21">
        <f si="20" t="shared"/>
        <v>2.0370532970410044E-2</v>
      </c>
      <c r="L32" s="21">
        <f si="20" t="shared"/>
        <v>2.2562837741281577E-2</v>
      </c>
      <c r="O32" s="95">
        <f si="21" t="shared"/>
        <v>4</v>
      </c>
      <c r="P32" s="21">
        <f si="22" t="shared"/>
        <v>8.8113824125539419E-4</v>
      </c>
      <c r="Q32" s="21">
        <f si="23" t="shared"/>
        <v>-5.27392494682574E-2</v>
      </c>
      <c r="R32" s="21">
        <f si="24" t="shared"/>
        <v>6.8835438008161363E-3</v>
      </c>
      <c r="S32" s="21">
        <f si="25" t="shared"/>
        <v>-3.5860269740294499E-3</v>
      </c>
    </row>
    <row r="33" spans="1:19" x14ac:dyDescent="0.25">
      <c r="A33" s="95">
        <f si="17" t="shared"/>
        <v>5</v>
      </c>
      <c r="B33" s="21">
        <f si="18" t="shared"/>
        <v>3.0021812489403554E-2</v>
      </c>
      <c r="C33" s="21">
        <f si="18" t="shared"/>
        <v>0.17587462929620862</v>
      </c>
      <c r="D33" s="21">
        <f si="18" t="shared"/>
        <v>3.2468184651677563E-2</v>
      </c>
      <c r="E33" s="21">
        <f si="18" t="shared"/>
        <v>4.7102734674424357E-2</v>
      </c>
      <c r="F33" s="21"/>
      <c r="G33" s="21"/>
      <c r="H33" s="95">
        <f si="19" t="shared"/>
        <v>5</v>
      </c>
      <c r="I33" s="21">
        <f si="20" t="shared"/>
        <v>2.510598909826418E-2</v>
      </c>
      <c r="J33" s="21">
        <f si="20" t="shared"/>
        <v>5.7750205273241491E-2</v>
      </c>
      <c r="K33" s="21">
        <f si="20" t="shared"/>
        <v>2.7851851851851853E-2</v>
      </c>
      <c r="L33" s="21">
        <f si="20" t="shared"/>
        <v>2.8710295056212871E-2</v>
      </c>
      <c r="O33" s="95">
        <f si="21" t="shared"/>
        <v>5</v>
      </c>
      <c r="P33" s="21">
        <f si="22" t="shared"/>
        <v>-4.9158233911393741E-3</v>
      </c>
      <c r="Q33" s="21">
        <f si="23" t="shared"/>
        <v>-0.11812442402296713</v>
      </c>
      <c r="R33" s="21">
        <f si="24" t="shared"/>
        <v>-4.6163327998257099E-3</v>
      </c>
      <c r="S33" s="21">
        <f si="25" t="shared"/>
        <v>-1.8392439618211485E-2</v>
      </c>
    </row>
    <row r="34" spans="1:19" x14ac:dyDescent="0.25">
      <c r="A34" s="95">
        <f si="17" t="shared"/>
        <v>6</v>
      </c>
      <c r="B34" s="21">
        <f si="18" t="shared"/>
        <v>3.7627642380476292E-2</v>
      </c>
      <c r="C34" s="21">
        <f si="18" t="shared"/>
        <v>6.6801776261640314E-2</v>
      </c>
      <c r="D34" s="21">
        <f si="18" t="shared"/>
        <v>0</v>
      </c>
      <c r="E34" s="21">
        <f si="18" t="shared"/>
        <v>4.0377204006331713E-2</v>
      </c>
      <c r="F34" s="21"/>
      <c r="G34" s="21"/>
      <c r="H34" s="95">
        <f si="19" t="shared"/>
        <v>6</v>
      </c>
      <c r="I34" s="21">
        <f si="20" t="shared"/>
        <v>1.842776972402814E-2</v>
      </c>
      <c r="J34" s="21">
        <f si="20" t="shared"/>
        <v>4.5897308898794779E-2</v>
      </c>
      <c r="K34" s="21">
        <f si="20" t="shared"/>
        <v>2.9704357573210032E-2</v>
      </c>
      <c r="L34" s="21">
        <f si="20" t="shared"/>
        <v>2.2635701684973177E-2</v>
      </c>
      <c r="O34" s="95">
        <f si="21" t="shared"/>
        <v>6</v>
      </c>
      <c r="P34" s="21">
        <f si="22" t="shared"/>
        <v>-1.9199872656448153E-2</v>
      </c>
      <c r="Q34" s="21">
        <f si="23" t="shared"/>
        <v>-2.0904467362845534E-2</v>
      </c>
      <c r="R34" s="21">
        <f si="24" t="shared"/>
        <v>2.9704357573210032E-2</v>
      </c>
      <c r="S34" s="21">
        <f si="25" t="shared"/>
        <v>-1.7741502321358536E-2</v>
      </c>
    </row>
    <row customFormat="1" r="35" s="95" spans="1:19" x14ac:dyDescent="0.25">
      <c r="A35" s="6">
        <v>7</v>
      </c>
      <c r="B35" s="94">
        <f si="18" t="shared"/>
        <v>3.0129418696834019E-2</v>
      </c>
      <c r="C35" s="94">
        <f si="18" t="shared"/>
        <v>0.12758866406769961</v>
      </c>
      <c r="D35" s="94">
        <f si="18" t="shared"/>
        <v>0</v>
      </c>
      <c r="E35" s="94">
        <f si="18" t="shared"/>
        <v>3.8674313104052165E-2</v>
      </c>
      <c r="F35" s="21"/>
      <c r="G35" s="21"/>
      <c r="H35" s="6">
        <v>7</v>
      </c>
      <c r="I35" s="94">
        <f si="20" t="shared"/>
        <v>2.1502914873485334E-2</v>
      </c>
      <c r="J35" s="94">
        <f si="20" t="shared"/>
        <v>4.747000521648409E-2</v>
      </c>
      <c r="K35" s="94">
        <f si="20" t="shared"/>
        <v>2.34593837535014E-2</v>
      </c>
      <c r="L35" s="94">
        <f si="20" t="shared"/>
        <v>2.4194608809993426E-2</v>
      </c>
      <c r="O35" s="6">
        <v>7</v>
      </c>
      <c r="P35" s="94">
        <f si="22" t="shared"/>
        <v>-8.626503823348685E-3</v>
      </c>
      <c r="Q35" s="94">
        <f si="23" t="shared"/>
        <v>-8.0118658851215524E-2</v>
      </c>
      <c r="R35" s="94">
        <f si="24" t="shared"/>
        <v>2.34593837535014E-2</v>
      </c>
      <c r="S35" s="94">
        <f si="25" t="shared"/>
        <v>-1.4479704294058739E-2</v>
      </c>
    </row>
    <row ht="15.75" r="36" spans="1:19" thickBot="1" x14ac:dyDescent="0.3">
      <c r="A36" s="17" t="s">
        <v>3</v>
      </c>
      <c r="B36" s="22">
        <f si="18" t="shared"/>
        <v>2.328440474893613E-2</v>
      </c>
      <c r="C36" s="22">
        <f si="18" t="shared"/>
        <v>0.11237733345283868</v>
      </c>
      <c r="D36" s="22">
        <f si="18" t="shared"/>
        <v>2.7312979899805117E-2</v>
      </c>
      <c r="E36" s="22">
        <f si="18" t="shared"/>
        <v>3.252028210201538E-2</v>
      </c>
      <c r="F36" s="7"/>
      <c r="H36" s="17" t="s">
        <v>3</v>
      </c>
      <c r="I36" s="22">
        <f si="20" t="shared"/>
        <v>2.0663366191613082E-2</v>
      </c>
      <c r="J36" s="22">
        <f si="20" t="shared"/>
        <v>4.9481813604886439E-2</v>
      </c>
      <c r="K36" s="22">
        <f si="20" t="shared"/>
        <v>2.277452734393888E-2</v>
      </c>
      <c r="L36" s="22">
        <f si="20" t="shared"/>
        <v>2.3894590484196752E-2</v>
      </c>
      <c r="O36" s="17" t="s">
        <v>3</v>
      </c>
      <c r="P36" s="22">
        <f>I36-B36</f>
        <v>-2.621038557323048E-3</v>
      </c>
      <c r="Q36" s="22">
        <f>J36-C36</f>
        <v>-6.2895519847952247E-2</v>
      </c>
      <c r="R36" s="22">
        <f>K36-D36</f>
        <v>-4.5384525558662368E-3</v>
      </c>
      <c r="S36" s="22">
        <f>L36-E36</f>
        <v>-8.6256916178186274E-3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T48"/>
  <sheetViews>
    <sheetView workbookViewId="0">
      <selection activeCell="N35" sqref="N35"/>
    </sheetView>
  </sheetViews>
  <sheetFormatPr defaultColWidth="8.85546875" defaultRowHeight="15" x14ac:dyDescent="0.25"/>
  <cols>
    <col min="1" max="16384" style="98" width="8.85546875" collapsed="true"/>
  </cols>
  <sheetData>
    <row r="1" spans="1:19" x14ac:dyDescent="0.25">
      <c r="A1" s="98" t="s">
        <v>416</v>
      </c>
    </row>
    <row r="2" spans="1:19" x14ac:dyDescent="0.25">
      <c r="A2" s="98" t="s">
        <v>247</v>
      </c>
    </row>
    <row r="3" spans="1:19" x14ac:dyDescent="0.25">
      <c r="A3" s="98" t="s">
        <v>417</v>
      </c>
    </row>
    <row ht="15.75" r="5" spans="1:19" thickBot="1" x14ac:dyDescent="0.3">
      <c r="A5" s="205" t="s">
        <v>418</v>
      </c>
      <c r="B5" s="206"/>
      <c r="C5" s="206"/>
      <c r="D5" s="206"/>
      <c r="E5" s="206"/>
      <c r="H5" s="205" t="s">
        <v>419</v>
      </c>
      <c r="I5" s="206"/>
      <c r="J5" s="206"/>
      <c r="K5" s="206"/>
      <c r="L5" s="206"/>
      <c r="O5" s="205" t="s">
        <v>420</v>
      </c>
      <c r="P5" s="206"/>
      <c r="Q5" s="206"/>
      <c r="R5" s="206"/>
      <c r="S5" s="206"/>
    </row>
    <row r="6" spans="1:19" x14ac:dyDescent="0.25">
      <c r="A6" s="207" t="s">
        <v>421</v>
      </c>
      <c r="B6" s="208" t="s">
        <v>8</v>
      </c>
      <c r="C6" s="208" t="s">
        <v>9</v>
      </c>
      <c r="D6" s="208" t="s">
        <v>10</v>
      </c>
      <c r="E6" s="208" t="s">
        <v>3</v>
      </c>
      <c r="H6" s="207" t="str">
        <f ref="H6:H17" si="0" t="shared">A6</f>
        <v>County/District</v>
      </c>
      <c r="I6" s="208" t="s">
        <v>8</v>
      </c>
      <c r="J6" s="208" t="s">
        <v>9</v>
      </c>
      <c r="K6" s="208" t="s">
        <v>10</v>
      </c>
      <c r="L6" s="208" t="s">
        <v>3</v>
      </c>
      <c r="O6" s="207" t="str">
        <f>A6</f>
        <v>County/District</v>
      </c>
      <c r="P6" s="208" t="s">
        <v>8</v>
      </c>
      <c r="Q6" s="208" t="s">
        <v>9</v>
      </c>
      <c r="R6" s="208" t="s">
        <v>10</v>
      </c>
      <c r="S6" s="208" t="s">
        <v>3</v>
      </c>
    </row>
    <row r="7" spans="1:19" x14ac:dyDescent="0.25">
      <c r="A7" s="99">
        <v>1</v>
      </c>
      <c r="B7" s="209">
        <v>0</v>
      </c>
      <c r="C7" s="209">
        <v>0</v>
      </c>
      <c r="D7" s="209">
        <v>0</v>
      </c>
      <c r="E7" s="209">
        <f ref="E7:E17" si="1" t="shared">SUM(B7:D7)</f>
        <v>0</v>
      </c>
      <c r="F7" s="209"/>
      <c r="G7" s="209"/>
      <c r="H7" s="98">
        <f si="0" t="shared"/>
        <v>1</v>
      </c>
      <c r="I7" s="209" t="n">
        <v>28954.0</v>
      </c>
      <c r="J7" s="209" t="n">
        <v>3497.0</v>
      </c>
      <c r="K7" s="209" t="n">
        <v>1274.0</v>
      </c>
      <c r="L7" s="209">
        <f ref="L7:L17" si="2" t="shared">SUM(I7:K7)</f>
        <v>33683</v>
      </c>
      <c r="O7" s="98">
        <f ref="O7:O17" si="3" t="shared">H7</f>
        <v>1</v>
      </c>
      <c r="P7" s="209"/>
      <c r="Q7" s="209"/>
      <c r="R7" s="209"/>
      <c r="S7" s="209">
        <f ref="S7:S18" si="4" t="shared">L7-E7</f>
        <v>33683</v>
      </c>
    </row>
    <row r="8" spans="1:19" x14ac:dyDescent="0.25">
      <c r="A8" s="98">
        <v>2</v>
      </c>
      <c r="B8" s="209">
        <v>0</v>
      </c>
      <c r="C8" s="209">
        <v>0</v>
      </c>
      <c r="D8" s="209">
        <v>0</v>
      </c>
      <c r="E8" s="209">
        <f si="1" t="shared"/>
        <v>0</v>
      </c>
      <c r="F8" s="209"/>
      <c r="G8" s="209"/>
      <c r="H8" s="98">
        <f si="0" t="shared"/>
        <v>2</v>
      </c>
      <c r="I8" s="209" t="n">
        <v>3447.0</v>
      </c>
      <c r="J8" s="209" t="n">
        <v>419.0</v>
      </c>
      <c r="K8" s="209" t="n">
        <v>102.0</v>
      </c>
      <c r="L8" s="209">
        <f si="2" t="shared"/>
        <v>4076</v>
      </c>
      <c r="O8" s="98">
        <f si="3" t="shared"/>
        <v>2</v>
      </c>
      <c r="P8" s="209"/>
      <c r="Q8" s="209"/>
      <c r="R8" s="209"/>
      <c r="S8" s="209">
        <f si="4" t="shared"/>
        <v>4076</v>
      </c>
    </row>
    <row r="9" spans="1:19" x14ac:dyDescent="0.25">
      <c r="A9" s="98">
        <v>3</v>
      </c>
      <c r="B9" s="209">
        <v>0</v>
      </c>
      <c r="C9" s="209">
        <v>0</v>
      </c>
      <c r="D9" s="209">
        <v>0</v>
      </c>
      <c r="E9" s="209">
        <f si="1" t="shared"/>
        <v>0</v>
      </c>
      <c r="F9" s="209"/>
      <c r="G9" s="209"/>
      <c r="H9" s="98">
        <f si="0" t="shared"/>
        <v>3</v>
      </c>
      <c r="I9" s="209" t="n">
        <v>2682.0</v>
      </c>
      <c r="J9" s="209" t="n">
        <v>262.0</v>
      </c>
      <c r="K9" s="209" t="n">
        <v>68.0</v>
      </c>
      <c r="L9" s="209">
        <f si="2" t="shared"/>
        <v>3045</v>
      </c>
      <c r="O9" s="98">
        <f si="3" t="shared"/>
        <v>3</v>
      </c>
      <c r="P9" s="209"/>
      <c r="Q9" s="209"/>
      <c r="R9" s="209"/>
      <c r="S9" s="209">
        <f si="4" t="shared"/>
        <v>3045</v>
      </c>
    </row>
    <row r="10" spans="1:19" x14ac:dyDescent="0.25">
      <c r="A10" s="98">
        <v>4</v>
      </c>
      <c r="B10" s="209">
        <v>0</v>
      </c>
      <c r="C10" s="209">
        <v>0</v>
      </c>
      <c r="D10" s="209">
        <v>0</v>
      </c>
      <c r="E10" s="209">
        <f si="1" t="shared"/>
        <v>0</v>
      </c>
      <c r="F10" s="209"/>
      <c r="G10" s="209"/>
      <c r="H10" s="98">
        <f si="0" t="shared"/>
        <v>4</v>
      </c>
      <c r="I10" s="209" t="n">
        <v>13046.0</v>
      </c>
      <c r="J10" s="209" t="n">
        <v>1338.0</v>
      </c>
      <c r="K10" s="209" t="n">
        <v>885.0</v>
      </c>
      <c r="L10" s="209">
        <f si="2" t="shared"/>
        <v>15480</v>
      </c>
      <c r="O10" s="98">
        <f si="3" t="shared"/>
        <v>4</v>
      </c>
      <c r="P10" s="209"/>
      <c r="Q10" s="209"/>
      <c r="R10" s="209"/>
      <c r="S10" s="209">
        <f si="4" t="shared"/>
        <v>15480</v>
      </c>
    </row>
    <row r="11" spans="1:19" x14ac:dyDescent="0.25">
      <c r="A11" s="98">
        <v>5</v>
      </c>
      <c r="B11" s="209">
        <v>0</v>
      </c>
      <c r="C11" s="209">
        <v>0</v>
      </c>
      <c r="D11" s="209">
        <v>0</v>
      </c>
      <c r="E11" s="209">
        <f si="1" t="shared"/>
        <v>0</v>
      </c>
      <c r="F11" s="209"/>
      <c r="G11" s="209"/>
      <c r="H11" s="98">
        <f si="0" t="shared"/>
        <v>5</v>
      </c>
      <c r="I11" s="209" t="n">
        <v>8017.0</v>
      </c>
      <c r="J11" s="209" t="n">
        <v>926.0</v>
      </c>
      <c r="K11" s="209" t="n">
        <v>335.0</v>
      </c>
      <c r="L11" s="209">
        <f si="2" t="shared"/>
        <v>9239</v>
      </c>
      <c r="O11" s="98">
        <f si="3" t="shared"/>
        <v>5</v>
      </c>
      <c r="P11" s="209"/>
      <c r="Q11" s="209"/>
      <c r="R11" s="209"/>
      <c r="S11" s="209">
        <f si="4" t="shared"/>
        <v>9239</v>
      </c>
    </row>
    <row r="12" spans="1:19" x14ac:dyDescent="0.25">
      <c r="A12" s="98">
        <v>6</v>
      </c>
      <c r="B12" s="209">
        <v>0</v>
      </c>
      <c r="C12" s="209">
        <v>0</v>
      </c>
      <c r="D12" s="209">
        <v>0</v>
      </c>
      <c r="E12" s="209">
        <f si="1" t="shared"/>
        <v>0</v>
      </c>
      <c r="F12" s="209"/>
      <c r="G12" s="209"/>
      <c r="H12" s="98">
        <f si="0" t="shared"/>
        <v>6</v>
      </c>
      <c r="I12" s="209" t="n">
        <v>10851.0</v>
      </c>
      <c r="J12" s="209" t="n">
        <v>1581.0</v>
      </c>
      <c r="K12" s="209" t="n">
        <v>708.0</v>
      </c>
      <c r="L12" s="209">
        <f si="2" t="shared"/>
        <v>13191</v>
      </c>
      <c r="O12" s="98">
        <f si="3" t="shared"/>
        <v>6</v>
      </c>
      <c r="P12" s="209"/>
      <c r="Q12" s="209"/>
      <c r="R12" s="209"/>
      <c r="S12" s="209">
        <f si="4" t="shared"/>
        <v>13191</v>
      </c>
    </row>
    <row r="13" spans="1:19" x14ac:dyDescent="0.25">
      <c r="A13" s="98">
        <v>7</v>
      </c>
      <c r="B13" s="209">
        <v>0</v>
      </c>
      <c r="C13" s="209">
        <v>0</v>
      </c>
      <c r="D13" s="209">
        <v>0</v>
      </c>
      <c r="E13" s="209">
        <f si="1" t="shared"/>
        <v>0</v>
      </c>
      <c r="F13" s="209"/>
      <c r="G13" s="209"/>
      <c r="H13" s="98">
        <f si="0" t="shared"/>
        <v>7</v>
      </c>
      <c r="I13" s="209" t="n">
        <v>5898.0</v>
      </c>
      <c r="J13" s="209" t="n">
        <v>640.0</v>
      </c>
      <c r="K13" s="209" t="n">
        <v>263.0</v>
      </c>
      <c r="L13" s="209">
        <f si="2" t="shared"/>
        <v>6799</v>
      </c>
      <c r="O13" s="98">
        <f si="3" t="shared"/>
        <v>7</v>
      </c>
      <c r="P13" s="209"/>
      <c r="Q13" s="209"/>
      <c r="R13" s="209"/>
      <c r="S13" s="209">
        <f si="4" t="shared"/>
        <v>6799</v>
      </c>
    </row>
    <row r="14" spans="1:19" x14ac:dyDescent="0.25">
      <c r="A14" s="98">
        <v>8</v>
      </c>
      <c r="B14" s="209">
        <v>5284.9459619472937</v>
      </c>
      <c r="C14" s="209">
        <v>36.828138704388302</v>
      </c>
      <c r="D14" s="209">
        <v>0</v>
      </c>
      <c r="E14" s="209">
        <f si="1" t="shared"/>
        <v>5321.7741006516817</v>
      </c>
      <c r="F14" s="209"/>
      <c r="G14" s="209"/>
      <c r="H14" s="98">
        <f si="0" t="shared"/>
        <v>8</v>
      </c>
      <c r="I14" s="209" t="n">
        <v>0.0</v>
      </c>
      <c r="J14" s="209" t="n">
        <v>0.0</v>
      </c>
      <c r="K14" s="209" t="n">
        <v>0.0</v>
      </c>
      <c r="L14" s="209">
        <f si="2" t="shared"/>
        <v>0</v>
      </c>
      <c r="O14" s="98">
        <f si="3" t="shared"/>
        <v>8</v>
      </c>
      <c r="P14" s="209"/>
      <c r="Q14" s="209"/>
      <c r="R14" s="209"/>
      <c r="S14" s="209">
        <f si="4" t="shared"/>
        <v>-5321.7741006516817</v>
      </c>
    </row>
    <row r="15" spans="1:19" x14ac:dyDescent="0.25">
      <c r="A15" s="98">
        <v>9</v>
      </c>
      <c r="B15" s="209">
        <v>0</v>
      </c>
      <c r="C15" s="209">
        <v>0</v>
      </c>
      <c r="D15" s="209">
        <v>0</v>
      </c>
      <c r="E15" s="209">
        <f si="1" t="shared"/>
        <v>0</v>
      </c>
      <c r="F15" s="209"/>
      <c r="G15" s="209"/>
      <c r="H15" s="98">
        <f si="0" t="shared"/>
        <v>9</v>
      </c>
      <c r="I15" s="209" t="n">
        <v>0.0</v>
      </c>
      <c r="J15" s="209" t="n">
        <v>0.0</v>
      </c>
      <c r="K15" s="209" t="n">
        <v>0.0</v>
      </c>
      <c r="L15" s="209">
        <f si="2" t="shared"/>
        <v>0</v>
      </c>
      <c r="O15" s="98">
        <f si="3" t="shared"/>
        <v>9</v>
      </c>
      <c r="P15" s="209"/>
      <c r="Q15" s="209"/>
      <c r="R15" s="209"/>
      <c r="S15" s="209">
        <f si="4" t="shared"/>
        <v>0</v>
      </c>
    </row>
    <row r="16" spans="1:19" x14ac:dyDescent="0.25">
      <c r="A16" s="98">
        <v>10</v>
      </c>
      <c r="B16" s="209">
        <v>19175.72917513263</v>
      </c>
      <c r="C16" s="209">
        <v>1727.0483447222211</v>
      </c>
      <c r="D16" s="209">
        <v>95.650391044409204</v>
      </c>
      <c r="E16" s="209">
        <f si="1" t="shared"/>
        <v>20998.42791089926</v>
      </c>
      <c r="F16" s="209"/>
      <c r="G16" s="209"/>
      <c r="H16" s="98">
        <f si="0" t="shared"/>
        <v>10</v>
      </c>
      <c r="I16" s="209" t="n">
        <v>0.0</v>
      </c>
      <c r="J16" s="209" t="n">
        <v>0.0</v>
      </c>
      <c r="K16" s="209" t="n">
        <v>0.0</v>
      </c>
      <c r="L16" s="209">
        <f si="2" t="shared"/>
        <v>0</v>
      </c>
      <c r="O16" s="98">
        <f si="3" t="shared"/>
        <v>10</v>
      </c>
      <c r="P16" s="209"/>
      <c r="Q16" s="209"/>
      <c r="R16" s="209"/>
      <c r="S16" s="209">
        <f si="4" t="shared"/>
        <v>-20998.42791089926</v>
      </c>
    </row>
    <row r="17" spans="1:19" x14ac:dyDescent="0.25">
      <c r="A17" s="210" t="s">
        <v>422</v>
      </c>
      <c r="B17" s="211">
        <v>0</v>
      </c>
      <c r="C17" s="211">
        <v>0</v>
      </c>
      <c r="D17" s="211">
        <v>0</v>
      </c>
      <c r="E17" s="211">
        <f si="1" t="shared"/>
        <v>0</v>
      </c>
      <c r="F17" s="209"/>
      <c r="G17" s="209"/>
      <c r="H17" s="210" t="str">
        <f si="0" t="shared"/>
        <v>Rest</v>
      </c>
      <c r="I17" s="211" t="n">
        <v>0.0</v>
      </c>
      <c r="J17" s="211" t="n">
        <v>0.0</v>
      </c>
      <c r="K17" s="211" t="n">
        <v>0.0</v>
      </c>
      <c r="L17" s="211">
        <f si="2" t="shared"/>
        <v>0</v>
      </c>
      <c r="O17" s="210" t="str">
        <f si="3" t="shared"/>
        <v>Rest</v>
      </c>
      <c r="P17" s="211"/>
      <c r="Q17" s="211"/>
      <c r="R17" s="211"/>
      <c r="S17" s="211">
        <f si="4" t="shared"/>
        <v>0</v>
      </c>
    </row>
    <row ht="15.75" r="18" spans="1:19" thickBot="1" x14ac:dyDescent="0.3">
      <c r="A18" s="212" t="s">
        <v>3</v>
      </c>
      <c r="B18" s="212">
        <f>SUM(B7:B17)</f>
        <v>24460.675137079925</v>
      </c>
      <c r="C18" s="212">
        <f>SUM(C7:C17)</f>
        <v>1763.8764834266094</v>
      </c>
      <c r="D18" s="212">
        <f>SUM(D7:D17)</f>
        <v>95.650391044409204</v>
      </c>
      <c r="E18" s="212">
        <f>SUM(E7:E17)</f>
        <v>26320.20201155094</v>
      </c>
      <c r="F18" s="209"/>
      <c r="G18" s="209"/>
      <c r="H18" s="212" t="s">
        <v>3</v>
      </c>
      <c r="I18" s="212">
        <f>SUM(I7:I17)</f>
        <v>73238</v>
      </c>
      <c r="J18" s="212">
        <f>SUM(J7:J17)</f>
        <v>8654</v>
      </c>
      <c r="K18" s="212">
        <f>SUM(K7:K17)</f>
        <v>3621</v>
      </c>
      <c r="L18" s="212">
        <f>SUM(L7:L17)</f>
        <v>85513</v>
      </c>
      <c r="O18" s="212" t="s">
        <v>3</v>
      </c>
      <c r="P18" s="212">
        <f>I18-B18</f>
        <v>48777.324862920075</v>
      </c>
      <c r="Q18" s="212">
        <f>J18-C18</f>
        <v>6890.1235165733906</v>
      </c>
      <c r="R18" s="212">
        <f>K18-D18</f>
        <v>3525.3496089555906</v>
      </c>
      <c r="S18" s="212">
        <f si="4" t="shared"/>
        <v>59192.797988449063</v>
      </c>
    </row>
    <row r="19" spans="1:19" x14ac:dyDescent="0.25">
      <c r="B19" s="209"/>
      <c r="C19" s="209"/>
      <c r="D19" s="209"/>
      <c r="E19" s="209"/>
      <c r="F19" s="209"/>
      <c r="G19" s="209"/>
      <c r="H19" s="209"/>
      <c r="I19" s="209"/>
      <c r="J19" s="209"/>
      <c r="K19" s="209"/>
      <c r="L19" s="209"/>
      <c r="O19" s="209"/>
      <c r="P19" s="209"/>
      <c r="Q19" s="209"/>
      <c r="R19" s="209"/>
      <c r="S19" s="209"/>
    </row>
    <row ht="15.75" r="20" spans="1:19" thickBot="1" x14ac:dyDescent="0.3">
      <c r="A20" s="205" t="s">
        <v>206</v>
      </c>
      <c r="B20" s="212"/>
      <c r="C20" s="212"/>
      <c r="D20" s="212"/>
      <c r="E20" s="212"/>
      <c r="F20" s="209"/>
      <c r="G20" s="209"/>
      <c r="H20" s="213" t="s">
        <v>38</v>
      </c>
      <c r="I20" s="212"/>
      <c r="J20" s="212"/>
      <c r="K20" s="212"/>
      <c r="L20" s="212"/>
      <c r="O20" s="213" t="s">
        <v>54</v>
      </c>
      <c r="P20" s="212"/>
      <c r="Q20" s="212"/>
      <c r="R20" s="212"/>
      <c r="S20" s="212"/>
    </row>
    <row r="21" spans="1:19" x14ac:dyDescent="0.25">
      <c r="A21" s="207" t="str">
        <f ref="A21:A32" si="5" t="shared">A6</f>
        <v>County/District</v>
      </c>
      <c r="B21" s="208" t="s">
        <v>8</v>
      </c>
      <c r="C21" s="208" t="s">
        <v>9</v>
      </c>
      <c r="D21" s="208" t="s">
        <v>10</v>
      </c>
      <c r="E21" s="208" t="s">
        <v>3</v>
      </c>
      <c r="F21" s="209"/>
      <c r="G21" s="209"/>
      <c r="H21" s="214" t="str">
        <f ref="H21:H32" si="6" t="shared">A21</f>
        <v>County/District</v>
      </c>
      <c r="I21" s="215" t="s">
        <v>8</v>
      </c>
      <c r="J21" s="215" t="s">
        <v>9</v>
      </c>
      <c r="K21" s="215" t="s">
        <v>10</v>
      </c>
      <c r="L21" s="215" t="s">
        <v>3</v>
      </c>
      <c r="O21" s="214" t="str">
        <f>A21</f>
        <v>County/District</v>
      </c>
      <c r="P21" s="215" t="s">
        <v>8</v>
      </c>
      <c r="Q21" s="215" t="s">
        <v>9</v>
      </c>
      <c r="R21" s="215" t="s">
        <v>10</v>
      </c>
      <c r="S21" s="215" t="s">
        <v>3</v>
      </c>
    </row>
    <row r="22" spans="1:19" x14ac:dyDescent="0.25">
      <c r="A22" s="98">
        <f si="5" t="shared"/>
        <v>1</v>
      </c>
      <c r="B22" s="209">
        <v>0</v>
      </c>
      <c r="C22" s="209">
        <v>0</v>
      </c>
      <c r="D22" s="209">
        <v>0</v>
      </c>
      <c r="E22" s="209">
        <f ref="E22:E32" si="7" t="shared">SUM(B22:D22)</f>
        <v>0</v>
      </c>
      <c r="F22" s="209"/>
      <c r="G22" s="209"/>
      <c r="H22" s="98">
        <f si="6" t="shared"/>
        <v>1</v>
      </c>
      <c r="I22" s="209" t="n">
        <v>318682.0</v>
      </c>
      <c r="J22" s="209" t="n">
        <v>40761.0</v>
      </c>
      <c r="K22" s="209" t="n">
        <v>14201.0</v>
      </c>
      <c r="L22" s="209">
        <f ref="L22:L32" si="8" t="shared">SUM(I22:K22)</f>
        <v>373644</v>
      </c>
      <c r="O22" s="98">
        <f ref="O22:O32" si="9" t="shared">H22</f>
        <v>1</v>
      </c>
      <c r="P22" s="209"/>
      <c r="Q22" s="209"/>
      <c r="R22" s="209"/>
      <c r="S22" s="209">
        <f ref="S22:S33" si="10" t="shared">L22-E22</f>
        <v>373644</v>
      </c>
    </row>
    <row r="23" spans="1:19" x14ac:dyDescent="0.25">
      <c r="A23" s="98">
        <f si="5" t="shared"/>
        <v>2</v>
      </c>
      <c r="B23" s="209">
        <v>0</v>
      </c>
      <c r="C23" s="209">
        <v>0</v>
      </c>
      <c r="D23" s="209">
        <v>0</v>
      </c>
      <c r="E23" s="209">
        <f si="7" t="shared"/>
        <v>0</v>
      </c>
      <c r="F23" s="209"/>
      <c r="G23" s="209"/>
      <c r="H23" s="98">
        <f si="6" t="shared"/>
        <v>2</v>
      </c>
      <c r="I23" s="209" t="n">
        <v>43152.0</v>
      </c>
      <c r="J23" s="209" t="n">
        <v>5412.0</v>
      </c>
      <c r="K23" s="209" t="n">
        <v>1356.0</v>
      </c>
      <c r="L23" s="209">
        <f si="8" t="shared"/>
        <v>49920</v>
      </c>
      <c r="O23" s="98">
        <f si="9" t="shared"/>
        <v>2</v>
      </c>
      <c r="P23" s="209"/>
      <c r="Q23" s="209"/>
      <c r="R23" s="209"/>
      <c r="S23" s="209">
        <f si="10" t="shared"/>
        <v>49920</v>
      </c>
    </row>
    <row r="24" spans="1:19" x14ac:dyDescent="0.25">
      <c r="A24" s="98">
        <f si="5" t="shared"/>
        <v>3</v>
      </c>
      <c r="B24" s="209">
        <v>0</v>
      </c>
      <c r="C24" s="209">
        <v>0</v>
      </c>
      <c r="D24" s="209">
        <v>0</v>
      </c>
      <c r="E24" s="209">
        <f si="7" t="shared"/>
        <v>0</v>
      </c>
      <c r="F24" s="209"/>
      <c r="G24" s="209"/>
      <c r="H24" s="98">
        <f si="6" t="shared"/>
        <v>3</v>
      </c>
      <c r="I24" s="209" t="n">
        <v>33200.0</v>
      </c>
      <c r="J24" s="209" t="n">
        <v>3516.0</v>
      </c>
      <c r="K24" s="209" t="n">
        <v>1048.0</v>
      </c>
      <c r="L24" s="209">
        <f si="8" t="shared"/>
        <v>37764</v>
      </c>
      <c r="O24" s="98">
        <f si="9" t="shared"/>
        <v>3</v>
      </c>
      <c r="P24" s="209"/>
      <c r="Q24" s="209"/>
      <c r="R24" s="209"/>
      <c r="S24" s="209">
        <f si="10" t="shared"/>
        <v>37764</v>
      </c>
    </row>
    <row r="25" spans="1:19" x14ac:dyDescent="0.25">
      <c r="A25" s="98">
        <f si="5" t="shared"/>
        <v>4</v>
      </c>
      <c r="B25" s="209">
        <v>0</v>
      </c>
      <c r="C25" s="209">
        <v>0</v>
      </c>
      <c r="D25" s="209">
        <v>0</v>
      </c>
      <c r="E25" s="209">
        <f si="7" t="shared"/>
        <v>0</v>
      </c>
      <c r="F25" s="209"/>
      <c r="G25" s="209"/>
      <c r="H25" s="98">
        <f si="6" t="shared"/>
        <v>4</v>
      </c>
      <c r="I25" s="209" t="n">
        <v>158768.0</v>
      </c>
      <c r="J25" s="209" t="n">
        <v>18782.0</v>
      </c>
      <c r="K25" s="209" t="n">
        <v>11389.0</v>
      </c>
      <c r="L25" s="209">
        <f si="8" t="shared"/>
        <v>188939</v>
      </c>
      <c r="O25" s="98">
        <f si="9" t="shared"/>
        <v>4</v>
      </c>
      <c r="P25" s="209"/>
      <c r="Q25" s="209"/>
      <c r="R25" s="209"/>
      <c r="S25" s="209">
        <f si="10" t="shared"/>
        <v>188939</v>
      </c>
    </row>
    <row r="26" spans="1:19" x14ac:dyDescent="0.25">
      <c r="A26" s="98">
        <f si="5" t="shared"/>
        <v>5</v>
      </c>
      <c r="B26" s="209">
        <v>0</v>
      </c>
      <c r="C26" s="209">
        <v>0</v>
      </c>
      <c r="D26" s="209">
        <v>0</v>
      </c>
      <c r="E26" s="209">
        <f si="7" t="shared"/>
        <v>0</v>
      </c>
      <c r="F26" s="209"/>
      <c r="G26" s="209"/>
      <c r="H26" s="98">
        <f si="6" t="shared"/>
        <v>5</v>
      </c>
      <c r="I26" s="209" t="n">
        <v>87509.0</v>
      </c>
      <c r="J26" s="209" t="n">
        <v>10961.0</v>
      </c>
      <c r="K26" s="209" t="n">
        <v>3375.0</v>
      </c>
      <c r="L26" s="209">
        <f si="8" t="shared"/>
        <v>101845</v>
      </c>
      <c r="O26" s="98">
        <f si="9" t="shared"/>
        <v>5</v>
      </c>
      <c r="P26" s="209"/>
      <c r="Q26" s="209"/>
      <c r="R26" s="209"/>
      <c r="S26" s="209">
        <f si="10" t="shared"/>
        <v>101845</v>
      </c>
    </row>
    <row r="27" spans="1:19" x14ac:dyDescent="0.25">
      <c r="A27" s="98">
        <f si="5" t="shared"/>
        <v>6</v>
      </c>
      <c r="B27" s="209">
        <v>0</v>
      </c>
      <c r="C27" s="209">
        <v>0</v>
      </c>
      <c r="D27" s="209">
        <v>0</v>
      </c>
      <c r="E27" s="209">
        <f si="7" t="shared"/>
        <v>0</v>
      </c>
      <c r="F27" s="209"/>
      <c r="G27" s="209"/>
      <c r="H27" s="98">
        <f si="6" t="shared"/>
        <v>6</v>
      </c>
      <c r="I27" s="209" t="n">
        <v>112439.0</v>
      </c>
      <c r="J27" s="209" t="n">
        <v>18171.0</v>
      </c>
      <c r="K27" s="209" t="n">
        <v>7137.0</v>
      </c>
      <c r="L27" s="209">
        <f si="8" t="shared"/>
        <v>137747</v>
      </c>
      <c r="O27" s="98">
        <f si="9" t="shared"/>
        <v>6</v>
      </c>
      <c r="P27" s="209"/>
      <c r="Q27" s="209"/>
      <c r="R27" s="209"/>
      <c r="S27" s="209">
        <f si="10" t="shared"/>
        <v>137747</v>
      </c>
    </row>
    <row r="28" spans="1:19" x14ac:dyDescent="0.25">
      <c r="A28" s="98">
        <f si="5" t="shared"/>
        <v>7</v>
      </c>
      <c r="B28" s="209">
        <v>0</v>
      </c>
      <c r="C28" s="209">
        <v>0</v>
      </c>
      <c r="D28" s="209">
        <v>0</v>
      </c>
      <c r="E28" s="209">
        <f si="7" t="shared"/>
        <v>0</v>
      </c>
      <c r="F28" s="209"/>
      <c r="G28" s="209"/>
      <c r="H28" s="98">
        <f si="6" t="shared"/>
        <v>7</v>
      </c>
      <c r="I28" s="209" t="n">
        <v>65526.0</v>
      </c>
      <c r="J28" s="209" t="n">
        <v>7668.0</v>
      </c>
      <c r="K28" s="209" t="n">
        <v>2856.0</v>
      </c>
      <c r="L28" s="209">
        <f si="8" t="shared"/>
        <v>76050</v>
      </c>
      <c r="O28" s="98">
        <f si="9" t="shared"/>
        <v>7</v>
      </c>
      <c r="P28" s="209"/>
      <c r="Q28" s="209"/>
      <c r="R28" s="209"/>
      <c r="S28" s="209">
        <f si="10" t="shared"/>
        <v>76050</v>
      </c>
    </row>
    <row r="29" spans="1:19" x14ac:dyDescent="0.25">
      <c r="A29" s="98">
        <f si="5" t="shared"/>
        <v>8</v>
      </c>
      <c r="B29" s="209">
        <v>98132.244080397184</v>
      </c>
      <c r="C29" s="209">
        <v>23619.182780257517</v>
      </c>
      <c r="D29" s="209">
        <v>4148.3300824863245</v>
      </c>
      <c r="E29" s="209">
        <f si="7" t="shared"/>
        <v>125899.75694314102</v>
      </c>
      <c r="F29" s="209"/>
      <c r="G29" s="209"/>
      <c r="H29" s="98">
        <f si="6" t="shared"/>
        <v>8</v>
      </c>
      <c r="I29" s="209" t="n">
        <v>0.0</v>
      </c>
      <c r="J29" s="209" t="n">
        <v>0.0</v>
      </c>
      <c r="K29" s="209" t="n">
        <v>0.0</v>
      </c>
      <c r="L29" s="209">
        <f si="8" t="shared"/>
        <v>0</v>
      </c>
      <c r="O29" s="98">
        <f si="9" t="shared"/>
        <v>8</v>
      </c>
      <c r="P29" s="209"/>
      <c r="Q29" s="209"/>
      <c r="R29" s="209"/>
      <c r="S29" s="209">
        <f si="10" t="shared"/>
        <v>-125899.75694314102</v>
      </c>
    </row>
    <row r="30" spans="1:19" x14ac:dyDescent="0.25">
      <c r="A30" s="98">
        <f si="5" t="shared"/>
        <v>9</v>
      </c>
      <c r="B30" s="209">
        <v>0</v>
      </c>
      <c r="C30" s="209">
        <v>0</v>
      </c>
      <c r="D30" s="209">
        <v>0</v>
      </c>
      <c r="E30" s="209">
        <f si="7" t="shared"/>
        <v>0</v>
      </c>
      <c r="F30" s="209"/>
      <c r="G30" s="209"/>
      <c r="H30" s="98">
        <f si="6" t="shared"/>
        <v>9</v>
      </c>
      <c r="I30" s="209" t="n">
        <v>0.0</v>
      </c>
      <c r="J30" s="209" t="n">
        <v>0.0</v>
      </c>
      <c r="K30" s="209" t="n">
        <v>0.0</v>
      </c>
      <c r="L30" s="209">
        <f si="8" t="shared"/>
        <v>0</v>
      </c>
      <c r="O30" s="98">
        <f si="9" t="shared"/>
        <v>9</v>
      </c>
      <c r="P30" s="209"/>
      <c r="Q30" s="209"/>
      <c r="R30" s="209"/>
      <c r="S30" s="209">
        <f si="10" t="shared"/>
        <v>0</v>
      </c>
    </row>
    <row r="31" spans="1:19" x14ac:dyDescent="0.25">
      <c r="A31" s="98">
        <f si="5" t="shared"/>
        <v>10</v>
      </c>
      <c r="B31" s="209">
        <v>211452.75591960264</v>
      </c>
      <c r="C31" s="209">
        <v>34060.81721974253</v>
      </c>
      <c r="D31" s="209">
        <v>8132.560116669415</v>
      </c>
      <c r="E31" s="209">
        <f si="7" t="shared"/>
        <v>253646.13325601458</v>
      </c>
      <c r="F31" s="209"/>
      <c r="G31" s="209"/>
      <c r="H31" s="98">
        <f si="6" t="shared"/>
        <v>10</v>
      </c>
      <c r="I31" s="209" t="n">
        <v>0.0</v>
      </c>
      <c r="J31" s="209" t="n">
        <v>0.0</v>
      </c>
      <c r="K31" s="209" t="n">
        <v>0.0</v>
      </c>
      <c r="L31" s="209">
        <f si="8" t="shared"/>
        <v>0</v>
      </c>
      <c r="O31" s="98">
        <f si="9" t="shared"/>
        <v>10</v>
      </c>
      <c r="P31" s="209"/>
      <c r="Q31" s="209"/>
      <c r="R31" s="209"/>
      <c r="S31" s="209">
        <f si="10" t="shared"/>
        <v>-253646.13325601458</v>
      </c>
    </row>
    <row r="32" spans="1:19" x14ac:dyDescent="0.25">
      <c r="A32" s="210" t="str">
        <f si="5" t="shared"/>
        <v>Rest</v>
      </c>
      <c r="B32" s="211">
        <v>0</v>
      </c>
      <c r="C32" s="211">
        <v>0</v>
      </c>
      <c r="D32" s="211">
        <v>0</v>
      </c>
      <c r="E32" s="211">
        <f si="7" t="shared"/>
        <v>0</v>
      </c>
      <c r="F32" s="209"/>
      <c r="G32" s="209"/>
      <c r="H32" s="210" t="str">
        <f si="6" t="shared"/>
        <v>Rest</v>
      </c>
      <c r="I32" s="211" t="n">
        <v>0.0</v>
      </c>
      <c r="J32" s="211" t="n">
        <v>0.0</v>
      </c>
      <c r="K32" s="211" t="n">
        <v>0.0</v>
      </c>
      <c r="L32" s="211">
        <f si="8" t="shared"/>
        <v>0</v>
      </c>
      <c r="O32" s="210" t="str">
        <f si="9" t="shared"/>
        <v>Rest</v>
      </c>
      <c r="P32" s="211"/>
      <c r="Q32" s="211"/>
      <c r="R32" s="211"/>
      <c r="S32" s="211">
        <f si="10" t="shared"/>
        <v>0</v>
      </c>
    </row>
    <row ht="15.75" r="33" spans="1:19" thickBot="1" x14ac:dyDescent="0.3">
      <c r="A33" s="212" t="s">
        <v>3</v>
      </c>
      <c r="B33" s="212">
        <f>SUM(B22:B32)</f>
        <v>309584.99999999983</v>
      </c>
      <c r="C33" s="212">
        <f>SUM(C22:C32)</f>
        <v>57680.000000000044</v>
      </c>
      <c r="D33" s="212">
        <f>SUM(D22:D32)</f>
        <v>12280.89019915574</v>
      </c>
      <c r="E33" s="212">
        <f>SUM(E22:E32)</f>
        <v>379545.8901991556</v>
      </c>
      <c r="F33" s="209"/>
      <c r="G33" s="209"/>
      <c r="H33" s="212" t="s">
        <v>3</v>
      </c>
      <c r="I33" s="212">
        <f>SUM(I22:I32)</f>
        <v>819276</v>
      </c>
      <c r="J33" s="212">
        <f>SUM(J22:J32)</f>
        <v>105271</v>
      </c>
      <c r="K33" s="212">
        <f>SUM(K22:K32)</f>
        <v>41362</v>
      </c>
      <c r="L33" s="212">
        <f>SUM(L22:L32)</f>
        <v>965909</v>
      </c>
      <c r="O33" s="212" t="s">
        <v>3</v>
      </c>
      <c r="P33" s="212">
        <f>I33-B33</f>
        <v>509691.00000000017</v>
      </c>
      <c r="Q33" s="212">
        <f>J33-C33</f>
        <v>47590.999999999956</v>
      </c>
      <c r="R33" s="212">
        <f>K33-D33</f>
        <v>29081.10980084426</v>
      </c>
      <c r="S33" s="212">
        <f si="10" t="shared"/>
        <v>586363.10980084445</v>
      </c>
    </row>
    <row ht="15.75" r="35" spans="1:19" thickBot="1" x14ac:dyDescent="0.3">
      <c r="A35" s="205" t="s">
        <v>423</v>
      </c>
      <c r="B35" s="206"/>
      <c r="C35" s="206"/>
      <c r="D35" s="206"/>
      <c r="E35" s="206"/>
      <c r="H35" s="205" t="s">
        <v>424</v>
      </c>
      <c r="I35" s="206"/>
      <c r="J35" s="206"/>
      <c r="K35" s="206"/>
      <c r="L35" s="206"/>
      <c r="O35" s="205" t="s">
        <v>425</v>
      </c>
      <c r="P35" s="206"/>
      <c r="Q35" s="206"/>
      <c r="R35" s="206"/>
      <c r="S35" s="206"/>
    </row>
    <row r="36" spans="1:19" x14ac:dyDescent="0.25">
      <c r="A36" s="207" t="str">
        <f ref="A36:A47" si="11" t="shared">A21</f>
        <v>County/District</v>
      </c>
      <c r="B36" s="208" t="s">
        <v>8</v>
      </c>
      <c r="C36" s="208" t="s">
        <v>9</v>
      </c>
      <c r="D36" s="208" t="s">
        <v>10</v>
      </c>
      <c r="E36" s="208" t="s">
        <v>3</v>
      </c>
      <c r="H36" s="207" t="str">
        <f ref="H36:H47" si="12" t="shared">A36</f>
        <v>County/District</v>
      </c>
      <c r="I36" s="208" t="s">
        <v>8</v>
      </c>
      <c r="J36" s="208" t="s">
        <v>9</v>
      </c>
      <c r="K36" s="208" t="s">
        <v>10</v>
      </c>
      <c r="L36" s="208" t="s">
        <v>3</v>
      </c>
      <c r="O36" s="207"/>
      <c r="P36" s="208" t="s">
        <v>8</v>
      </c>
      <c r="Q36" s="208" t="s">
        <v>9</v>
      </c>
      <c r="R36" s="208" t="s">
        <v>10</v>
      </c>
      <c r="S36" s="208" t="s">
        <v>3</v>
      </c>
    </row>
    <row r="37" spans="1:19" x14ac:dyDescent="0.25">
      <c r="A37" s="98">
        <f si="11" t="shared"/>
        <v>1</v>
      </c>
      <c r="B37" s="216">
        <f ref="B37:E48" si="13" t="shared">IFERROR(B7/B22,0)</f>
        <v>0</v>
      </c>
      <c r="C37" s="216">
        <f si="13" t="shared"/>
        <v>0</v>
      </c>
      <c r="D37" s="216">
        <f si="13" t="shared"/>
        <v>0</v>
      </c>
      <c r="E37" s="216">
        <f si="13" t="shared"/>
        <v>0</v>
      </c>
      <c r="F37" s="217"/>
      <c r="G37" s="217"/>
      <c r="H37" s="98">
        <f si="12" t="shared"/>
        <v>1</v>
      </c>
      <c r="I37" s="216">
        <f ref="I37:L48" si="14" t="shared">IFERROR(I7/I22,0)</f>
        <v>9.0959012432456174E-2</v>
      </c>
      <c r="J37" s="216">
        <f si="14" t="shared"/>
        <v>8.4443463114251369E-2</v>
      </c>
      <c r="K37" s="216">
        <f si="14" t="shared"/>
        <v>8.8303640588690932E-2</v>
      </c>
      <c r="L37" s="216">
        <f si="14" t="shared"/>
        <v>9.0147305991799681E-2</v>
      </c>
      <c r="O37" s="98">
        <f ref="O37:O47" si="15" t="shared">H37</f>
        <v>1</v>
      </c>
      <c r="P37" s="217">
        <f ref="P37:P48" si="16" t="shared">I37-B37</f>
        <v>9.0959012432456174E-2</v>
      </c>
      <c r="Q37" s="217">
        <f ref="Q37:Q48" si="17" t="shared">J37-C37</f>
        <v>8.4443463114251369E-2</v>
      </c>
      <c r="R37" s="217">
        <f ref="R37:R48" si="18" t="shared">K37-D37</f>
        <v>8.8303640588690932E-2</v>
      </c>
      <c r="S37" s="217">
        <f ref="S37:S48" si="19" t="shared">L37-E37</f>
        <v>9.0147305991799681E-2</v>
      </c>
    </row>
    <row r="38" spans="1:19" x14ac:dyDescent="0.25">
      <c r="A38" s="98">
        <f si="11" t="shared"/>
        <v>2</v>
      </c>
      <c r="B38" s="217">
        <f si="13" t="shared"/>
        <v>0</v>
      </c>
      <c r="C38" s="217">
        <f si="13" t="shared"/>
        <v>0</v>
      </c>
      <c r="D38" s="217">
        <f si="13" t="shared"/>
        <v>0</v>
      </c>
      <c r="E38" s="217">
        <f si="13" t="shared"/>
        <v>0</v>
      </c>
      <c r="F38" s="217"/>
      <c r="G38" s="217"/>
      <c r="H38" s="98">
        <f si="12" t="shared"/>
        <v>2</v>
      </c>
      <c r="I38" s="217">
        <f si="14" t="shared"/>
        <v>8.1827030033370413E-2</v>
      </c>
      <c r="J38" s="217">
        <f si="14" t="shared"/>
        <v>7.9822616407982258E-2</v>
      </c>
      <c r="K38" s="217">
        <f si="14" t="shared"/>
        <v>8.3333333333333329E-2</v>
      </c>
      <c r="L38" s="217">
        <f si="14" t="shared"/>
        <v>8.1650641025641027E-2</v>
      </c>
      <c r="O38" s="98">
        <f si="15" t="shared"/>
        <v>2</v>
      </c>
      <c r="P38" s="217">
        <f si="16" t="shared"/>
        <v>8.1827030033370413E-2</v>
      </c>
      <c r="Q38" s="217">
        <f si="17" t="shared"/>
        <v>7.9822616407982258E-2</v>
      </c>
      <c r="R38" s="217">
        <f si="18" t="shared"/>
        <v>8.3333333333333329E-2</v>
      </c>
      <c r="S38" s="217">
        <f si="19" t="shared"/>
        <v>8.1650641025641027E-2</v>
      </c>
    </row>
    <row r="39" spans="1:19" x14ac:dyDescent="0.25">
      <c r="A39" s="98">
        <f si="11" t="shared"/>
        <v>3</v>
      </c>
      <c r="B39" s="217">
        <f si="13" t="shared"/>
        <v>0</v>
      </c>
      <c r="C39" s="217">
        <f si="13" t="shared"/>
        <v>0</v>
      </c>
      <c r="D39" s="217">
        <f si="13" t="shared"/>
        <v>0</v>
      </c>
      <c r="E39" s="217">
        <f si="13" t="shared"/>
        <v>0</v>
      </c>
      <c r="F39" s="217"/>
      <c r="G39" s="217"/>
      <c r="H39" s="98">
        <f si="12" t="shared"/>
        <v>3</v>
      </c>
      <c r="I39" s="217">
        <f si="14" t="shared"/>
        <v>8.1084337349397587E-2</v>
      </c>
      <c r="J39" s="217">
        <f si="14" t="shared"/>
        <v>7.7076222980659845E-2</v>
      </c>
      <c r="K39" s="217">
        <f si="14" t="shared"/>
        <v>7.8244274809160311E-2</v>
      </c>
      <c r="L39" s="217">
        <f si="14" t="shared"/>
        <v>8.0632348268191933E-2</v>
      </c>
      <c r="O39" s="98">
        <f si="15" t="shared"/>
        <v>3</v>
      </c>
      <c r="P39" s="217">
        <f si="16" t="shared"/>
        <v>8.1084337349397587E-2</v>
      </c>
      <c r="Q39" s="217">
        <f si="17" t="shared"/>
        <v>7.7076222980659845E-2</v>
      </c>
      <c r="R39" s="217">
        <f si="18" t="shared"/>
        <v>7.8244274809160311E-2</v>
      </c>
      <c r="S39" s="217">
        <f si="19" t="shared"/>
        <v>8.0632348268191933E-2</v>
      </c>
    </row>
    <row r="40" spans="1:19" x14ac:dyDescent="0.25">
      <c r="A40" s="98">
        <f si="11" t="shared"/>
        <v>4</v>
      </c>
      <c r="B40" s="217">
        <f si="13" t="shared"/>
        <v>0</v>
      </c>
      <c r="C40" s="217">
        <f si="13" t="shared"/>
        <v>0</v>
      </c>
      <c r="D40" s="217">
        <f si="13" t="shared"/>
        <v>0</v>
      </c>
      <c r="E40" s="217">
        <f si="13" t="shared"/>
        <v>0</v>
      </c>
      <c r="F40" s="217"/>
      <c r="G40" s="217"/>
      <c r="H40" s="98">
        <f si="12" t="shared"/>
        <v>4</v>
      </c>
      <c r="I40" s="217">
        <f si="14" t="shared"/>
        <v>8.3467701300010078E-2</v>
      </c>
      <c r="J40" s="217">
        <f si="14" t="shared"/>
        <v>7.0865722500266209E-2</v>
      </c>
      <c r="K40" s="217">
        <f si="14" t="shared"/>
        <v>7.8760207217490566E-2</v>
      </c>
      <c r="L40" s="217">
        <f si="14" t="shared"/>
        <v>8.1931205309650201E-2</v>
      </c>
      <c r="O40" s="98">
        <f si="15" t="shared"/>
        <v>4</v>
      </c>
      <c r="P40" s="217">
        <f si="16" t="shared"/>
        <v>8.3467701300010078E-2</v>
      </c>
      <c r="Q40" s="217">
        <f si="17" t="shared"/>
        <v>7.0865722500266209E-2</v>
      </c>
      <c r="R40" s="217">
        <f si="18" t="shared"/>
        <v>7.8760207217490566E-2</v>
      </c>
      <c r="S40" s="217">
        <f si="19" t="shared"/>
        <v>8.1931205309650201E-2</v>
      </c>
    </row>
    <row r="41" spans="1:19" x14ac:dyDescent="0.25">
      <c r="A41" s="98">
        <f si="11" t="shared"/>
        <v>5</v>
      </c>
      <c r="B41" s="217">
        <f si="13" t="shared"/>
        <v>0</v>
      </c>
      <c r="C41" s="217">
        <f si="13" t="shared"/>
        <v>0</v>
      </c>
      <c r="D41" s="217">
        <f si="13" t="shared"/>
        <v>0</v>
      </c>
      <c r="E41" s="217">
        <f si="13" t="shared"/>
        <v>0</v>
      </c>
      <c r="F41" s="217"/>
      <c r="G41" s="217"/>
      <c r="H41" s="98">
        <f si="12" t="shared"/>
        <v>5</v>
      </c>
      <c r="I41" s="217">
        <f si="14" t="shared"/>
        <v>9.1556297066587439E-2</v>
      </c>
      <c r="J41" s="217">
        <f si="14" t="shared"/>
        <v>8.3021622114770544E-2</v>
      </c>
      <c r="K41" s="217">
        <f si="14" t="shared"/>
        <v>9.3925925925925927E-2</v>
      </c>
      <c r="L41" s="217">
        <f si="14" t="shared"/>
        <v>9.0716284550051554E-2</v>
      </c>
      <c r="O41" s="98">
        <f si="15" t="shared"/>
        <v>5</v>
      </c>
      <c r="P41" s="217">
        <f si="16" t="shared"/>
        <v>9.1556297066587439E-2</v>
      </c>
      <c r="Q41" s="217">
        <f si="17" t="shared"/>
        <v>8.3021622114770544E-2</v>
      </c>
      <c r="R41" s="217">
        <f si="18" t="shared"/>
        <v>9.3925925925925927E-2</v>
      </c>
      <c r="S41" s="217">
        <f si="19" t="shared"/>
        <v>9.0716284550051554E-2</v>
      </c>
    </row>
    <row r="42" spans="1:19" x14ac:dyDescent="0.25">
      <c r="A42" s="98">
        <f si="11" t="shared"/>
        <v>6</v>
      </c>
      <c r="B42" s="217">
        <f si="13" t="shared"/>
        <v>0</v>
      </c>
      <c r="C42" s="217">
        <f si="13" t="shared"/>
        <v>0</v>
      </c>
      <c r="D42" s="217">
        <f si="13" t="shared"/>
        <v>0</v>
      </c>
      <c r="E42" s="217">
        <f si="13" t="shared"/>
        <v>0</v>
      </c>
      <c r="F42" s="217"/>
      <c r="G42" s="217"/>
      <c r="H42" s="98">
        <f si="12" t="shared"/>
        <v>6</v>
      </c>
      <c r="I42" s="217">
        <f si="14" t="shared"/>
        <v>9.6656853938580034E-2</v>
      </c>
      <c r="J42" s="217">
        <f si="14" t="shared"/>
        <v>8.9648340762753839E-2</v>
      </c>
      <c r="K42" s="217">
        <f si="14" t="shared"/>
        <v>9.7239736583998884E-2</v>
      </c>
      <c r="L42" s="217">
        <f si="14" t="shared"/>
        <v>9.5762521143836168E-2</v>
      </c>
      <c r="O42" s="98">
        <f si="15" t="shared"/>
        <v>6</v>
      </c>
      <c r="P42" s="217">
        <f si="16" t="shared"/>
        <v>9.6656853938580034E-2</v>
      </c>
      <c r="Q42" s="217">
        <f si="17" t="shared"/>
        <v>8.9648340762753839E-2</v>
      </c>
      <c r="R42" s="217">
        <f si="18" t="shared"/>
        <v>9.7239736583998884E-2</v>
      </c>
      <c r="S42" s="217">
        <f si="19" t="shared"/>
        <v>9.5762521143836168E-2</v>
      </c>
    </row>
    <row r="43" spans="1:19" x14ac:dyDescent="0.25">
      <c r="A43" s="98">
        <f si="11" t="shared"/>
        <v>7</v>
      </c>
      <c r="B43" s="217">
        <f si="13" t="shared"/>
        <v>0</v>
      </c>
      <c r="C43" s="217">
        <f si="13" t="shared"/>
        <v>0</v>
      </c>
      <c r="D43" s="217">
        <f si="13" t="shared"/>
        <v>0</v>
      </c>
      <c r="E43" s="217">
        <f si="13" t="shared"/>
        <v>0</v>
      </c>
      <c r="F43" s="217"/>
      <c r="G43" s="217"/>
      <c r="H43" s="98">
        <f si="12" t="shared"/>
        <v>7</v>
      </c>
      <c r="I43" s="217">
        <f si="14" t="shared"/>
        <v>8.9979550102249492E-2</v>
      </c>
      <c r="J43" s="217">
        <f si="14" t="shared"/>
        <v>8.3333333333333329E-2</v>
      </c>
      <c r="K43" s="217">
        <f si="14" t="shared"/>
        <v>9.2436974789915971E-2</v>
      </c>
      <c r="L43" s="217">
        <f si="14" t="shared"/>
        <v>8.9401709401709398E-2</v>
      </c>
      <c r="O43" s="98">
        <f si="15" t="shared"/>
        <v>7</v>
      </c>
      <c r="P43" s="217">
        <f si="16" t="shared"/>
        <v>8.9979550102249492E-2</v>
      </c>
      <c r="Q43" s="217">
        <f si="17" t="shared"/>
        <v>8.3333333333333329E-2</v>
      </c>
      <c r="R43" s="217">
        <f si="18" t="shared"/>
        <v>9.2436974789915971E-2</v>
      </c>
      <c r="S43" s="217">
        <f si="19" t="shared"/>
        <v>8.9401709401709398E-2</v>
      </c>
    </row>
    <row r="44" spans="1:19" x14ac:dyDescent="0.25">
      <c r="A44" s="98">
        <f si="11" t="shared"/>
        <v>8</v>
      </c>
      <c r="B44" s="217">
        <f si="13" t="shared"/>
        <v>5.3855346033027385E-2</v>
      </c>
      <c r="C44" s="217">
        <f si="13" t="shared"/>
        <v>1.5592469496942844E-3</v>
      </c>
      <c r="D44" s="217">
        <f si="13" t="shared"/>
        <v>0</v>
      </c>
      <c r="E44" s="217">
        <f si="13" t="shared"/>
        <v>4.2269931490456387E-2</v>
      </c>
      <c r="F44" s="217"/>
      <c r="G44" s="217"/>
      <c r="H44" s="98">
        <f si="12" t="shared"/>
        <v>8</v>
      </c>
      <c r="I44" s="217">
        <f si="14" t="shared"/>
        <v>0</v>
      </c>
      <c r="J44" s="217">
        <f si="14" t="shared"/>
        <v>0</v>
      </c>
      <c r="K44" s="217">
        <f si="14" t="shared"/>
        <v>0</v>
      </c>
      <c r="L44" s="217">
        <f si="14" t="shared"/>
        <v>0</v>
      </c>
      <c r="O44" s="98">
        <f si="15" t="shared"/>
        <v>8</v>
      </c>
      <c r="P44" s="217">
        <f si="16" t="shared"/>
        <v>-5.3855346033027385E-2</v>
      </c>
      <c r="Q44" s="217">
        <f si="17" t="shared"/>
        <v>-1.5592469496942844E-3</v>
      </c>
      <c r="R44" s="217">
        <f si="18" t="shared"/>
        <v>0</v>
      </c>
      <c r="S44" s="217">
        <f si="19" t="shared"/>
        <v>-4.2269931490456387E-2</v>
      </c>
    </row>
    <row r="45" spans="1:19" x14ac:dyDescent="0.25">
      <c r="A45" s="98">
        <f si="11" t="shared"/>
        <v>9</v>
      </c>
      <c r="B45" s="217">
        <f si="13" t="shared"/>
        <v>0</v>
      </c>
      <c r="C45" s="217">
        <f si="13" t="shared"/>
        <v>0</v>
      </c>
      <c r="D45" s="217">
        <f si="13" t="shared"/>
        <v>0</v>
      </c>
      <c r="E45" s="217">
        <f si="13" t="shared"/>
        <v>0</v>
      </c>
      <c r="F45" s="217"/>
      <c r="G45" s="217"/>
      <c r="H45" s="98">
        <f si="12" t="shared"/>
        <v>9</v>
      </c>
      <c r="I45" s="217">
        <f si="14" t="shared"/>
        <v>0</v>
      </c>
      <c r="J45" s="217">
        <f si="14" t="shared"/>
        <v>0</v>
      </c>
      <c r="K45" s="217">
        <f si="14" t="shared"/>
        <v>0</v>
      </c>
      <c r="L45" s="217">
        <f si="14" t="shared"/>
        <v>0</v>
      </c>
      <c r="O45" s="98">
        <f si="15" t="shared"/>
        <v>9</v>
      </c>
      <c r="P45" s="217">
        <f si="16" t="shared"/>
        <v>0</v>
      </c>
      <c r="Q45" s="217">
        <f si="17" t="shared"/>
        <v>0</v>
      </c>
      <c r="R45" s="217">
        <f si="18" t="shared"/>
        <v>0</v>
      </c>
      <c r="S45" s="217">
        <f si="19" t="shared"/>
        <v>0</v>
      </c>
    </row>
    <row r="46" spans="1:19" x14ac:dyDescent="0.25">
      <c r="A46" s="98">
        <f si="11" t="shared"/>
        <v>10</v>
      </c>
      <c r="B46" s="217">
        <f si="13" t="shared"/>
        <v>9.068564319125505E-2</v>
      </c>
      <c r="C46" s="217">
        <f si="13" t="shared"/>
        <v>5.0704841683046266E-2</v>
      </c>
      <c r="D46" s="217">
        <f si="13" t="shared"/>
        <v>1.1761412110357887E-2</v>
      </c>
      <c r="E46" s="217">
        <f si="13" t="shared"/>
        <v>8.2786311943122567E-2</v>
      </c>
      <c r="F46" s="217"/>
      <c r="G46" s="217"/>
      <c r="H46" s="98">
        <f si="12" t="shared"/>
        <v>10</v>
      </c>
      <c r="I46" s="217">
        <f si="14" t="shared"/>
        <v>0</v>
      </c>
      <c r="J46" s="217">
        <f si="14" t="shared"/>
        <v>0</v>
      </c>
      <c r="K46" s="217">
        <f si="14" t="shared"/>
        <v>0</v>
      </c>
      <c r="L46" s="217">
        <f si="14" t="shared"/>
        <v>0</v>
      </c>
      <c r="O46" s="98">
        <f si="15" t="shared"/>
        <v>10</v>
      </c>
      <c r="P46" s="217">
        <f si="16" t="shared"/>
        <v>-9.068564319125505E-2</v>
      </c>
      <c r="Q46" s="217">
        <f si="17" t="shared"/>
        <v>-5.0704841683046266E-2</v>
      </c>
      <c r="R46" s="217">
        <f si="18" t="shared"/>
        <v>-1.1761412110357887E-2</v>
      </c>
      <c r="S46" s="217">
        <f si="19" t="shared"/>
        <v>-8.2786311943122567E-2</v>
      </c>
    </row>
    <row r="47" spans="1:19" x14ac:dyDescent="0.25">
      <c r="A47" s="210" t="str">
        <f si="11" t="shared"/>
        <v>Rest</v>
      </c>
      <c r="B47" s="218">
        <f si="13" t="shared"/>
        <v>0</v>
      </c>
      <c r="C47" s="218">
        <f si="13" t="shared"/>
        <v>0</v>
      </c>
      <c r="D47" s="218">
        <f si="13" t="shared"/>
        <v>0</v>
      </c>
      <c r="E47" s="218">
        <f si="13" t="shared"/>
        <v>0</v>
      </c>
      <c r="F47" s="217"/>
      <c r="G47" s="217"/>
      <c r="H47" s="210" t="str">
        <f si="12" t="shared"/>
        <v>Rest</v>
      </c>
      <c r="I47" s="218">
        <f si="14" t="shared"/>
        <v>0</v>
      </c>
      <c r="J47" s="218">
        <f si="14" t="shared"/>
        <v>0</v>
      </c>
      <c r="K47" s="218">
        <f si="14" t="shared"/>
        <v>0</v>
      </c>
      <c r="L47" s="218">
        <f si="14" t="shared"/>
        <v>0</v>
      </c>
      <c r="O47" s="210" t="str">
        <f si="15" t="shared"/>
        <v>Rest</v>
      </c>
      <c r="P47" s="218">
        <f si="16" t="shared"/>
        <v>0</v>
      </c>
      <c r="Q47" s="218">
        <f si="17" t="shared"/>
        <v>0</v>
      </c>
      <c r="R47" s="218">
        <f si="18" t="shared"/>
        <v>0</v>
      </c>
      <c r="S47" s="218">
        <f si="19" t="shared"/>
        <v>0</v>
      </c>
    </row>
    <row ht="15.75" r="48" spans="1:19" thickBot="1" x14ac:dyDescent="0.3">
      <c r="A48" s="212" t="s">
        <v>3</v>
      </c>
      <c r="B48" s="219">
        <f si="13" t="shared"/>
        <v>7.9011176694865515E-2</v>
      </c>
      <c r="C48" s="219">
        <f si="13" t="shared"/>
        <v>3.0580382861071568E-2</v>
      </c>
      <c r="D48" s="219">
        <f si="13" t="shared"/>
        <v>7.7885551855992304E-3</v>
      </c>
      <c r="E48" s="219">
        <f si="13" t="shared"/>
        <v>6.934656043236348E-2</v>
      </c>
      <c r="H48" s="212" t="s">
        <v>3</v>
      </c>
      <c r="I48" s="219">
        <f si="14" t="shared"/>
        <v>8.9393562120701694E-2</v>
      </c>
      <c r="J48" s="219">
        <f si="14" t="shared"/>
        <v>8.2206875587768707E-2</v>
      </c>
      <c r="K48" s="219">
        <f si="14" t="shared"/>
        <v>8.7544122624631307E-2</v>
      </c>
      <c r="L48" s="219">
        <f si="14" t="shared"/>
        <v>8.8531114214693105E-2</v>
      </c>
      <c r="O48" s="212" t="s">
        <v>3</v>
      </c>
      <c r="P48" s="219">
        <f si="16" t="shared"/>
        <v>1.038238542583618E-2</v>
      </c>
      <c r="Q48" s="219">
        <f si="17" t="shared"/>
        <v>5.1626492726697143E-2</v>
      </c>
      <c r="R48" s="219">
        <f si="18" t="shared"/>
        <v>7.9755567439032074E-2</v>
      </c>
      <c r="S48" s="219">
        <f si="19" t="shared"/>
        <v>1.9184553782329625E-2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5" x14ac:dyDescent="0.25"/>
  <sheetData>
    <row r="1" spans="1:2" x14ac:dyDescent="0.25">
      <c r="A1" s="10" t="s">
        <v>209</v>
      </c>
    </row>
    <row r="11" spans="1:2" x14ac:dyDescent="0.25">
      <c r="A11" s="10" t="s">
        <v>17</v>
      </c>
    </row>
    <row r="12" spans="1:2" x14ac:dyDescent="0.25">
      <c r="A12">
        <v>1</v>
      </c>
      <c r="B12" t="s">
        <v>41</v>
      </c>
    </row>
    <row r="14" spans="1:2" x14ac:dyDescent="0.25">
      <c r="A14">
        <v>2</v>
      </c>
      <c r="B14" t="s">
        <v>210</v>
      </c>
    </row>
    <row r="15" spans="1:2" x14ac:dyDescent="0.25">
      <c r="B15" t="s">
        <v>42</v>
      </c>
    </row>
    <row r="17" spans="1:4" x14ac:dyDescent="0.25">
      <c r="A17">
        <v>3</v>
      </c>
      <c r="B17" t="s">
        <v>43</v>
      </c>
    </row>
    <row r="18" spans="1:4" x14ac:dyDescent="0.25">
      <c r="B18" t="s">
        <v>211</v>
      </c>
    </row>
    <row r="19" spans="1:4" x14ac:dyDescent="0.25">
      <c r="B19" t="s">
        <v>8</v>
      </c>
      <c r="C19" t="s">
        <v>49</v>
      </c>
      <c r="D19" t="s">
        <v>18</v>
      </c>
    </row>
    <row r="20" spans="1:4" x14ac:dyDescent="0.25">
      <c r="B20" t="s">
        <v>9</v>
      </c>
      <c r="C20" t="s">
        <v>50</v>
      </c>
      <c r="D20" t="s">
        <v>19</v>
      </c>
    </row>
    <row r="21" spans="1:4" x14ac:dyDescent="0.25">
      <c r="B21" t="s">
        <v>10</v>
      </c>
      <c r="C21" t="s">
        <v>51</v>
      </c>
      <c r="D21" t="s">
        <v>20</v>
      </c>
    </row>
    <row r="23" spans="1:4" x14ac:dyDescent="0.25">
      <c r="A23" s="10" t="s">
        <v>44</v>
      </c>
    </row>
    <row r="24" spans="1:4" x14ac:dyDescent="0.25">
      <c r="A24">
        <v>1</v>
      </c>
      <c r="B24" t="s">
        <v>45</v>
      </c>
    </row>
    <row r="26" spans="1:4" x14ac:dyDescent="0.25">
      <c r="A26">
        <v>2</v>
      </c>
      <c r="B26" t="s">
        <v>46</v>
      </c>
    </row>
    <row r="28" spans="1:4" x14ac:dyDescent="0.25">
      <c r="A28" s="10" t="s">
        <v>47</v>
      </c>
    </row>
    <row r="29" spans="1:4" x14ac:dyDescent="0.25">
      <c r="A29">
        <v>1</v>
      </c>
      <c r="B29" t="s">
        <v>48</v>
      </c>
    </row>
    <row r="31" spans="1:4" x14ac:dyDescent="0.25">
      <c r="A31" s="10">
        <v>2</v>
      </c>
      <c r="B31" t="s">
        <v>212</v>
      </c>
    </row>
    <row r="33" spans="1:2" x14ac:dyDescent="0.2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F74"/>
  <sheetViews>
    <sheetView workbookViewId="0">
      <selection activeCell="A11" sqref="A10:E11"/>
    </sheetView>
  </sheetViews>
  <sheetFormatPr defaultRowHeight="15" x14ac:dyDescent="0.25"/>
  <cols>
    <col min="4" max="4" bestFit="true" customWidth="true" width="12.7109375" collapsed="true"/>
    <col min="5" max="5" bestFit="true" customWidth="true" style="34" width="94.7109375" collapsed="true"/>
  </cols>
  <sheetData>
    <row r="1" spans="1:5" x14ac:dyDescent="0.25">
      <c r="A1" t="s">
        <v>131</v>
      </c>
      <c r="B1" t="s">
        <v>132</v>
      </c>
      <c r="E1" s="34" t="s">
        <v>133</v>
      </c>
    </row>
    <row r="2" spans="1:5" x14ac:dyDescent="0.25">
      <c r="A2">
        <v>1</v>
      </c>
      <c r="B2" t="s">
        <v>56</v>
      </c>
      <c r="C2" t="s">
        <v>57</v>
      </c>
      <c r="D2">
        <v>1</v>
      </c>
      <c r="E2" s="34" t="s">
        <v>139</v>
      </c>
    </row>
    <row r="3" spans="1:5" x14ac:dyDescent="0.25">
      <c r="A3">
        <v>2</v>
      </c>
      <c r="B3" t="s">
        <v>58</v>
      </c>
      <c r="C3" t="s">
        <v>57</v>
      </c>
      <c r="D3">
        <v>0.7</v>
      </c>
      <c r="E3" s="34" t="s">
        <v>135</v>
      </c>
    </row>
    <row r="4" spans="1:5" x14ac:dyDescent="0.25">
      <c r="A4">
        <v>3</v>
      </c>
      <c r="B4" t="s">
        <v>59</v>
      </c>
      <c r="C4" t="s">
        <v>57</v>
      </c>
      <c r="D4">
        <v>1</v>
      </c>
      <c r="E4" s="34" t="s">
        <v>134</v>
      </c>
    </row>
    <row r="5" spans="1:5" x14ac:dyDescent="0.25">
      <c r="A5">
        <v>4</v>
      </c>
      <c r="B5" t="s">
        <v>60</v>
      </c>
      <c r="C5" t="s">
        <v>57</v>
      </c>
      <c r="D5">
        <v>0.5</v>
      </c>
      <c r="E5" s="34" t="s">
        <v>140</v>
      </c>
    </row>
    <row r="6" spans="1:5" x14ac:dyDescent="0.25">
      <c r="A6">
        <v>5</v>
      </c>
      <c r="B6" t="s">
        <v>61</v>
      </c>
      <c r="C6" t="s">
        <v>57</v>
      </c>
      <c r="D6">
        <v>0</v>
      </c>
      <c r="E6" s="34" t="s">
        <v>136</v>
      </c>
    </row>
    <row r="7" spans="1:5" x14ac:dyDescent="0.25">
      <c r="A7">
        <v>6</v>
      </c>
      <c r="B7" t="s">
        <v>62</v>
      </c>
      <c r="C7" t="s">
        <v>57</v>
      </c>
      <c r="D7">
        <v>-4.1530549264700003</v>
      </c>
      <c r="E7" s="34" t="s">
        <v>141</v>
      </c>
    </row>
    <row r="8" spans="1:5" x14ac:dyDescent="0.25">
      <c r="A8">
        <v>7</v>
      </c>
      <c r="B8" t="s">
        <v>63</v>
      </c>
      <c r="C8" t="s">
        <v>57</v>
      </c>
      <c r="D8">
        <v>-0.64354735537100005</v>
      </c>
      <c r="E8" s="34" t="s">
        <v>142</v>
      </c>
    </row>
    <row r="9" spans="1:5" x14ac:dyDescent="0.25">
      <c r="A9">
        <v>8</v>
      </c>
      <c r="B9" t="s">
        <v>64</v>
      </c>
      <c r="C9" t="s">
        <v>57</v>
      </c>
      <c r="D9">
        <v>-0.732358148145</v>
      </c>
      <c r="E9" s="34" t="s">
        <v>143</v>
      </c>
    </row>
    <row r="10" spans="1:5" x14ac:dyDescent="0.25">
      <c r="A10">
        <v>9</v>
      </c>
      <c r="B10" t="s">
        <v>65</v>
      </c>
      <c r="C10" t="s">
        <v>57</v>
      </c>
      <c r="D10">
        <v>-2.6263992007099999</v>
      </c>
      <c r="E10" s="34" t="s">
        <v>144</v>
      </c>
    </row>
    <row r="11" spans="1:5" x14ac:dyDescent="0.25">
      <c r="A11">
        <v>10</v>
      </c>
      <c r="B11" t="s">
        <v>66</v>
      </c>
      <c r="C11" t="s">
        <v>57</v>
      </c>
      <c r="D11">
        <v>-3.4653118418800002</v>
      </c>
      <c r="E11" s="34" t="s">
        <v>145</v>
      </c>
    </row>
    <row r="12" spans="1:5" x14ac:dyDescent="0.25">
      <c r="A12">
        <v>11</v>
      </c>
      <c r="B12" t="s">
        <v>67</v>
      </c>
      <c r="C12" t="s">
        <v>57</v>
      </c>
      <c r="D12">
        <v>0.125312575308</v>
      </c>
      <c r="E12" s="34" t="s">
        <v>146</v>
      </c>
    </row>
    <row r="13" spans="1:5" x14ac:dyDescent="0.25">
      <c r="A13">
        <v>12</v>
      </c>
      <c r="B13" t="s">
        <v>68</v>
      </c>
      <c r="C13" t="s">
        <v>57</v>
      </c>
      <c r="D13">
        <v>0.24676672684299999</v>
      </c>
      <c r="E13" s="34" t="s">
        <v>147</v>
      </c>
    </row>
    <row r="14" spans="1:5" x14ac:dyDescent="0.25">
      <c r="A14">
        <v>13</v>
      </c>
      <c r="B14" t="s">
        <v>69</v>
      </c>
      <c r="C14" t="s">
        <v>57</v>
      </c>
      <c r="D14">
        <v>0.40796503771199999</v>
      </c>
      <c r="E14" s="34" t="s">
        <v>148</v>
      </c>
    </row>
    <row r="15" spans="1:5" x14ac:dyDescent="0.25">
      <c r="A15">
        <v>14</v>
      </c>
      <c r="B15" t="s">
        <v>70</v>
      </c>
      <c r="C15" t="s">
        <v>57</v>
      </c>
      <c r="D15">
        <v>-0.50293651045300003</v>
      </c>
      <c r="E15" s="34" t="s">
        <v>149</v>
      </c>
    </row>
    <row r="16" spans="1:5" x14ac:dyDescent="0.25">
      <c r="A16">
        <v>15</v>
      </c>
      <c r="B16" t="s">
        <v>71</v>
      </c>
      <c r="C16" t="s">
        <v>57</v>
      </c>
      <c r="D16">
        <v>-1.61322160644</v>
      </c>
      <c r="E16" s="34" t="s">
        <v>150</v>
      </c>
    </row>
    <row r="17" spans="1:5" x14ac:dyDescent="0.25">
      <c r="A17">
        <v>16</v>
      </c>
      <c r="B17" t="s">
        <v>72</v>
      </c>
      <c r="C17" t="s">
        <v>57</v>
      </c>
      <c r="D17">
        <v>0.130749629122</v>
      </c>
      <c r="E17" s="34" t="s">
        <v>151</v>
      </c>
    </row>
    <row r="18" spans="1:5" x14ac:dyDescent="0.25">
      <c r="A18">
        <v>17</v>
      </c>
      <c r="B18" t="s">
        <v>73</v>
      </c>
      <c r="C18" t="s">
        <v>57</v>
      </c>
      <c r="D18" s="33">
        <v>8.4077289836199998E-2</v>
      </c>
      <c r="E18" s="34" t="s">
        <v>152</v>
      </c>
    </row>
    <row r="19" spans="1:5" x14ac:dyDescent="0.25">
      <c r="A19">
        <v>18</v>
      </c>
      <c r="B19" t="s">
        <v>74</v>
      </c>
      <c r="C19" t="s">
        <v>57</v>
      </c>
      <c r="D19">
        <v>0</v>
      </c>
      <c r="E19" s="34" t="s">
        <v>153</v>
      </c>
    </row>
    <row r="20" spans="1:5" x14ac:dyDescent="0.25">
      <c r="A20">
        <v>19</v>
      </c>
      <c r="B20" t="s">
        <v>75</v>
      </c>
      <c r="C20" t="s">
        <v>57</v>
      </c>
      <c r="D20">
        <v>0.106386053639</v>
      </c>
      <c r="E20" s="34" t="s">
        <v>137</v>
      </c>
    </row>
    <row r="21" spans="1:5" x14ac:dyDescent="0.25">
      <c r="A21">
        <v>20</v>
      </c>
      <c r="B21" t="s">
        <v>76</v>
      </c>
      <c r="C21" t="s">
        <v>57</v>
      </c>
      <c r="D21">
        <v>0.88087687792799996</v>
      </c>
      <c r="E21" s="34" t="s">
        <v>138</v>
      </c>
    </row>
    <row r="22" spans="1:5" x14ac:dyDescent="0.25">
      <c r="A22">
        <v>21</v>
      </c>
      <c r="B22" t="s">
        <v>77</v>
      </c>
      <c r="C22" t="s">
        <v>57</v>
      </c>
      <c r="D22">
        <v>-0.16458061134300001</v>
      </c>
      <c r="E22" s="34" t="s">
        <v>190</v>
      </c>
    </row>
    <row r="23" spans="1:5" x14ac:dyDescent="0.25">
      <c r="A23">
        <v>22</v>
      </c>
      <c r="B23" t="s">
        <v>78</v>
      </c>
      <c r="C23" t="s">
        <v>57</v>
      </c>
      <c r="D23">
        <v>0.154182014038</v>
      </c>
      <c r="E23" s="34" t="s">
        <v>191</v>
      </c>
    </row>
    <row r="24" spans="1:5" x14ac:dyDescent="0.25">
      <c r="A24">
        <v>23</v>
      </c>
      <c r="B24" t="s">
        <v>79</v>
      </c>
      <c r="C24" t="s">
        <v>57</v>
      </c>
      <c r="D24" s="33">
        <v>4.79448884421E-2</v>
      </c>
      <c r="E24" s="34" t="s">
        <v>192</v>
      </c>
    </row>
    <row r="25" spans="1:5" x14ac:dyDescent="0.25">
      <c r="A25">
        <v>24</v>
      </c>
      <c r="B25" t="s">
        <v>80</v>
      </c>
      <c r="C25" t="s">
        <v>57</v>
      </c>
      <c r="D25" s="33">
        <v>6.4843520043099998E-2</v>
      </c>
      <c r="E25" s="34" t="s">
        <v>193</v>
      </c>
    </row>
    <row r="26" spans="1:5" x14ac:dyDescent="0.25">
      <c r="A26">
        <v>25</v>
      </c>
      <c r="B26" t="s">
        <v>81</v>
      </c>
      <c r="C26" t="s">
        <v>57</v>
      </c>
      <c r="D26">
        <v>0.15272053169499999</v>
      </c>
      <c r="E26" s="34" t="s">
        <v>194</v>
      </c>
    </row>
    <row r="27" spans="1:5" x14ac:dyDescent="0.25">
      <c r="A27">
        <v>26</v>
      </c>
      <c r="B27" t="s">
        <v>82</v>
      </c>
      <c r="C27" t="s">
        <v>57</v>
      </c>
      <c r="D27" s="33">
        <v>7.2028590735099998E-2</v>
      </c>
      <c r="E27" s="34" t="s">
        <v>195</v>
      </c>
    </row>
    <row r="28" spans="1:5" x14ac:dyDescent="0.25">
      <c r="A28">
        <v>27</v>
      </c>
      <c r="B28" t="s">
        <v>83</v>
      </c>
      <c r="C28" t="s">
        <v>57</v>
      </c>
      <c r="D28">
        <v>-0.27934224041799999</v>
      </c>
      <c r="E28" s="34" t="s">
        <v>199</v>
      </c>
    </row>
    <row r="29" spans="1:5" x14ac:dyDescent="0.25">
      <c r="A29">
        <v>28</v>
      </c>
      <c r="B29" t="s">
        <v>84</v>
      </c>
      <c r="C29" t="s">
        <v>57</v>
      </c>
      <c r="D29" s="33">
        <v>4.3626229225700003E-2</v>
      </c>
      <c r="E29" s="34" t="s">
        <v>154</v>
      </c>
    </row>
    <row r="30" spans="1:5" x14ac:dyDescent="0.25">
      <c r="A30">
        <v>29</v>
      </c>
      <c r="B30" t="s">
        <v>85</v>
      </c>
      <c r="C30" t="s">
        <v>57</v>
      </c>
      <c r="D30" s="33">
        <v>-8.7886819411100006E-2</v>
      </c>
      <c r="E30" s="34" t="s">
        <v>174</v>
      </c>
    </row>
    <row r="31" spans="1:5" x14ac:dyDescent="0.25">
      <c r="A31">
        <v>30</v>
      </c>
      <c r="B31" t="s">
        <v>86</v>
      </c>
      <c r="C31" t="s">
        <v>57</v>
      </c>
      <c r="D31" s="33">
        <v>-4.2894941477000001E-2</v>
      </c>
      <c r="E31" s="34" t="s">
        <v>175</v>
      </c>
    </row>
    <row r="32" spans="1:5" x14ac:dyDescent="0.25">
      <c r="A32">
        <v>31</v>
      </c>
      <c r="B32" t="s">
        <v>87</v>
      </c>
      <c r="C32" t="s">
        <v>57</v>
      </c>
      <c r="D32">
        <v>-0.13045579928000001</v>
      </c>
      <c r="E32" s="34" t="s">
        <v>176</v>
      </c>
    </row>
    <row r="33" spans="1:5" x14ac:dyDescent="0.25">
      <c r="A33">
        <v>32</v>
      </c>
      <c r="B33" t="s">
        <v>88</v>
      </c>
      <c r="C33" t="s">
        <v>57</v>
      </c>
      <c r="D33">
        <v>0.18945088644899999</v>
      </c>
      <c r="E33" s="34" t="s">
        <v>177</v>
      </c>
    </row>
    <row r="34" spans="1:5" x14ac:dyDescent="0.25">
      <c r="A34">
        <v>33</v>
      </c>
      <c r="B34" t="s">
        <v>89</v>
      </c>
      <c r="C34" t="s">
        <v>57</v>
      </c>
      <c r="D34">
        <v>-0.179523169776</v>
      </c>
      <c r="E34" s="34" t="s">
        <v>178</v>
      </c>
    </row>
    <row r="35" spans="1:5" x14ac:dyDescent="0.25">
      <c r="A35">
        <v>34</v>
      </c>
      <c r="B35" t="s">
        <v>90</v>
      </c>
      <c r="C35" t="s">
        <v>57</v>
      </c>
      <c r="D35">
        <v>0.17233347539499999</v>
      </c>
      <c r="E35" s="34" t="s">
        <v>179</v>
      </c>
    </row>
    <row r="36" spans="1:5" x14ac:dyDescent="0.25">
      <c r="A36">
        <v>35</v>
      </c>
      <c r="B36" t="s">
        <v>91</v>
      </c>
      <c r="C36" t="s">
        <v>57</v>
      </c>
      <c r="D36">
        <v>-0.194698386872</v>
      </c>
      <c r="E36" s="34" t="s">
        <v>180</v>
      </c>
    </row>
    <row r="37" spans="1:5" x14ac:dyDescent="0.25">
      <c r="A37">
        <v>36</v>
      </c>
      <c r="B37" t="s">
        <v>92</v>
      </c>
      <c r="C37" t="s">
        <v>57</v>
      </c>
      <c r="D37">
        <v>0.38785322122799998</v>
      </c>
      <c r="E37" s="34" t="s">
        <v>181</v>
      </c>
    </row>
    <row r="38" spans="1:5" x14ac:dyDescent="0.25">
      <c r="A38">
        <v>41</v>
      </c>
      <c r="B38" t="s">
        <v>93</v>
      </c>
      <c r="C38" t="s">
        <v>94</v>
      </c>
      <c r="D38">
        <v>-2.9745332256100001</v>
      </c>
      <c r="E38" s="34" t="s">
        <v>213</v>
      </c>
    </row>
    <row r="39" spans="1:5" x14ac:dyDescent="0.25">
      <c r="A39">
        <v>42</v>
      </c>
      <c r="B39" t="s">
        <v>95</v>
      </c>
      <c r="C39" t="s">
        <v>94</v>
      </c>
      <c r="D39">
        <v>5.0782043482699999</v>
      </c>
      <c r="E39" s="34" t="s">
        <v>200</v>
      </c>
    </row>
    <row r="40" spans="1:5" x14ac:dyDescent="0.25">
      <c r="A40">
        <v>43</v>
      </c>
      <c r="B40" t="s">
        <v>96</v>
      </c>
      <c r="C40" t="s">
        <v>94</v>
      </c>
      <c r="D40">
        <v>-3.0391245094800001</v>
      </c>
      <c r="E40" s="34" t="s">
        <v>201</v>
      </c>
    </row>
    <row r="41" spans="1:5" x14ac:dyDescent="0.25">
      <c r="A41">
        <v>44</v>
      </c>
      <c r="B41" t="s">
        <v>97</v>
      </c>
      <c r="C41" t="s">
        <v>94</v>
      </c>
      <c r="D41">
        <v>-2.3320263859599999</v>
      </c>
      <c r="E41" s="34" t="s">
        <v>202</v>
      </c>
    </row>
    <row r="42" spans="1:5" x14ac:dyDescent="0.25">
      <c r="A42">
        <v>50</v>
      </c>
      <c r="B42" t="s">
        <v>98</v>
      </c>
      <c r="C42" t="s">
        <v>57</v>
      </c>
      <c r="D42">
        <v>0.33566647407</v>
      </c>
    </row>
    <row r="43" spans="1:5" x14ac:dyDescent="0.25">
      <c r="A43">
        <v>51</v>
      </c>
      <c r="B43" t="s">
        <v>99</v>
      </c>
      <c r="C43" t="s">
        <v>57</v>
      </c>
      <c r="D43">
        <v>-0.78911507665199998</v>
      </c>
      <c r="E43" s="34" t="s">
        <v>155</v>
      </c>
    </row>
    <row r="44" spans="1:5" x14ac:dyDescent="0.25">
      <c r="A44">
        <v>52</v>
      </c>
      <c r="B44" t="s">
        <v>100</v>
      </c>
      <c r="C44" t="s">
        <v>57</v>
      </c>
      <c r="D44">
        <v>0.56564055394500001</v>
      </c>
      <c r="E44" s="34" t="s">
        <v>156</v>
      </c>
    </row>
    <row r="45" spans="1:5" x14ac:dyDescent="0.25">
      <c r="A45">
        <v>53</v>
      </c>
      <c r="B45" t="s">
        <v>101</v>
      </c>
      <c r="C45" t="s">
        <v>57</v>
      </c>
      <c r="D45">
        <v>-1.85416848242</v>
      </c>
      <c r="E45" s="34" t="s">
        <v>157</v>
      </c>
    </row>
    <row r="46" spans="1:5" x14ac:dyDescent="0.25">
      <c r="A46">
        <v>54</v>
      </c>
      <c r="B46" t="s">
        <v>102</v>
      </c>
      <c r="C46" t="s">
        <v>57</v>
      </c>
      <c r="D46">
        <v>0</v>
      </c>
      <c r="E46" s="34" t="s">
        <v>158</v>
      </c>
    </row>
    <row r="47" spans="1:5" x14ac:dyDescent="0.25">
      <c r="A47">
        <v>55</v>
      </c>
      <c r="B47" t="s">
        <v>103</v>
      </c>
      <c r="C47" t="s">
        <v>57</v>
      </c>
      <c r="D47">
        <v>-1.1156286956100001</v>
      </c>
      <c r="E47" s="34" t="s">
        <v>159</v>
      </c>
    </row>
    <row r="48" spans="1:5" x14ac:dyDescent="0.25">
      <c r="A48">
        <v>56</v>
      </c>
      <c r="B48" t="s">
        <v>104</v>
      </c>
      <c r="C48" t="s">
        <v>57</v>
      </c>
      <c r="D48">
        <v>-0.81792869186600003</v>
      </c>
      <c r="E48" s="34" t="s">
        <v>160</v>
      </c>
    </row>
    <row r="49" spans="1:5" x14ac:dyDescent="0.25">
      <c r="A49">
        <v>57</v>
      </c>
      <c r="B49" t="s">
        <v>105</v>
      </c>
      <c r="C49" t="s">
        <v>57</v>
      </c>
      <c r="D49">
        <v>-1.04729487823</v>
      </c>
      <c r="E49" s="34" t="s">
        <v>161</v>
      </c>
    </row>
    <row r="50" spans="1:5" x14ac:dyDescent="0.25">
      <c r="A50">
        <v>58</v>
      </c>
      <c r="B50" t="s">
        <v>106</v>
      </c>
      <c r="C50" t="s">
        <v>57</v>
      </c>
      <c r="D50">
        <v>-2.0228517391</v>
      </c>
      <c r="E50" s="34" t="s">
        <v>162</v>
      </c>
    </row>
    <row r="51" spans="1:5" x14ac:dyDescent="0.25">
      <c r="A51">
        <v>59</v>
      </c>
      <c r="B51" t="s">
        <v>107</v>
      </c>
      <c r="C51" t="s">
        <v>57</v>
      </c>
      <c r="D51">
        <v>-1.2945321250099999</v>
      </c>
      <c r="E51" s="34" t="s">
        <v>163</v>
      </c>
    </row>
    <row r="52" spans="1:5" x14ac:dyDescent="0.25">
      <c r="A52">
        <v>60</v>
      </c>
      <c r="B52" t="s">
        <v>108</v>
      </c>
      <c r="C52" t="s">
        <v>57</v>
      </c>
      <c r="D52">
        <v>-0.66178028021599999</v>
      </c>
      <c r="E52" s="34" t="s">
        <v>182</v>
      </c>
    </row>
    <row r="53" spans="1:5" x14ac:dyDescent="0.25">
      <c r="A53">
        <v>61</v>
      </c>
      <c r="B53" t="s">
        <v>109</v>
      </c>
      <c r="C53" t="s">
        <v>57</v>
      </c>
      <c r="D53">
        <v>-0.55504741134900004</v>
      </c>
      <c r="E53" s="34" t="s">
        <v>183</v>
      </c>
    </row>
    <row r="54" spans="1:5" x14ac:dyDescent="0.25">
      <c r="A54">
        <v>62</v>
      </c>
      <c r="B54" t="s">
        <v>110</v>
      </c>
      <c r="C54" t="s">
        <v>57</v>
      </c>
      <c r="D54">
        <v>-1.7449233454799999</v>
      </c>
      <c r="E54" s="34" t="s">
        <v>184</v>
      </c>
    </row>
    <row r="55" spans="1:5" x14ac:dyDescent="0.25">
      <c r="A55">
        <v>63</v>
      </c>
      <c r="B55" t="s">
        <v>111</v>
      </c>
      <c r="C55" t="s">
        <v>57</v>
      </c>
      <c r="D55">
        <v>1.1995398853399999</v>
      </c>
      <c r="E55" s="34" t="s">
        <v>185</v>
      </c>
    </row>
    <row r="56" spans="1:5" x14ac:dyDescent="0.25">
      <c r="A56">
        <v>64</v>
      </c>
      <c r="B56" t="s">
        <v>112</v>
      </c>
      <c r="C56" t="s">
        <v>57</v>
      </c>
      <c r="D56">
        <v>0.19542046398099999</v>
      </c>
      <c r="E56" s="34" t="s">
        <v>186</v>
      </c>
    </row>
    <row r="57" spans="1:5" x14ac:dyDescent="0.25">
      <c r="A57">
        <v>65</v>
      </c>
      <c r="B57" t="s">
        <v>113</v>
      </c>
      <c r="C57" t="s">
        <v>57</v>
      </c>
      <c r="D57">
        <v>-0.90594458676599998</v>
      </c>
      <c r="E57" s="34" t="s">
        <v>187</v>
      </c>
    </row>
    <row r="58" spans="1:5" x14ac:dyDescent="0.25">
      <c r="A58">
        <v>66</v>
      </c>
      <c r="B58" t="s">
        <v>114</v>
      </c>
      <c r="C58" t="s">
        <v>57</v>
      </c>
      <c r="D58">
        <v>-2.05104130438</v>
      </c>
      <c r="E58" s="34" t="s">
        <v>164</v>
      </c>
    </row>
    <row r="59" spans="1:5" x14ac:dyDescent="0.25">
      <c r="A59">
        <v>67</v>
      </c>
      <c r="B59" t="s">
        <v>115</v>
      </c>
      <c r="C59" t="s">
        <v>57</v>
      </c>
      <c r="D59">
        <v>-2.2381608455899999</v>
      </c>
      <c r="E59" s="34" t="s">
        <v>165</v>
      </c>
    </row>
    <row r="60" spans="1:5" x14ac:dyDescent="0.25">
      <c r="A60">
        <v>68</v>
      </c>
      <c r="B60" t="s">
        <v>116</v>
      </c>
      <c r="C60" t="s">
        <v>57</v>
      </c>
      <c r="D60">
        <v>-0.40946320528300001</v>
      </c>
      <c r="E60" s="34" t="s">
        <v>166</v>
      </c>
    </row>
    <row r="61" spans="1:5" x14ac:dyDescent="0.25">
      <c r="A61">
        <v>69</v>
      </c>
      <c r="B61" t="s">
        <v>117</v>
      </c>
      <c r="C61" t="s">
        <v>57</v>
      </c>
      <c r="D61">
        <v>-1.1700902309500001</v>
      </c>
      <c r="E61" s="34" t="s">
        <v>167</v>
      </c>
    </row>
    <row r="62" spans="1:5" x14ac:dyDescent="0.25">
      <c r="A62">
        <v>70</v>
      </c>
      <c r="B62" t="s">
        <v>118</v>
      </c>
      <c r="C62" t="s">
        <v>57</v>
      </c>
      <c r="D62">
        <v>1.8412445021999999</v>
      </c>
      <c r="E62" s="34" t="s">
        <v>168</v>
      </c>
    </row>
    <row r="63" spans="1:5" x14ac:dyDescent="0.25">
      <c r="A63">
        <v>71</v>
      </c>
      <c r="B63" t="s">
        <v>119</v>
      </c>
      <c r="C63" t="s">
        <v>57</v>
      </c>
      <c r="D63">
        <v>0.71619685052500004</v>
      </c>
      <c r="E63" s="34" t="s">
        <v>169</v>
      </c>
    </row>
    <row r="64" spans="1:5" x14ac:dyDescent="0.25">
      <c r="A64">
        <v>72</v>
      </c>
      <c r="B64" t="s">
        <v>120</v>
      </c>
      <c r="C64" t="s">
        <v>57</v>
      </c>
      <c r="D64">
        <v>-0.101060642888</v>
      </c>
      <c r="E64" s="34" t="s">
        <v>170</v>
      </c>
    </row>
    <row r="65" spans="1:5" x14ac:dyDescent="0.25">
      <c r="A65">
        <v>73</v>
      </c>
      <c r="B65" t="s">
        <v>121</v>
      </c>
      <c r="C65" t="s">
        <v>57</v>
      </c>
      <c r="D65">
        <v>-0.34132571646100002</v>
      </c>
      <c r="E65" s="34" t="s">
        <v>171</v>
      </c>
    </row>
    <row r="66" spans="1:5" x14ac:dyDescent="0.25">
      <c r="A66">
        <v>74</v>
      </c>
      <c r="B66" t="s">
        <v>122</v>
      </c>
      <c r="C66" t="s">
        <v>57</v>
      </c>
      <c r="D66">
        <v>1.0486549950899999</v>
      </c>
      <c r="E66" s="34" t="s">
        <v>188</v>
      </c>
    </row>
    <row r="67" spans="1:5" x14ac:dyDescent="0.25">
      <c r="A67">
        <v>75</v>
      </c>
      <c r="B67" t="s">
        <v>123</v>
      </c>
      <c r="C67" t="s">
        <v>57</v>
      </c>
      <c r="D67">
        <v>-30</v>
      </c>
      <c r="E67" s="34" t="s">
        <v>196</v>
      </c>
    </row>
    <row r="68" spans="1:5" x14ac:dyDescent="0.25">
      <c r="A68">
        <v>76</v>
      </c>
      <c r="B68" t="s">
        <v>124</v>
      </c>
      <c r="C68" t="s">
        <v>57</v>
      </c>
      <c r="D68">
        <v>0.91468797064200003</v>
      </c>
      <c r="E68" s="34" t="s">
        <v>197</v>
      </c>
    </row>
    <row r="69" spans="1:5" x14ac:dyDescent="0.25">
      <c r="A69">
        <v>77</v>
      </c>
      <c r="B69" t="s">
        <v>125</v>
      </c>
      <c r="C69" t="s">
        <v>57</v>
      </c>
      <c r="D69">
        <v>-1.1830909132</v>
      </c>
      <c r="E69" s="34" t="s">
        <v>189</v>
      </c>
    </row>
    <row r="70" spans="1:5" x14ac:dyDescent="0.25">
      <c r="A70">
        <v>78</v>
      </c>
      <c r="B70" t="s">
        <v>126</v>
      </c>
      <c r="C70" t="s">
        <v>57</v>
      </c>
      <c r="D70">
        <v>1.4576625009499999</v>
      </c>
      <c r="E70" s="34" t="s">
        <v>198</v>
      </c>
    </row>
    <row r="71" spans="1:5" x14ac:dyDescent="0.25">
      <c r="A71">
        <v>79</v>
      </c>
      <c r="B71" t="s">
        <v>127</v>
      </c>
      <c r="C71" t="s">
        <v>57</v>
      </c>
      <c r="D71">
        <v>-1.62636517084</v>
      </c>
      <c r="E71" s="34" t="s">
        <v>172</v>
      </c>
    </row>
    <row r="72" spans="1:5" x14ac:dyDescent="0.25">
      <c r="A72">
        <v>80</v>
      </c>
      <c r="B72" t="s">
        <v>128</v>
      </c>
      <c r="C72" t="s">
        <v>57</v>
      </c>
      <c r="D72">
        <v>0</v>
      </c>
      <c r="E72" s="34" t="s">
        <v>173</v>
      </c>
    </row>
    <row r="73" spans="1:5" x14ac:dyDescent="0.25">
      <c r="A73">
        <v>90</v>
      </c>
      <c r="B73" t="s">
        <v>129</v>
      </c>
      <c r="C73" t="s">
        <v>57</v>
      </c>
      <c r="D73">
        <v>0</v>
      </c>
      <c r="E73" s="34">
        <v>100</v>
      </c>
    </row>
    <row r="74" spans="1:5" x14ac:dyDescent="0.2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activeCell="B2" sqref="B2:B8"/>
    </sheetView>
  </sheetViews>
  <sheetFormatPr defaultRowHeight="15" x14ac:dyDescent="0.25"/>
  <sheetData>
    <row r="1" spans="1:2" x14ac:dyDescent="0.25">
      <c r="A1" t="s">
        <v>310</v>
      </c>
      <c r="B1" t="s">
        <v>311</v>
      </c>
    </row>
    <row r="2" spans="1:2" x14ac:dyDescent="0.25">
      <c r="A2">
        <v>1</v>
      </c>
      <c r="B2" s="99" t="s">
        <v>312</v>
      </c>
    </row>
    <row r="3" spans="1:2" x14ac:dyDescent="0.25">
      <c r="A3">
        <v>2</v>
      </c>
      <c r="B3" s="98" t="s">
        <v>313</v>
      </c>
    </row>
    <row r="4" spans="1:2" x14ac:dyDescent="0.25">
      <c r="A4">
        <v>3</v>
      </c>
      <c r="B4" s="98" t="s">
        <v>314</v>
      </c>
    </row>
    <row r="5" spans="1:2" x14ac:dyDescent="0.25">
      <c r="A5">
        <v>4</v>
      </c>
      <c r="B5" s="98" t="s">
        <v>315</v>
      </c>
    </row>
    <row r="6" spans="1:2" x14ac:dyDescent="0.25">
      <c r="A6">
        <v>5</v>
      </c>
      <c r="B6" s="98" t="s">
        <v>316</v>
      </c>
    </row>
    <row r="7" spans="1:2" x14ac:dyDescent="0.25">
      <c r="A7">
        <v>6</v>
      </c>
      <c r="B7" s="98" t="s">
        <v>317</v>
      </c>
    </row>
    <row r="8" spans="1:2" x14ac:dyDescent="0.25">
      <c r="A8">
        <v>7</v>
      </c>
      <c r="B8" s="98" t="s">
        <v>318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84"/>
  <sheetViews>
    <sheetView workbookViewId="0">
      <selection activeCell="A8" sqref="A8:K370"/>
    </sheetView>
  </sheetViews>
  <sheetFormatPr defaultRowHeight="15" x14ac:dyDescent="0.25"/>
  <sheetData>
    <row r="1" spans="1:11" x14ac:dyDescent="0.25">
      <c r="A1" s="71" t="s">
        <v>234</v>
      </c>
      <c r="B1" s="72"/>
      <c r="C1" s="72"/>
      <c r="D1" s="72"/>
      <c r="E1" s="72"/>
      <c r="F1" s="72"/>
      <c r="G1" s="72"/>
      <c r="H1" s="72" t="s">
        <v>240</v>
      </c>
      <c r="I1" s="72"/>
      <c r="J1" s="72"/>
      <c r="K1" s="72"/>
    </row>
    <row r="2" spans="1:11" x14ac:dyDescent="0.25">
      <c r="A2" s="72">
        <v>1</v>
      </c>
      <c r="B2" s="72" t="s">
        <v>252</v>
      </c>
      <c r="C2" s="72"/>
      <c r="D2" s="72"/>
      <c r="E2" s="72"/>
      <c r="F2" s="72"/>
      <c r="G2" s="72"/>
      <c r="H2" s="72"/>
      <c r="I2" s="72"/>
      <c r="J2" s="72"/>
      <c r="K2" s="72"/>
    </row>
    <row r="3" spans="1:11" x14ac:dyDescent="0.25">
      <c r="A3" s="72">
        <v>2</v>
      </c>
      <c r="B3" s="72" t="s">
        <v>235</v>
      </c>
      <c r="C3" s="72"/>
      <c r="D3" s="72"/>
      <c r="E3" s="72"/>
      <c r="F3" s="72"/>
      <c r="G3" s="72"/>
      <c r="H3" s="72"/>
      <c r="I3" s="72"/>
      <c r="J3" s="72"/>
      <c r="K3" s="72"/>
    </row>
    <row r="4" spans="1:11" x14ac:dyDescent="0.25">
      <c r="A4" s="72">
        <v>3</v>
      </c>
      <c r="B4" s="72" t="s">
        <v>237</v>
      </c>
      <c r="C4" s="72"/>
      <c r="D4" s="72"/>
      <c r="E4" s="72"/>
      <c r="F4" s="72"/>
      <c r="G4" s="72"/>
      <c r="H4" s="72"/>
      <c r="I4" s="72"/>
      <c r="J4" s="72"/>
      <c r="K4" s="72"/>
    </row>
    <row r="5" spans="1:11" x14ac:dyDescent="0.25">
      <c r="A5" s="72">
        <v>4</v>
      </c>
      <c r="B5" s="72" t="s">
        <v>236</v>
      </c>
      <c r="C5" s="72"/>
      <c r="D5" s="72"/>
      <c r="E5" s="72"/>
      <c r="F5" s="72"/>
      <c r="G5" s="72"/>
      <c r="H5" s="72"/>
      <c r="I5" s="72"/>
      <c r="J5" s="72"/>
      <c r="K5" s="72"/>
    </row>
    <row r="6" spans="1:11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</row>
    <row r="8" spans="1:11" x14ac:dyDescent="0.25">
      <c r="A8" t="s">
        <v>226</v>
      </c>
      <c r="B8" t="s">
        <v>227</v>
      </c>
      <c r="C8" t="s">
        <v>301</v>
      </c>
      <c r="D8" t="s">
        <v>302</v>
      </c>
      <c r="E8" t="s">
        <v>303</v>
      </c>
      <c r="F8" t="s">
        <v>304</v>
      </c>
      <c r="G8" t="s">
        <v>305</v>
      </c>
      <c r="H8" t="s">
        <v>306</v>
      </c>
    </row>
    <row r="9" spans="1:11" x14ac:dyDescent="0.2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9">
        <v>0.67841435185185184</v>
      </c>
      <c r="G9" t="s">
        <v>232</v>
      </c>
      <c r="H9">
        <v>5</v>
      </c>
      <c r="I9" t="s">
        <v>307</v>
      </c>
      <c r="J9">
        <v>12</v>
      </c>
    </row>
    <row r="10" spans="1:11" x14ac:dyDescent="0.25">
      <c r="A10" t="s">
        <v>233</v>
      </c>
    </row>
    <row r="11" spans="1:11" x14ac:dyDescent="0.25">
      <c r="B11">
        <v>1</v>
      </c>
      <c r="C11" t="s">
        <v>56</v>
      </c>
      <c r="D11" t="s">
        <v>57</v>
      </c>
      <c r="E11">
        <v>1</v>
      </c>
    </row>
    <row r="12" spans="1:11" x14ac:dyDescent="0.25">
      <c r="B12">
        <v>2</v>
      </c>
      <c r="C12" t="s">
        <v>58</v>
      </c>
      <c r="D12" t="s">
        <v>57</v>
      </c>
      <c r="E12">
        <v>0.7</v>
      </c>
      <c r="F12" s="33"/>
    </row>
    <row r="13" spans="1:11" x14ac:dyDescent="0.25">
      <c r="B13">
        <v>3</v>
      </c>
      <c r="C13" t="s">
        <v>59</v>
      </c>
      <c r="D13" t="s">
        <v>57</v>
      </c>
      <c r="E13">
        <v>1</v>
      </c>
      <c r="F13" s="33"/>
    </row>
    <row r="14" spans="1:11" x14ac:dyDescent="0.25">
      <c r="B14">
        <v>4</v>
      </c>
      <c r="C14" t="s">
        <v>60</v>
      </c>
      <c r="D14" t="s">
        <v>57</v>
      </c>
      <c r="E14">
        <v>0.5</v>
      </c>
    </row>
    <row r="15" spans="1:11" x14ac:dyDescent="0.25">
      <c r="B15">
        <v>5</v>
      </c>
      <c r="C15" t="s">
        <v>61</v>
      </c>
      <c r="D15" t="s">
        <v>57</v>
      </c>
      <c r="E15">
        <v>0</v>
      </c>
    </row>
    <row r="16" spans="1:11" x14ac:dyDescent="0.25">
      <c r="B16">
        <v>6</v>
      </c>
      <c r="C16" t="s">
        <v>62</v>
      </c>
      <c r="D16" t="s">
        <v>57</v>
      </c>
      <c r="E16">
        <v>-4.1530549264700003</v>
      </c>
    </row>
    <row r="17" spans="2:6" x14ac:dyDescent="0.25">
      <c r="B17">
        <v>7</v>
      </c>
      <c r="C17" t="s">
        <v>63</v>
      </c>
      <c r="D17" t="s">
        <v>57</v>
      </c>
      <c r="E17">
        <v>0.16304005993109999</v>
      </c>
      <c r="F17" s="33"/>
    </row>
    <row r="18" spans="2:6" x14ac:dyDescent="0.25">
      <c r="B18">
        <v>8</v>
      </c>
      <c r="C18" t="s">
        <v>64</v>
      </c>
      <c r="D18" t="s">
        <v>57</v>
      </c>
      <c r="E18">
        <v>-0.66484078944180003</v>
      </c>
      <c r="F18" s="33"/>
    </row>
    <row r="19" spans="2:6" x14ac:dyDescent="0.25">
      <c r="B19">
        <v>9</v>
      </c>
      <c r="C19" t="s">
        <v>65</v>
      </c>
      <c r="D19" t="s">
        <v>57</v>
      </c>
      <c r="E19">
        <v>-2.1673496431996999</v>
      </c>
    </row>
    <row r="20" spans="2:6" x14ac:dyDescent="0.25">
      <c r="B20">
        <v>10</v>
      </c>
      <c r="C20" t="s">
        <v>66</v>
      </c>
      <c r="D20" t="s">
        <v>57</v>
      </c>
      <c r="E20">
        <v>-3.3544504276017002</v>
      </c>
    </row>
    <row r="21" spans="2:6" x14ac:dyDescent="0.2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25">
      <c r="B22">
        <v>12</v>
      </c>
      <c r="C22" t="s">
        <v>68</v>
      </c>
      <c r="D22" t="s">
        <v>57</v>
      </c>
      <c r="E22" s="33">
        <v>-0.93478838755000004</v>
      </c>
      <c r="F22" s="33"/>
    </row>
    <row r="23" spans="2:6" x14ac:dyDescent="0.25">
      <c r="B23">
        <v>13</v>
      </c>
      <c r="C23" t="s">
        <v>69</v>
      </c>
      <c r="D23" t="s">
        <v>57</v>
      </c>
      <c r="E23" s="33">
        <v>0.40796503771199999</v>
      </c>
      <c r="F23" s="33"/>
    </row>
    <row r="24" spans="2:6" x14ac:dyDescent="0.25">
      <c r="B24">
        <v>14</v>
      </c>
      <c r="C24" t="s">
        <v>70</v>
      </c>
      <c r="D24" t="s">
        <v>57</v>
      </c>
      <c r="E24">
        <v>-0.50293651045300003</v>
      </c>
      <c r="F24" s="33"/>
    </row>
    <row r="25" spans="2:6" x14ac:dyDescent="0.25">
      <c r="B25">
        <v>15</v>
      </c>
      <c r="C25" t="s">
        <v>71</v>
      </c>
      <c r="D25" t="s">
        <v>57</v>
      </c>
      <c r="E25">
        <v>-1.61322160644</v>
      </c>
    </row>
    <row r="26" spans="2:6" x14ac:dyDescent="0.25">
      <c r="B26">
        <v>16</v>
      </c>
      <c r="C26" t="s">
        <v>72</v>
      </c>
      <c r="D26" t="s">
        <v>57</v>
      </c>
      <c r="E26">
        <v>0.130749629122</v>
      </c>
      <c r="F26" s="33"/>
    </row>
    <row r="27" spans="2:6" x14ac:dyDescent="0.25">
      <c r="B27">
        <v>17</v>
      </c>
      <c r="C27" t="s">
        <v>73</v>
      </c>
      <c r="D27" t="s">
        <v>57</v>
      </c>
      <c r="E27" s="33">
        <v>8.4077289836199998E-2</v>
      </c>
      <c r="F27" s="33"/>
    </row>
    <row r="28" spans="2:6" x14ac:dyDescent="0.25">
      <c r="B28">
        <v>18</v>
      </c>
      <c r="C28" t="s">
        <v>74</v>
      </c>
      <c r="D28" t="s">
        <v>57</v>
      </c>
      <c r="E28" s="33">
        <v>0</v>
      </c>
      <c r="F28" s="33"/>
    </row>
    <row r="29" spans="2:6" x14ac:dyDescent="0.25">
      <c r="B29">
        <v>19</v>
      </c>
      <c r="C29" t="s">
        <v>75</v>
      </c>
      <c r="D29" t="s">
        <v>57</v>
      </c>
      <c r="E29" s="33">
        <v>0.106386053639</v>
      </c>
      <c r="F29" s="33"/>
    </row>
    <row r="30" spans="2:6" x14ac:dyDescent="0.25">
      <c r="B30">
        <v>20</v>
      </c>
      <c r="C30" t="s">
        <v>76</v>
      </c>
      <c r="D30" t="s">
        <v>57</v>
      </c>
      <c r="E30">
        <v>0.88087687792799996</v>
      </c>
      <c r="F30" s="33"/>
    </row>
    <row r="31" spans="2:6" x14ac:dyDescent="0.25">
      <c r="B31">
        <v>21</v>
      </c>
      <c r="C31" t="s">
        <v>77</v>
      </c>
      <c r="D31" t="s">
        <v>57</v>
      </c>
      <c r="E31">
        <v>-0.16458061134300001</v>
      </c>
      <c r="F31" s="33"/>
    </row>
    <row r="32" spans="2:6" x14ac:dyDescent="0.25">
      <c r="B32">
        <v>22</v>
      </c>
      <c r="C32" t="s">
        <v>78</v>
      </c>
      <c r="D32" t="s">
        <v>57</v>
      </c>
      <c r="E32" s="33">
        <v>0.154182014038</v>
      </c>
      <c r="F32" s="33"/>
    </row>
    <row r="33" spans="2:6" x14ac:dyDescent="0.25">
      <c r="B33">
        <v>23</v>
      </c>
      <c r="C33" t="s">
        <v>79</v>
      </c>
      <c r="D33" t="s">
        <v>57</v>
      </c>
      <c r="E33" s="33">
        <v>4.79448884421E-2</v>
      </c>
      <c r="F33" s="33"/>
    </row>
    <row r="34" spans="2:6" x14ac:dyDescent="0.25">
      <c r="B34">
        <v>24</v>
      </c>
      <c r="C34" t="s">
        <v>80</v>
      </c>
      <c r="D34" t="s">
        <v>57</v>
      </c>
      <c r="E34" s="33">
        <v>6.4843520043099998E-2</v>
      </c>
      <c r="F34" s="33"/>
    </row>
    <row r="35" spans="2:6" x14ac:dyDescent="0.25">
      <c r="B35">
        <v>25</v>
      </c>
      <c r="C35" t="s">
        <v>81</v>
      </c>
      <c r="D35" t="s">
        <v>57</v>
      </c>
      <c r="E35">
        <v>0.15272053169499999</v>
      </c>
      <c r="F35" s="33"/>
    </row>
    <row r="36" spans="2:6" x14ac:dyDescent="0.25">
      <c r="B36">
        <v>26</v>
      </c>
      <c r="C36" t="s">
        <v>82</v>
      </c>
      <c r="D36" t="s">
        <v>57</v>
      </c>
      <c r="E36" s="33">
        <v>7.2028590735099998E-2</v>
      </c>
      <c r="F36" s="33"/>
    </row>
    <row r="37" spans="2:6" x14ac:dyDescent="0.25">
      <c r="B37">
        <v>27</v>
      </c>
      <c r="C37" t="s">
        <v>83</v>
      </c>
      <c r="D37" t="s">
        <v>57</v>
      </c>
      <c r="E37" s="33">
        <v>-0.27934224041799999</v>
      </c>
      <c r="F37" s="33"/>
    </row>
    <row r="38" spans="2:6" x14ac:dyDescent="0.25">
      <c r="B38">
        <v>28</v>
      </c>
      <c r="C38" t="s">
        <v>84</v>
      </c>
      <c r="D38" t="s">
        <v>57</v>
      </c>
      <c r="E38" s="33">
        <v>4.3626229225700003E-2</v>
      </c>
      <c r="F38" s="33"/>
    </row>
    <row r="39" spans="2:6" x14ac:dyDescent="0.25">
      <c r="B39">
        <v>29</v>
      </c>
      <c r="C39" t="s">
        <v>85</v>
      </c>
      <c r="D39" t="s">
        <v>57</v>
      </c>
      <c r="E39" s="33">
        <v>-8.7886819411100006E-2</v>
      </c>
      <c r="F39" s="33"/>
    </row>
    <row r="40" spans="2:6" x14ac:dyDescent="0.25">
      <c r="B40">
        <v>30</v>
      </c>
      <c r="C40" t="s">
        <v>86</v>
      </c>
      <c r="D40" t="s">
        <v>57</v>
      </c>
      <c r="E40" s="33">
        <v>-4.2894941477000001E-2</v>
      </c>
      <c r="F40" s="33"/>
    </row>
    <row r="41" spans="2:6" x14ac:dyDescent="0.25">
      <c r="B41">
        <v>31</v>
      </c>
      <c r="C41" t="s">
        <v>87</v>
      </c>
      <c r="D41" t="s">
        <v>57</v>
      </c>
      <c r="E41">
        <v>-0.13045579928000001</v>
      </c>
      <c r="F41" s="33"/>
    </row>
    <row r="42" spans="2:6" x14ac:dyDescent="0.25">
      <c r="B42">
        <v>32</v>
      </c>
      <c r="C42" t="s">
        <v>88</v>
      </c>
      <c r="D42" t="s">
        <v>57</v>
      </c>
      <c r="E42">
        <v>0.18945088644899999</v>
      </c>
      <c r="F42" s="33"/>
    </row>
    <row r="43" spans="2:6" x14ac:dyDescent="0.25">
      <c r="B43">
        <v>33</v>
      </c>
      <c r="C43" t="s">
        <v>89</v>
      </c>
      <c r="D43" t="s">
        <v>57</v>
      </c>
      <c r="E43">
        <v>-0.179523169776</v>
      </c>
      <c r="F43" s="33"/>
    </row>
    <row r="44" spans="2:6" x14ac:dyDescent="0.25">
      <c r="B44">
        <v>34</v>
      </c>
      <c r="C44" t="s">
        <v>90</v>
      </c>
      <c r="D44" t="s">
        <v>57</v>
      </c>
      <c r="E44" s="33">
        <v>0.17233347539499999</v>
      </c>
      <c r="F44" s="33"/>
    </row>
    <row r="45" spans="2:6" x14ac:dyDescent="0.25">
      <c r="B45">
        <v>35</v>
      </c>
      <c r="C45" t="s">
        <v>91</v>
      </c>
      <c r="D45" t="s">
        <v>57</v>
      </c>
      <c r="E45">
        <v>-0.194698386872</v>
      </c>
    </row>
    <row r="46" spans="2:6" x14ac:dyDescent="0.25">
      <c r="B46">
        <v>36</v>
      </c>
      <c r="C46" t="s">
        <v>92</v>
      </c>
      <c r="D46" t="s">
        <v>57</v>
      </c>
      <c r="E46">
        <v>0.38785322122799998</v>
      </c>
    </row>
    <row r="47" spans="2:6" x14ac:dyDescent="0.25">
      <c r="B47">
        <v>41</v>
      </c>
      <c r="C47" t="s">
        <v>93</v>
      </c>
      <c r="D47" t="s">
        <v>94</v>
      </c>
      <c r="E47">
        <v>-1.2033803293631999</v>
      </c>
    </row>
    <row r="48" spans="2:6" x14ac:dyDescent="0.25">
      <c r="B48">
        <v>42</v>
      </c>
      <c r="C48" t="s">
        <v>95</v>
      </c>
      <c r="D48" t="s">
        <v>94</v>
      </c>
      <c r="E48">
        <v>5.07828619993</v>
      </c>
    </row>
    <row r="49" spans="2:5" x14ac:dyDescent="0.25">
      <c r="B49">
        <v>43</v>
      </c>
      <c r="C49" t="s">
        <v>96</v>
      </c>
      <c r="D49" t="s">
        <v>94</v>
      </c>
      <c r="E49">
        <v>-3.0390882271000002</v>
      </c>
    </row>
    <row r="50" spans="2:5" x14ac:dyDescent="0.25">
      <c r="B50">
        <v>44</v>
      </c>
      <c r="C50" t="s">
        <v>97</v>
      </c>
      <c r="D50" t="s">
        <v>94</v>
      </c>
      <c r="E50">
        <v>-2.3320026601800001</v>
      </c>
    </row>
    <row r="51" spans="2:5" x14ac:dyDescent="0.25">
      <c r="B51">
        <v>50</v>
      </c>
      <c r="C51" t="s">
        <v>98</v>
      </c>
      <c r="D51" t="s">
        <v>57</v>
      </c>
      <c r="E51">
        <v>0.33566647407</v>
      </c>
    </row>
    <row r="52" spans="2:5" x14ac:dyDescent="0.2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2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25">
      <c r="B54">
        <v>53</v>
      </c>
      <c r="C54" t="s">
        <v>101</v>
      </c>
      <c r="D54" t="s">
        <v>57</v>
      </c>
      <c r="E54">
        <v>-1.85416848242</v>
      </c>
    </row>
    <row r="55" spans="2:5" x14ac:dyDescent="0.25">
      <c r="B55">
        <v>54</v>
      </c>
      <c r="C55" t="s">
        <v>102</v>
      </c>
      <c r="D55" t="s">
        <v>57</v>
      </c>
      <c r="E55">
        <v>0</v>
      </c>
    </row>
    <row r="56" spans="2:5" x14ac:dyDescent="0.2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2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25">
      <c r="B58">
        <v>57</v>
      </c>
      <c r="C58" t="s">
        <v>105</v>
      </c>
      <c r="D58" t="s">
        <v>57</v>
      </c>
      <c r="E58">
        <v>-1.04729487823</v>
      </c>
    </row>
    <row r="59" spans="2:5" x14ac:dyDescent="0.25">
      <c r="B59">
        <v>58</v>
      </c>
      <c r="C59" t="s">
        <v>106</v>
      </c>
      <c r="D59" t="s">
        <v>57</v>
      </c>
      <c r="E59">
        <v>-2.0228517391</v>
      </c>
    </row>
    <row r="60" spans="2:5" x14ac:dyDescent="0.2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2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25">
      <c r="B62">
        <v>61</v>
      </c>
      <c r="C62" t="s">
        <v>109</v>
      </c>
      <c r="D62" t="s">
        <v>57</v>
      </c>
      <c r="E62" s="33">
        <v>-0.55504741134900004</v>
      </c>
    </row>
    <row r="63" spans="2:5" x14ac:dyDescent="0.2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25">
      <c r="B64">
        <v>63</v>
      </c>
      <c r="C64" t="s">
        <v>111</v>
      </c>
      <c r="D64" t="s">
        <v>57</v>
      </c>
      <c r="E64">
        <v>1.1995398853399999</v>
      </c>
    </row>
    <row r="65" spans="2:5" x14ac:dyDescent="0.25">
      <c r="B65">
        <v>64</v>
      </c>
      <c r="C65" t="s">
        <v>112</v>
      </c>
      <c r="D65" t="s">
        <v>57</v>
      </c>
      <c r="E65" s="33">
        <v>0.19542046398099999</v>
      </c>
    </row>
    <row r="66" spans="2:5" x14ac:dyDescent="0.2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25">
      <c r="B67">
        <v>66</v>
      </c>
      <c r="C67" t="s">
        <v>114</v>
      </c>
      <c r="D67" t="s">
        <v>57</v>
      </c>
      <c r="E67">
        <v>-2.05104130438</v>
      </c>
    </row>
    <row r="68" spans="2:5" x14ac:dyDescent="0.2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2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2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25">
      <c r="B71">
        <v>70</v>
      </c>
      <c r="C71" t="s">
        <v>118</v>
      </c>
      <c r="D71" t="s">
        <v>57</v>
      </c>
      <c r="E71">
        <v>1.8412445021999999</v>
      </c>
    </row>
    <row r="72" spans="2:5" x14ac:dyDescent="0.2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25">
      <c r="B73">
        <v>72</v>
      </c>
      <c r="C73" t="s">
        <v>120</v>
      </c>
      <c r="D73" t="s">
        <v>57</v>
      </c>
      <c r="E73">
        <v>-0.101060642888</v>
      </c>
    </row>
    <row r="74" spans="2:5" x14ac:dyDescent="0.2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25">
      <c r="B75">
        <v>74</v>
      </c>
      <c r="C75" t="s">
        <v>122</v>
      </c>
      <c r="D75" t="s">
        <v>57</v>
      </c>
      <c r="E75">
        <v>1.0486549950899999</v>
      </c>
    </row>
    <row r="76" spans="2:5" x14ac:dyDescent="0.25">
      <c r="B76">
        <v>75</v>
      </c>
      <c r="C76" t="s">
        <v>123</v>
      </c>
      <c r="D76" t="s">
        <v>57</v>
      </c>
      <c r="E76">
        <v>-30</v>
      </c>
    </row>
    <row r="77" spans="2:5" x14ac:dyDescent="0.25">
      <c r="B77">
        <v>76</v>
      </c>
      <c r="C77" t="s">
        <v>124</v>
      </c>
      <c r="D77" t="s">
        <v>57</v>
      </c>
      <c r="E77" s="33">
        <v>0.91468797064200003</v>
      </c>
    </row>
    <row r="78" spans="2:5" x14ac:dyDescent="0.25">
      <c r="B78">
        <v>77</v>
      </c>
      <c r="C78" t="s">
        <v>125</v>
      </c>
      <c r="D78" t="s">
        <v>57</v>
      </c>
      <c r="E78">
        <v>-1.1830909132</v>
      </c>
    </row>
    <row r="79" spans="2:5" x14ac:dyDescent="0.25">
      <c r="B79">
        <v>78</v>
      </c>
      <c r="C79" t="s">
        <v>126</v>
      </c>
      <c r="D79" t="s">
        <v>57</v>
      </c>
      <c r="E79">
        <v>1.4576625009499999</v>
      </c>
    </row>
    <row r="80" spans="2:5" x14ac:dyDescent="0.25">
      <c r="B80">
        <v>79</v>
      </c>
      <c r="C80" t="s">
        <v>127</v>
      </c>
      <c r="D80" t="s">
        <v>57</v>
      </c>
      <c r="E80">
        <v>-1.62636517084</v>
      </c>
    </row>
    <row r="81" spans="2:6" x14ac:dyDescent="0.25">
      <c r="B81">
        <v>80</v>
      </c>
      <c r="C81" t="s">
        <v>128</v>
      </c>
      <c r="D81" t="s">
        <v>57</v>
      </c>
      <c r="E81">
        <v>0</v>
      </c>
    </row>
    <row r="82" spans="2:6" x14ac:dyDescent="0.25">
      <c r="B82">
        <v>101</v>
      </c>
      <c r="C82" t="s">
        <v>373</v>
      </c>
      <c r="D82" t="s">
        <v>57</v>
      </c>
      <c r="E82">
        <v>0</v>
      </c>
      <c r="F82" s="33"/>
    </row>
    <row r="83" spans="2:6" x14ac:dyDescent="0.25">
      <c r="B83">
        <v>102</v>
      </c>
      <c r="C83" t="s">
        <v>374</v>
      </c>
      <c r="D83" t="s">
        <v>57</v>
      </c>
      <c r="E83">
        <v>6.1585552388600001E-2</v>
      </c>
      <c r="F83" s="33"/>
    </row>
    <row r="84" spans="2:6" x14ac:dyDescent="0.25">
      <c r="B84">
        <v>103</v>
      </c>
      <c r="C84" s="33" t="s">
        <v>375</v>
      </c>
      <c r="D84" s="33" t="s">
        <v>57</v>
      </c>
      <c r="E84" s="33">
        <v>-0.17738509358310001</v>
      </c>
      <c r="F84" s="33"/>
    </row>
    <row r="85" spans="2:6" x14ac:dyDescent="0.25">
      <c r="B85">
        <v>104</v>
      </c>
      <c r="C85" s="33" t="s">
        <v>376</v>
      </c>
      <c r="D85" s="33" t="s">
        <v>57</v>
      </c>
      <c r="E85" s="33">
        <v>0.2419007637824</v>
      </c>
    </row>
    <row r="86" spans="2:6" x14ac:dyDescent="0.25">
      <c r="B86">
        <v>105</v>
      </c>
      <c r="C86" s="33" t="s">
        <v>377</v>
      </c>
      <c r="D86" s="33" t="s">
        <v>57</v>
      </c>
      <c r="E86" s="33">
        <v>-3.3705109193499998E-2</v>
      </c>
    </row>
    <row r="87" spans="2:6" x14ac:dyDescent="0.25">
      <c r="B87">
        <v>106</v>
      </c>
      <c r="C87" t="s">
        <v>378</v>
      </c>
      <c r="D87" t="s">
        <v>57</v>
      </c>
      <c r="E87">
        <v>0.1143372177009</v>
      </c>
      <c r="F87" s="33"/>
    </row>
    <row r="88" spans="2:6" x14ac:dyDescent="0.25">
      <c r="B88">
        <v>107</v>
      </c>
      <c r="C88" t="s">
        <v>379</v>
      </c>
      <c r="D88" t="s">
        <v>57</v>
      </c>
      <c r="E88">
        <v>0.29549776405130002</v>
      </c>
      <c r="F88" s="33"/>
    </row>
    <row r="89" spans="2:6" x14ac:dyDescent="0.25">
      <c r="B89">
        <v>108</v>
      </c>
      <c r="C89" s="33" t="s">
        <v>380</v>
      </c>
      <c r="D89" s="33" t="s">
        <v>57</v>
      </c>
      <c r="E89" s="33">
        <v>-0.24958234591280001</v>
      </c>
    </row>
    <row r="90" spans="2:6" x14ac:dyDescent="0.25">
      <c r="B90">
        <v>109</v>
      </c>
      <c r="C90" s="33" t="s">
        <v>381</v>
      </c>
      <c r="D90" s="39" t="s">
        <v>57</v>
      </c>
      <c r="E90" s="33">
        <v>0.1613318461263</v>
      </c>
    </row>
    <row r="91" spans="2:6" x14ac:dyDescent="0.25">
      <c r="B91">
        <v>110</v>
      </c>
      <c r="C91" t="s">
        <v>382</v>
      </c>
      <c r="D91" t="s">
        <v>57</v>
      </c>
      <c r="E91">
        <v>-4.5588844644699998E-2</v>
      </c>
    </row>
    <row r="92" spans="2:6" x14ac:dyDescent="0.25">
      <c r="B92">
        <v>111</v>
      </c>
      <c r="C92" t="s">
        <v>383</v>
      </c>
      <c r="D92" t="s">
        <v>57</v>
      </c>
      <c r="E92">
        <v>-0.14910096747439999</v>
      </c>
    </row>
    <row r="93" spans="2:6" x14ac:dyDescent="0.25">
      <c r="B93">
        <v>112</v>
      </c>
      <c r="C93" t="s">
        <v>384</v>
      </c>
      <c r="D93" t="s">
        <v>57</v>
      </c>
      <c r="E93">
        <v>0.17468608903999999</v>
      </c>
    </row>
    <row r="94" spans="2:6" x14ac:dyDescent="0.25">
      <c r="B94">
        <v>113</v>
      </c>
      <c r="C94" t="s">
        <v>385</v>
      </c>
      <c r="D94" t="s">
        <v>57</v>
      </c>
      <c r="E94">
        <v>1.3048994599762</v>
      </c>
    </row>
    <row r="95" spans="2:6" x14ac:dyDescent="0.25">
      <c r="B95">
        <v>114</v>
      </c>
      <c r="C95" t="s">
        <v>386</v>
      </c>
      <c r="D95" t="s">
        <v>57</v>
      </c>
      <c r="E95">
        <v>4.9409553856600001E-2</v>
      </c>
    </row>
    <row r="96" spans="2:6" x14ac:dyDescent="0.25">
      <c r="B96">
        <v>115</v>
      </c>
      <c r="C96" t="s">
        <v>387</v>
      </c>
      <c r="D96" t="s">
        <v>57</v>
      </c>
      <c r="E96">
        <v>0.21697886195819999</v>
      </c>
    </row>
    <row r="97" spans="2:11" x14ac:dyDescent="0.25">
      <c r="B97">
        <v>116</v>
      </c>
      <c r="C97" t="s">
        <v>388</v>
      </c>
      <c r="D97" t="s">
        <v>57</v>
      </c>
      <c r="E97">
        <v>-0.46096256471820002</v>
      </c>
    </row>
    <row r="98" spans="2:11" x14ac:dyDescent="0.25">
      <c r="B98">
        <v>117</v>
      </c>
      <c r="C98" t="s">
        <v>389</v>
      </c>
      <c r="D98" t="s">
        <v>57</v>
      </c>
      <c r="E98">
        <v>-6.5598826231399995E-2</v>
      </c>
    </row>
    <row r="99" spans="2:11" x14ac:dyDescent="0.25">
      <c r="B99">
        <v>118</v>
      </c>
      <c r="C99" t="s">
        <v>390</v>
      </c>
      <c r="D99" t="s">
        <v>57</v>
      </c>
      <c r="E99">
        <v>0.30646725571720002</v>
      </c>
    </row>
    <row r="100" spans="2:11" x14ac:dyDescent="0.25">
      <c r="B100">
        <v>119</v>
      </c>
      <c r="C100" t="s">
        <v>391</v>
      </c>
      <c r="D100" t="s">
        <v>57</v>
      </c>
      <c r="E100">
        <v>0.1628137198364</v>
      </c>
    </row>
    <row r="101" spans="2:11" x14ac:dyDescent="0.25">
      <c r="B101">
        <v>120</v>
      </c>
      <c r="C101" t="s">
        <v>392</v>
      </c>
      <c r="D101" t="s">
        <v>57</v>
      </c>
      <c r="E101">
        <v>-0.40270863939919999</v>
      </c>
    </row>
    <row r="102" spans="2:11" x14ac:dyDescent="0.25">
      <c r="B102">
        <v>121</v>
      </c>
      <c r="C102" t="s">
        <v>414</v>
      </c>
      <c r="D102" t="s">
        <v>57</v>
      </c>
      <c r="E102">
        <v>-0.47819038789149998</v>
      </c>
    </row>
    <row r="103" spans="2:11" x14ac:dyDescent="0.25">
      <c r="B103">
        <v>122</v>
      </c>
      <c r="C103" t="s">
        <v>415</v>
      </c>
      <c r="D103" t="s">
        <v>57</v>
      </c>
      <c r="E103">
        <v>-1.0119832457914</v>
      </c>
    </row>
    <row r="104" spans="2:11" x14ac:dyDescent="0.25">
      <c r="B104">
        <v>98</v>
      </c>
      <c r="C104" s="33" t="s">
        <v>130</v>
      </c>
      <c r="D104" s="33" t="s">
        <v>94</v>
      </c>
      <c r="E104" s="33">
        <v>0.196143079927</v>
      </c>
    </row>
    <row r="105" spans="2:11" x14ac:dyDescent="0.25">
      <c r="B105">
        <v>-1</v>
      </c>
    </row>
    <row r="106" spans="2:11" x14ac:dyDescent="0.25">
      <c r="B106">
        <v>4094</v>
      </c>
      <c r="C106" s="33">
        <v>-7858.2822859199996</v>
      </c>
      <c r="D106" s="33">
        <v>-18684.837435699999</v>
      </c>
      <c r="E106" s="33">
        <v>-15176.5511826</v>
      </c>
    </row>
    <row r="107" spans="2:11" x14ac:dyDescent="0.25">
      <c r="B107">
        <v>4</v>
      </c>
      <c r="C107" t="s">
        <v>308</v>
      </c>
      <c r="D107" t="s">
        <v>232</v>
      </c>
      <c r="E107">
        <v>5</v>
      </c>
      <c r="F107" t="s">
        <v>307</v>
      </c>
      <c r="G107">
        <v>12</v>
      </c>
    </row>
    <row r="108" spans="2:11" x14ac:dyDescent="0.2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2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2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2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2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2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2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2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2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2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2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2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2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2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2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2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2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2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2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2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2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2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2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2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2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2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2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2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2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2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2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2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2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2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2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2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2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2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2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2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2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2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2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2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2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2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2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2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2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2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2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2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2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2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2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2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2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2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2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2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2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2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2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2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2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2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2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2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2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2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2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2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2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2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2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2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2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2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2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2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2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2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2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2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2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2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2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2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2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2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2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2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2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2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2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2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2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2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2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2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2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2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2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2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2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2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2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2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2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2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2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2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2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2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2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2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2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2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2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2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2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2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2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2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2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2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2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2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2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2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2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2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2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2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2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2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2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DC403"/>
  <sheetViews>
    <sheetView tabSelected="1" workbookViewId="0">
      <selection activeCell="E9" sqref="E9"/>
    </sheetView>
  </sheetViews>
  <sheetFormatPr defaultRowHeight="15" x14ac:dyDescent="0.25"/>
  <cols>
    <col min="3" max="3" bestFit="true" customWidth="true" width="19.28515625" collapsed="true"/>
    <col min="5" max="5" bestFit="true" customWidth="true" width="10.5703125" collapsed="true"/>
    <col min="6" max="6" bestFit="true" customWidth="true" width="9.0" collapsed="true"/>
    <col min="14" max="14" bestFit="true" customWidth="true" width="10.42578125" collapsed="true"/>
    <col min="16" max="16" bestFit="true" customWidth="true" width="10.28515625" collapsed="true"/>
    <col min="17" max="17" customWidth="true" width="18.28515625" collapsed="true"/>
    <col min="18" max="18" bestFit="true" customWidth="true" width="7.0" collapsed="true"/>
    <col min="19" max="19" bestFit="true" customWidth="true" width="10.140625" collapsed="true"/>
    <col min="21" max="21" bestFit="true" customWidth="true" width="12.28515625" collapsed="true"/>
    <col min="22" max="23" bestFit="true" customWidth="true" width="11.5703125" collapsed="true"/>
    <col min="24" max="24" bestFit="true" customWidth="true" width="9.85546875" collapsed="true"/>
    <col min="25" max="25" customWidth="true" width="10.0" collapsed="true"/>
    <col min="26" max="26" customWidth="true" width="12.42578125" collapsed="true"/>
    <col min="27" max="27" bestFit="true" customWidth="true" width="15.7109375" collapsed="true"/>
    <col min="28" max="28" bestFit="true" customWidth="true" width="15.28515625" collapsed="true"/>
    <col min="29" max="29" bestFit="true" customWidth="true" width="20.7109375" collapsed="true"/>
    <col min="30" max="30" bestFit="true" customWidth="true" width="12.85546875" collapsed="true"/>
    <col min="31" max="31" bestFit="true" customWidth="true" width="10.7109375" collapsed="true"/>
    <col min="33" max="33" bestFit="true" customWidth="true" width="10.5703125" collapsed="true"/>
    <col min="34" max="34" bestFit="true" customWidth="true" width="11.28515625" collapsed="true"/>
    <col min="52" max="56" bestFit="true" customWidth="true" width="10.5703125" collapsed="true"/>
    <col min="57" max="57" bestFit="true" customWidth="true" width="11.5703125" collapsed="true"/>
    <col min="58" max="58" bestFit="true" customWidth="true" width="10.5703125" collapsed="true"/>
    <col min="59" max="59" bestFit="true" customWidth="true" width="9.5703125" collapsed="true"/>
    <col min="60" max="62" bestFit="true" customWidth="true" width="10.5703125" collapsed="true"/>
    <col min="63" max="63" bestFit="true" customWidth="true" width="11.5703125" collapsed="true"/>
    <col min="64" max="66" bestFit="true" customWidth="true" width="10.5703125" collapsed="true"/>
    <col min="67" max="67" bestFit="true" customWidth="true" width="9.5703125" collapsed="true"/>
    <col min="68" max="71" bestFit="true" customWidth="true" width="10.5703125" collapsed="true"/>
    <col min="72" max="72" bestFit="true" customWidth="true" width="9.28515625" collapsed="true"/>
    <col min="73" max="73" bestFit="true" customWidth="true" width="11.5703125" collapsed="true"/>
    <col min="102" max="102" bestFit="true" customWidth="true" width="9.5703125" collapsed="true"/>
  </cols>
  <sheetData>
    <row ht="15.75" r="1" spans="2:106" thickBot="1" x14ac:dyDescent="0.3">
      <c r="L1" s="7"/>
      <c r="M1" s="7"/>
      <c r="N1" s="7"/>
      <c r="O1" s="7"/>
      <c r="CS1" t="s">
        <v>407</v>
      </c>
      <c r="CU1" t="s">
        <v>408</v>
      </c>
      <c r="CV1" t="s">
        <v>406</v>
      </c>
      <c r="CW1" t="s">
        <v>227</v>
      </c>
      <c r="CX1" t="s">
        <v>365</v>
      </c>
      <c r="CY1" t="s">
        <v>345</v>
      </c>
      <c r="CZ1" t="s">
        <v>409</v>
      </c>
      <c r="DA1" t="s">
        <v>410</v>
      </c>
      <c r="DB1" t="s">
        <v>411</v>
      </c>
    </row>
    <row r="2" spans="2:106" x14ac:dyDescent="0.25">
      <c r="B2" s="234" t="s">
        <v>350</v>
      </c>
      <c r="C2" s="238"/>
      <c r="D2" s="239" t="s">
        <v>348</v>
      </c>
      <c r="E2" s="235"/>
      <c r="F2" s="235"/>
      <c r="G2" s="238"/>
      <c r="H2" s="239" t="s">
        <v>349</v>
      </c>
      <c r="I2" s="235"/>
      <c r="J2" s="235"/>
      <c r="K2" s="238"/>
      <c r="L2" s="239" t="s">
        <v>357</v>
      </c>
      <c r="M2" s="235"/>
      <c r="N2" s="235"/>
      <c r="O2" s="238"/>
      <c r="P2" s="239" t="s">
        <v>401</v>
      </c>
      <c r="Q2" s="238"/>
      <c r="R2" s="168"/>
      <c r="S2" s="154"/>
      <c r="T2" s="154"/>
      <c r="U2" s="237"/>
      <c r="V2" s="237"/>
      <c r="W2" s="237"/>
      <c r="X2" s="237"/>
      <c r="Y2" s="237"/>
      <c r="Z2" s="237"/>
      <c r="AA2" s="237"/>
      <c r="AB2" s="237"/>
      <c r="AC2" s="237"/>
      <c r="AD2" s="234" t="s">
        <v>363</v>
      </c>
      <c r="AE2" s="235"/>
      <c r="AF2" s="235"/>
      <c r="AG2" s="235"/>
      <c r="AH2" s="235"/>
      <c r="AI2" s="236"/>
      <c r="CS2">
        <v>20</v>
      </c>
      <c r="CU2">
        <v>1</v>
      </c>
      <c r="CV2">
        <v>1</v>
      </c>
      <c r="CW2">
        <f>MOD(ROW()-2,$CS$2)+1</f>
        <v>1</v>
      </c>
      <c r="CX2" s="58">
        <f>VLOOKUP($CV2,$B$30:$V$49,MATCH($CW2,$B$29:$V$29,0),0)</f>
        <v>3176.1152489219917</v>
      </c>
      <c r="CY2" s="58">
        <f>VLOOKUP($CV2,$AY$30:$BS$49,MATCH($CW2,$AY$29:$BS$29,0),0)</f>
        <v>2168.9999999999995</v>
      </c>
      <c r="CZ2" s="108">
        <f>CY2-CX2</f>
        <v>-1007.1152489219921</v>
      </c>
      <c r="DA2" s="78">
        <f>CZ2/CX2</f>
        <v>-0.31709027223234992</v>
      </c>
      <c r="DB2">
        <v>1000</v>
      </c>
    </row>
    <row r="3" spans="2:106" x14ac:dyDescent="0.25">
      <c r="B3" s="179" t="s">
        <v>351</v>
      </c>
      <c r="C3" s="180" t="s">
        <v>360</v>
      </c>
      <c r="D3" s="181" t="s">
        <v>343</v>
      </c>
      <c r="E3" s="182" t="s">
        <v>356</v>
      </c>
      <c r="F3" s="182" t="s">
        <v>429</v>
      </c>
      <c r="G3" s="182" t="s">
        <v>345</v>
      </c>
      <c r="H3" s="181" t="s">
        <v>343</v>
      </c>
      <c r="I3" s="182" t="s">
        <v>356</v>
      </c>
      <c r="J3" s="182" t="s">
        <v>429</v>
      </c>
      <c r="K3" s="182" t="s">
        <v>345</v>
      </c>
      <c r="L3" s="183" t="s">
        <v>343</v>
      </c>
      <c r="M3" s="184" t="s">
        <v>356</v>
      </c>
      <c r="N3" s="184" t="s">
        <v>429</v>
      </c>
      <c r="O3" s="185" t="s">
        <v>345</v>
      </c>
      <c r="P3" s="186" t="s">
        <v>358</v>
      </c>
      <c r="Q3" s="187" t="s">
        <v>430</v>
      </c>
      <c r="R3" s="188" t="s">
        <v>361</v>
      </c>
      <c r="T3" s="138"/>
      <c r="U3" s="199"/>
      <c r="V3" s="199"/>
      <c r="W3" s="199"/>
      <c r="X3" s="199"/>
      <c r="Y3" s="200"/>
      <c r="Z3" s="199"/>
      <c r="AA3" s="199"/>
      <c r="AB3" s="199"/>
      <c r="AC3" s="199"/>
      <c r="AD3" s="193" t="s">
        <v>397</v>
      </c>
      <c r="AE3" s="184" t="s">
        <v>362</v>
      </c>
      <c r="AF3" s="189" t="s">
        <v>364</v>
      </c>
      <c r="AG3" s="189" t="s">
        <v>398</v>
      </c>
      <c r="AH3" s="189" t="s">
        <v>399</v>
      </c>
      <c r="AI3" s="190" t="s">
        <v>268</v>
      </c>
      <c r="AK3" s="90" t="s">
        <v>400</v>
      </c>
      <c r="CU3" s="95">
        <v>2</v>
      </c>
      <c r="CV3" s="95">
        <f>IF(CW2&lt;$CS$2,CV2,CV2+1)</f>
        <v>1</v>
      </c>
      <c r="CW3" s="95">
        <f ref="CW3:CW66" si="0" t="shared">MOD(ROW()-2,$CS$2)+1</f>
        <v>2</v>
      </c>
      <c r="CX3" s="58">
        <f ref="CX3:CX66" si="1" t="shared">VLOOKUP($CV3,$B$30:$V$49,MATCH($CW3,$B$29:$V$29,0),0)</f>
        <v>452.88318306546455</v>
      </c>
      <c r="CY3" s="58">
        <f ref="CY3:CY66" si="2" t="shared">VLOOKUP($CV3,$AY$30:$BS$49,MATCH($CW3,$AY$29:$BS$29,0),0)</f>
        <v>615.99999999999989</v>
      </c>
      <c r="CZ3" s="108">
        <f ref="CZ3:CZ66" si="3" t="shared">CY3-CX3</f>
        <v>163.11681693453534</v>
      </c>
      <c r="DA3" s="78">
        <f ref="DA3:DA66" si="4" t="shared">CZ3/CX3</f>
        <v>0.36017415314570578</v>
      </c>
      <c r="DB3" s="95">
        <v>2000</v>
      </c>
    </row>
    <row r="4" spans="2:106" x14ac:dyDescent="0.25">
      <c r="B4" s="169">
        <v>1</v>
      </c>
      <c r="C4" s="170" t="s">
        <v>323</v>
      </c>
      <c r="D4" s="132">
        <f>County_Flow!BX22</f>
        <v>79760.849468333327</v>
      </c>
      <c r="E4" s="133">
        <f>County_Flow!BY22</f>
        <v>11305</v>
      </c>
      <c r="F4" s="133">
        <f>County_Flow!BZ22</f>
        <v>70858</v>
      </c>
      <c r="G4" s="134">
        <f>County_Flow!CA22</f>
        <v>61289</v>
      </c>
      <c r="H4" s="132">
        <f>County_Flow!CB22</f>
        <v>87799.016213180046</v>
      </c>
      <c r="I4" s="133">
        <f>County_Flow!CC22</f>
        <v>46266.217668777659</v>
      </c>
      <c r="J4" s="133">
        <f>County_Flow!CD22</f>
        <v>61193.501005457743</v>
      </c>
      <c r="K4" s="134">
        <f>County_Flow!CE22</f>
        <v>61289</v>
      </c>
      <c r="L4" s="100">
        <f>County_Flow!CF22</f>
        <v>0.10491431847131676</v>
      </c>
      <c r="M4" s="100">
        <f>County_Flow!CG22</f>
        <v>5.5285228745384739E-2</v>
      </c>
      <c r="N4" s="104">
        <f>County_Flow!CH22</f>
        <v>7.3122396238167436E-2</v>
      </c>
      <c r="O4" s="150">
        <f>County_Flow!CI22</f>
        <v>7.3236511547873973E-2</v>
      </c>
      <c r="P4" s="125">
        <f>County_Flow!CJ22</f>
        <v>1.7951282802489234E-2</v>
      </c>
      <c r="Q4" s="121">
        <f>County_Flow!CK22</f>
        <v>0.32470305739646255</v>
      </c>
      <c r="R4" s="171">
        <f>M4/O4</f>
        <v>0.75488615687607319</v>
      </c>
      <c r="S4" s="140"/>
      <c r="T4" s="201"/>
      <c r="U4" s="202"/>
      <c r="V4" s="203"/>
      <c r="W4" s="203"/>
      <c r="X4" s="204"/>
      <c r="Y4" s="30"/>
      <c r="Z4" s="30"/>
      <c r="AA4" s="100"/>
      <c r="AB4" s="165"/>
      <c r="AC4" s="165"/>
      <c r="AD4" s="194">
        <v>101</v>
      </c>
      <c r="AE4" s="192">
        <f>LN(R4)</f>
        <v>-0.28118832669700805</v>
      </c>
      <c r="AF4" s="164">
        <f ref="AF4:AF23" si="5" t="shared">AE4-AE$4</f>
        <v>0</v>
      </c>
      <c r="AG4" s="7">
        <f>VLOOKUP(AD4,calibration_dist!$T:$W,3,FALSE)</f>
        <v>0</v>
      </c>
      <c r="AH4" s="167">
        <f>AG4+AF4*AI4</f>
        <v>0</v>
      </c>
      <c r="AI4" s="174">
        <v>1</v>
      </c>
      <c r="CU4" s="95">
        <v>3</v>
      </c>
      <c r="CV4" s="95">
        <f ref="CV4:CV67" si="6" t="shared">IF(CW3&lt;$CS$2,CV3,CV3+1)</f>
        <v>1</v>
      </c>
      <c r="CW4" s="95">
        <f si="0" t="shared"/>
        <v>3</v>
      </c>
      <c r="CX4" s="58">
        <f si="1" t="shared"/>
        <v>286.76009408075265</v>
      </c>
      <c r="CY4" s="58">
        <f si="2" t="shared"/>
        <v>352.99999999999994</v>
      </c>
      <c r="CZ4" s="108">
        <f si="3" t="shared"/>
        <v>66.239905919247292</v>
      </c>
      <c r="DA4" s="78">
        <f si="4" t="shared"/>
        <v>0.23099415604388071</v>
      </c>
      <c r="DB4" s="95">
        <v>3000</v>
      </c>
    </row>
    <row r="5" spans="2:106" x14ac:dyDescent="0.25">
      <c r="B5" s="144">
        <v>2</v>
      </c>
      <c r="C5" s="170" t="s">
        <v>324</v>
      </c>
      <c r="D5" s="115">
        <f>County_Flow!BX23</f>
        <v>31813.912026640864</v>
      </c>
      <c r="E5" s="116">
        <f>County_Flow!BY23</f>
        <v>9245</v>
      </c>
      <c r="F5" s="116">
        <f>County_Flow!BZ23</f>
        <v>75074</v>
      </c>
      <c r="G5" s="123">
        <f>County_Flow!CA23</f>
        <v>34861</v>
      </c>
      <c r="H5" s="115">
        <f>County_Flow!CB23</f>
        <v>35020.065564129858</v>
      </c>
      <c r="I5" s="116">
        <f>County_Flow!CC23</f>
        <v>37835.575616793409</v>
      </c>
      <c r="J5" s="116">
        <f>County_Flow!CD23</f>
        <v>64373.538581836794</v>
      </c>
      <c r="K5" s="123">
        <f>County_Flow!CE23</f>
        <v>34861</v>
      </c>
      <c r="L5" s="100">
        <f>County_Flow!CF23</f>
        <v>4.1846782230003737E-2</v>
      </c>
      <c r="M5" s="100">
        <f>County_Flow!CG23</f>
        <v>4.5211140181431395E-2</v>
      </c>
      <c r="N5" s="104">
        <f>County_Flow!CH23</f>
        <v>7.6922341720801465E-2</v>
      </c>
      <c r="O5" s="150">
        <f>County_Flow!CI23</f>
        <v>4.1656708855919239E-2</v>
      </c>
      <c r="P5" s="125">
        <f>County_Flow!CJ23</f>
        <v>-3.5544313255121557E-3</v>
      </c>
      <c r="Q5" s="121">
        <f>County_Flow!CK23</f>
        <v>-7.8618484542710018E-2</v>
      </c>
      <c r="R5" s="171">
        <f ref="R5:R23" si="7" t="shared">M5/O5</f>
        <v>1.0853267438338947</v>
      </c>
      <c r="S5" s="140"/>
      <c r="T5" s="201"/>
      <c r="U5" s="202"/>
      <c r="V5" s="203"/>
      <c r="W5" s="203"/>
      <c r="X5" s="204"/>
      <c r="Y5" s="30"/>
      <c r="Z5" s="30"/>
      <c r="AA5" s="100"/>
      <c r="AB5" s="165"/>
      <c r="AC5" s="165"/>
      <c r="AD5" s="194">
        <v>102</v>
      </c>
      <c r="AE5" s="163">
        <f ref="AE5:AE23" si="8" t="shared">LN(R5)</f>
        <v>8.1881088047636455E-2</v>
      </c>
      <c r="AF5" s="164">
        <f si="5" t="shared"/>
        <v>0.36306941474464449</v>
      </c>
      <c r="AG5" s="7">
        <f>VLOOKUP(AD5,calibration_dist!$T:$W,3,FALSE)</f>
        <v>6.1585552388600001E-2</v>
      </c>
      <c r="AH5" s="167">
        <f ref="AH5:AH23" si="9" t="shared">AG5+AF5*AI5</f>
        <v>0.42465496713324447</v>
      </c>
      <c r="AI5" s="174">
        <v>1</v>
      </c>
      <c r="AK5" s="108">
        <f>MIN($U$26)</f>
        <v>0</v>
      </c>
      <c r="CU5" s="95">
        <v>4</v>
      </c>
      <c r="CV5" s="95">
        <f si="6" t="shared"/>
        <v>1</v>
      </c>
      <c r="CW5" s="95">
        <f si="0" t="shared"/>
        <v>4</v>
      </c>
      <c r="CX5" s="58">
        <f si="1" t="shared"/>
        <v>211.60917287338299</v>
      </c>
      <c r="CY5" s="58">
        <f si="2" t="shared"/>
        <v>104.99999999999997</v>
      </c>
      <c r="CZ5" s="108">
        <f si="3" t="shared"/>
        <v>-106.60917287338302</v>
      </c>
      <c r="DA5" s="78">
        <f si="4" t="shared"/>
        <v>-0.50380222854125967</v>
      </c>
      <c r="DB5" s="95">
        <v>4000</v>
      </c>
    </row>
    <row r="6" spans="2:106" x14ac:dyDescent="0.25">
      <c r="B6" s="144">
        <v>3</v>
      </c>
      <c r="C6" s="170" t="s">
        <v>325</v>
      </c>
      <c r="D6" s="115">
        <f>County_Flow!BX24</f>
        <v>19232.15320397434</v>
      </c>
      <c r="E6" s="116">
        <f>County_Flow!BY24</f>
        <v>6541</v>
      </c>
      <c r="F6" s="116">
        <f>County_Flow!BZ24</f>
        <v>24294</v>
      </c>
      <c r="G6" s="123">
        <f>County_Flow!CA24</f>
        <v>19346</v>
      </c>
      <c r="H6" s="115">
        <f>County_Flow!CB24</f>
        <v>21170.337856550788</v>
      </c>
      <c r="I6" s="116">
        <f>County_Flow!CC24</f>
        <v>26769.334787392716</v>
      </c>
      <c r="J6" s="116">
        <f>County_Flow!CD24</f>
        <v>20717.03048155396</v>
      </c>
      <c r="K6" s="123">
        <f>County_Flow!CE24</f>
        <v>19346</v>
      </c>
      <c r="L6" s="100">
        <f>County_Flow!CF24</f>
        <v>2.5297226140150349E-2</v>
      </c>
      <c r="M6" s="100">
        <f>County_Flow!CG24</f>
        <v>3.1987676357679039E-2</v>
      </c>
      <c r="N6" s="104">
        <f>County_Flow!CH24</f>
        <v>2.4755552254074692E-2</v>
      </c>
      <c r="O6" s="150">
        <f>County_Flow!CI24</f>
        <v>2.3117256806362802E-2</v>
      </c>
      <c r="P6" s="125">
        <f>County_Flow!CJ24</f>
        <v>-8.8704195513162366E-3</v>
      </c>
      <c r="Q6" s="121">
        <f>County_Flow!CK24</f>
        <v>-0.27730740589373215</v>
      </c>
      <c r="R6" s="171">
        <f si="7" t="shared"/>
        <v>1.383714193496987</v>
      </c>
      <c r="S6" s="140"/>
      <c r="T6" s="201"/>
      <c r="U6" s="202"/>
      <c r="V6" s="203"/>
      <c r="W6" s="203"/>
      <c r="X6" s="204"/>
      <c r="Y6" s="30"/>
      <c r="Z6" s="30"/>
      <c r="AA6" s="100"/>
      <c r="AB6" s="165"/>
      <c r="AC6" s="165"/>
      <c r="AD6" s="194">
        <v>103</v>
      </c>
      <c r="AE6" s="163">
        <f si="8" t="shared"/>
        <v>0.3247713282809675</v>
      </c>
      <c r="AF6" s="164">
        <f si="5" t="shared"/>
        <v>0.60595965497797555</v>
      </c>
      <c r="AG6" s="7">
        <f>VLOOKUP(AD6,calibration_dist!$T:$W,3,FALSE)</f>
        <v>-0.17738509358310001</v>
      </c>
      <c r="AH6" s="167">
        <f si="9" t="shared"/>
        <v>0.42857456139487554</v>
      </c>
      <c r="AI6" s="174">
        <v>1</v>
      </c>
      <c r="AK6">
        <f>COUNT($U$4:$U$23)</f>
        <v>0</v>
      </c>
      <c r="CU6" s="95">
        <v>5</v>
      </c>
      <c r="CV6" s="95">
        <f si="6" t="shared"/>
        <v>1</v>
      </c>
      <c r="CW6" s="95">
        <f si="0" t="shared"/>
        <v>5</v>
      </c>
      <c r="CX6" s="58">
        <f si="1" t="shared"/>
        <v>480.5703645629165</v>
      </c>
      <c r="CY6" s="58">
        <f si="2" t="shared"/>
        <v>413.99999999999989</v>
      </c>
      <c r="CZ6" s="108">
        <f si="3" t="shared"/>
        <v>-66.570364562916609</v>
      </c>
      <c r="DA6" s="78">
        <f si="4" t="shared"/>
        <v>-0.13852365745329098</v>
      </c>
      <c r="DB6" s="95">
        <v>5000</v>
      </c>
    </row>
    <row r="7" spans="2:106" x14ac:dyDescent="0.25">
      <c r="B7" s="144">
        <v>4</v>
      </c>
      <c r="C7" s="170" t="s">
        <v>326</v>
      </c>
      <c r="D7" s="115">
        <f>County_Flow!BX25</f>
        <v>23614.438020947026</v>
      </c>
      <c r="E7" s="116">
        <f>County_Flow!BY25</f>
        <v>3702</v>
      </c>
      <c r="F7" s="116">
        <f>County_Flow!BZ25</f>
        <v>23571</v>
      </c>
      <c r="G7" s="123">
        <f>County_Flow!CA25</f>
        <v>5443</v>
      </c>
      <c r="H7" s="115">
        <f>County_Flow!CB25</f>
        <v>25994.26210335705</v>
      </c>
      <c r="I7" s="116">
        <f>County_Flow!CC25</f>
        <v>15150.600425459081</v>
      </c>
      <c r="J7" s="116">
        <f>County_Flow!CD25</f>
        <v>19831.015160016173</v>
      </c>
      <c r="K7" s="123">
        <f>County_Flow!CE25</f>
        <v>5443</v>
      </c>
      <c r="L7" s="100">
        <f>County_Flow!CF25</f>
        <v>3.10615131053039E-2</v>
      </c>
      <c r="M7" s="100">
        <f>County_Flow!CG25</f>
        <v>1.8104017409589945E-2</v>
      </c>
      <c r="N7" s="104">
        <f>County_Flow!CH25</f>
        <v>2.3696819507131598E-2</v>
      </c>
      <c r="O7" s="150">
        <f>County_Flow!CI25</f>
        <v>6.5040436677883144E-3</v>
      </c>
      <c r="P7" s="125">
        <f>County_Flow!CJ25</f>
        <v>-1.159997374180163E-2</v>
      </c>
      <c r="Q7" s="121">
        <f>County_Flow!CK25</f>
        <v>-0.64074031080289207</v>
      </c>
      <c r="R7" s="171">
        <f si="7" t="shared"/>
        <v>2.7835018235272977</v>
      </c>
      <c r="S7" s="140"/>
      <c r="T7" s="201"/>
      <c r="U7" s="202"/>
      <c r="V7" s="203"/>
      <c r="W7" s="203"/>
      <c r="X7" s="204"/>
      <c r="Y7" s="30"/>
      <c r="Z7" s="30"/>
      <c r="AA7" s="100"/>
      <c r="AB7" s="165"/>
      <c r="AC7" s="165"/>
      <c r="AD7" s="194">
        <v>104</v>
      </c>
      <c r="AE7" s="163">
        <f si="8" t="shared"/>
        <v>1.0237097837614901</v>
      </c>
      <c r="AF7" s="164">
        <f si="5" t="shared"/>
        <v>1.3048981104584982</v>
      </c>
      <c r="AG7" s="7">
        <f>VLOOKUP(AD7,calibration_dist!$T:$W,3,FALSE)</f>
        <v>0.2419007637824</v>
      </c>
      <c r="AH7" s="167">
        <f si="9" t="shared"/>
        <v>1.5467988742408982</v>
      </c>
      <c r="AI7" s="174">
        <v>1</v>
      </c>
      <c r="AK7" t="b">
        <f>$AC$160&lt;=1.5</f>
        <v>0</v>
      </c>
      <c r="CU7" s="95">
        <v>6</v>
      </c>
      <c r="CV7" s="95">
        <f si="6" t="shared"/>
        <v>1</v>
      </c>
      <c r="CW7" s="95">
        <f si="0" t="shared"/>
        <v>6</v>
      </c>
      <c r="CX7" s="58">
        <f si="1" t="shared"/>
        <v>2663.9023912191296</v>
      </c>
      <c r="CY7" s="58">
        <f si="2" t="shared"/>
        <v>2946.9999999999995</v>
      </c>
      <c r="CZ7" s="108">
        <f si="3" t="shared"/>
        <v>283.0976087808699</v>
      </c>
      <c r="DA7" s="78">
        <f si="4" t="shared"/>
        <v>0.10627176495431233</v>
      </c>
      <c r="DB7" s="95">
        <v>6000</v>
      </c>
    </row>
    <row r="8" spans="2:106" x14ac:dyDescent="0.25">
      <c r="B8" s="144">
        <v>5</v>
      </c>
      <c r="C8" s="170" t="s">
        <v>327</v>
      </c>
      <c r="D8" s="115">
        <f>County_Flow!BX26</f>
        <v>22008.912637957234</v>
      </c>
      <c r="E8" s="116">
        <f>County_Flow!BY26</f>
        <v>6181</v>
      </c>
      <c r="F8" s="116">
        <f>County_Flow!BZ26</f>
        <v>27651</v>
      </c>
      <c r="G8" s="123">
        <f>County_Flow!CA26</f>
        <v>20562</v>
      </c>
      <c r="H8" s="115">
        <f>County_Flow!CB26</f>
        <v>24226.934522577485</v>
      </c>
      <c r="I8" s="116">
        <f>County_Flow!CC26</f>
        <v>25296.018700638189</v>
      </c>
      <c r="J8" s="116">
        <f>County_Flow!CD26</f>
        <v>23444.663058441747</v>
      </c>
      <c r="K8" s="123">
        <f>County_Flow!CE26</f>
        <v>20562</v>
      </c>
      <c r="L8" s="100">
        <f>County_Flow!CF26</f>
        <v>2.8949667475930949E-2</v>
      </c>
      <c r="M8" s="100">
        <f>County_Flow!CG26</f>
        <v>3.0227156026114383E-2</v>
      </c>
      <c r="N8" s="104">
        <f>County_Flow!CH26</f>
        <v>2.8014902132773963E-2</v>
      </c>
      <c r="O8" s="150">
        <f>County_Flow!CI26</f>
        <v>2.4570300550627103E-2</v>
      </c>
      <c r="P8" s="125">
        <f>County_Flow!CJ26</f>
        <v>-5.6568554754872803E-3</v>
      </c>
      <c r="Q8" s="121">
        <f>County_Flow!CK26</f>
        <v>-0.18714481344523815</v>
      </c>
      <c r="R8" s="171">
        <f si="7" t="shared"/>
        <v>1.2302314317983751</v>
      </c>
      <c r="S8" s="140"/>
      <c r="T8" s="201"/>
      <c r="U8" s="202"/>
      <c r="V8" s="203"/>
      <c r="W8" s="203"/>
      <c r="X8" s="204"/>
      <c r="Y8" s="30"/>
      <c r="Z8" s="30"/>
      <c r="AA8" s="100"/>
      <c r="AB8" s="165"/>
      <c r="AC8" s="165"/>
      <c r="AD8" s="194">
        <v>105</v>
      </c>
      <c r="AE8" s="163">
        <f si="8" t="shared"/>
        <v>0.20720230761885686</v>
      </c>
      <c r="AF8" s="164">
        <f si="5" t="shared"/>
        <v>0.48839063431586494</v>
      </c>
      <c r="AG8" s="7">
        <f>VLOOKUP(AD8,calibration_dist!$T:$W,3,FALSE)</f>
        <v>-3.3705109193499998E-2</v>
      </c>
      <c r="AH8" s="167">
        <f si="9" t="shared"/>
        <v>0.45468552512236493</v>
      </c>
      <c r="AI8" s="174">
        <v>1</v>
      </c>
      <c r="AK8" t="b">
        <f ref="AK8" t="array">$AC$4:$AC$23&lt;=0.02</f>
        <v>1</v>
      </c>
      <c r="CU8" s="95">
        <v>7</v>
      </c>
      <c r="CV8" s="95">
        <f si="6" t="shared"/>
        <v>1</v>
      </c>
      <c r="CW8" s="95">
        <f si="0" t="shared"/>
        <v>7</v>
      </c>
      <c r="CX8" s="58">
        <f si="1" t="shared"/>
        <v>357.95570364562917</v>
      </c>
      <c r="CY8" s="58">
        <f si="2" t="shared"/>
        <v>1112.9999999999998</v>
      </c>
      <c r="CZ8" s="108">
        <f si="3" t="shared"/>
        <v>755.04429635437054</v>
      </c>
      <c r="DA8" s="78">
        <f si="4" t="shared"/>
        <v>2.1093232728646591</v>
      </c>
      <c r="DB8" s="95">
        <v>7000</v>
      </c>
    </row>
    <row r="9" spans="2:106" x14ac:dyDescent="0.25">
      <c r="B9" s="144">
        <v>6</v>
      </c>
      <c r="C9" s="170" t="s">
        <v>328</v>
      </c>
      <c r="D9" s="115">
        <f>County_Flow!BX27</f>
        <v>110838.59727059442</v>
      </c>
      <c r="E9" s="116">
        <f>County_Flow!BY27</f>
        <v>23878</v>
      </c>
      <c r="F9" s="116">
        <f>County_Flow!BZ27</f>
        <v>153058</v>
      </c>
      <c r="G9" s="123">
        <f>County_Flow!CA27</f>
        <v>122711</v>
      </c>
      <c r="H9" s="115">
        <f>County_Flow!CB27</f>
        <v>122008.72813761422</v>
      </c>
      <c r="I9" s="116">
        <f>County_Flow!CC27</f>
        <v>97721.781998679609</v>
      </c>
      <c r="J9" s="116">
        <f>County_Flow!CD27</f>
        <v>133248.36713527245</v>
      </c>
      <c r="K9" s="123">
        <f>County_Flow!CE27</f>
        <v>122711</v>
      </c>
      <c r="L9" s="100">
        <f>County_Flow!CF27</f>
        <v>0.14579277891941125</v>
      </c>
      <c r="M9" s="100">
        <f>County_Flow!CG27</f>
        <v>0.11677140132528056</v>
      </c>
      <c r="N9" s="104">
        <f>County_Flow!CH27</f>
        <v>0.15922344268037872</v>
      </c>
      <c r="O9" s="150">
        <f>County_Flow!CI27</f>
        <v>0.14663194975527685</v>
      </c>
      <c r="P9" s="125">
        <f>County_Flow!CJ27</f>
        <v>2.9860548429996289E-2</v>
      </c>
      <c r="Q9" s="121">
        <f>County_Flow!CK27</f>
        <v>0.2557179933707926</v>
      </c>
      <c r="R9" s="171">
        <f si="7" t="shared"/>
        <v>0.79635714808517233</v>
      </c>
      <c r="S9" s="140"/>
      <c r="T9" s="201"/>
      <c r="U9" s="202"/>
      <c r="V9" s="203"/>
      <c r="W9" s="203"/>
      <c r="X9" s="204"/>
      <c r="Y9" s="30"/>
      <c r="Z9" s="30"/>
      <c r="AA9" s="100"/>
      <c r="AB9" s="165"/>
      <c r="AC9" s="165"/>
      <c r="AD9" s="194">
        <v>106</v>
      </c>
      <c r="AE9" s="163">
        <f si="8" t="shared"/>
        <v>-0.2277075152648935</v>
      </c>
      <c r="AF9" s="164">
        <f si="5" t="shared"/>
        <v>5.3480811432114556E-2</v>
      </c>
      <c r="AG9" s="7">
        <f>VLOOKUP(AD9,calibration_dist!$T:$W,3,FALSE)</f>
        <v>0.1143372177009</v>
      </c>
      <c r="AH9" s="167">
        <f si="9" t="shared"/>
        <v>0.16781802913301455</v>
      </c>
      <c r="AI9" s="174">
        <v>1</v>
      </c>
      <c r="AK9" t="b">
        <f ref="AK9" t="array">$AW$30:$AW$49&lt;=0.25</f>
        <v>1</v>
      </c>
      <c r="CU9" s="95">
        <v>8</v>
      </c>
      <c r="CV9" s="95">
        <f si="6" t="shared"/>
        <v>1</v>
      </c>
      <c r="CW9" s="95">
        <f si="0" t="shared"/>
        <v>8</v>
      </c>
      <c r="CX9" s="58">
        <f si="1" t="shared"/>
        <v>5.9329674637397094</v>
      </c>
      <c r="CY9" s="58">
        <f si="2" t="shared"/>
        <v>1.9999999999999996</v>
      </c>
      <c r="CZ9" s="108">
        <f si="3" t="shared"/>
        <v>-3.9329674637397098</v>
      </c>
      <c r="DA9" s="78">
        <f si="4" t="shared"/>
        <v>-0.66290056161215727</v>
      </c>
      <c r="DB9" s="95">
        <v>8000</v>
      </c>
    </row>
    <row r="10" spans="2:106" x14ac:dyDescent="0.25">
      <c r="B10" s="144">
        <v>7</v>
      </c>
      <c r="C10" s="170" t="s">
        <v>329</v>
      </c>
      <c r="D10" s="115">
        <f>County_Flow!BX28</f>
        <v>72229.704798876643</v>
      </c>
      <c r="E10" s="116">
        <f>County_Flow!BY28</f>
        <v>20873</v>
      </c>
      <c r="F10" s="116">
        <f>County_Flow!BZ28</f>
        <v>84080</v>
      </c>
      <c r="G10" s="123">
        <f>County_Flow!CA28</f>
        <v>117623</v>
      </c>
      <c r="H10" s="115">
        <f>County_Flow!CB28</f>
        <v>79508.89521591118</v>
      </c>
      <c r="I10" s="116">
        <f>County_Flow!CC28</f>
        <v>85423.685218964718</v>
      </c>
      <c r="J10" s="116">
        <f>County_Flow!CD28</f>
        <v>74893.009271254821</v>
      </c>
      <c r="K10" s="123">
        <f>County_Flow!CE28</f>
        <v>117623</v>
      </c>
      <c r="L10" s="100">
        <f>County_Flow!CF28</f>
        <v>9.5008143755629534E-2</v>
      </c>
      <c r="M10" s="100">
        <f>County_Flow!CG28</f>
        <v>0.10207594689096998</v>
      </c>
      <c r="N10" s="104">
        <f>County_Flow!CH28</f>
        <v>8.9492449515398961E-2</v>
      </c>
      <c r="O10" s="150">
        <f>County_Flow!CI28</f>
        <v>0.14055210882532884</v>
      </c>
      <c r="P10" s="125">
        <f>County_Flow!CJ28</f>
        <v>3.8476161934358863E-2</v>
      </c>
      <c r="Q10" s="121">
        <f>County_Flow!CK28</f>
        <v>0.37693661539536094</v>
      </c>
      <c r="R10" s="171">
        <f si="7" t="shared"/>
        <v>0.72624984245398183</v>
      </c>
      <c r="S10" s="140"/>
      <c r="T10" s="201"/>
      <c r="U10" s="202"/>
      <c r="V10" s="203"/>
      <c r="W10" s="203"/>
      <c r="X10" s="204"/>
      <c r="Y10" s="30"/>
      <c r="Z10" s="30"/>
      <c r="AA10" s="100"/>
      <c r="AB10" s="165"/>
      <c r="AC10" s="165"/>
      <c r="AD10" s="194">
        <v>107</v>
      </c>
      <c r="AE10" s="163">
        <f si="8" t="shared"/>
        <v>-0.31986118774687355</v>
      </c>
      <c r="AF10" s="164">
        <f si="5" t="shared"/>
        <v>-3.8672861049865503E-2</v>
      </c>
      <c r="AG10" s="7">
        <f>VLOOKUP(AD10,calibration_dist!$T:$W,3,FALSE)</f>
        <v>0.29549776405130002</v>
      </c>
      <c r="AH10" s="167">
        <f si="9" t="shared"/>
        <v>0.25682490300143451</v>
      </c>
      <c r="AI10" s="174">
        <v>1</v>
      </c>
      <c r="AK10">
        <f>{32767,32767,0.000001,0.01,FALSE,FALSE,TRUE,1,1,1,0.0001,TRUE}</f>
        <v>32767</v>
      </c>
      <c r="CU10" s="95">
        <v>9</v>
      </c>
      <c r="CV10" s="95">
        <f si="6" t="shared"/>
        <v>1</v>
      </c>
      <c r="CW10" s="95">
        <f si="0" t="shared"/>
        <v>9</v>
      </c>
      <c r="CX10" s="58">
        <f si="1" t="shared"/>
        <v>284.78243825950608</v>
      </c>
      <c r="CY10" s="58">
        <f si="2" t="shared"/>
        <v>361.99999999999994</v>
      </c>
      <c r="CZ10" s="108">
        <f si="3" t="shared"/>
        <v>77.217561740493863</v>
      </c>
      <c r="DA10" s="78">
        <f si="4" t="shared"/>
        <v>0.27114579892082347</v>
      </c>
      <c r="DB10" s="95">
        <v>9000</v>
      </c>
    </row>
    <row r="11" spans="2:106" x14ac:dyDescent="0.25">
      <c r="B11" s="144">
        <v>8</v>
      </c>
      <c r="C11" s="170" t="s">
        <v>330</v>
      </c>
      <c r="D11" s="115">
        <f>County_Flow!BX29</f>
        <v>3529.6254281499482</v>
      </c>
      <c r="E11" s="116">
        <f>County_Flow!BY29</f>
        <v>941</v>
      </c>
      <c r="F11" s="116">
        <f>County_Flow!BZ29</f>
        <v>7355</v>
      </c>
      <c r="G11" s="123">
        <f>County_Flow!CA29</f>
        <v>445</v>
      </c>
      <c r="H11" s="115">
        <f>County_Flow!CB29</f>
        <v>3885.3352522985042</v>
      </c>
      <c r="I11" s="116">
        <f>County_Flow!CC29</f>
        <v>3851.0845489889239</v>
      </c>
      <c r="J11" s="116">
        <f>County_Flow!CD29</f>
        <v>6049.2293867081225</v>
      </c>
      <c r="K11" s="123">
        <f>County_Flow!CE29</f>
        <v>445</v>
      </c>
      <c r="L11" s="100">
        <f>County_Flow!CF29</f>
        <v>4.6427319759226151E-3</v>
      </c>
      <c r="M11" s="100">
        <f>County_Flow!CG29</f>
        <v>4.6018045333398533E-3</v>
      </c>
      <c r="N11" s="104">
        <f>County_Flow!CH29</f>
        <v>7.2284497680723788E-3</v>
      </c>
      <c r="O11" s="150">
        <f>County_Flow!CI29</f>
        <v>5.3174709391251151E-4</v>
      </c>
      <c r="P11" s="125">
        <f>County_Flow!CJ29</f>
        <v>-4.0700574394273419E-3</v>
      </c>
      <c r="Q11" s="121">
        <f>County_Flow!CK29</f>
        <v>-0.8844481354955368</v>
      </c>
      <c r="R11" s="171">
        <f si="7" t="shared"/>
        <v>8.65412258199758</v>
      </c>
      <c r="S11" s="140"/>
      <c r="T11" s="201"/>
      <c r="U11" s="202"/>
      <c r="V11" s="203"/>
      <c r="W11" s="203"/>
      <c r="X11" s="204"/>
      <c r="Y11" s="30"/>
      <c r="Z11" s="30"/>
      <c r="AA11" s="100"/>
      <c r="AB11" s="165"/>
      <c r="AC11" s="165"/>
      <c r="AD11" s="194">
        <v>108</v>
      </c>
      <c r="AE11" s="163">
        <f si="8" t="shared"/>
        <v>2.1580358064813865</v>
      </c>
      <c r="AF11" s="164">
        <f si="5" t="shared"/>
        <v>2.4392241331783944</v>
      </c>
      <c r="AG11" s="7">
        <f>VLOOKUP(AD11,calibration_dist!$T:$W,3,FALSE)</f>
        <v>-0.24958234591280001</v>
      </c>
      <c r="AH11" s="167">
        <f si="9" t="shared"/>
        <v>2.1896417872655944</v>
      </c>
      <c r="AI11" s="174">
        <v>1</v>
      </c>
      <c r="AK11">
        <f>{0,0,1,100,0,FALSE,TRUE,0.075,0,0,FALSE,30}</f>
        <v>0</v>
      </c>
      <c r="CU11" s="95">
        <v>10</v>
      </c>
      <c r="CV11" s="95">
        <f si="6" t="shared"/>
        <v>1</v>
      </c>
      <c r="CW11" s="95">
        <f si="0" t="shared"/>
        <v>10</v>
      </c>
      <c r="CX11" s="58">
        <f si="1" t="shared"/>
        <v>154.25715405723244</v>
      </c>
      <c r="CY11" s="58">
        <f si="2" t="shared"/>
        <v>187.99999999999997</v>
      </c>
      <c r="CZ11" s="108">
        <f si="3" t="shared"/>
        <v>33.742845942767531</v>
      </c>
      <c r="DA11" s="78">
        <f si="4" t="shared"/>
        <v>0.21874412340220065</v>
      </c>
      <c r="DB11" s="95">
        <v>10000</v>
      </c>
    </row>
    <row r="12" spans="2:106" x14ac:dyDescent="0.25">
      <c r="B12" s="144">
        <v>9</v>
      </c>
      <c r="C12" s="170" t="s">
        <v>331</v>
      </c>
      <c r="D12" s="115">
        <f>County_Flow!BX30</f>
        <v>52290.12647409238</v>
      </c>
      <c r="E12" s="116">
        <f>County_Flow!BY30</f>
        <v>11078</v>
      </c>
      <c r="F12" s="116">
        <f>County_Flow!BZ30</f>
        <v>57234</v>
      </c>
      <c r="G12" s="123">
        <f>County_Flow!CA30</f>
        <v>42397</v>
      </c>
      <c r="H12" s="115">
        <f>County_Flow!CB30</f>
        <v>57559.839102651495</v>
      </c>
      <c r="I12" s="116">
        <f>County_Flow!CC30</f>
        <v>45337.210025185217</v>
      </c>
      <c r="J12" s="116">
        <f>County_Flow!CD30</f>
        <v>49361.899442238304</v>
      </c>
      <c r="K12" s="123">
        <f>County_Flow!CE30</f>
        <v>42397</v>
      </c>
      <c r="L12" s="100">
        <f>County_Flow!CF30</f>
        <v>6.8780398132374534E-2</v>
      </c>
      <c r="M12" s="100">
        <f>County_Flow!CG30</f>
        <v>5.417512286964813E-2</v>
      </c>
      <c r="N12" s="104">
        <f>County_Flow!CH30</f>
        <v>5.8984374333509761E-2</v>
      </c>
      <c r="O12" s="150">
        <f>County_Flow!CI30</f>
        <v>5.0661756271030894E-2</v>
      </c>
      <c r="P12" s="125">
        <f>County_Flow!CJ30</f>
        <v>-3.513366598617236E-3</v>
      </c>
      <c r="Q12" s="121">
        <f>County_Flow!CK30</f>
        <v>-6.485202824681767E-2</v>
      </c>
      <c r="R12" s="171">
        <f si="7" t="shared"/>
        <v>1.0693494828687222</v>
      </c>
      <c r="S12" s="140"/>
      <c r="T12" s="201"/>
      <c r="U12" s="202"/>
      <c r="V12" s="203"/>
      <c r="W12" s="203"/>
      <c r="X12" s="204"/>
      <c r="Y12" s="30"/>
      <c r="Z12" s="30"/>
      <c r="AA12" s="100"/>
      <c r="AB12" s="165"/>
      <c r="AC12" s="165"/>
      <c r="AD12" s="194">
        <v>109</v>
      </c>
      <c r="AE12" s="163">
        <f si="8" t="shared"/>
        <v>6.7050503655461502E-2</v>
      </c>
      <c r="AF12" s="164">
        <f si="5" t="shared"/>
        <v>0.34823883035246955</v>
      </c>
      <c r="AG12" s="7">
        <f>VLOOKUP(AD12,calibration_dist!$T:$W,3,FALSE)</f>
        <v>0.1613318461263</v>
      </c>
      <c r="AH12" s="167">
        <f si="9" t="shared"/>
        <v>0.50957067647876952</v>
      </c>
      <c r="AI12" s="174">
        <v>1</v>
      </c>
      <c r="CU12" s="95">
        <v>11</v>
      </c>
      <c r="CV12" s="95">
        <f si="6" t="shared"/>
        <v>1</v>
      </c>
      <c r="CW12" s="95">
        <f si="0" t="shared"/>
        <v>11</v>
      </c>
      <c r="CX12" s="58">
        <f si="1" t="shared"/>
        <v>336.20148961191688</v>
      </c>
      <c r="CY12" s="58">
        <f si="2" t="shared"/>
        <v>113.99999999999997</v>
      </c>
      <c r="CZ12" s="108">
        <f si="3" t="shared"/>
        <v>-222.20148961191691</v>
      </c>
      <c r="DA12" s="78">
        <f si="4" t="shared"/>
        <v>-0.66091762373928764</v>
      </c>
      <c r="DB12" s="95">
        <v>11000</v>
      </c>
    </row>
    <row r="13" spans="2:106" x14ac:dyDescent="0.25">
      <c r="B13" s="144">
        <v>10</v>
      </c>
      <c r="C13" s="170" t="s">
        <v>332</v>
      </c>
      <c r="D13" s="115">
        <f>County_Flow!BX31</f>
        <v>13278.808202931854</v>
      </c>
      <c r="E13" s="116">
        <f>County_Flow!BY31</f>
        <v>4948</v>
      </c>
      <c r="F13" s="116">
        <f>County_Flow!BZ31</f>
        <v>21817</v>
      </c>
      <c r="G13" s="123">
        <f>County_Flow!CA31</f>
        <v>14311</v>
      </c>
      <c r="H13" s="115">
        <f>County_Flow!CB31</f>
        <v>14617.024573738956</v>
      </c>
      <c r="I13" s="116">
        <f>County_Flow!CC31</f>
        <v>20249.911103503924</v>
      </c>
      <c r="J13" s="116">
        <f>County_Flow!CD31</f>
        <v>18543.228510595782</v>
      </c>
      <c r="K13" s="123">
        <f>County_Flow!CE31</f>
        <v>14311</v>
      </c>
      <c r="L13" s="100">
        <f>County_Flow!CF31</f>
        <v>1.7466427727490907E-2</v>
      </c>
      <c r="M13" s="100">
        <f>County_Flow!CG31</f>
        <v>2.4197373890505414E-2</v>
      </c>
      <c r="N13" s="104">
        <f>County_Flow!CH31</f>
        <v>2.2157995218572892E-2</v>
      </c>
      <c r="O13" s="150">
        <f>County_Flow!CI31</f>
        <v>1.7100747552768431E-2</v>
      </c>
      <c r="P13" s="125">
        <f>County_Flow!CJ31</f>
        <v>-7.0966263377369825E-3</v>
      </c>
      <c r="Q13" s="121">
        <f>County_Flow!CK31</f>
        <v>-0.29328084815524402</v>
      </c>
      <c r="R13" s="171">
        <f si="7" t="shared"/>
        <v>1.4149892462793601</v>
      </c>
      <c r="S13" s="140"/>
      <c r="T13" s="201"/>
      <c r="U13" s="202"/>
      <c r="V13" s="203"/>
      <c r="W13" s="203"/>
      <c r="X13" s="204"/>
      <c r="Y13" s="30"/>
      <c r="Z13" s="30"/>
      <c r="AA13" s="100"/>
      <c r="AB13" s="165"/>
      <c r="AC13" s="165"/>
      <c r="AD13" s="194">
        <v>110</v>
      </c>
      <c r="AE13" s="163">
        <f si="8" t="shared"/>
        <v>0.34712193126374991</v>
      </c>
      <c r="AF13" s="164">
        <f si="5" t="shared"/>
        <v>0.62831025796075801</v>
      </c>
      <c r="AG13" s="7">
        <f>VLOOKUP(AD13,calibration_dist!$T:$W,3,FALSE)</f>
        <v>-4.5588844644699998E-2</v>
      </c>
      <c r="AH13" s="167">
        <f si="9" t="shared"/>
        <v>0.58272141331605798</v>
      </c>
      <c r="AI13" s="174">
        <v>1</v>
      </c>
      <c r="CU13" s="95">
        <v>12</v>
      </c>
      <c r="CV13" s="95">
        <f si="6" t="shared"/>
        <v>1</v>
      </c>
      <c r="CW13" s="95">
        <f si="0" t="shared"/>
        <v>12</v>
      </c>
      <c r="CX13" s="58">
        <f si="1" t="shared"/>
        <v>1188.5711485691886</v>
      </c>
      <c r="CY13" s="58">
        <f si="2" t="shared"/>
        <v>910.99999999999977</v>
      </c>
      <c r="CZ13" s="108">
        <f si="3" t="shared"/>
        <v>-277.57114856918884</v>
      </c>
      <c r="DA13" s="78">
        <f si="4" t="shared"/>
        <v>-0.23353347328288357</v>
      </c>
      <c r="DB13" s="95">
        <v>12000</v>
      </c>
    </row>
    <row r="14" spans="2:106" x14ac:dyDescent="0.25">
      <c r="B14" s="144">
        <v>11</v>
      </c>
      <c r="C14" s="170" t="s">
        <v>333</v>
      </c>
      <c r="D14" s="115">
        <f>County_Flow!BX32</f>
        <v>39311.716334055673</v>
      </c>
      <c r="E14" s="116">
        <f>County_Flow!BY32</f>
        <v>12781</v>
      </c>
      <c r="F14" s="116">
        <f>County_Flow!BZ32</f>
        <v>50898</v>
      </c>
      <c r="G14" s="123">
        <f>County_Flow!CA32</f>
        <v>18214</v>
      </c>
      <c r="H14" s="115">
        <f>County_Flow!CB32</f>
        <v>43273.486212706608</v>
      </c>
      <c r="I14" s="116">
        <f>County_Flow!CC32</f>
        <v>52306.813624471237</v>
      </c>
      <c r="J14" s="116">
        <f>County_Flow!CD32</f>
        <v>43461.80234686505</v>
      </c>
      <c r="K14" s="123">
        <f>County_Flow!CE32</f>
        <v>18214</v>
      </c>
      <c r="L14" s="100">
        <f>County_Flow!CF32</f>
        <v>5.1709102330494076E-2</v>
      </c>
      <c r="M14" s="100">
        <f>County_Flow!CG32</f>
        <v>6.2503362104799856E-2</v>
      </c>
      <c r="N14" s="104">
        <f>County_Flow!CH32</f>
        <v>5.1934128301450479E-2</v>
      </c>
      <c r="O14" s="150">
        <f>County_Flow!CI32</f>
        <v>2.1764587794432549E-2</v>
      </c>
      <c r="P14" s="125">
        <f>County_Flow!CJ32</f>
        <v>-4.0738774310367307E-2</v>
      </c>
      <c r="Q14" s="121">
        <f>County_Flow!CK32</f>
        <v>-0.65178532703665293</v>
      </c>
      <c r="R14" s="171">
        <f si="7" t="shared"/>
        <v>2.8717916780757231</v>
      </c>
      <c r="S14" s="140"/>
      <c r="T14" s="201"/>
      <c r="U14" s="202"/>
      <c r="V14" s="203"/>
      <c r="W14" s="203"/>
      <c r="X14" s="204"/>
      <c r="Y14" s="30"/>
      <c r="Z14" s="30"/>
      <c r="AA14" s="100"/>
      <c r="AB14" s="165"/>
      <c r="AC14" s="165"/>
      <c r="AD14" s="194">
        <v>111</v>
      </c>
      <c r="AE14" s="163">
        <f si="8" t="shared"/>
        <v>1.0549361130661976</v>
      </c>
      <c r="AF14" s="164">
        <f si="5" t="shared"/>
        <v>1.3361244397632057</v>
      </c>
      <c r="AG14" s="7">
        <f>VLOOKUP(AD14,calibration_dist!$T:$W,3,FALSE)</f>
        <v>-0.14910096747439999</v>
      </c>
      <c r="AH14" s="167">
        <f si="9" t="shared"/>
        <v>1.1870234722888058</v>
      </c>
      <c r="AI14" s="174">
        <v>1</v>
      </c>
      <c r="CU14" s="95">
        <v>13</v>
      </c>
      <c r="CV14" s="95">
        <f si="6" t="shared"/>
        <v>1</v>
      </c>
      <c r="CW14" s="95">
        <f si="0" t="shared"/>
        <v>13</v>
      </c>
      <c r="CX14" s="58">
        <f si="1" t="shared"/>
        <v>235.34104272834182</v>
      </c>
      <c r="CY14" s="58">
        <f si="2" t="shared"/>
        <v>205.99999999999994</v>
      </c>
      <c r="CZ14" s="108">
        <f si="3" t="shared"/>
        <v>-29.341042728341876</v>
      </c>
      <c r="DA14" s="78">
        <f si="4" t="shared"/>
        <v>-0.12467456754753459</v>
      </c>
      <c r="DB14" s="95">
        <v>13000</v>
      </c>
    </row>
    <row r="15" spans="2:106" x14ac:dyDescent="0.25">
      <c r="B15" s="144">
        <v>12</v>
      </c>
      <c r="C15" s="170" t="s">
        <v>334</v>
      </c>
      <c r="D15" s="115">
        <f>County_Flow!BX33</f>
        <v>146512.17303057498</v>
      </c>
      <c r="E15" s="116">
        <f>County_Flow!BY33</f>
        <v>37383</v>
      </c>
      <c r="F15" s="116">
        <f>County_Flow!BZ33</f>
        <v>162784</v>
      </c>
      <c r="G15" s="123">
        <f>County_Flow!CA33</f>
        <v>100589</v>
      </c>
      <c r="H15" s="115">
        <f>County_Flow!CB33</f>
        <v>161277.42797482133</v>
      </c>
      <c r="I15" s="116">
        <f>County_Flow!CC33</f>
        <v>152991.59797540162</v>
      </c>
      <c r="J15" s="116">
        <f>County_Flow!CD33</f>
        <v>144928.43069921163</v>
      </c>
      <c r="K15" s="123">
        <f>County_Flow!CE33</f>
        <v>100589</v>
      </c>
      <c r="L15" s="100">
        <f>County_Flow!CF33</f>
        <v>0.19271641267257439</v>
      </c>
      <c r="M15" s="100">
        <f>County_Flow!CG33</f>
        <v>0.18281536543022714</v>
      </c>
      <c r="N15" s="104">
        <f>County_Flow!CH33</f>
        <v>0.17318038617889125</v>
      </c>
      <c r="O15" s="150">
        <f>County_Flow!CI33</f>
        <v>0.12019754703273172</v>
      </c>
      <c r="P15" s="125">
        <f>County_Flow!CJ33</f>
        <v>-6.2617818397495417E-2</v>
      </c>
      <c r="Q15" s="121">
        <f>County_Flow!CK33</f>
        <v>-0.342519449883954</v>
      </c>
      <c r="R15" s="171">
        <f si="7" t="shared"/>
        <v>1.5209575398443329</v>
      </c>
      <c r="S15" s="140"/>
      <c r="T15" s="201"/>
      <c r="U15" s="202"/>
      <c r="V15" s="203"/>
      <c r="W15" s="203"/>
      <c r="X15" s="204"/>
      <c r="Y15" s="30"/>
      <c r="Z15" s="30"/>
      <c r="AA15" s="100"/>
      <c r="AB15" s="165"/>
      <c r="AC15" s="165"/>
      <c r="AD15" s="194">
        <v>112</v>
      </c>
      <c r="AE15" s="163">
        <f si="8" t="shared"/>
        <v>0.41934009694031432</v>
      </c>
      <c r="AF15" s="164">
        <f si="5" t="shared"/>
        <v>0.70052842363732237</v>
      </c>
      <c r="AG15" s="7">
        <f>VLOOKUP(AD15,calibration_dist!$T:$W,3,FALSE)</f>
        <v>0.17468608903999999</v>
      </c>
      <c r="AH15" s="167">
        <f si="9" t="shared"/>
        <v>0.87521451267732231</v>
      </c>
      <c r="AI15" s="174">
        <v>1</v>
      </c>
      <c r="CU15" s="95">
        <v>14</v>
      </c>
      <c r="CV15" s="95">
        <f si="6" t="shared"/>
        <v>1</v>
      </c>
      <c r="CW15" s="95">
        <f si="0" t="shared"/>
        <v>14</v>
      </c>
      <c r="CX15" s="58">
        <f si="1" t="shared"/>
        <v>19.776558212465702</v>
      </c>
      <c r="CY15" s="58">
        <f si="2" t="shared"/>
        <v>14.999999999999996</v>
      </c>
      <c r="CZ15" s="108">
        <f si="3" t="shared"/>
        <v>-4.7765582124657051</v>
      </c>
      <c r="DA15" s="78">
        <f si="4" t="shared"/>
        <v>-0.24152626362735408</v>
      </c>
      <c r="DB15" s="95">
        <v>14000</v>
      </c>
    </row>
    <row r="16" spans="2:106" x14ac:dyDescent="0.25">
      <c r="B16" s="144">
        <v>13</v>
      </c>
      <c r="C16" s="170" t="s">
        <v>335</v>
      </c>
      <c r="D16" s="115">
        <f>County_Flow!BX34</f>
        <v>58480.272152515652</v>
      </c>
      <c r="E16" s="116">
        <f>County_Flow!BY34</f>
        <v>21958</v>
      </c>
      <c r="F16" s="116">
        <f>County_Flow!BZ34</f>
        <v>65336</v>
      </c>
      <c r="G16" s="123">
        <f>County_Flow!CA34</f>
        <v>104098</v>
      </c>
      <c r="H16" s="115">
        <f>County_Flow!CB34</f>
        <v>64373.817444213761</v>
      </c>
      <c r="I16" s="116">
        <f>County_Flow!CC34</f>
        <v>89864.096202655448</v>
      </c>
      <c r="J16" s="116">
        <f>County_Flow!CD34</f>
        <v>60432.319393148115</v>
      </c>
      <c r="K16" s="123">
        <f>County_Flow!CE34</f>
        <v>104098</v>
      </c>
      <c r="L16" s="100">
        <f>County_Flow!CF34</f>
        <v>7.6922674943854366E-2</v>
      </c>
      <c r="M16" s="100">
        <f>County_Flow!CG34</f>
        <v>0.10738195955693569</v>
      </c>
      <c r="N16" s="104">
        <f>County_Flow!CH34</f>
        <v>7.2212831945391506E-2</v>
      </c>
      <c r="O16" s="150">
        <f>County_Flow!CI34</f>
        <v>0.12439058198225757</v>
      </c>
      <c r="P16" s="125">
        <f>County_Flow!CJ34</f>
        <v>1.7008622425321876E-2</v>
      </c>
      <c r="Q16" s="121">
        <f>County_Flow!CK34</f>
        <v>0.15839366775853631</v>
      </c>
      <c r="R16" s="171">
        <f si="7" t="shared"/>
        <v>0.86326438742968581</v>
      </c>
      <c r="S16" s="140"/>
      <c r="T16" s="201"/>
      <c r="U16" s="202"/>
      <c r="V16" s="203"/>
      <c r="W16" s="203"/>
      <c r="X16" s="204"/>
      <c r="Y16" s="30"/>
      <c r="Z16" s="30"/>
      <c r="AA16" s="100"/>
      <c r="AB16" s="165"/>
      <c r="AC16" s="165"/>
      <c r="AD16" s="194">
        <v>113</v>
      </c>
      <c r="AE16" s="163">
        <f si="8" t="shared"/>
        <v>-0.14703427626570753</v>
      </c>
      <c r="AF16" s="164">
        <f si="5" t="shared"/>
        <v>0.13415405043130052</v>
      </c>
      <c r="AG16" s="7">
        <f>VLOOKUP(AD16,calibration_dist!$T:$W,3,FALSE)</f>
        <v>1.3048994599762</v>
      </c>
      <c r="AH16" s="167">
        <f si="9" t="shared"/>
        <v>1.5732075608388012</v>
      </c>
      <c r="AI16" s="174">
        <v>2</v>
      </c>
      <c r="CU16" s="95">
        <v>15</v>
      </c>
      <c r="CV16" s="95">
        <f si="6" t="shared"/>
        <v>1</v>
      </c>
      <c r="CW16" s="95">
        <f si="0" t="shared"/>
        <v>15</v>
      </c>
      <c r="CX16" s="58">
        <f si="1" t="shared"/>
        <v>33.620148961191688</v>
      </c>
      <c r="CY16" s="58">
        <f si="2" t="shared"/>
        <v>148.99999999999997</v>
      </c>
      <c r="CZ16" s="108">
        <f si="3" t="shared"/>
        <v>115.37985103880828</v>
      </c>
      <c r="DA16" s="78">
        <f si="4" t="shared"/>
        <v>3.4318661458636965</v>
      </c>
      <c r="DB16" s="95">
        <v>15000</v>
      </c>
    </row>
    <row r="17" spans="2:106" x14ac:dyDescent="0.25">
      <c r="B17" s="144">
        <v>14</v>
      </c>
      <c r="C17" s="170" t="s">
        <v>336</v>
      </c>
      <c r="D17" s="115">
        <f>County_Flow!BX35</f>
        <v>13268.259284250174</v>
      </c>
      <c r="E17" s="116">
        <f>County_Flow!BY35</f>
        <v>425</v>
      </c>
      <c r="F17" s="116">
        <f>County_Flow!BZ35</f>
        <v>11928</v>
      </c>
      <c r="G17" s="123">
        <f>County_Flow!CA35</f>
        <v>6001</v>
      </c>
      <c r="H17" s="115">
        <f>County_Flow!CB35</f>
        <v>14605.412552446081</v>
      </c>
      <c r="I17" s="116">
        <f>County_Flow!CC35</f>
        <v>1739.3314913074307</v>
      </c>
      <c r="J17" s="116">
        <f>County_Flow!CD35</f>
        <v>9897.9182486173322</v>
      </c>
      <c r="K17" s="123">
        <f>County_Flow!CE35</f>
        <v>6001</v>
      </c>
      <c r="L17" s="100">
        <f>County_Flow!CF35</f>
        <v>1.7452552090239368E-2</v>
      </c>
      <c r="M17" s="100">
        <f>County_Flow!CG35</f>
        <v>2.0783920580971704E-3</v>
      </c>
      <c r="N17" s="104">
        <f>County_Flow!CH35</f>
        <v>1.1827391605586253E-2</v>
      </c>
      <c r="O17" s="150">
        <f>County_Flow!CI35</f>
        <v>7.1708186754359127E-3</v>
      </c>
      <c r="P17" s="125">
        <f>County_Flow!CJ35</f>
        <v>5.0924266173387423E-3</v>
      </c>
      <c r="Q17" s="121">
        <f>County_Flow!CK35</f>
        <v>2.4501761337565005</v>
      </c>
      <c r="R17" s="171">
        <f si="7" t="shared"/>
        <v>0.28984027517204308</v>
      </c>
      <c r="S17" s="140"/>
      <c r="T17" s="201"/>
      <c r="U17" s="202"/>
      <c r="V17" s="203"/>
      <c r="W17" s="203"/>
      <c r="X17" s="204"/>
      <c r="Y17" s="30"/>
      <c r="Z17" s="30"/>
      <c r="AA17" s="100"/>
      <c r="AB17" s="165"/>
      <c r="AC17" s="165"/>
      <c r="AD17" s="194">
        <v>114</v>
      </c>
      <c r="AE17" s="163">
        <f si="8" t="shared"/>
        <v>-1.2384252830028488</v>
      </c>
      <c r="AF17" s="164">
        <f si="5" t="shared"/>
        <v>-0.95723695630584071</v>
      </c>
      <c r="AG17" s="7">
        <f>VLOOKUP(AD17,calibration_dist!$T:$W,3,FALSE)</f>
        <v>4.9409553856600001E-2</v>
      </c>
      <c r="AH17" s="167">
        <f si="9" t="shared"/>
        <v>-0.90782740244924076</v>
      </c>
      <c r="AI17" s="174">
        <v>1</v>
      </c>
      <c r="CU17" s="95">
        <v>16</v>
      </c>
      <c r="CV17" s="95">
        <f si="6" t="shared"/>
        <v>1</v>
      </c>
      <c r="CW17" s="95">
        <f si="0" t="shared"/>
        <v>16</v>
      </c>
      <c r="CX17" s="58">
        <f si="1" t="shared"/>
        <v>9.8882791062328508</v>
      </c>
      <c r="CY17" s="58">
        <f si="2" t="shared"/>
        <v>7.9999999999999982</v>
      </c>
      <c r="CZ17" s="108">
        <f si="3" t="shared"/>
        <v>-1.8882791062328526</v>
      </c>
      <c r="DA17" s="78">
        <f si="4" t="shared"/>
        <v>-0.19096134786917765</v>
      </c>
      <c r="DB17" s="95">
        <v>16000</v>
      </c>
    </row>
    <row r="18" spans="2:106" x14ac:dyDescent="0.25">
      <c r="B18" s="144">
        <v>15</v>
      </c>
      <c r="C18" s="170" t="s">
        <v>337</v>
      </c>
      <c r="D18" s="115">
        <f>County_Flow!BX36</f>
        <v>17511.615512480701</v>
      </c>
      <c r="E18" s="116">
        <f>County_Flow!BY36</f>
        <v>10675</v>
      </c>
      <c r="F18" s="116">
        <f>County_Flow!BZ36</f>
        <v>31047</v>
      </c>
      <c r="G18" s="123">
        <f>County_Flow!CA36</f>
        <v>34851</v>
      </c>
      <c r="H18" s="115">
        <f>County_Flow!CB36</f>
        <v>19276.407216671985</v>
      </c>
      <c r="I18" s="116">
        <f>County_Flow!CC36</f>
        <v>43687.914516957237</v>
      </c>
      <c r="J18" s="116">
        <f>County_Flow!CD36</f>
        <v>26851.838869440759</v>
      </c>
      <c r="K18" s="123">
        <f>County_Flow!CE36</f>
        <v>34851</v>
      </c>
      <c r="L18" s="100">
        <f>County_Flow!CF36</f>
        <v>2.3034097794470763E-2</v>
      </c>
      <c r="M18" s="100">
        <f>County_Flow!CG36</f>
        <v>5.2204318165146583E-2</v>
      </c>
      <c r="N18" s="104">
        <f>County_Flow!CH36</f>
        <v>3.2086263561869985E-2</v>
      </c>
      <c r="O18" s="150">
        <f>County_Flow!CI36</f>
        <v>4.1644759483022334E-2</v>
      </c>
      <c r="P18" s="125">
        <f>County_Flow!CJ36</f>
        <v>-1.055955868212425E-2</v>
      </c>
      <c r="Q18" s="121">
        <f>County_Flow!CK36</f>
        <v>-0.20227366342989969</v>
      </c>
      <c r="R18" s="171">
        <f si="7" t="shared"/>
        <v>1.253562724655167</v>
      </c>
      <c r="S18" s="140"/>
      <c r="T18" s="201"/>
      <c r="U18" s="202"/>
      <c r="V18" s="203"/>
      <c r="W18" s="203"/>
      <c r="X18" s="204"/>
      <c r="Y18" s="30"/>
      <c r="Z18" s="30"/>
      <c r="AA18" s="100"/>
      <c r="AB18" s="165"/>
      <c r="AC18" s="165"/>
      <c r="AD18" s="194">
        <v>115</v>
      </c>
      <c r="AE18" s="163">
        <f si="8" t="shared"/>
        <v>0.22598967697748798</v>
      </c>
      <c r="AF18" s="164">
        <f si="5" t="shared"/>
        <v>0.50717800367449606</v>
      </c>
      <c r="AG18" s="7">
        <f>VLOOKUP(AD18,calibration_dist!$T:$W,3,FALSE)</f>
        <v>0.21697886195819999</v>
      </c>
      <c r="AH18" s="167">
        <f si="9" t="shared"/>
        <v>0.72415686563269599</v>
      </c>
      <c r="AI18" s="174">
        <v>1</v>
      </c>
      <c r="CU18" s="95">
        <v>17</v>
      </c>
      <c r="CV18" s="95">
        <f si="6" t="shared"/>
        <v>1</v>
      </c>
      <c r="CW18" s="95">
        <f si="0" t="shared"/>
        <v>17</v>
      </c>
      <c r="CX18" s="58">
        <f si="1" t="shared"/>
        <v>3.95531164249314</v>
      </c>
      <c r="CY18" s="58">
        <f si="2" t="shared"/>
        <v>198.99999999999994</v>
      </c>
      <c r="CZ18" s="108">
        <f si="3" t="shared"/>
        <v>195.0446883575068</v>
      </c>
      <c r="DA18" s="78">
        <f si="4" t="shared"/>
        <v>49.312091179385511</v>
      </c>
      <c r="DB18" s="95">
        <v>17000</v>
      </c>
    </row>
    <row r="19" spans="2:106" x14ac:dyDescent="0.25">
      <c r="B19" s="144">
        <v>16</v>
      </c>
      <c r="C19" s="170" t="s">
        <v>338</v>
      </c>
      <c r="D19" s="115">
        <f>County_Flow!BX37</f>
        <v>1961.4873955809485</v>
      </c>
      <c r="E19" s="116">
        <f>County_Flow!BY37</f>
        <v>826</v>
      </c>
      <c r="F19" s="116">
        <f>County_Flow!BZ37</f>
        <v>5518</v>
      </c>
      <c r="G19" s="123">
        <f>County_Flow!CA37</f>
        <v>1399</v>
      </c>
      <c r="H19" s="115">
        <f>County_Flow!CB37</f>
        <v>2159.1628573982716</v>
      </c>
      <c r="I19" s="116">
        <f>County_Flow!CC37</f>
        <v>3380.4419101645599</v>
      </c>
      <c r="J19" s="116">
        <f>County_Flow!CD37</f>
        <v>4666.7438795279177</v>
      </c>
      <c r="K19" s="123">
        <f>County_Flow!CE37</f>
        <v>1399</v>
      </c>
      <c r="L19" s="100">
        <f>County_Flow!CF37</f>
        <v>2.580064212821045E-3</v>
      </c>
      <c r="M19" s="100">
        <f>County_Flow!CG37</f>
        <v>4.0394160940900306E-3</v>
      </c>
      <c r="N19" s="104">
        <f>County_Flow!CH37</f>
        <v>5.5764662830853264E-3</v>
      </c>
      <c r="O19" s="150">
        <f>County_Flow!CI37</f>
        <v>1.6717172682777608E-3</v>
      </c>
      <c r="P19" s="125">
        <f>County_Flow!CJ37</f>
        <v>-2.3676988258122698E-3</v>
      </c>
      <c r="Q19" s="121">
        <f>County_Flow!CK37</f>
        <v>-0.58614878256201219</v>
      </c>
      <c r="R19" s="171">
        <f si="7" t="shared"/>
        <v>2.416327312483602</v>
      </c>
      <c r="S19" s="140"/>
      <c r="T19" s="201"/>
      <c r="U19" s="202"/>
      <c r="V19" s="203"/>
      <c r="W19" s="203"/>
      <c r="X19" s="204"/>
      <c r="Y19" s="30"/>
      <c r="Z19" s="30"/>
      <c r="AA19" s="100"/>
      <c r="AB19" s="165"/>
      <c r="AC19" s="165"/>
      <c r="AD19" s="194">
        <v>116</v>
      </c>
      <c r="AE19" s="163">
        <f si="8" t="shared"/>
        <v>0.8822487479177441</v>
      </c>
      <c r="AF19" s="164">
        <f si="5" t="shared"/>
        <v>1.1634370746147522</v>
      </c>
      <c r="AG19" s="7">
        <f>VLOOKUP(AD19,calibration_dist!$T:$W,3,FALSE)</f>
        <v>-0.46096256471820002</v>
      </c>
      <c r="AH19" s="167">
        <f si="9" t="shared"/>
        <v>0.70247450989655214</v>
      </c>
      <c r="AI19" s="174">
        <v>1</v>
      </c>
      <c r="CU19" s="95">
        <v>18</v>
      </c>
      <c r="CV19" s="95">
        <f si="6" t="shared"/>
        <v>1</v>
      </c>
      <c r="CW19" s="95">
        <f si="0" t="shared"/>
        <v>18</v>
      </c>
      <c r="CX19" s="58">
        <f si="1" t="shared"/>
        <v>25.709525676205409</v>
      </c>
      <c r="CY19" s="58">
        <f si="2" t="shared"/>
        <v>103.99999999999997</v>
      </c>
      <c r="CZ19" s="108">
        <f si="3" t="shared"/>
        <v>78.29047432379457</v>
      </c>
      <c r="DA19" s="78">
        <f si="4" t="shared"/>
        <v>3.0451932606541123</v>
      </c>
      <c r="DB19" s="95">
        <v>18000</v>
      </c>
    </row>
    <row r="20" spans="2:106" x14ac:dyDescent="0.25">
      <c r="B20" s="144">
        <v>17</v>
      </c>
      <c r="C20" s="170" t="s">
        <v>339</v>
      </c>
      <c r="D20" s="115">
        <f>County_Flow!BX38</f>
        <v>9020.5569668027474</v>
      </c>
      <c r="E20" s="116">
        <f>County_Flow!BY38</f>
        <v>873</v>
      </c>
      <c r="F20" s="116">
        <f>County_Flow!BZ38</f>
        <v>11837</v>
      </c>
      <c r="G20" s="123">
        <f>County_Flow!CA38</f>
        <v>29486</v>
      </c>
      <c r="H20" s="115">
        <f>County_Flow!CB38</f>
        <v>9929.633807306267</v>
      </c>
      <c r="I20" s="116">
        <f>County_Flow!CC38</f>
        <v>3572.7915103797345</v>
      </c>
      <c r="J20" s="116">
        <f>County_Flow!CD38</f>
        <v>10100.196539910616</v>
      </c>
      <c r="K20" s="123">
        <f>County_Flow!CE38</f>
        <v>29486</v>
      </c>
      <c r="L20" s="100">
        <f>County_Flow!CF38</f>
        <v>1.1865289709327041E-2</v>
      </c>
      <c r="M20" s="100">
        <f>County_Flow!CG38</f>
        <v>4.2692618040443059E-3</v>
      </c>
      <c r="N20" s="104">
        <f>County_Flow!CH38</f>
        <v>1.2069101478747582E-2</v>
      </c>
      <c r="O20" s="150">
        <f>County_Flow!CI38</f>
        <v>3.5233920923829917E-2</v>
      </c>
      <c r="P20" s="125">
        <f>County_Flow!CJ38</f>
        <v>3.0964659119785611E-2</v>
      </c>
      <c r="Q20" s="121">
        <f>County_Flow!CK38</f>
        <v>7.2529304926796794</v>
      </c>
      <c r="R20" s="171">
        <f si="7" t="shared"/>
        <v>0.12116908059349298</v>
      </c>
      <c r="S20" s="140"/>
      <c r="T20" s="201"/>
      <c r="U20" s="202"/>
      <c r="V20" s="203"/>
      <c r="W20" s="203"/>
      <c r="X20" s="204"/>
      <c r="Y20" s="30"/>
      <c r="Z20" s="30"/>
      <c r="AA20" s="100"/>
      <c r="AB20" s="165"/>
      <c r="AC20" s="165"/>
      <c r="AD20" s="194">
        <v>117</v>
      </c>
      <c r="AE20" s="163">
        <f si="8" t="shared"/>
        <v>-2.1105683485079156</v>
      </c>
      <c r="AF20" s="164">
        <f si="5" t="shared"/>
        <v>-1.8293800218109075</v>
      </c>
      <c r="AG20" s="7">
        <f>VLOOKUP(AD20,calibration_dist!$T:$W,3,FALSE)</f>
        <v>-6.5598826231399995E-2</v>
      </c>
      <c r="AH20" s="167">
        <f si="9" t="shared"/>
        <v>-1.8949788480423075</v>
      </c>
      <c r="AI20" s="174">
        <v>1</v>
      </c>
      <c r="CU20" s="95">
        <v>19</v>
      </c>
      <c r="CV20" s="95">
        <f si="6" t="shared"/>
        <v>1</v>
      </c>
      <c r="CW20" s="95">
        <f si="0" t="shared"/>
        <v>19</v>
      </c>
      <c r="CX20" s="58">
        <f si="1" t="shared"/>
        <v>148.32418659349275</v>
      </c>
      <c r="CY20" s="58">
        <f si="2" t="shared"/>
        <v>109.99999999999997</v>
      </c>
      <c r="CZ20" s="108">
        <f si="3" t="shared"/>
        <v>-38.324186593492783</v>
      </c>
      <c r="DA20" s="78">
        <f si="4" t="shared"/>
        <v>-0.25838123554674619</v>
      </c>
      <c r="DB20" s="95">
        <v>19000</v>
      </c>
    </row>
    <row r="21" spans="2:106" x14ac:dyDescent="0.25">
      <c r="B21" s="144">
        <v>18</v>
      </c>
      <c r="C21" s="170" t="s">
        <v>340</v>
      </c>
      <c r="D21" s="115">
        <f>County_Flow!BX39</f>
        <v>12709.794043032649</v>
      </c>
      <c r="E21" s="116">
        <f>County_Flow!BY39</f>
        <v>4732</v>
      </c>
      <c r="F21" s="116">
        <f>County_Flow!BZ39</f>
        <v>23748</v>
      </c>
      <c r="G21" s="123">
        <f>County_Flow!CA39</f>
        <v>48263</v>
      </c>
      <c r="H21" s="115">
        <f>County_Flow!CB39</f>
        <v>13990.666106100596</v>
      </c>
      <c r="I21" s="116">
        <f>County_Flow!CC39</f>
        <v>19365.921451451206</v>
      </c>
      <c r="J21" s="116">
        <f>County_Flow!CD39</f>
        <v>20559.724665406091</v>
      </c>
      <c r="K21" s="123">
        <f>County_Flow!CE39</f>
        <v>48263</v>
      </c>
      <c r="L21" s="100">
        <f>County_Flow!CF39</f>
        <v>1.6717968637796097E-2</v>
      </c>
      <c r="M21" s="100">
        <f>County_Flow!CG39</f>
        <v>2.3141061691566614E-2</v>
      </c>
      <c r="N21" s="104">
        <f>County_Flow!CH39</f>
        <v>2.4567581668474319E-2</v>
      </c>
      <c r="O21" s="150">
        <f>County_Flow!CI39</f>
        <v>5.7671258412358518E-2</v>
      </c>
      <c r="P21" s="125">
        <f>County_Flow!CJ39</f>
        <v>3.4530196720791904E-2</v>
      </c>
      <c r="Q21" s="121">
        <f>County_Flow!CK39</f>
        <v>1.492161301025176</v>
      </c>
      <c r="R21" s="171">
        <f si="7" t="shared"/>
        <v>0.40125813669790944</v>
      </c>
      <c r="S21" s="140"/>
      <c r="T21" s="201"/>
      <c r="U21" s="202"/>
      <c r="V21" s="203"/>
      <c r="W21" s="203"/>
      <c r="X21" s="204"/>
      <c r="Y21" s="30"/>
      <c r="Z21" s="30"/>
      <c r="AA21" s="100"/>
      <c r="AB21" s="165"/>
      <c r="AC21" s="165"/>
      <c r="AD21" s="194">
        <v>118</v>
      </c>
      <c r="AE21" s="163">
        <f si="8" t="shared"/>
        <v>-0.91315032636866267</v>
      </c>
      <c r="AF21" s="164">
        <f si="5" t="shared"/>
        <v>-0.63196199967165456</v>
      </c>
      <c r="AG21" s="7">
        <f>VLOOKUP(AD21,calibration_dist!$T:$W,3,FALSE)</f>
        <v>0.30646725571720002</v>
      </c>
      <c r="AH21" s="167">
        <f si="9" t="shared"/>
        <v>-0.32549474395445455</v>
      </c>
      <c r="AI21" s="174">
        <v>1</v>
      </c>
      <c r="CU21" s="95">
        <v>20</v>
      </c>
      <c r="CV21" s="95">
        <f si="6" t="shared"/>
        <v>1</v>
      </c>
      <c r="CW21" s="95">
        <f si="0" t="shared"/>
        <v>20</v>
      </c>
      <c r="CX21" s="58">
        <f si="1" t="shared"/>
        <v>13.84359074872599</v>
      </c>
      <c r="CY21" s="58">
        <f si="2" t="shared"/>
        <v>4.9999999999999991</v>
      </c>
      <c r="CZ21" s="108">
        <f si="3" t="shared"/>
        <v>-8.8435907487259904</v>
      </c>
      <c r="DA21" s="78">
        <f si="4" t="shared"/>
        <v>-0.63882203029873996</v>
      </c>
      <c r="DB21" s="95">
        <v>20000</v>
      </c>
    </row>
    <row r="22" spans="2:106" x14ac:dyDescent="0.25">
      <c r="B22" s="144">
        <v>19</v>
      </c>
      <c r="C22" s="170" t="s">
        <v>341</v>
      </c>
      <c r="D22" s="115">
        <f>County_Flow!BX40</f>
        <v>16752.227960566343</v>
      </c>
      <c r="E22" s="116">
        <f>County_Flow!BY40</f>
        <v>6513</v>
      </c>
      <c r="F22" s="116">
        <f>County_Flow!BZ40</f>
        <v>29164</v>
      </c>
      <c r="G22" s="123">
        <f>County_Flow!CA40</f>
        <v>39768</v>
      </c>
      <c r="H22" s="115">
        <f>County_Flow!CB40</f>
        <v>18440.489840828508</v>
      </c>
      <c r="I22" s="116">
        <f>County_Flow!CC40</f>
        <v>26654.743536200702</v>
      </c>
      <c r="J22" s="116">
        <f>County_Flow!CD40</f>
        <v>25609.002931385712</v>
      </c>
      <c r="K22" s="123">
        <f>County_Flow!CE40</f>
        <v>39768</v>
      </c>
      <c r="L22" s="100">
        <f>County_Flow!CF40</f>
        <v>2.2035228950974713E-2</v>
      </c>
      <c r="M22" s="100">
        <f>County_Flow!CG40</f>
        <v>3.1850746998557347E-2</v>
      </c>
      <c r="N22" s="104">
        <f>County_Flow!CH40</f>
        <v>3.0601152554519871E-2</v>
      </c>
      <c r="O22" s="150">
        <f>County_Flow!CI40</f>
        <v>4.7520266136433162E-2</v>
      </c>
      <c r="P22" s="125">
        <f>County_Flow!CJ40</f>
        <v>1.5669519137875815E-2</v>
      </c>
      <c r="Q22" s="121">
        <f>County_Flow!CK40</f>
        <v>0.49196708443244802</v>
      </c>
      <c r="R22" s="171">
        <f si="7" t="shared"/>
        <v>0.6702560736320835</v>
      </c>
      <c r="S22" s="140"/>
      <c r="T22" s="201"/>
      <c r="U22" s="202"/>
      <c r="V22" s="203"/>
      <c r="W22" s="203"/>
      <c r="X22" s="204"/>
      <c r="Y22" s="30"/>
      <c r="Z22" s="30"/>
      <c r="AA22" s="100"/>
      <c r="AB22" s="165"/>
      <c r="AC22" s="165"/>
      <c r="AD22" s="194">
        <v>119</v>
      </c>
      <c r="AE22" s="163">
        <f si="8" t="shared"/>
        <v>-0.40009544016585974</v>
      </c>
      <c r="AF22" s="164">
        <f si="5" t="shared"/>
        <v>-0.11890711346885169</v>
      </c>
      <c r="AG22" s="7">
        <f>VLOOKUP(AD22,calibration_dist!$T:$W,3,FALSE)</f>
        <v>0.1628137198364</v>
      </c>
      <c r="AH22" s="167">
        <f si="9" t="shared"/>
        <v>4.3906606367548312E-2</v>
      </c>
      <c r="AI22" s="174">
        <v>1</v>
      </c>
      <c r="CU22" s="95">
        <v>21</v>
      </c>
      <c r="CV22" s="95">
        <f si="6" t="shared"/>
        <v>2</v>
      </c>
      <c r="CW22" s="95">
        <f si="0" t="shared"/>
        <v>1</v>
      </c>
      <c r="CX22" s="58">
        <f si="1" t="shared"/>
        <v>1079.1485587583149</v>
      </c>
      <c r="CY22" s="58">
        <f si="2" t="shared"/>
        <v>1782.9999999999998</v>
      </c>
      <c r="CZ22" s="108">
        <f si="3" t="shared"/>
        <v>703.85144124168482</v>
      </c>
      <c r="DA22" s="78">
        <f si="4" t="shared"/>
        <v>0.65222849581669018</v>
      </c>
      <c r="DB22" s="95">
        <v>21000</v>
      </c>
    </row>
    <row r="23" spans="2:106" x14ac:dyDescent="0.25">
      <c r="B23" s="144">
        <v>20</v>
      </c>
      <c r="C23" s="170" t="s">
        <v>342</v>
      </c>
      <c r="D23" s="115">
        <f>County_Flow!BX41</f>
        <v>16122.280618489045</v>
      </c>
      <c r="E23" s="116">
        <f>County_Flow!BY41</f>
        <v>9627</v>
      </c>
      <c r="F23" s="116">
        <f>County_Flow!BZ41</f>
        <v>22156</v>
      </c>
      <c r="G23" s="123">
        <f>County_Flow!CA41</f>
        <v>15207</v>
      </c>
      <c r="H23" s="115">
        <f>County_Flow!CB41</f>
        <v>17747.057445497099</v>
      </c>
      <c r="I23" s="116">
        <f>County_Flow!CC41</f>
        <v>39398.927686627387</v>
      </c>
      <c r="J23" s="116">
        <f>County_Flow!CD41</f>
        <v>18700.540393110878</v>
      </c>
      <c r="K23" s="123">
        <f>County_Flow!CE41</f>
        <v>15207</v>
      </c>
      <c r="L23" s="100">
        <f>County_Flow!CF41</f>
        <v>2.1206620723913435E-2</v>
      </c>
      <c r="M23" s="100">
        <f>County_Flow!CG41</f>
        <v>4.7079247866591685E-2</v>
      </c>
      <c r="N23" s="104">
        <f>County_Flow!CH41</f>
        <v>2.2345973053101674E-2</v>
      </c>
      <c r="O23" s="150">
        <f>County_Flow!CI41</f>
        <v>1.8171411364331602E-2</v>
      </c>
      <c r="P23" s="126">
        <f>County_Flow!CJ41</f>
        <v>-2.8907836502260083E-2</v>
      </c>
      <c r="Q23" s="122">
        <f>Flow_ODData!CK41</f>
        <v>0</v>
      </c>
      <c r="R23" s="172">
        <f si="7" t="shared"/>
        <v>2.5908415655045296</v>
      </c>
      <c r="S23" s="140"/>
      <c r="T23" s="201"/>
      <c r="U23" s="202"/>
      <c r="V23" s="203"/>
      <c r="W23" s="203"/>
      <c r="X23" s="204"/>
      <c r="Y23" s="30"/>
      <c r="Z23" s="30"/>
      <c r="AA23" s="100"/>
      <c r="AB23" s="165"/>
      <c r="AC23" s="165"/>
      <c r="AD23" s="194">
        <v>120</v>
      </c>
      <c r="AE23" s="163">
        <f si="8" t="shared"/>
        <v>0.95198275169975488</v>
      </c>
      <c r="AF23" s="164">
        <f si="5" t="shared"/>
        <v>1.2331710783967629</v>
      </c>
      <c r="AG23" s="7">
        <f>VLOOKUP(AD23,calibration_dist!$T:$W,3,FALSE)</f>
        <v>-0.40270863939919999</v>
      </c>
      <c r="AH23" s="167">
        <f si="9" t="shared"/>
        <v>0.83046243899756289</v>
      </c>
      <c r="AI23" s="174">
        <v>1</v>
      </c>
      <c r="CU23" s="95">
        <v>22</v>
      </c>
      <c r="CV23" s="95">
        <f si="6" t="shared"/>
        <v>2</v>
      </c>
      <c r="CW23" s="95">
        <f si="0" t="shared"/>
        <v>2</v>
      </c>
      <c r="CX23" s="58">
        <f si="1" t="shared"/>
        <v>5402.1662971175165</v>
      </c>
      <c r="CY23" s="58">
        <f si="2" t="shared"/>
        <v>1443.9999999999998</v>
      </c>
      <c r="CZ23" s="108">
        <f si="3" t="shared"/>
        <v>-3958.1662971175165</v>
      </c>
      <c r="DA23" s="78">
        <f si="4" t="shared"/>
        <v>-0.73269982437036629</v>
      </c>
      <c r="DB23" s="95">
        <v>22000</v>
      </c>
    </row>
    <row ht="15.75" r="24" spans="2:106" thickBot="1" x14ac:dyDescent="0.3">
      <c r="B24" s="173"/>
      <c r="C24" s="110" t="s">
        <v>218</v>
      </c>
      <c r="D24" s="117">
        <f>County_Flow!BX42</f>
        <v>760247.51083084696</v>
      </c>
      <c r="E24" s="111">
        <f>County_Flow!BY42</f>
        <v>204485</v>
      </c>
      <c r="F24" s="111">
        <f>County_Flow!BZ42</f>
        <v>959408</v>
      </c>
      <c r="G24" s="124">
        <f>County_Flow!CA42</f>
        <v>836864</v>
      </c>
      <c r="H24" s="117">
        <f>County_Flow!CB42</f>
        <v>836864.00000000023</v>
      </c>
      <c r="I24" s="111">
        <f>County_Flow!CC42</f>
        <v>836864.00000000012</v>
      </c>
      <c r="J24" s="111">
        <f>County_Flow!CD42</f>
        <v>836863.99999999988</v>
      </c>
      <c r="K24" s="124">
        <f>County_Flow!CE42</f>
        <v>836864</v>
      </c>
      <c r="L24" s="130">
        <f>County_Flow!CF42</f>
        <v>1</v>
      </c>
      <c r="M24" s="130">
        <f>County_Flow!CG42</f>
        <v>1</v>
      </c>
      <c r="N24" s="130">
        <f>County_Flow!CH42</f>
        <v>1</v>
      </c>
      <c r="O24" s="131">
        <f>County_Flow!CI42</f>
        <v>1</v>
      </c>
      <c r="P24" s="119"/>
      <c r="Q24" s="137"/>
      <c r="R24" s="172">
        <f>V24/W24</f>
        <v>2.0923078966122541</v>
      </c>
      <c r="S24" t="s">
        <v>412</v>
      </c>
      <c r="T24" s="141"/>
      <c r="V24" s="108">
        <f>N41</f>
        <v>70891.576153016387</v>
      </c>
      <c r="W24" s="108">
        <f>BK41</f>
        <v>33882</v>
      </c>
      <c r="X24" s="30">
        <f>M68</f>
        <v>2.6433702969481535E-3</v>
      </c>
      <c r="Y24" s="30">
        <f>AK68</f>
        <v>1.1328005506271032E-3</v>
      </c>
      <c r="Z24" s="166"/>
      <c r="AA24" s="166"/>
      <c r="AB24" s="7"/>
      <c r="AC24" s="41"/>
      <c r="AD24" s="194">
        <v>121</v>
      </c>
      <c r="AE24" s="163">
        <f>LN(R24)</f>
        <v>0.73826771348597275</v>
      </c>
      <c r="AF24" s="164">
        <f>AE24-AF14</f>
        <v>-0.59785672627723296</v>
      </c>
      <c r="AG24" s="7">
        <f>VLOOKUP(AD24,calibration_dist!$T:$W,3,FALSE)</f>
        <v>-0.47819038789149998</v>
      </c>
      <c r="AH24" s="167">
        <f>AG24+AI24*(AF24-(AF15*AI15))</f>
        <v>-0.47819038789149998</v>
      </c>
      <c r="AI24" s="174">
        <v>0</v>
      </c>
      <c r="CU24" s="95">
        <v>23</v>
      </c>
      <c r="CV24" s="95">
        <f si="6" t="shared"/>
        <v>2</v>
      </c>
      <c r="CW24" s="95">
        <f si="0" t="shared"/>
        <v>3</v>
      </c>
      <c r="CX24" s="58">
        <f si="1" t="shared"/>
        <v>475.3392461197339</v>
      </c>
      <c r="CY24" s="58">
        <f si="2" t="shared"/>
        <v>459.99999999999994</v>
      </c>
      <c r="CZ24" s="108">
        <f si="3" t="shared"/>
        <v>-15.339246119733957</v>
      </c>
      <c r="DA24" s="78">
        <f si="4" t="shared"/>
        <v>-3.2270102342591193E-2</v>
      </c>
      <c r="DB24" s="95">
        <v>23000</v>
      </c>
    </row>
    <row ht="15.75" r="25" spans="2:106" thickBot="1" x14ac:dyDescent="0.3">
      <c r="R25" s="172">
        <f>V25/W25</f>
        <v>1.2639221236290588</v>
      </c>
      <c r="S25" s="95" t="s">
        <v>413</v>
      </c>
      <c r="U25" s="41"/>
      <c r="V25" s="108">
        <f>O42</f>
        <v>67549.053975231407</v>
      </c>
      <c r="W25" s="108">
        <f>BL42</f>
        <v>53443.999999999993</v>
      </c>
      <c r="X25" s="30">
        <f>M69</f>
        <v>4.7041386545095692E-4</v>
      </c>
      <c r="Y25" s="30">
        <f>AK69</f>
        <v>3.6684574793514831E-4</v>
      </c>
      <c r="Z25" s="7"/>
      <c r="AA25" s="7"/>
      <c r="AB25" s="7"/>
      <c r="AD25" s="195">
        <v>122</v>
      </c>
      <c r="AE25" s="175">
        <f>LN(R25)</f>
        <v>0.23421968277366695</v>
      </c>
      <c r="AF25" s="176">
        <f>AE25-AF14</f>
        <v>-1.1019047569895388</v>
      </c>
      <c r="AG25" s="1">
        <f>VLOOKUP(AD25,calibration_dist!$T:$W,3,FALSE)</f>
        <v>-1.0119832457914</v>
      </c>
      <c r="AH25" s="177">
        <f>AG25+AI25*(AF25-(AF16*AI16))</f>
        <v>-1.0119832457914</v>
      </c>
      <c r="AI25" s="178">
        <v>0</v>
      </c>
      <c r="CU25" s="95">
        <v>24</v>
      </c>
      <c r="CV25" s="95">
        <f si="6" t="shared"/>
        <v>2</v>
      </c>
      <c r="CW25" s="95">
        <f si="0" t="shared"/>
        <v>4</v>
      </c>
      <c r="CX25" s="58">
        <f si="1" t="shared"/>
        <v>237.66962305986695</v>
      </c>
      <c r="CY25" s="58">
        <f si="2" t="shared"/>
        <v>127.99999999999999</v>
      </c>
      <c r="CZ25" s="108">
        <f si="3" t="shared"/>
        <v>-109.66962305986696</v>
      </c>
      <c r="DA25" s="78">
        <f si="4" t="shared"/>
        <v>-0.46143727434718118</v>
      </c>
      <c r="DB25" s="95">
        <v>24000</v>
      </c>
    </row>
    <row r="26" spans="2:106" x14ac:dyDescent="0.25">
      <c r="U26" s="143"/>
      <c r="AH26" s="141"/>
      <c r="CU26" s="95">
        <v>25</v>
      </c>
      <c r="CV26" s="95">
        <f si="6" t="shared"/>
        <v>2</v>
      </c>
      <c r="CW26" s="95">
        <f si="0" t="shared"/>
        <v>5</v>
      </c>
      <c r="CX26" s="58">
        <f si="1" t="shared"/>
        <v>443.22172949002214</v>
      </c>
      <c r="CY26" s="58">
        <f si="2" t="shared"/>
        <v>398.99999999999994</v>
      </c>
      <c r="CZ26" s="108">
        <f si="3" t="shared"/>
        <v>-44.221729490022199</v>
      </c>
      <c r="DA26" s="78">
        <f si="4" t="shared"/>
        <v>-9.9773378757635395E-2</v>
      </c>
      <c r="DB26" s="95">
        <v>25000</v>
      </c>
    </row>
    <row r="27" spans="2:106" x14ac:dyDescent="0.25">
      <c r="B27" s="142" t="s">
        <v>355</v>
      </c>
      <c r="Z27" s="142" t="s">
        <v>321</v>
      </c>
      <c r="AH27" s="141"/>
      <c r="AY27" s="142" t="s">
        <v>402</v>
      </c>
      <c r="BW27" s="142" t="s">
        <v>403</v>
      </c>
      <c r="CU27" s="95">
        <v>26</v>
      </c>
      <c r="CV27" s="95">
        <f si="6" t="shared"/>
        <v>2</v>
      </c>
      <c r="CW27" s="95">
        <f si="0" t="shared"/>
        <v>6</v>
      </c>
      <c r="CX27" s="58">
        <f si="1" t="shared"/>
        <v>2331.7317073170734</v>
      </c>
      <c r="CY27" s="58">
        <f si="2" t="shared"/>
        <v>3161.9999999999995</v>
      </c>
      <c r="CZ27" s="108">
        <f si="3" t="shared"/>
        <v>830.26829268292613</v>
      </c>
      <c r="DA27" s="78">
        <f si="4" t="shared"/>
        <v>0.3560736812376436</v>
      </c>
      <c r="DB27" s="95">
        <v>26000</v>
      </c>
    </row>
    <row ht="15.75" r="28" spans="2:106" thickBot="1" x14ac:dyDescent="0.3">
      <c r="W28" s="7"/>
      <c r="X28" s="7"/>
      <c r="Y28" s="95"/>
      <c r="Z28" t="s">
        <v>404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>
        <v>1</v>
      </c>
      <c r="AI28" s="191">
        <v>1</v>
      </c>
      <c r="AJ28" s="191">
        <v>1</v>
      </c>
      <c r="AK28" s="191">
        <v>1</v>
      </c>
      <c r="AL28" s="191">
        <v>1</v>
      </c>
      <c r="AM28" s="191">
        <v>1</v>
      </c>
      <c r="AN28" s="191">
        <v>1</v>
      </c>
      <c r="AO28" s="191">
        <v>1</v>
      </c>
      <c r="AP28" s="191">
        <v>1</v>
      </c>
      <c r="AQ28" s="191">
        <v>1</v>
      </c>
      <c r="AR28" s="191">
        <v>1</v>
      </c>
      <c r="AS28" s="191">
        <v>1</v>
      </c>
      <c r="AT28" s="191">
        <v>1</v>
      </c>
      <c r="AU28" s="95"/>
      <c r="AV28" s="95"/>
      <c r="CU28" s="95">
        <v>27</v>
      </c>
      <c r="CV28" s="95">
        <f si="6" t="shared"/>
        <v>2</v>
      </c>
      <c r="CW28" s="95">
        <f si="0" t="shared"/>
        <v>7</v>
      </c>
      <c r="CX28" s="58">
        <f si="1" t="shared"/>
        <v>1175.5011086474501</v>
      </c>
      <c r="CY28" s="58">
        <f si="2" t="shared"/>
        <v>2732.9999999999995</v>
      </c>
      <c r="CZ28" s="108">
        <f si="3" t="shared"/>
        <v>1557.4988913525494</v>
      </c>
      <c r="DA28" s="78">
        <f si="4" t="shared"/>
        <v>1.3249659059400054</v>
      </c>
      <c r="DB28" s="95">
        <v>27000</v>
      </c>
    </row>
    <row r="29" spans="2:106" x14ac:dyDescent="0.2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Y29" s="95"/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 s="95">
        <v>28</v>
      </c>
      <c r="CV29" s="95">
        <f si="6" t="shared"/>
        <v>2</v>
      </c>
      <c r="CW29" s="95">
        <f si="0" t="shared"/>
        <v>8</v>
      </c>
      <c r="CX29" s="58">
        <f si="1" t="shared"/>
        <v>38.5410199556541</v>
      </c>
      <c r="CY29" s="58">
        <f si="2" t="shared"/>
        <v>7.9999999999999991</v>
      </c>
      <c r="CZ29" s="108">
        <f si="3" t="shared"/>
        <v>-30.5410199556541</v>
      </c>
      <c r="DA29" s="78">
        <f si="4" t="shared"/>
        <v>-0.79242894948797604</v>
      </c>
      <c r="DB29" s="95">
        <v>28000</v>
      </c>
    </row>
    <row r="30" spans="2:106" x14ac:dyDescent="0.25">
      <c r="B30" s="31">
        <v>1</v>
      </c>
      <c r="C30" s="77">
        <f>Flow_ODData!C31</f>
        <v>3176.1152489219917</v>
      </c>
      <c r="D30" s="77">
        <f>Flow_ODData!D31</f>
        <v>452.88318306546455</v>
      </c>
      <c r="E30" s="77">
        <f>Flow_ODData!E31</f>
        <v>286.76009408075265</v>
      </c>
      <c r="F30" s="77">
        <f>Flow_ODData!F31</f>
        <v>211.60917287338299</v>
      </c>
      <c r="G30" s="77">
        <f>Flow_ODData!G31</f>
        <v>480.5703645629165</v>
      </c>
      <c r="H30" s="77">
        <f>Flow_ODData!H31</f>
        <v>2663.9023912191296</v>
      </c>
      <c r="I30" s="77">
        <f>Flow_ODData!I31</f>
        <v>357.95570364562917</v>
      </c>
      <c r="J30" s="77">
        <f>Flow_ODData!J31</f>
        <v>5.9329674637397094</v>
      </c>
      <c r="K30" s="77">
        <f>Flow_ODData!K31</f>
        <v>284.78243825950608</v>
      </c>
      <c r="L30" s="77">
        <f>Flow_ODData!L31</f>
        <v>154.25715405723244</v>
      </c>
      <c r="M30" s="77">
        <f>Flow_ODData!M31</f>
        <v>336.20148961191688</v>
      </c>
      <c r="N30" s="77">
        <f>Flow_ODData!N31</f>
        <v>1188.5711485691886</v>
      </c>
      <c r="O30" s="77">
        <f>Flow_ODData!O31</f>
        <v>235.34104272834182</v>
      </c>
      <c r="P30" s="77">
        <f>Flow_ODData!P31</f>
        <v>19.776558212465702</v>
      </c>
      <c r="Q30" s="77">
        <f>Flow_ODData!Q31</f>
        <v>33.620148961191688</v>
      </c>
      <c r="R30" s="77">
        <f>Flow_ODData!R31</f>
        <v>9.8882791062328508</v>
      </c>
      <c r="S30" s="77">
        <f>Flow_ODData!S31</f>
        <v>3.95531164249314</v>
      </c>
      <c r="T30" s="77">
        <f>Flow_ODData!T31</f>
        <v>25.709525676205409</v>
      </c>
      <c r="U30" s="77">
        <f>Flow_ODData!U31</f>
        <v>148.32418659349275</v>
      </c>
      <c r="V30" s="77">
        <f>Flow_ODData!V31</f>
        <v>13.84359074872599</v>
      </c>
      <c r="W30" s="77">
        <f>Flow_ODData!W31</f>
        <v>0</v>
      </c>
      <c r="X30" s="77">
        <f>SUM(C30:W30)</f>
        <v>10089.999999999998</v>
      </c>
      <c r="Y30" s="95"/>
      <c r="Z30" s="31">
        <v>1</v>
      </c>
      <c r="AA30" s="77">
        <f>County_Flow!AX34*AA$28</f>
        <v>2169</v>
      </c>
      <c r="AB30" s="77">
        <f>County_Flow!AY34*AB$28</f>
        <v>616</v>
      </c>
      <c r="AC30" s="77">
        <f>County_Flow!AZ34*AC$28</f>
        <v>353</v>
      </c>
      <c r="AD30" s="77">
        <f>County_Flow!BA34*AD$28</f>
        <v>105</v>
      </c>
      <c r="AE30" s="77">
        <f>County_Flow!BB34*AE$28</f>
        <v>414</v>
      </c>
      <c r="AF30" s="77">
        <f>County_Flow!BC34*AF$28</f>
        <v>2947</v>
      </c>
      <c r="AG30" s="77">
        <f>County_Flow!BD34*AG$28</f>
        <v>1113</v>
      </c>
      <c r="AH30" s="77">
        <f>County_Flow!BE34*AH$28</f>
        <v>2</v>
      </c>
      <c r="AI30" s="77">
        <f>County_Flow!BF34*AI$28</f>
        <v>362</v>
      </c>
      <c r="AJ30" s="77">
        <f>County_Flow!BG34*AJ$28</f>
        <v>188</v>
      </c>
      <c r="AK30" s="77">
        <f>County_Flow!BH34*AK$28</f>
        <v>114</v>
      </c>
      <c r="AL30" s="77">
        <f>County_Flow!BI34*AL$28</f>
        <v>911</v>
      </c>
      <c r="AM30" s="77">
        <f>County_Flow!BJ34*AM$28</f>
        <v>206</v>
      </c>
      <c r="AN30" s="77">
        <f>County_Flow!BK34*AN$28</f>
        <v>15</v>
      </c>
      <c r="AO30" s="77">
        <f>County_Flow!BL34*AO$28</f>
        <v>149</v>
      </c>
      <c r="AP30" s="77">
        <f>County_Flow!BM34*AP$28</f>
        <v>8</v>
      </c>
      <c r="AQ30" s="77">
        <f>County_Flow!BN34*AQ$28</f>
        <v>199</v>
      </c>
      <c r="AR30" s="77">
        <f>County_Flow!BO34*AR$28</f>
        <v>104</v>
      </c>
      <c r="AS30" s="77">
        <f>County_Flow!BP34*AS$28</f>
        <v>110</v>
      </c>
      <c r="AT30" s="77">
        <f>County_Flow!BQ34*AT$28</f>
        <v>5</v>
      </c>
      <c r="AU30" s="77">
        <f>County_Flow!BR34</f>
        <v>0</v>
      </c>
      <c r="AV30" s="97">
        <f>SUM(AA30:AU30)</f>
        <v>10090</v>
      </c>
      <c r="AW30" s="139">
        <f>ABS((AV30-X30)/X30)</f>
        <v>1.8027645228402942E-16</v>
      </c>
      <c r="AY30" s="31">
        <v>1</v>
      </c>
      <c r="AZ30" s="77">
        <f>AA30*$X30/$AV30</f>
        <v>2168.9999999999995</v>
      </c>
      <c r="BA30" s="77">
        <f ref="BA30:BS30" si="10" t="shared">AB30*$X30/$AV30</f>
        <v>615.99999999999989</v>
      </c>
      <c r="BB30" s="77">
        <f si="10" t="shared"/>
        <v>352.99999999999994</v>
      </c>
      <c r="BC30" s="77">
        <f si="10" t="shared"/>
        <v>104.99999999999997</v>
      </c>
      <c r="BD30" s="77">
        <f si="10" t="shared"/>
        <v>413.99999999999989</v>
      </c>
      <c r="BE30" s="77">
        <f si="10" t="shared"/>
        <v>2946.9999999999995</v>
      </c>
      <c r="BF30" s="77">
        <f si="10" t="shared"/>
        <v>1112.9999999999998</v>
      </c>
      <c r="BG30" s="77">
        <f si="10" t="shared"/>
        <v>1.9999999999999996</v>
      </c>
      <c r="BH30" s="77">
        <f si="10" t="shared"/>
        <v>361.99999999999994</v>
      </c>
      <c r="BI30" s="77">
        <f si="10" t="shared"/>
        <v>187.99999999999997</v>
      </c>
      <c r="BJ30" s="77">
        <f si="10" t="shared"/>
        <v>113.99999999999997</v>
      </c>
      <c r="BK30" s="77">
        <f si="10" t="shared"/>
        <v>910.99999999999977</v>
      </c>
      <c r="BL30" s="77">
        <f si="10" t="shared"/>
        <v>205.99999999999994</v>
      </c>
      <c r="BM30" s="77">
        <f si="10" t="shared"/>
        <v>14.999999999999996</v>
      </c>
      <c r="BN30" s="77">
        <f si="10" t="shared"/>
        <v>148.99999999999997</v>
      </c>
      <c r="BO30" s="77">
        <f si="10" t="shared"/>
        <v>7.9999999999999982</v>
      </c>
      <c r="BP30" s="77">
        <f si="10" t="shared"/>
        <v>198.99999999999994</v>
      </c>
      <c r="BQ30" s="77">
        <f si="10" t="shared"/>
        <v>103.99999999999997</v>
      </c>
      <c r="BR30" s="77">
        <f si="10" t="shared"/>
        <v>109.99999999999997</v>
      </c>
      <c r="BS30" s="77">
        <f si="10" t="shared"/>
        <v>4.9999999999999991</v>
      </c>
      <c r="BT30" s="77">
        <f>AU30*$X30/$AV30</f>
        <v>0</v>
      </c>
      <c r="BU30" s="77">
        <f ref="BU30:BU49" si="11" t="shared">AV30*$X30/$AV30</f>
        <v>10089.999999999998</v>
      </c>
      <c r="BW30" s="31">
        <v>1</v>
      </c>
      <c r="BX30" s="77">
        <f>ABS(AZ30-C30)</f>
        <v>1007.1152489219921</v>
      </c>
      <c r="BY30" s="77">
        <f ref="BY30:CS30" si="12" t="shared">ABS(BA30-D30)</f>
        <v>163.11681693453534</v>
      </c>
      <c r="BZ30" s="77">
        <f si="12" t="shared"/>
        <v>66.239905919247292</v>
      </c>
      <c r="CA30" s="77">
        <f si="12" t="shared"/>
        <v>106.60917287338302</v>
      </c>
      <c r="CB30" s="77">
        <f si="12" t="shared"/>
        <v>66.570364562916609</v>
      </c>
      <c r="CC30" s="77">
        <f si="12" t="shared"/>
        <v>283.0976087808699</v>
      </c>
      <c r="CD30" s="77">
        <f si="12" t="shared"/>
        <v>755.04429635437054</v>
      </c>
      <c r="CE30" s="77">
        <f si="12" t="shared"/>
        <v>3.9329674637397098</v>
      </c>
      <c r="CF30" s="77">
        <f si="12" t="shared"/>
        <v>77.217561740493863</v>
      </c>
      <c r="CG30" s="77">
        <f si="12" t="shared"/>
        <v>33.742845942767531</v>
      </c>
      <c r="CH30" s="77">
        <f si="12" t="shared"/>
        <v>222.20148961191691</v>
      </c>
      <c r="CI30" s="77">
        <f si="12" t="shared"/>
        <v>277.57114856918884</v>
      </c>
      <c r="CJ30" s="77">
        <f si="12" t="shared"/>
        <v>29.341042728341876</v>
      </c>
      <c r="CK30" s="77">
        <f si="12" t="shared"/>
        <v>4.7765582124657051</v>
      </c>
      <c r="CL30" s="77">
        <f si="12" t="shared"/>
        <v>115.37985103880828</v>
      </c>
      <c r="CM30" s="77">
        <f si="12" t="shared"/>
        <v>1.8882791062328526</v>
      </c>
      <c r="CN30" s="77">
        <f si="12" t="shared"/>
        <v>195.0446883575068</v>
      </c>
      <c r="CO30" s="77">
        <f si="12" t="shared"/>
        <v>78.29047432379457</v>
      </c>
      <c r="CP30" s="77">
        <f si="12" t="shared"/>
        <v>38.324186593492783</v>
      </c>
      <c r="CQ30" s="77">
        <f si="12" t="shared"/>
        <v>8.8435907487259904</v>
      </c>
      <c r="CR30" s="77">
        <f si="12" t="shared"/>
        <v>0</v>
      </c>
      <c r="CS30" s="77">
        <f si="12" t="shared"/>
        <v>0</v>
      </c>
      <c r="CU30" s="95">
        <v>29</v>
      </c>
      <c r="CV30" s="95">
        <f si="6" t="shared"/>
        <v>2</v>
      </c>
      <c r="CW30" s="95">
        <f si="0" t="shared"/>
        <v>9</v>
      </c>
      <c r="CX30" s="58">
        <f si="1" t="shared"/>
        <v>777.2439024390244</v>
      </c>
      <c r="CY30" s="58">
        <f si="2" t="shared"/>
        <v>1033.9999999999998</v>
      </c>
      <c r="CZ30" s="108">
        <f si="3" t="shared"/>
        <v>256.75609756097538</v>
      </c>
      <c r="DA30" s="78">
        <f si="4" t="shared"/>
        <v>0.3303417328270622</v>
      </c>
      <c r="DB30" s="95">
        <v>29000</v>
      </c>
    </row>
    <row r="31" spans="2:106" x14ac:dyDescent="0.25">
      <c r="B31" s="95">
        <v>2</v>
      </c>
      <c r="C31" s="77">
        <f>Flow_ODData!C32</f>
        <v>1079.1485587583149</v>
      </c>
      <c r="D31" s="77">
        <f>Flow_ODData!D32</f>
        <v>5402.1662971175165</v>
      </c>
      <c r="E31" s="77">
        <f>Flow_ODData!E32</f>
        <v>475.3392461197339</v>
      </c>
      <c r="F31" s="77">
        <f>Flow_ODData!F32</f>
        <v>237.66962305986695</v>
      </c>
      <c r="G31" s="77">
        <f>Flow_ODData!G32</f>
        <v>443.22172949002214</v>
      </c>
      <c r="H31" s="77">
        <f>Flow_ODData!H32</f>
        <v>2331.7317073170734</v>
      </c>
      <c r="I31" s="77">
        <f>Flow_ODData!I32</f>
        <v>1175.5011086474501</v>
      </c>
      <c r="J31" s="77">
        <f>Flow_ODData!J32</f>
        <v>38.5410199556541</v>
      </c>
      <c r="K31" s="77">
        <f>Flow_ODData!K32</f>
        <v>777.2439024390244</v>
      </c>
      <c r="L31" s="77">
        <f>Flow_ODData!L32</f>
        <v>205.55210643015522</v>
      </c>
      <c r="M31" s="77">
        <f>Flow_ODData!M32</f>
        <v>308.3281596452328</v>
      </c>
      <c r="N31" s="77">
        <f>Flow_ODData!N32</f>
        <v>1387.4767184035477</v>
      </c>
      <c r="O31" s="77">
        <f>Flow_ODData!O32</f>
        <v>301.9046563192905</v>
      </c>
      <c r="P31" s="77">
        <f>Flow_ODData!P32</f>
        <v>6.4235033259423506</v>
      </c>
      <c r="Q31" s="77">
        <f>Flow_ODData!Q32</f>
        <v>96.352549889135261</v>
      </c>
      <c r="R31" s="77">
        <f>Flow_ODData!R32</f>
        <v>0</v>
      </c>
      <c r="S31" s="77">
        <f>Flow_ODData!S32</f>
        <v>25.694013303769403</v>
      </c>
      <c r="T31" s="77">
        <f>Flow_ODData!T32</f>
        <v>44.964523281596449</v>
      </c>
      <c r="U31" s="77">
        <f>Flow_ODData!U32</f>
        <v>109.19955654101996</v>
      </c>
      <c r="V31" s="77">
        <f>Flow_ODData!V32</f>
        <v>38.5410199556541</v>
      </c>
      <c r="W31" s="77">
        <f>Flow_ODData!W32</f>
        <v>0</v>
      </c>
      <c r="X31" s="77">
        <f ref="X31:X51" si="13" t="shared">SUM(C31:W31)</f>
        <v>14484.999999999998</v>
      </c>
      <c r="Y31" s="95"/>
      <c r="Z31" s="95">
        <v>2</v>
      </c>
      <c r="AA31" s="77">
        <f>County_Flow!AX35*AA$28</f>
        <v>1783</v>
      </c>
      <c r="AB31" s="77">
        <f>County_Flow!AY35*AB$28</f>
        <v>1444</v>
      </c>
      <c r="AC31" s="77">
        <f>County_Flow!AZ35*AC$28</f>
        <v>460</v>
      </c>
      <c r="AD31" s="77">
        <f>County_Flow!BA35*AD$28</f>
        <v>128</v>
      </c>
      <c r="AE31" s="77">
        <f>County_Flow!BB35*AE$28</f>
        <v>399</v>
      </c>
      <c r="AF31" s="77">
        <f>County_Flow!BC35*AF$28</f>
        <v>3162</v>
      </c>
      <c r="AG31" s="77">
        <f>County_Flow!BD35*AG$28</f>
        <v>2733</v>
      </c>
      <c r="AH31" s="77">
        <f>County_Flow!BE35*AH$28</f>
        <v>8</v>
      </c>
      <c r="AI31" s="77">
        <f>County_Flow!BF35*AI$28</f>
        <v>1034</v>
      </c>
      <c r="AJ31" s="77">
        <f>County_Flow!BG35*AJ$28</f>
        <v>194</v>
      </c>
      <c r="AK31" s="77">
        <f>County_Flow!BH35*AK$28</f>
        <v>188</v>
      </c>
      <c r="AL31" s="77">
        <f>County_Flow!BI35*AL$28</f>
        <v>1518</v>
      </c>
      <c r="AM31" s="77">
        <f>County_Flow!BJ35*AM$28</f>
        <v>485</v>
      </c>
      <c r="AN31" s="77">
        <f>County_Flow!BK35*AN$28</f>
        <v>34</v>
      </c>
      <c r="AO31" s="77">
        <f>County_Flow!BL35*AO$28</f>
        <v>306</v>
      </c>
      <c r="AP31" s="77">
        <f>County_Flow!BM35*AP$28</f>
        <v>28</v>
      </c>
      <c r="AQ31" s="77">
        <f>County_Flow!BN35*AQ$28</f>
        <v>264</v>
      </c>
      <c r="AR31" s="77">
        <f>County_Flow!BO35*AR$28</f>
        <v>187</v>
      </c>
      <c r="AS31" s="77">
        <f>County_Flow!BP35*AS$28</f>
        <v>119</v>
      </c>
      <c r="AT31" s="77">
        <f>County_Flow!BQ35*AT$28</f>
        <v>11</v>
      </c>
      <c r="AU31" s="77">
        <f>County_Flow!BR35</f>
        <v>0</v>
      </c>
      <c r="AV31" s="15">
        <f ref="AV31:AV49" si="14" t="shared">SUM(AA31:AU31)</f>
        <v>14485</v>
      </c>
      <c r="AW31" s="139">
        <f ref="AW31:AW49" si="15" t="shared">ABS((AV31-X31)/X31)</f>
        <v>1.2557745278190243E-16</v>
      </c>
      <c r="AY31" s="95">
        <v>2</v>
      </c>
      <c r="AZ31" s="77">
        <f ref="AZ31:AZ49" si="16" t="shared">AA31*$X31/$AV31</f>
        <v>1782.9999999999998</v>
      </c>
      <c r="BA31" s="77">
        <f ref="BA31:BA49" si="17" t="shared">AB31*$X31/$AV31</f>
        <v>1443.9999999999998</v>
      </c>
      <c r="BB31" s="77">
        <f ref="BB31:BB49" si="18" t="shared">AC31*$X31/$AV31</f>
        <v>459.99999999999994</v>
      </c>
      <c r="BC31" s="77">
        <f ref="BC31:BC49" si="19" t="shared">AD31*$X31/$AV31</f>
        <v>127.99999999999999</v>
      </c>
      <c r="BD31" s="77">
        <f ref="BD31:BD49" si="20" t="shared">AE31*$X31/$AV31</f>
        <v>398.99999999999994</v>
      </c>
      <c r="BE31" s="77">
        <f ref="BE31:BE49" si="21" t="shared">AF31*$X31/$AV31</f>
        <v>3161.9999999999995</v>
      </c>
      <c r="BF31" s="77">
        <f ref="BF31:BF49" si="22" t="shared">AG31*$X31/$AV31</f>
        <v>2732.9999999999995</v>
      </c>
      <c r="BG31" s="77">
        <f ref="BG31:BG49" si="23" t="shared">AH31*$X31/$AV31</f>
        <v>7.9999999999999991</v>
      </c>
      <c r="BH31" s="77">
        <f ref="BH31:BH49" si="24" t="shared">AI31*$X31/$AV31</f>
        <v>1033.9999999999998</v>
      </c>
      <c r="BI31" s="77">
        <f ref="BI31:BI49" si="25" t="shared">AJ31*$X31/$AV31</f>
        <v>193.99999999999997</v>
      </c>
      <c r="BJ31" s="77">
        <f ref="BJ31:BJ49" si="26" t="shared">AK31*$X31/$AV31</f>
        <v>187.99999999999997</v>
      </c>
      <c r="BK31" s="77">
        <f ref="BK31:BK49" si="27" t="shared">AL31*$X31/$AV31</f>
        <v>1517.9999999999998</v>
      </c>
      <c r="BL31" s="77">
        <f ref="BL31:BL49" si="28" t="shared">AM31*$X31/$AV31</f>
        <v>484.99999999999994</v>
      </c>
      <c r="BM31" s="77">
        <f ref="BM31:BM49" si="29" t="shared">AN31*$X31/$AV31</f>
        <v>33.999999999999993</v>
      </c>
      <c r="BN31" s="77">
        <f ref="BN31:BN49" si="30" t="shared">AO31*$X31/$AV31</f>
        <v>305.99999999999994</v>
      </c>
      <c r="BO31" s="77">
        <f ref="BO31:BO49" si="31" t="shared">AP31*$X31/$AV31</f>
        <v>27.999999999999996</v>
      </c>
      <c r="BP31" s="77">
        <f ref="BP31:BP49" si="32" t="shared">AQ31*$X31/$AV31</f>
        <v>263.99999999999994</v>
      </c>
      <c r="BQ31" s="77">
        <f ref="BQ31:BQ49" si="33" t="shared">AR31*$X31/$AV31</f>
        <v>186.99999999999997</v>
      </c>
      <c r="BR31" s="77">
        <f ref="BR31:BR49" si="34" t="shared">AS31*$X31/$AV31</f>
        <v>118.99999999999999</v>
      </c>
      <c r="BS31" s="77">
        <f ref="BS31:BS49" si="35" t="shared">AT31*$X31/$AV31</f>
        <v>10.999999999999998</v>
      </c>
      <c r="BT31" s="77">
        <f ref="BT31:BT50" si="36" t="shared">ABS(AU31-W31)</f>
        <v>0</v>
      </c>
      <c r="BU31" s="77">
        <f si="11" t="shared"/>
        <v>14484.999999999998</v>
      </c>
      <c r="BV31" s="95"/>
      <c r="BW31" s="95">
        <v>2</v>
      </c>
      <c r="BX31" s="77">
        <f ref="BX31:BX49" si="37" t="shared">ABS(AZ31-C31)</f>
        <v>703.85144124168482</v>
      </c>
      <c r="BY31" s="77">
        <f ref="BY31:BY49" si="38" t="shared">ABS(BA31-D31)</f>
        <v>3958.1662971175165</v>
      </c>
      <c r="BZ31" s="77">
        <f ref="BZ31:BZ49" si="39" t="shared">ABS(BB31-E31)</f>
        <v>15.339246119733957</v>
      </c>
      <c r="CA31" s="77">
        <f ref="CA31:CA49" si="40" t="shared">ABS(BC31-F31)</f>
        <v>109.66962305986696</v>
      </c>
      <c r="CB31" s="77">
        <f ref="CB31:CB49" si="41" t="shared">ABS(BD31-G31)</f>
        <v>44.221729490022199</v>
      </c>
      <c r="CC31" s="77">
        <f ref="CC31:CC49" si="42" t="shared">ABS(BE31-H31)</f>
        <v>830.26829268292613</v>
      </c>
      <c r="CD31" s="77">
        <f ref="CD31:CD49" si="43" t="shared">ABS(BF31-I31)</f>
        <v>1557.4988913525494</v>
      </c>
      <c r="CE31" s="77">
        <f ref="CE31:CE49" si="44" t="shared">ABS(BG31-J31)</f>
        <v>30.5410199556541</v>
      </c>
      <c r="CF31" s="77">
        <f ref="CF31:CF49" si="45" t="shared">ABS(BH31-K31)</f>
        <v>256.75609756097538</v>
      </c>
      <c r="CG31" s="77">
        <f ref="CG31:CG49" si="46" t="shared">ABS(BI31-L31)</f>
        <v>11.552106430155249</v>
      </c>
      <c r="CH31" s="77">
        <f ref="CH31:CH49" si="47" t="shared">ABS(BJ31-M31)</f>
        <v>120.32815964523283</v>
      </c>
      <c r="CI31" s="77">
        <f ref="CI31:CI49" si="48" t="shared">ABS(BK31-N31)</f>
        <v>130.52328159645208</v>
      </c>
      <c r="CJ31" s="77">
        <f ref="CJ31:CJ49" si="49" t="shared">ABS(BL31-O31)</f>
        <v>183.09534368070945</v>
      </c>
      <c r="CK31" s="77">
        <f ref="CK31:CK49" si="50" t="shared">ABS(BM31-P31)</f>
        <v>27.576496674057644</v>
      </c>
      <c r="CL31" s="77">
        <f ref="CL31:CL49" si="51" t="shared">ABS(BN31-Q31)</f>
        <v>209.64745011086467</v>
      </c>
      <c r="CM31" s="77">
        <f ref="CM31:CM49" si="52" t="shared">ABS(BO31-R31)</f>
        <v>27.999999999999996</v>
      </c>
      <c r="CN31" s="77">
        <f ref="CN31:CN49" si="53" t="shared">ABS(BP31-S31)</f>
        <v>238.30598669623055</v>
      </c>
      <c r="CO31" s="77">
        <f ref="CO31:CO49" si="54" t="shared">ABS(BQ31-T31)</f>
        <v>142.03547671840352</v>
      </c>
      <c r="CP31" s="77">
        <f ref="CP31:CP49" si="55" t="shared">ABS(BR31-U31)</f>
        <v>9.8004434589800269</v>
      </c>
      <c r="CQ31" s="77">
        <f ref="CQ31:CQ49" si="56" t="shared">ABS(BS31-V31)</f>
        <v>27.5410199556541</v>
      </c>
      <c r="CR31" s="77">
        <f ref="CR31:CR49" si="57" t="shared">ABS(BT31-W31)</f>
        <v>0</v>
      </c>
      <c r="CS31" s="77">
        <f ref="CS31:CS49" si="58" t="shared">ABS(BU31-X31)</f>
        <v>0</v>
      </c>
      <c r="CU31" s="95">
        <v>30</v>
      </c>
      <c r="CV31" s="95">
        <f si="6" t="shared"/>
        <v>2</v>
      </c>
      <c r="CW31" s="95">
        <f si="0" t="shared"/>
        <v>10</v>
      </c>
      <c r="CX31" s="58">
        <f si="1" t="shared"/>
        <v>205.55210643015522</v>
      </c>
      <c r="CY31" s="58">
        <f si="2" t="shared"/>
        <v>193.99999999999997</v>
      </c>
      <c r="CZ31" s="108">
        <f si="3" t="shared"/>
        <v>-11.552106430155249</v>
      </c>
      <c r="DA31" s="78">
        <f si="4" t="shared"/>
        <v>-5.6200379703141359E-2</v>
      </c>
      <c r="DB31" s="95">
        <v>30000</v>
      </c>
    </row>
    <row r="32" spans="2:106" x14ac:dyDescent="0.25">
      <c r="B32" s="95">
        <v>3</v>
      </c>
      <c r="C32" s="77">
        <f>Flow_ODData!C33</f>
        <v>3971.509368892976</v>
      </c>
      <c r="D32" s="77">
        <f>Flow_ODData!D33</f>
        <v>2739.5148867685944</v>
      </c>
      <c r="E32" s="77">
        <f>Flow_ODData!E33</f>
        <v>7758.0227612369245</v>
      </c>
      <c r="F32" s="77">
        <f>Flow_ODData!F33</f>
        <v>1456.3513047476722</v>
      </c>
      <c r="G32" s="77">
        <f>Flow_ODData!G33</f>
        <v>1755.4937349120589</v>
      </c>
      <c r="H32" s="77">
        <f>Flow_ODData!H33</f>
        <v>6100.9311415105185</v>
      </c>
      <c r="I32" s="77">
        <f>Flow_ODData!I33</f>
        <v>885.61903667088177</v>
      </c>
      <c r="J32" s="77">
        <f>Flow_ODData!J33</f>
        <v>358.18369927577885</v>
      </c>
      <c r="K32" s="77">
        <f>Flow_ODData!K33</f>
        <v>1641.3472812967009</v>
      </c>
      <c r="L32" s="77">
        <f>Flow_ODData!L33</f>
        <v>1153.2727899758593</v>
      </c>
      <c r="M32" s="77">
        <f>Flow_ODData!M33</f>
        <v>2475.7972180710426</v>
      </c>
      <c r="N32" s="77">
        <f>Flow_ODData!N33</f>
        <v>3137.0594321186345</v>
      </c>
      <c r="O32" s="77">
        <f>Flow_ODData!O33</f>
        <v>271.58983791240377</v>
      </c>
      <c r="P32" s="77">
        <f>Flow_ODData!P33</f>
        <v>125.95470743763651</v>
      </c>
      <c r="Q32" s="77">
        <f>Flow_ODData!Q33</f>
        <v>78.72169214852282</v>
      </c>
      <c r="R32" s="77">
        <f>Flow_ODData!R33</f>
        <v>78.72169214852282</v>
      </c>
      <c r="S32" s="77">
        <f>Flow_ODData!S33</f>
        <v>27.552592251982986</v>
      </c>
      <c r="T32" s="77">
        <f>Flow_ODData!T33</f>
        <v>31.488676859409129</v>
      </c>
      <c r="U32" s="77">
        <f>Flow_ODData!U33</f>
        <v>141.69904586734108</v>
      </c>
      <c r="V32" s="77">
        <f>Flow_ODData!V33</f>
        <v>51.169099896539834</v>
      </c>
      <c r="W32" s="77">
        <f>Flow_ODData!W33</f>
        <v>0</v>
      </c>
      <c r="X32" s="77">
        <f si="13" t="shared"/>
        <v>34240</v>
      </c>
      <c r="Y32" s="95"/>
      <c r="Z32" s="95">
        <v>3</v>
      </c>
      <c r="AA32" s="77">
        <f>County_Flow!AX36*AA$28</f>
        <v>5159</v>
      </c>
      <c r="AB32" s="77">
        <f>County_Flow!AY36*AB$28</f>
        <v>2383</v>
      </c>
      <c r="AC32" s="77">
        <f>County_Flow!AZ36*AC$28</f>
        <v>2724</v>
      </c>
      <c r="AD32" s="77">
        <f>County_Flow!BA36*AD$28</f>
        <v>445</v>
      </c>
      <c r="AE32" s="77">
        <f>County_Flow!BB36*AE$28</f>
        <v>1437</v>
      </c>
      <c r="AF32" s="77">
        <f>County_Flow!BC36*AF$28</f>
        <v>7895</v>
      </c>
      <c r="AG32" s="77">
        <f>County_Flow!BD36*AG$28</f>
        <v>4092</v>
      </c>
      <c r="AH32" s="77">
        <f>County_Flow!BE36*AH$28</f>
        <v>30</v>
      </c>
      <c r="AI32" s="77">
        <f>County_Flow!BF36*AI$28</f>
        <v>1721</v>
      </c>
      <c r="AJ32" s="77">
        <f>County_Flow!BG36*AJ$28</f>
        <v>590</v>
      </c>
      <c r="AK32" s="77">
        <f>County_Flow!BH36*AK$28</f>
        <v>885</v>
      </c>
      <c r="AL32" s="77">
        <f>County_Flow!BI36*AL$28</f>
        <v>3106</v>
      </c>
      <c r="AM32" s="77">
        <f>County_Flow!BJ36*AM$28</f>
        <v>742</v>
      </c>
      <c r="AN32" s="77">
        <f>County_Flow!BK36*AN$28</f>
        <v>101</v>
      </c>
      <c r="AO32" s="77">
        <f>County_Flow!BL36*AO$28</f>
        <v>392</v>
      </c>
      <c r="AP32" s="77">
        <f>County_Flow!BM36*AP$28</f>
        <v>30</v>
      </c>
      <c r="AQ32" s="77">
        <f>County_Flow!BN36*AQ$28</f>
        <v>1419</v>
      </c>
      <c r="AR32" s="77">
        <f>County_Flow!BO36*AR$28</f>
        <v>499</v>
      </c>
      <c r="AS32" s="77">
        <f>County_Flow!BP36*AS$28</f>
        <v>565</v>
      </c>
      <c r="AT32" s="77">
        <f>County_Flow!BQ36*AT$28</f>
        <v>25</v>
      </c>
      <c r="AU32" s="77">
        <f>County_Flow!BR36</f>
        <v>0</v>
      </c>
      <c r="AV32" s="15">
        <f si="14" t="shared"/>
        <v>34240</v>
      </c>
      <c r="AW32" s="139">
        <f si="15" t="shared"/>
        <v>0</v>
      </c>
      <c r="AY32" s="95">
        <v>3</v>
      </c>
      <c r="AZ32" s="77">
        <f si="16" t="shared"/>
        <v>5159</v>
      </c>
      <c r="BA32" s="77">
        <f si="17" t="shared"/>
        <v>2383</v>
      </c>
      <c r="BB32" s="77">
        <f si="18" t="shared"/>
        <v>2724</v>
      </c>
      <c r="BC32" s="77">
        <f si="19" t="shared"/>
        <v>445</v>
      </c>
      <c r="BD32" s="77">
        <f si="20" t="shared"/>
        <v>1437</v>
      </c>
      <c r="BE32" s="77">
        <f si="21" t="shared"/>
        <v>7895</v>
      </c>
      <c r="BF32" s="77">
        <f si="22" t="shared"/>
        <v>4092</v>
      </c>
      <c r="BG32" s="77">
        <f si="23" t="shared"/>
        <v>30</v>
      </c>
      <c r="BH32" s="77">
        <f si="24" t="shared"/>
        <v>1721</v>
      </c>
      <c r="BI32" s="77">
        <f si="25" t="shared"/>
        <v>590</v>
      </c>
      <c r="BJ32" s="77">
        <f si="26" t="shared"/>
        <v>885</v>
      </c>
      <c r="BK32" s="77">
        <f si="27" t="shared"/>
        <v>3106</v>
      </c>
      <c r="BL32" s="77">
        <f si="28" t="shared"/>
        <v>742</v>
      </c>
      <c r="BM32" s="77">
        <f si="29" t="shared"/>
        <v>101</v>
      </c>
      <c r="BN32" s="77">
        <f si="30" t="shared"/>
        <v>392</v>
      </c>
      <c r="BO32" s="77">
        <f si="31" t="shared"/>
        <v>30</v>
      </c>
      <c r="BP32" s="77">
        <f si="32" t="shared"/>
        <v>1419</v>
      </c>
      <c r="BQ32" s="77">
        <f si="33" t="shared"/>
        <v>499</v>
      </c>
      <c r="BR32" s="77">
        <f si="34" t="shared"/>
        <v>565</v>
      </c>
      <c r="BS32" s="77">
        <f si="35" t="shared"/>
        <v>25</v>
      </c>
      <c r="BT32" s="77">
        <f si="36" t="shared"/>
        <v>0</v>
      </c>
      <c r="BU32" s="77">
        <f si="11" t="shared"/>
        <v>34240</v>
      </c>
      <c r="BV32" s="95"/>
      <c r="BW32" s="95">
        <v>3</v>
      </c>
      <c r="BX32" s="77">
        <f si="37" t="shared"/>
        <v>1187.490631107024</v>
      </c>
      <c r="BY32" s="77">
        <f si="38" t="shared"/>
        <v>356.51488676859435</v>
      </c>
      <c r="BZ32" s="77">
        <f si="39" t="shared"/>
        <v>5034.0227612369245</v>
      </c>
      <c r="CA32" s="77">
        <f si="40" t="shared"/>
        <v>1011.3513047476722</v>
      </c>
      <c r="CB32" s="77">
        <f si="41" t="shared"/>
        <v>318.49373491205893</v>
      </c>
      <c r="CC32" s="77">
        <f si="42" t="shared"/>
        <v>1794.0688584894815</v>
      </c>
      <c r="CD32" s="77">
        <f si="43" t="shared"/>
        <v>3206.3809633291185</v>
      </c>
      <c r="CE32" s="77">
        <f si="44" t="shared"/>
        <v>328.18369927577885</v>
      </c>
      <c r="CF32" s="77">
        <f si="45" t="shared"/>
        <v>79.652718703299115</v>
      </c>
      <c r="CG32" s="77">
        <f si="46" t="shared"/>
        <v>563.27278997585927</v>
      </c>
      <c r="CH32" s="77">
        <f si="47" t="shared"/>
        <v>1590.7972180710426</v>
      </c>
      <c r="CI32" s="77">
        <f si="48" t="shared"/>
        <v>31.059432118634504</v>
      </c>
      <c r="CJ32" s="77">
        <f si="49" t="shared"/>
        <v>470.41016208759623</v>
      </c>
      <c r="CK32" s="77">
        <f si="50" t="shared"/>
        <v>24.954707437636515</v>
      </c>
      <c r="CL32" s="77">
        <f si="51" t="shared"/>
        <v>313.27830785147717</v>
      </c>
      <c r="CM32" s="77">
        <f si="52" t="shared"/>
        <v>48.72169214852282</v>
      </c>
      <c r="CN32" s="77">
        <f si="53" t="shared"/>
        <v>1391.447407748017</v>
      </c>
      <c r="CO32" s="77">
        <f si="54" t="shared"/>
        <v>467.51132314059089</v>
      </c>
      <c r="CP32" s="77">
        <f si="55" t="shared"/>
        <v>423.30095413265894</v>
      </c>
      <c r="CQ32" s="77">
        <f si="56" t="shared"/>
        <v>26.169099896539834</v>
      </c>
      <c r="CR32" s="77">
        <f si="57" t="shared"/>
        <v>0</v>
      </c>
      <c r="CS32" s="77">
        <f si="58" t="shared"/>
        <v>0</v>
      </c>
      <c r="CU32" s="95">
        <v>31</v>
      </c>
      <c r="CV32" s="95">
        <f si="6" t="shared"/>
        <v>2</v>
      </c>
      <c r="CW32" s="95">
        <f si="0" t="shared"/>
        <v>11</v>
      </c>
      <c r="CX32" s="58">
        <f si="1" t="shared"/>
        <v>308.3281596452328</v>
      </c>
      <c r="CY32" s="58">
        <f si="2" t="shared"/>
        <v>187.99999999999997</v>
      </c>
      <c r="CZ32" s="108">
        <f si="3" t="shared"/>
        <v>-120.32815964523283</v>
      </c>
      <c r="DA32" s="78">
        <f si="4" t="shared"/>
        <v>-0.39026003912092977</v>
      </c>
      <c r="DB32" s="95">
        <v>31000</v>
      </c>
    </row>
    <row r="33" spans="2:106" x14ac:dyDescent="0.25">
      <c r="B33" s="95">
        <v>4</v>
      </c>
      <c r="C33" s="77">
        <f>Flow_ODData!C34</f>
        <v>939.31498312126723</v>
      </c>
      <c r="D33" s="77">
        <f>Flow_ODData!D34</f>
        <v>584.32303297844715</v>
      </c>
      <c r="E33" s="77">
        <f>Flow_ODData!E34</f>
        <v>951.88106985198647</v>
      </c>
      <c r="F33" s="77">
        <f>Flow_ODData!F34</f>
        <v>1976.0171384056091</v>
      </c>
      <c r="G33" s="77">
        <f>Flow_ODData!G34</f>
        <v>2230.4803947026744</v>
      </c>
      <c r="H33" s="77">
        <f>Flow_ODData!H34</f>
        <v>1730.9784471565827</v>
      </c>
      <c r="I33" s="77">
        <f>Flow_ODData!I34</f>
        <v>468.08673071929371</v>
      </c>
      <c r="J33" s="77">
        <f>Flow_ODData!J34</f>
        <v>223.04803947026744</v>
      </c>
      <c r="K33" s="77">
        <f>Flow_ODData!K34</f>
        <v>430.38847052713584</v>
      </c>
      <c r="L33" s="77">
        <f>Flow_ODData!L34</f>
        <v>870.2015061023111</v>
      </c>
      <c r="M33" s="77">
        <f>Flow_ODData!M34</f>
        <v>468.08673071929371</v>
      </c>
      <c r="N33" s="77">
        <f>Flow_ODData!N34</f>
        <v>838.7862892755129</v>
      </c>
      <c r="O33" s="77">
        <f>Flow_ODData!O34</f>
        <v>103.67021552843417</v>
      </c>
      <c r="P33" s="77">
        <f>Flow_ODData!P34</f>
        <v>34.556738509478059</v>
      </c>
      <c r="Q33" s="77">
        <f>Flow_ODData!Q34</f>
        <v>119.37782394183328</v>
      </c>
      <c r="R33" s="77">
        <f>Flow_ODData!R34</f>
        <v>50.264346922877174</v>
      </c>
      <c r="S33" s="77">
        <f>Flow_ODData!S34</f>
        <v>15.707608413399118</v>
      </c>
      <c r="T33" s="77">
        <f>Flow_ODData!T34</f>
        <v>25.132173461438587</v>
      </c>
      <c r="U33" s="77">
        <f>Flow_ODData!U34</f>
        <v>31.415216826798236</v>
      </c>
      <c r="V33" s="77">
        <f>Flow_ODData!V34</f>
        <v>6.2830433653596467</v>
      </c>
      <c r="W33" s="77">
        <f>Flow_ODData!W34</f>
        <v>0</v>
      </c>
      <c r="X33" s="77">
        <f si="13" t="shared"/>
        <v>12098</v>
      </c>
      <c r="Y33" s="95"/>
      <c r="Z33" s="95">
        <v>4</v>
      </c>
      <c r="AA33" s="77">
        <f>County_Flow!AX37*AA$28</f>
        <v>1641</v>
      </c>
      <c r="AB33" s="77">
        <f>County_Flow!AY37*AB$28</f>
        <v>801</v>
      </c>
      <c r="AC33" s="77">
        <f>County_Flow!AZ37*AC$28</f>
        <v>485</v>
      </c>
      <c r="AD33" s="77">
        <f>County_Flow!BA37*AD$28</f>
        <v>336</v>
      </c>
      <c r="AE33" s="77">
        <f>County_Flow!BB37*AE$28</f>
        <v>697</v>
      </c>
      <c r="AF33" s="77">
        <f>County_Flow!BC37*AF$28</f>
        <v>3273</v>
      </c>
      <c r="AG33" s="77">
        <f>County_Flow!BD37*AG$28</f>
        <v>1200</v>
      </c>
      <c r="AH33" s="77">
        <f>County_Flow!BE37*AH$28</f>
        <v>13</v>
      </c>
      <c r="AI33" s="77">
        <f>County_Flow!BF37*AI$28</f>
        <v>511</v>
      </c>
      <c r="AJ33" s="77">
        <f>County_Flow!BG37*AJ$28</f>
        <v>356</v>
      </c>
      <c r="AK33" s="77">
        <f>County_Flow!BH37*AK$28</f>
        <v>336</v>
      </c>
      <c r="AL33" s="77">
        <f>County_Flow!BI37*AL$28</f>
        <v>1139</v>
      </c>
      <c r="AM33" s="77">
        <f>County_Flow!BJ37*AM$28</f>
        <v>216</v>
      </c>
      <c r="AN33" s="77">
        <f>County_Flow!BK37*AN$28</f>
        <v>55</v>
      </c>
      <c r="AO33" s="77">
        <f>County_Flow!BL37*AO$28</f>
        <v>155</v>
      </c>
      <c r="AP33" s="77">
        <f>County_Flow!BM37*AP$28</f>
        <v>49</v>
      </c>
      <c r="AQ33" s="77">
        <f>County_Flow!BN37*AQ$28</f>
        <v>464</v>
      </c>
      <c r="AR33" s="77">
        <f>County_Flow!BO37*AR$28</f>
        <v>176</v>
      </c>
      <c r="AS33" s="77">
        <f>County_Flow!BP37*AS$28</f>
        <v>180</v>
      </c>
      <c r="AT33" s="77">
        <f>County_Flow!BQ37*AT$28</f>
        <v>15</v>
      </c>
      <c r="AU33" s="77">
        <f>County_Flow!BR37</f>
        <v>0</v>
      </c>
      <c r="AV33" s="15">
        <f si="14" t="shared"/>
        <v>12098</v>
      </c>
      <c r="AW33" s="139">
        <f si="15" t="shared"/>
        <v>0</v>
      </c>
      <c r="AY33" s="95">
        <v>4</v>
      </c>
      <c r="AZ33" s="77">
        <f si="16" t="shared"/>
        <v>1641</v>
      </c>
      <c r="BA33" s="77">
        <f si="17" t="shared"/>
        <v>801</v>
      </c>
      <c r="BB33" s="77">
        <f si="18" t="shared"/>
        <v>485</v>
      </c>
      <c r="BC33" s="77">
        <f si="19" t="shared"/>
        <v>336</v>
      </c>
      <c r="BD33" s="77">
        <f si="20" t="shared"/>
        <v>697</v>
      </c>
      <c r="BE33" s="77">
        <f si="21" t="shared"/>
        <v>3273</v>
      </c>
      <c r="BF33" s="77">
        <f si="22" t="shared"/>
        <v>1200</v>
      </c>
      <c r="BG33" s="77">
        <f si="23" t="shared"/>
        <v>13</v>
      </c>
      <c r="BH33" s="77">
        <f si="24" t="shared"/>
        <v>511</v>
      </c>
      <c r="BI33" s="77">
        <f si="25" t="shared"/>
        <v>356</v>
      </c>
      <c r="BJ33" s="77">
        <f si="26" t="shared"/>
        <v>336</v>
      </c>
      <c r="BK33" s="77">
        <f si="27" t="shared"/>
        <v>1139</v>
      </c>
      <c r="BL33" s="77">
        <f si="28" t="shared"/>
        <v>216</v>
      </c>
      <c r="BM33" s="77">
        <f si="29" t="shared"/>
        <v>55</v>
      </c>
      <c r="BN33" s="77">
        <f si="30" t="shared"/>
        <v>155</v>
      </c>
      <c r="BO33" s="77">
        <f si="31" t="shared"/>
        <v>49</v>
      </c>
      <c r="BP33" s="77">
        <f si="32" t="shared"/>
        <v>464</v>
      </c>
      <c r="BQ33" s="77">
        <f si="33" t="shared"/>
        <v>176</v>
      </c>
      <c r="BR33" s="77">
        <f si="34" t="shared"/>
        <v>180</v>
      </c>
      <c r="BS33" s="77">
        <f si="35" t="shared"/>
        <v>15</v>
      </c>
      <c r="BT33" s="77">
        <f si="36" t="shared"/>
        <v>0</v>
      </c>
      <c r="BU33" s="77">
        <f si="11" t="shared"/>
        <v>12098</v>
      </c>
      <c r="BV33" s="95"/>
      <c r="BW33" s="95">
        <v>4</v>
      </c>
      <c r="BX33" s="77">
        <f si="37" t="shared"/>
        <v>701.68501687873277</v>
      </c>
      <c r="BY33" s="77">
        <f si="38" t="shared"/>
        <v>216.67696702155285</v>
      </c>
      <c r="BZ33" s="77">
        <f si="39" t="shared"/>
        <v>466.88106985198647</v>
      </c>
      <c r="CA33" s="77">
        <f si="40" t="shared"/>
        <v>1640.0171384056091</v>
      </c>
      <c r="CB33" s="77">
        <f si="41" t="shared"/>
        <v>1533.4803947026744</v>
      </c>
      <c r="CC33" s="77">
        <f si="42" t="shared"/>
        <v>1542.0215528434173</v>
      </c>
      <c r="CD33" s="77">
        <f si="43" t="shared"/>
        <v>731.91326928070634</v>
      </c>
      <c r="CE33" s="77">
        <f si="44" t="shared"/>
        <v>210.04803947026744</v>
      </c>
      <c r="CF33" s="77">
        <f si="45" t="shared"/>
        <v>80.611529472864163</v>
      </c>
      <c r="CG33" s="77">
        <f si="46" t="shared"/>
        <v>514.2015061023111</v>
      </c>
      <c r="CH33" s="77">
        <f si="47" t="shared"/>
        <v>132.08673071929371</v>
      </c>
      <c r="CI33" s="77">
        <f si="48" t="shared"/>
        <v>300.2137107244871</v>
      </c>
      <c r="CJ33" s="77">
        <f si="49" t="shared"/>
        <v>112.32978447156583</v>
      </c>
      <c r="CK33" s="77">
        <f si="50" t="shared"/>
        <v>20.443261490521941</v>
      </c>
      <c r="CL33" s="77">
        <f si="51" t="shared"/>
        <v>35.622176058166716</v>
      </c>
      <c r="CM33" s="77">
        <f si="52" t="shared"/>
        <v>1.2643469228771735</v>
      </c>
      <c r="CN33" s="77">
        <f si="53" t="shared"/>
        <v>448.2923915866009</v>
      </c>
      <c r="CO33" s="77">
        <f si="54" t="shared"/>
        <v>150.86782653856142</v>
      </c>
      <c r="CP33" s="77">
        <f si="55" t="shared"/>
        <v>148.58478317320177</v>
      </c>
      <c r="CQ33" s="77">
        <f si="56" t="shared"/>
        <v>8.7169566346403542</v>
      </c>
      <c r="CR33" s="77">
        <f si="57" t="shared"/>
        <v>0</v>
      </c>
      <c r="CS33" s="77">
        <f si="58" t="shared"/>
        <v>0</v>
      </c>
      <c r="CU33" s="95">
        <v>32</v>
      </c>
      <c r="CV33" s="95">
        <f si="6" t="shared"/>
        <v>2</v>
      </c>
      <c r="CW33" s="95">
        <f si="0" t="shared"/>
        <v>12</v>
      </c>
      <c r="CX33" s="58">
        <f si="1" t="shared"/>
        <v>1387.4767184035477</v>
      </c>
      <c r="CY33" s="58">
        <f si="2" t="shared"/>
        <v>1517.9999999999998</v>
      </c>
      <c r="CZ33" s="108">
        <f si="3" t="shared"/>
        <v>130.52328159645208</v>
      </c>
      <c r="DA33" s="78">
        <f si="4" t="shared"/>
        <v>9.4072412073792633E-2</v>
      </c>
      <c r="DB33" s="95">
        <v>32000</v>
      </c>
    </row>
    <row r="34" spans="2:106" x14ac:dyDescent="0.25">
      <c r="B34" s="95">
        <v>5</v>
      </c>
      <c r="C34" s="77">
        <f>Flow_ODData!C35</f>
        <v>1402.5383275261324</v>
      </c>
      <c r="D34" s="77">
        <f>Flow_ODData!D35</f>
        <v>537.27526132404182</v>
      </c>
      <c r="E34" s="77">
        <f>Flow_ODData!E35</f>
        <v>552.89372822299651</v>
      </c>
      <c r="F34" s="77">
        <f>Flow_ODData!F35</f>
        <v>587.25435540069691</v>
      </c>
      <c r="G34" s="77">
        <f>Flow_ODData!G35</f>
        <v>3039.3536585365855</v>
      </c>
      <c r="H34" s="77">
        <f>Flow_ODData!H35</f>
        <v>2851.9320557491292</v>
      </c>
      <c r="I34" s="77">
        <f>Flow_ODData!I35</f>
        <v>531.02787456445992</v>
      </c>
      <c r="J34" s="77">
        <f>Flow_ODData!J35</f>
        <v>71.844947735191639</v>
      </c>
      <c r="K34" s="77">
        <f>Flow_ODData!K35</f>
        <v>243.64808362369337</v>
      </c>
      <c r="L34" s="77">
        <f>Flow_ODData!L35</f>
        <v>627.86236933797909</v>
      </c>
      <c r="M34" s="77">
        <f>Flow_ODData!M35</f>
        <v>243.64808362369337</v>
      </c>
      <c r="N34" s="77">
        <f>Flow_ODData!N35</f>
        <v>1502.4965156794424</v>
      </c>
      <c r="O34" s="77">
        <f>Flow_ODData!O35</f>
        <v>37.484320557491287</v>
      </c>
      <c r="P34" s="77">
        <f>Flow_ODData!P35</f>
        <v>21.865853658536587</v>
      </c>
      <c r="Q34" s="77">
        <f>Flow_ODData!Q35</f>
        <v>49.979094076655052</v>
      </c>
      <c r="R34" s="77">
        <f>Flow_ODData!R35</f>
        <v>49.979094076655052</v>
      </c>
      <c r="S34" s="77">
        <f>Flow_ODData!S35</f>
        <v>12.494773519163763</v>
      </c>
      <c r="T34" s="77">
        <f>Flow_ODData!T35</f>
        <v>31.236933797909405</v>
      </c>
      <c r="U34" s="77">
        <f>Flow_ODData!U35</f>
        <v>153.0609756097561</v>
      </c>
      <c r="V34" s="77">
        <f>Flow_ODData!V35</f>
        <v>3.1236933797909407</v>
      </c>
      <c r="W34" s="77">
        <f>Flow_ODData!W35</f>
        <v>0</v>
      </c>
      <c r="X34" s="77">
        <f si="13" t="shared"/>
        <v>12551</v>
      </c>
      <c r="Y34" s="95"/>
      <c r="Z34" s="95">
        <v>5</v>
      </c>
      <c r="AA34" s="77">
        <f>County_Flow!AX38*AA$28</f>
        <v>1597</v>
      </c>
      <c r="AB34" s="77">
        <f>County_Flow!AY38*AB$28</f>
        <v>596</v>
      </c>
      <c r="AC34" s="77">
        <f>County_Flow!AZ38*AC$28</f>
        <v>355</v>
      </c>
      <c r="AD34" s="77">
        <f>County_Flow!BA38*AD$28</f>
        <v>178</v>
      </c>
      <c r="AE34" s="77">
        <f>County_Flow!BB38*AE$28</f>
        <v>1037</v>
      </c>
      <c r="AF34" s="77">
        <f>County_Flow!BC38*AF$28</f>
        <v>4541</v>
      </c>
      <c r="AG34" s="77">
        <f>County_Flow!BD38*AG$28</f>
        <v>1157</v>
      </c>
      <c r="AH34" s="77">
        <f>County_Flow!BE38*AH$28</f>
        <v>7</v>
      </c>
      <c r="AI34" s="77">
        <f>County_Flow!BF38*AI$28</f>
        <v>353</v>
      </c>
      <c r="AJ34" s="77">
        <f>County_Flow!BG38*AJ$28</f>
        <v>462</v>
      </c>
      <c r="AK34" s="77">
        <f>County_Flow!BH38*AK$28</f>
        <v>177</v>
      </c>
      <c r="AL34" s="77">
        <f>County_Flow!BI38*AL$28</f>
        <v>1147</v>
      </c>
      <c r="AM34" s="77">
        <f>County_Flow!BJ38*AM$28</f>
        <v>164</v>
      </c>
      <c r="AN34" s="77">
        <f>County_Flow!BK38*AN$28</f>
        <v>23</v>
      </c>
      <c r="AO34" s="77">
        <f>County_Flow!BL38*AO$28</f>
        <v>158</v>
      </c>
      <c r="AP34" s="77">
        <f>County_Flow!BM38*AP$28</f>
        <v>18</v>
      </c>
      <c r="AQ34" s="77">
        <f>County_Flow!BN38*AQ$28</f>
        <v>314</v>
      </c>
      <c r="AR34" s="77">
        <f>County_Flow!BO38*AR$28</f>
        <v>138</v>
      </c>
      <c r="AS34" s="77">
        <f>County_Flow!BP38*AS$28</f>
        <v>113</v>
      </c>
      <c r="AT34" s="77">
        <f>County_Flow!BQ38*AT$28</f>
        <v>16</v>
      </c>
      <c r="AU34" s="77">
        <f>County_Flow!BR38</f>
        <v>0</v>
      </c>
      <c r="AV34" s="15">
        <f si="14" t="shared"/>
        <v>12551</v>
      </c>
      <c r="AW34" s="139">
        <f si="15" t="shared"/>
        <v>0</v>
      </c>
      <c r="AY34" s="95">
        <v>5</v>
      </c>
      <c r="AZ34" s="77">
        <f si="16" t="shared"/>
        <v>1597</v>
      </c>
      <c r="BA34" s="77">
        <f si="17" t="shared"/>
        <v>596</v>
      </c>
      <c r="BB34" s="77">
        <f si="18" t="shared"/>
        <v>355</v>
      </c>
      <c r="BC34" s="77">
        <f si="19" t="shared"/>
        <v>178</v>
      </c>
      <c r="BD34" s="77">
        <f si="20" t="shared"/>
        <v>1037</v>
      </c>
      <c r="BE34" s="77">
        <f si="21" t="shared"/>
        <v>4541</v>
      </c>
      <c r="BF34" s="77">
        <f si="22" t="shared"/>
        <v>1157</v>
      </c>
      <c r="BG34" s="77">
        <f si="23" t="shared"/>
        <v>7</v>
      </c>
      <c r="BH34" s="77">
        <f si="24" t="shared"/>
        <v>353</v>
      </c>
      <c r="BI34" s="77">
        <f si="25" t="shared"/>
        <v>462</v>
      </c>
      <c r="BJ34" s="77">
        <f si="26" t="shared"/>
        <v>177</v>
      </c>
      <c r="BK34" s="77">
        <f si="27" t="shared"/>
        <v>1147</v>
      </c>
      <c r="BL34" s="77">
        <f si="28" t="shared"/>
        <v>164</v>
      </c>
      <c r="BM34" s="77">
        <f si="29" t="shared"/>
        <v>23</v>
      </c>
      <c r="BN34" s="77">
        <f si="30" t="shared"/>
        <v>158</v>
      </c>
      <c r="BO34" s="77">
        <f si="31" t="shared"/>
        <v>18</v>
      </c>
      <c r="BP34" s="77">
        <f si="32" t="shared"/>
        <v>314</v>
      </c>
      <c r="BQ34" s="77">
        <f si="33" t="shared"/>
        <v>138</v>
      </c>
      <c r="BR34" s="77">
        <f si="34" t="shared"/>
        <v>113</v>
      </c>
      <c r="BS34" s="77">
        <f si="35" t="shared"/>
        <v>16</v>
      </c>
      <c r="BT34" s="77">
        <f si="36" t="shared"/>
        <v>0</v>
      </c>
      <c r="BU34" s="77">
        <f si="11" t="shared"/>
        <v>12551</v>
      </c>
      <c r="BV34" s="95"/>
      <c r="BW34" s="95">
        <v>5</v>
      </c>
      <c r="BX34" s="77">
        <f si="37" t="shared"/>
        <v>194.46167247386757</v>
      </c>
      <c r="BY34" s="77">
        <f si="38" t="shared"/>
        <v>58.724738675958179</v>
      </c>
      <c r="BZ34" s="77">
        <f si="39" t="shared"/>
        <v>197.89372822299651</v>
      </c>
      <c r="CA34" s="77">
        <f si="40" t="shared"/>
        <v>409.25435540069691</v>
      </c>
      <c r="CB34" s="77">
        <f si="41" t="shared"/>
        <v>2002.3536585365855</v>
      </c>
      <c r="CC34" s="77">
        <f si="42" t="shared"/>
        <v>1689.0679442508708</v>
      </c>
      <c r="CD34" s="77">
        <f si="43" t="shared"/>
        <v>625.97212543554008</v>
      </c>
      <c r="CE34" s="77">
        <f si="44" t="shared"/>
        <v>64.844947735191639</v>
      </c>
      <c r="CF34" s="77">
        <f si="45" t="shared"/>
        <v>109.35191637630663</v>
      </c>
      <c r="CG34" s="77">
        <f si="46" t="shared"/>
        <v>165.86236933797909</v>
      </c>
      <c r="CH34" s="77">
        <f si="47" t="shared"/>
        <v>66.648083623693367</v>
      </c>
      <c r="CI34" s="77">
        <f si="48" t="shared"/>
        <v>355.49651567944238</v>
      </c>
      <c r="CJ34" s="77">
        <f si="49" t="shared"/>
        <v>126.51567944250871</v>
      </c>
      <c r="CK34" s="77">
        <f si="50" t="shared"/>
        <v>1.1341463414634134</v>
      </c>
      <c r="CL34" s="77">
        <f si="51" t="shared"/>
        <v>108.02090592334494</v>
      </c>
      <c r="CM34" s="77">
        <f si="52" t="shared"/>
        <v>31.979094076655052</v>
      </c>
      <c r="CN34" s="77">
        <f si="53" t="shared"/>
        <v>301.50522648083626</v>
      </c>
      <c r="CO34" s="77">
        <f si="54" t="shared"/>
        <v>106.7630662020906</v>
      </c>
      <c r="CP34" s="77">
        <f si="55" t="shared"/>
        <v>40.060975609756099</v>
      </c>
      <c r="CQ34" s="77">
        <f si="56" t="shared"/>
        <v>12.876306620209059</v>
      </c>
      <c r="CR34" s="77">
        <f si="57" t="shared"/>
        <v>0</v>
      </c>
      <c r="CS34" s="77">
        <f si="58" t="shared"/>
        <v>0</v>
      </c>
      <c r="CU34" s="95">
        <v>33</v>
      </c>
      <c r="CV34" s="95">
        <f si="6" t="shared"/>
        <v>2</v>
      </c>
      <c r="CW34" s="95">
        <f si="0" t="shared"/>
        <v>13</v>
      </c>
      <c r="CX34" s="58">
        <f si="1" t="shared"/>
        <v>301.9046563192905</v>
      </c>
      <c r="CY34" s="58">
        <f si="2" t="shared"/>
        <v>484.99999999999994</v>
      </c>
      <c r="CZ34" s="108">
        <f si="3" t="shared"/>
        <v>183.09534368070945</v>
      </c>
      <c r="DA34" s="78">
        <f si="4" t="shared"/>
        <v>0.60646743880316356</v>
      </c>
      <c r="DB34" s="95">
        <v>33000</v>
      </c>
    </row>
    <row r="35" spans="2:106" x14ac:dyDescent="0.25">
      <c r="B35" s="95">
        <v>6</v>
      </c>
      <c r="C35" s="77">
        <f>Flow_ODData!C36</f>
        <v>3079.1192107426691</v>
      </c>
      <c r="D35" s="77">
        <f>Flow_ODData!D36</f>
        <v>1486.6234584817757</v>
      </c>
      <c r="E35" s="77">
        <f>Flow_ODData!E36</f>
        <v>626.41107152644554</v>
      </c>
      <c r="F35" s="77">
        <f>Flow_ODData!F36</f>
        <v>569.06357906275684</v>
      </c>
      <c r="G35" s="77">
        <f>Flow_ODData!G36</f>
        <v>1636.6092080021924</v>
      </c>
      <c r="H35" s="77">
        <f>Flow_ODData!H36</f>
        <v>15466.177582899425</v>
      </c>
      <c r="I35" s="77">
        <f>Flow_ODData!I36</f>
        <v>794.04220334338174</v>
      </c>
      <c r="J35" s="77">
        <f>Flow_ODData!J36</f>
        <v>52.936146889558778</v>
      </c>
      <c r="K35" s="77">
        <f>Flow_ODData!K36</f>
        <v>780.8081666209921</v>
      </c>
      <c r="L35" s="77">
        <f>Flow_ODData!L36</f>
        <v>891.09180597423949</v>
      </c>
      <c r="M35" s="77">
        <f>Flow_ODData!M36</f>
        <v>330.85091805974241</v>
      </c>
      <c r="N35" s="77">
        <f>Flow_ODData!N36</f>
        <v>5496.5365853658541</v>
      </c>
      <c r="O35" s="77">
        <f>Flow_ODData!O36</f>
        <v>269.09208002192378</v>
      </c>
      <c r="P35" s="77">
        <f>Flow_ODData!P36</f>
        <v>26.468073444779389</v>
      </c>
      <c r="Q35" s="77">
        <f>Flow_ODData!Q36</f>
        <v>220.56727870649493</v>
      </c>
      <c r="R35" s="77">
        <f>Flow_ODData!R36</f>
        <v>114.69498492737736</v>
      </c>
      <c r="S35" s="77">
        <f>Flow_ODData!S36</f>
        <v>26.468073444779389</v>
      </c>
      <c r="T35" s="77">
        <f>Flow_ODData!T36</f>
        <v>105.87229377911756</v>
      </c>
      <c r="U35" s="77">
        <f>Flow_ODData!U36</f>
        <v>167.63113181693615</v>
      </c>
      <c r="V35" s="77">
        <f>Flow_ODData!V36</f>
        <v>52.936146889558778</v>
      </c>
      <c r="W35" s="77">
        <f>Flow_ODData!W36</f>
        <v>0</v>
      </c>
      <c r="X35" s="77">
        <f si="13" t="shared"/>
        <v>32194</v>
      </c>
      <c r="Y35" s="95"/>
      <c r="Z35" s="95">
        <v>6</v>
      </c>
      <c r="AA35" s="77">
        <f>County_Flow!AX39*AA$28</f>
        <v>3447</v>
      </c>
      <c r="AB35" s="77">
        <f>County_Flow!AY39*AB$28</f>
        <v>1578</v>
      </c>
      <c r="AC35" s="77">
        <f>County_Flow!AZ39*AC$28</f>
        <v>762</v>
      </c>
      <c r="AD35" s="77">
        <f>County_Flow!BA39*AD$28</f>
        <v>279</v>
      </c>
      <c r="AE35" s="77">
        <f>County_Flow!BB39*AE$28</f>
        <v>1374</v>
      </c>
      <c r="AF35" s="77">
        <f>County_Flow!BC39*AF$28</f>
        <v>13092</v>
      </c>
      <c r="AG35" s="77">
        <f>County_Flow!BD39*AG$28</f>
        <v>3592</v>
      </c>
      <c r="AH35" s="77">
        <f>County_Flow!BE39*AH$28</f>
        <v>15</v>
      </c>
      <c r="AI35" s="77">
        <f>County_Flow!BF39*AI$28</f>
        <v>1040</v>
      </c>
      <c r="AJ35" s="77">
        <f>County_Flow!BG39*AJ$28</f>
        <v>737</v>
      </c>
      <c r="AK35" s="77">
        <f>County_Flow!BH39*AK$28</f>
        <v>316</v>
      </c>
      <c r="AL35" s="77">
        <f>County_Flow!BI39*AL$28</f>
        <v>3735</v>
      </c>
      <c r="AM35" s="77">
        <f>County_Flow!BJ39*AM$28</f>
        <v>569</v>
      </c>
      <c r="AN35" s="77">
        <f>County_Flow!BK39*AN$28</f>
        <v>62</v>
      </c>
      <c r="AO35" s="77">
        <f>County_Flow!BL39*AO$28</f>
        <v>264</v>
      </c>
      <c r="AP35" s="77">
        <f>County_Flow!BM39*AP$28</f>
        <v>38</v>
      </c>
      <c r="AQ35" s="77">
        <f>County_Flow!BN39*AQ$28</f>
        <v>550</v>
      </c>
      <c r="AR35" s="77">
        <f>County_Flow!BO39*AR$28</f>
        <v>505</v>
      </c>
      <c r="AS35" s="77">
        <f>County_Flow!BP39*AS$28</f>
        <v>196</v>
      </c>
      <c r="AT35" s="77">
        <f>County_Flow!BQ39*AT$28</f>
        <v>43</v>
      </c>
      <c r="AU35" s="77">
        <f>County_Flow!BR39</f>
        <v>0</v>
      </c>
      <c r="AV35" s="15">
        <f si="14" t="shared"/>
        <v>32194</v>
      </c>
      <c r="AW35" s="139">
        <f si="15" t="shared"/>
        <v>0</v>
      </c>
      <c r="AY35" s="95">
        <v>6</v>
      </c>
      <c r="AZ35" s="77">
        <f si="16" t="shared"/>
        <v>3447</v>
      </c>
      <c r="BA35" s="77">
        <f si="17" t="shared"/>
        <v>1578</v>
      </c>
      <c r="BB35" s="77">
        <f si="18" t="shared"/>
        <v>762</v>
      </c>
      <c r="BC35" s="77">
        <f si="19" t="shared"/>
        <v>279</v>
      </c>
      <c r="BD35" s="77">
        <f si="20" t="shared"/>
        <v>1374</v>
      </c>
      <c r="BE35" s="77">
        <f si="21" t="shared"/>
        <v>13092</v>
      </c>
      <c r="BF35" s="77">
        <f si="22" t="shared"/>
        <v>3592</v>
      </c>
      <c r="BG35" s="77">
        <f si="23" t="shared"/>
        <v>15</v>
      </c>
      <c r="BH35" s="77">
        <f si="24" t="shared"/>
        <v>1040</v>
      </c>
      <c r="BI35" s="77">
        <f si="25" t="shared"/>
        <v>737</v>
      </c>
      <c r="BJ35" s="77">
        <f si="26" t="shared"/>
        <v>316</v>
      </c>
      <c r="BK35" s="77">
        <f si="27" t="shared"/>
        <v>3735</v>
      </c>
      <c r="BL35" s="77">
        <f si="28" t="shared"/>
        <v>569</v>
      </c>
      <c r="BM35" s="77">
        <f si="29" t="shared"/>
        <v>62</v>
      </c>
      <c r="BN35" s="77">
        <f si="30" t="shared"/>
        <v>264</v>
      </c>
      <c r="BO35" s="77">
        <f si="31" t="shared"/>
        <v>38</v>
      </c>
      <c r="BP35" s="77">
        <f si="32" t="shared"/>
        <v>550</v>
      </c>
      <c r="BQ35" s="77">
        <f si="33" t="shared"/>
        <v>505</v>
      </c>
      <c r="BR35" s="77">
        <f si="34" t="shared"/>
        <v>196</v>
      </c>
      <c r="BS35" s="77">
        <f si="35" t="shared"/>
        <v>43</v>
      </c>
      <c r="BT35" s="77">
        <f si="36" t="shared"/>
        <v>0</v>
      </c>
      <c r="BU35" s="77">
        <f si="11" t="shared"/>
        <v>32194</v>
      </c>
      <c r="BV35" s="95"/>
      <c r="BW35" s="95">
        <v>6</v>
      </c>
      <c r="BX35" s="77">
        <f si="37" t="shared"/>
        <v>367.88078925733089</v>
      </c>
      <c r="BY35" s="77">
        <f si="38" t="shared"/>
        <v>91.376541518224258</v>
      </c>
      <c r="BZ35" s="77">
        <f si="39" t="shared"/>
        <v>135.58892847355446</v>
      </c>
      <c r="CA35" s="77">
        <f si="40" t="shared"/>
        <v>290.06357906275684</v>
      </c>
      <c r="CB35" s="77">
        <f si="41" t="shared"/>
        <v>262.60920800219242</v>
      </c>
      <c r="CC35" s="77">
        <f si="42" t="shared"/>
        <v>2374.177582899425</v>
      </c>
      <c r="CD35" s="77">
        <f si="43" t="shared"/>
        <v>2797.9577966566185</v>
      </c>
      <c r="CE35" s="77">
        <f si="44" t="shared"/>
        <v>37.936146889558778</v>
      </c>
      <c r="CF35" s="77">
        <f si="45" t="shared"/>
        <v>259.1918333790079</v>
      </c>
      <c r="CG35" s="77">
        <f si="46" t="shared"/>
        <v>154.09180597423949</v>
      </c>
      <c r="CH35" s="77">
        <f si="47" t="shared"/>
        <v>14.850918059742412</v>
      </c>
      <c r="CI35" s="77">
        <f si="48" t="shared"/>
        <v>1761.5365853658541</v>
      </c>
      <c r="CJ35" s="77">
        <f si="49" t="shared"/>
        <v>299.90791997807622</v>
      </c>
      <c r="CK35" s="77">
        <f si="50" t="shared"/>
        <v>35.531926555220608</v>
      </c>
      <c r="CL35" s="77">
        <f si="51" t="shared"/>
        <v>43.432721293505068</v>
      </c>
      <c r="CM35" s="77">
        <f si="52" t="shared"/>
        <v>76.694984927377362</v>
      </c>
      <c r="CN35" s="77">
        <f si="53" t="shared"/>
        <v>523.53192655522059</v>
      </c>
      <c r="CO35" s="77">
        <f si="54" t="shared"/>
        <v>399.12770622088243</v>
      </c>
      <c r="CP35" s="77">
        <f si="55" t="shared"/>
        <v>28.368868183063853</v>
      </c>
      <c r="CQ35" s="77">
        <f si="56" t="shared"/>
        <v>9.9361468895587777</v>
      </c>
      <c r="CR35" s="77">
        <f si="57" t="shared"/>
        <v>0</v>
      </c>
      <c r="CS35" s="77">
        <f si="58" t="shared"/>
        <v>0</v>
      </c>
      <c r="CU35" s="95">
        <v>34</v>
      </c>
      <c r="CV35" s="95">
        <f si="6" t="shared"/>
        <v>2</v>
      </c>
      <c r="CW35" s="95">
        <f si="0" t="shared"/>
        <v>14</v>
      </c>
      <c r="CX35" s="58">
        <f si="1" t="shared"/>
        <v>6.4235033259423506</v>
      </c>
      <c r="CY35" s="58">
        <f si="2" t="shared"/>
        <v>33.999999999999993</v>
      </c>
      <c r="CZ35" s="108">
        <f si="3" t="shared"/>
        <v>27.576496674057644</v>
      </c>
      <c r="DA35" s="78">
        <f si="4" t="shared"/>
        <v>4.2930617880566091</v>
      </c>
      <c r="DB35" s="95">
        <v>34000</v>
      </c>
    </row>
    <row r="36" spans="2:106" x14ac:dyDescent="0.25">
      <c r="B36" s="95">
        <v>7</v>
      </c>
      <c r="C36" s="77">
        <f>Flow_ODData!C37</f>
        <v>3269.050195850863</v>
      </c>
      <c r="D36" s="77">
        <f>Flow_ODData!D37</f>
        <v>5760.5429058465115</v>
      </c>
      <c r="E36" s="77">
        <f>Flow_ODData!E37</f>
        <v>2567.5940809516901</v>
      </c>
      <c r="F36" s="77">
        <f>Flow_ODData!F37</f>
        <v>1187.8431379660526</v>
      </c>
      <c r="G36" s="77">
        <f>Flow_ODData!G37</f>
        <v>2044.8107500362687</v>
      </c>
      <c r="H36" s="77">
        <f>Flow_ODData!H37</f>
        <v>7580.3582982736107</v>
      </c>
      <c r="I36" s="77">
        <f>Flow_ODData!I37</f>
        <v>36065.432322646164</v>
      </c>
      <c r="J36" s="77">
        <f>Flow_ODData!J37</f>
        <v>181.98153924271</v>
      </c>
      <c r="K36" s="77">
        <f>Flow_ODData!K37</f>
        <v>4248.4417525025392</v>
      </c>
      <c r="L36" s="77">
        <f>Flow_ODData!L37</f>
        <v>1303.6495720295952</v>
      </c>
      <c r="M36" s="77">
        <f>Flow_ODData!M37</f>
        <v>1803.2716161323081</v>
      </c>
      <c r="N36" s="77">
        <f>Flow_ODData!N37</f>
        <v>12272.173255476569</v>
      </c>
      <c r="O36" s="77">
        <f>Flow_ODData!O37</f>
        <v>10465.592884085303</v>
      </c>
      <c r="P36" s="77">
        <f>Flow_ODData!P37</f>
        <v>82.718881473959087</v>
      </c>
      <c r="Q36" s="77">
        <f>Flow_ODData!Q37</f>
        <v>794.1012621500073</v>
      </c>
      <c r="R36" s="77">
        <f>Flow_ODData!R37</f>
        <v>115.80643406354272</v>
      </c>
      <c r="S36" s="77">
        <f>Flow_ODData!S37</f>
        <v>82.718881473959087</v>
      </c>
      <c r="T36" s="77">
        <f>Flow_ODData!T37</f>
        <v>919.833961990425</v>
      </c>
      <c r="U36" s="77">
        <f>Flow_ODData!U37</f>
        <v>251.46539968083565</v>
      </c>
      <c r="V36" s="77">
        <f>Flow_ODData!V37</f>
        <v>231.61286812708545</v>
      </c>
      <c r="W36" s="77">
        <f>Flow_ODData!W37</f>
        <v>0</v>
      </c>
      <c r="X36" s="77">
        <f si="13" t="shared"/>
        <v>91229.000000000015</v>
      </c>
      <c r="Y36" s="95"/>
      <c r="Z36" s="95">
        <v>7</v>
      </c>
      <c r="AA36" s="77">
        <f>County_Flow!AX40*AA$28</f>
        <v>5440</v>
      </c>
      <c r="AB36" s="77">
        <f>County_Flow!AY40*AB$28</f>
        <v>4266</v>
      </c>
      <c r="AC36" s="77">
        <f>County_Flow!AZ40*AC$28</f>
        <v>1483</v>
      </c>
      <c r="AD36" s="77">
        <f>County_Flow!BA40*AD$28</f>
        <v>419</v>
      </c>
      <c r="AE36" s="77">
        <f>County_Flow!BB40*AE$28</f>
        <v>1511</v>
      </c>
      <c r="AF36" s="77">
        <f>County_Flow!BC40*AF$28</f>
        <v>10197</v>
      </c>
      <c r="AG36" s="77">
        <f>County_Flow!BD40*AG$28</f>
        <v>29829</v>
      </c>
      <c r="AH36" s="77">
        <f>County_Flow!BE40*AH$28</f>
        <v>24</v>
      </c>
      <c r="AI36" s="77">
        <f>County_Flow!BF40*AI$28</f>
        <v>6048</v>
      </c>
      <c r="AJ36" s="77">
        <f>County_Flow!BG40*AJ$28</f>
        <v>910</v>
      </c>
      <c r="AK36" s="77">
        <f>County_Flow!BH40*AK$28</f>
        <v>573</v>
      </c>
      <c r="AL36" s="77">
        <f>County_Flow!BI40*AL$28</f>
        <v>11081</v>
      </c>
      <c r="AM36" s="77">
        <f>County_Flow!BJ40*AM$28</f>
        <v>13719</v>
      </c>
      <c r="AN36" s="77">
        <f>County_Flow!BK40*AN$28</f>
        <v>44</v>
      </c>
      <c r="AO36" s="77">
        <f>County_Flow!BL40*AO$28</f>
        <v>2024</v>
      </c>
      <c r="AP36" s="77">
        <f>County_Flow!BM40*AP$28</f>
        <v>55</v>
      </c>
      <c r="AQ36" s="77">
        <f>County_Flow!BN40*AQ$28</f>
        <v>995</v>
      </c>
      <c r="AR36" s="77">
        <f>County_Flow!BO40*AR$28</f>
        <v>2054</v>
      </c>
      <c r="AS36" s="77">
        <f>County_Flow!BP40*AS$28</f>
        <v>490</v>
      </c>
      <c r="AT36" s="77">
        <f>County_Flow!BQ40*AT$28</f>
        <v>67</v>
      </c>
      <c r="AU36" s="77">
        <f>County_Flow!BR40</f>
        <v>0</v>
      </c>
      <c r="AV36" s="15">
        <f si="14" t="shared"/>
        <v>91229</v>
      </c>
      <c r="AW36" s="139">
        <f si="15" t="shared"/>
        <v>1.595097526923111E-16</v>
      </c>
      <c r="AY36" s="95">
        <v>7</v>
      </c>
      <c r="AZ36" s="77">
        <f si="16" t="shared"/>
        <v>5440.0000000000009</v>
      </c>
      <c r="BA36" s="77">
        <f si="17" t="shared"/>
        <v>4266.0000000000009</v>
      </c>
      <c r="BB36" s="77">
        <f si="18" t="shared"/>
        <v>1483.0000000000002</v>
      </c>
      <c r="BC36" s="77">
        <f si="19" t="shared"/>
        <v>419.00000000000006</v>
      </c>
      <c r="BD36" s="77">
        <f si="20" t="shared"/>
        <v>1511.0000000000002</v>
      </c>
      <c r="BE36" s="77">
        <f si="21" t="shared"/>
        <v>10197.000000000002</v>
      </c>
      <c r="BF36" s="77">
        <f si="22" t="shared"/>
        <v>29829.000000000004</v>
      </c>
      <c r="BG36" s="77">
        <f si="23" t="shared"/>
        <v>24.000000000000004</v>
      </c>
      <c r="BH36" s="77">
        <f si="24" t="shared"/>
        <v>6048.0000000000009</v>
      </c>
      <c r="BI36" s="77">
        <f si="25" t="shared"/>
        <v>910.00000000000011</v>
      </c>
      <c r="BJ36" s="77">
        <f si="26" t="shared"/>
        <v>573.00000000000011</v>
      </c>
      <c r="BK36" s="77">
        <f si="27" t="shared"/>
        <v>11081.000000000002</v>
      </c>
      <c r="BL36" s="77">
        <f si="28" t="shared"/>
        <v>13719.000000000002</v>
      </c>
      <c r="BM36" s="77">
        <f si="29" t="shared"/>
        <v>44.000000000000007</v>
      </c>
      <c r="BN36" s="77">
        <f si="30" t="shared"/>
        <v>2024.0000000000002</v>
      </c>
      <c r="BO36" s="77">
        <f si="31" t="shared"/>
        <v>55.000000000000007</v>
      </c>
      <c r="BP36" s="77">
        <f si="32" t="shared"/>
        <v>995.00000000000011</v>
      </c>
      <c r="BQ36" s="77">
        <f si="33" t="shared"/>
        <v>2054.0000000000005</v>
      </c>
      <c r="BR36" s="77">
        <f si="34" t="shared"/>
        <v>490.00000000000006</v>
      </c>
      <c r="BS36" s="77">
        <f si="35" t="shared"/>
        <v>67.000000000000014</v>
      </c>
      <c r="BT36" s="77">
        <f si="36" t="shared"/>
        <v>0</v>
      </c>
      <c r="BU36" s="77">
        <f si="11" t="shared"/>
        <v>91229.000000000015</v>
      </c>
      <c r="BV36" s="95"/>
      <c r="BW36" s="95">
        <v>7</v>
      </c>
      <c r="BX36" s="77">
        <f si="37" t="shared"/>
        <v>2170.9498041491379</v>
      </c>
      <c r="BY36" s="77">
        <f si="38" t="shared"/>
        <v>1494.5429058465106</v>
      </c>
      <c r="BZ36" s="77">
        <f si="39" t="shared"/>
        <v>1084.5940809516899</v>
      </c>
      <c r="CA36" s="77">
        <f si="40" t="shared"/>
        <v>768.84313796605261</v>
      </c>
      <c r="CB36" s="77">
        <f si="41" t="shared"/>
        <v>533.81075003626847</v>
      </c>
      <c r="CC36" s="77">
        <f si="42" t="shared"/>
        <v>2616.6417017263911</v>
      </c>
      <c r="CD36" s="77">
        <f si="43" t="shared"/>
        <v>6236.4323226461602</v>
      </c>
      <c r="CE36" s="77">
        <f si="44" t="shared"/>
        <v>157.98153924271</v>
      </c>
      <c r="CF36" s="77">
        <f si="45" t="shared"/>
        <v>1799.5582474974617</v>
      </c>
      <c r="CG36" s="77">
        <f si="46" t="shared"/>
        <v>393.64957202959511</v>
      </c>
      <c r="CH36" s="77">
        <f si="47" t="shared"/>
        <v>1230.2716161323078</v>
      </c>
      <c r="CI36" s="77">
        <f si="48" t="shared"/>
        <v>1191.1732554765676</v>
      </c>
      <c r="CJ36" s="77">
        <f si="49" t="shared"/>
        <v>3253.4071159146988</v>
      </c>
      <c r="CK36" s="77">
        <f si="50" t="shared"/>
        <v>38.71888147395908</v>
      </c>
      <c r="CL36" s="77">
        <f si="51" t="shared"/>
        <v>1229.8987378499928</v>
      </c>
      <c r="CM36" s="77">
        <f si="52" t="shared"/>
        <v>60.806434063542717</v>
      </c>
      <c r="CN36" s="77">
        <f si="53" t="shared"/>
        <v>912.28111852604104</v>
      </c>
      <c r="CO36" s="77">
        <f si="54" t="shared"/>
        <v>1134.1660380095755</v>
      </c>
      <c r="CP36" s="77">
        <f si="55" t="shared"/>
        <v>238.53460031916441</v>
      </c>
      <c r="CQ36" s="77">
        <f si="56" t="shared"/>
        <v>164.61286812708545</v>
      </c>
      <c r="CR36" s="77">
        <f si="57" t="shared"/>
        <v>0</v>
      </c>
      <c r="CS36" s="77">
        <f si="58" t="shared"/>
        <v>0</v>
      </c>
      <c r="CU36" s="95">
        <v>35</v>
      </c>
      <c r="CV36" s="95">
        <f si="6" t="shared"/>
        <v>2</v>
      </c>
      <c r="CW36" s="95">
        <f si="0" t="shared"/>
        <v>15</v>
      </c>
      <c r="CX36" s="58">
        <f si="1" t="shared"/>
        <v>96.352549889135261</v>
      </c>
      <c r="CY36" s="58">
        <f si="2" t="shared"/>
        <v>305.99999999999994</v>
      </c>
      <c r="CZ36" s="108">
        <f si="3" t="shared"/>
        <v>209.64745011086467</v>
      </c>
      <c r="DA36" s="78">
        <f si="4" t="shared"/>
        <v>2.1758370728339651</v>
      </c>
      <c r="DB36" s="95">
        <v>35000</v>
      </c>
    </row>
    <row r="37" spans="2:106" x14ac:dyDescent="0.25">
      <c r="B37" s="95">
        <v>8</v>
      </c>
      <c r="C37" s="77">
        <f>Flow_ODData!C38</f>
        <v>402.29305912596396</v>
      </c>
      <c r="D37" s="77">
        <f>Flow_ODData!D38</f>
        <v>280.96658097686372</v>
      </c>
      <c r="E37" s="77">
        <f>Flow_ODData!E38</f>
        <v>561.93316195372745</v>
      </c>
      <c r="F37" s="77">
        <f>Flow_ODData!F38</f>
        <v>220.30334190231363</v>
      </c>
      <c r="G37" s="77">
        <f>Flow_ODData!G38</f>
        <v>284.15938303341903</v>
      </c>
      <c r="H37" s="77">
        <f>Flow_ODData!H38</f>
        <v>951.45501285347041</v>
      </c>
      <c r="I37" s="77">
        <f>Flow_ODData!I38</f>
        <v>124.51928020565553</v>
      </c>
      <c r="J37" s="77">
        <f>Flow_ODData!J38</f>
        <v>491.69151670951157</v>
      </c>
      <c r="K37" s="77">
        <f>Flow_ODData!K38</f>
        <v>188.37532133676092</v>
      </c>
      <c r="L37" s="77">
        <f>Flow_ODData!L38</f>
        <v>223.49614395886888</v>
      </c>
      <c r="M37" s="77">
        <f>Flow_ODData!M38</f>
        <v>539.58354755784069</v>
      </c>
      <c r="N37" s="77">
        <f>Flow_ODData!N38</f>
        <v>443.79948586118252</v>
      </c>
      <c r="O37" s="77">
        <f>Flow_ODData!O38</f>
        <v>31.9280205655527</v>
      </c>
      <c r="P37" s="77">
        <f>Flow_ODData!P38</f>
        <v>89.398457583547568</v>
      </c>
      <c r="Q37" s="77">
        <f>Flow_ODData!Q38</f>
        <v>12.771208226221079</v>
      </c>
      <c r="R37" s="77">
        <f>Flow_ODData!R38</f>
        <v>25.542416452442158</v>
      </c>
      <c r="S37" s="77">
        <f>Flow_ODData!S38</f>
        <v>31.9280205655527</v>
      </c>
      <c r="T37" s="77">
        <f>Flow_ODData!T38</f>
        <v>9.5784061696658096</v>
      </c>
      <c r="U37" s="77">
        <f>Flow_ODData!U38</f>
        <v>35.120822622107966</v>
      </c>
      <c r="V37" s="77">
        <f>Flow_ODData!V38</f>
        <v>19.156812339331619</v>
      </c>
      <c r="W37" s="77">
        <f>Flow_ODData!W38</f>
        <v>0</v>
      </c>
      <c r="X37" s="77">
        <f si="13" t="shared"/>
        <v>4968</v>
      </c>
      <c r="Y37" s="95"/>
      <c r="Z37" s="95">
        <v>8</v>
      </c>
      <c r="AA37" s="77">
        <f>County_Flow!AX41*AA$28</f>
        <v>656</v>
      </c>
      <c r="AB37" s="77">
        <f>County_Flow!AY41*AB$28</f>
        <v>338</v>
      </c>
      <c r="AC37" s="77">
        <f>County_Flow!AZ41*AC$28</f>
        <v>239</v>
      </c>
      <c r="AD37" s="77">
        <f>County_Flow!BA41*AD$28</f>
        <v>100</v>
      </c>
      <c r="AE37" s="77">
        <f>County_Flow!BB41*AE$28</f>
        <v>274</v>
      </c>
      <c r="AF37" s="77">
        <f>County_Flow!BC41*AF$28</f>
        <v>1161</v>
      </c>
      <c r="AG37" s="77">
        <f>County_Flow!BD41*AG$28</f>
        <v>483</v>
      </c>
      <c r="AH37" s="77">
        <f>County_Flow!BE41*AH$28</f>
        <v>16</v>
      </c>
      <c r="AI37" s="77">
        <f>County_Flow!BF41*AI$28</f>
        <v>223</v>
      </c>
      <c r="AJ37" s="77">
        <f>County_Flow!BG41*AJ$28</f>
        <v>94</v>
      </c>
      <c r="AK37" s="77">
        <f>County_Flow!BH41*AK$28</f>
        <v>220</v>
      </c>
      <c r="AL37" s="77">
        <f>County_Flow!BI41*AL$28</f>
        <v>359</v>
      </c>
      <c r="AM37" s="77">
        <f>County_Flow!BJ41*AM$28</f>
        <v>130</v>
      </c>
      <c r="AN37" s="77">
        <f>County_Flow!BK41*AN$28</f>
        <v>33</v>
      </c>
      <c r="AO37" s="77">
        <f>County_Flow!BL41*AO$28</f>
        <v>55</v>
      </c>
      <c r="AP37" s="77">
        <f>County_Flow!BM41*AP$28</f>
        <v>5</v>
      </c>
      <c r="AQ37" s="77">
        <f>County_Flow!BN41*AQ$28</f>
        <v>412</v>
      </c>
      <c r="AR37" s="77">
        <f>County_Flow!BO41*AR$28</f>
        <v>41</v>
      </c>
      <c r="AS37" s="77">
        <f>County_Flow!BP41*AS$28</f>
        <v>129</v>
      </c>
      <c r="AT37" s="77">
        <f>County_Flow!BQ41*AT$28</f>
        <v>0</v>
      </c>
      <c r="AU37" s="77">
        <f>County_Flow!BR41</f>
        <v>0</v>
      </c>
      <c r="AV37" s="15">
        <f si="14" t="shared"/>
        <v>4968</v>
      </c>
      <c r="AW37" s="139">
        <f si="15" t="shared"/>
        <v>0</v>
      </c>
      <c r="AY37" s="95">
        <v>8</v>
      </c>
      <c r="AZ37" s="77">
        <f si="16" t="shared"/>
        <v>656</v>
      </c>
      <c r="BA37" s="77">
        <f si="17" t="shared"/>
        <v>338</v>
      </c>
      <c r="BB37" s="77">
        <f si="18" t="shared"/>
        <v>239</v>
      </c>
      <c r="BC37" s="77">
        <f si="19" t="shared"/>
        <v>100</v>
      </c>
      <c r="BD37" s="77">
        <f si="20" t="shared"/>
        <v>274</v>
      </c>
      <c r="BE37" s="77">
        <f si="21" t="shared"/>
        <v>1161</v>
      </c>
      <c r="BF37" s="77">
        <f si="22" t="shared"/>
        <v>483</v>
      </c>
      <c r="BG37" s="77">
        <f si="23" t="shared"/>
        <v>16</v>
      </c>
      <c r="BH37" s="77">
        <f si="24" t="shared"/>
        <v>223</v>
      </c>
      <c r="BI37" s="77">
        <f si="25" t="shared"/>
        <v>94</v>
      </c>
      <c r="BJ37" s="77">
        <f si="26" t="shared"/>
        <v>220</v>
      </c>
      <c r="BK37" s="77">
        <f si="27" t="shared"/>
        <v>359</v>
      </c>
      <c r="BL37" s="77">
        <f si="28" t="shared"/>
        <v>130</v>
      </c>
      <c r="BM37" s="77">
        <f si="29" t="shared"/>
        <v>33</v>
      </c>
      <c r="BN37" s="77">
        <f si="30" t="shared"/>
        <v>55</v>
      </c>
      <c r="BO37" s="77">
        <f si="31" t="shared"/>
        <v>5</v>
      </c>
      <c r="BP37" s="77">
        <f si="32" t="shared"/>
        <v>412</v>
      </c>
      <c r="BQ37" s="77">
        <f si="33" t="shared"/>
        <v>41</v>
      </c>
      <c r="BR37" s="77">
        <f si="34" t="shared"/>
        <v>129</v>
      </c>
      <c r="BS37" s="77">
        <f si="35" t="shared"/>
        <v>0</v>
      </c>
      <c r="BT37" s="77">
        <f si="36" t="shared"/>
        <v>0</v>
      </c>
      <c r="BU37" s="77">
        <f si="11" t="shared"/>
        <v>4968</v>
      </c>
      <c r="BV37" s="95"/>
      <c r="BW37" s="95">
        <v>8</v>
      </c>
      <c r="BX37" s="77">
        <f si="37" t="shared"/>
        <v>253.70694087403604</v>
      </c>
      <c r="BY37" s="77">
        <f si="38" t="shared"/>
        <v>57.033419023136275</v>
      </c>
      <c r="BZ37" s="77">
        <f si="39" t="shared"/>
        <v>322.93316195372745</v>
      </c>
      <c r="CA37" s="77">
        <f si="40" t="shared"/>
        <v>120.30334190231363</v>
      </c>
      <c r="CB37" s="77">
        <f si="41" t="shared"/>
        <v>10.159383033419033</v>
      </c>
      <c r="CC37" s="77">
        <f si="42" t="shared"/>
        <v>209.54498714652959</v>
      </c>
      <c r="CD37" s="77">
        <f si="43" t="shared"/>
        <v>358.48071979434445</v>
      </c>
      <c r="CE37" s="77">
        <f si="44" t="shared"/>
        <v>475.69151670951157</v>
      </c>
      <c r="CF37" s="77">
        <f si="45" t="shared"/>
        <v>34.624678663239081</v>
      </c>
      <c r="CG37" s="77">
        <f si="46" t="shared"/>
        <v>129.49614395886888</v>
      </c>
      <c r="CH37" s="77">
        <f si="47" t="shared"/>
        <v>319.58354755784069</v>
      </c>
      <c r="CI37" s="77">
        <f si="48" t="shared"/>
        <v>84.799485861182518</v>
      </c>
      <c r="CJ37" s="77">
        <f si="49" t="shared"/>
        <v>98.0719794344473</v>
      </c>
      <c r="CK37" s="77">
        <f si="50" t="shared"/>
        <v>56.398457583547568</v>
      </c>
      <c r="CL37" s="77">
        <f si="51" t="shared"/>
        <v>42.228791773778923</v>
      </c>
      <c r="CM37" s="77">
        <f si="52" t="shared"/>
        <v>20.542416452442158</v>
      </c>
      <c r="CN37" s="77">
        <f si="53" t="shared"/>
        <v>380.07197943444731</v>
      </c>
      <c r="CO37" s="77">
        <f si="54" t="shared"/>
        <v>31.421593830334189</v>
      </c>
      <c r="CP37" s="77">
        <f si="55" t="shared"/>
        <v>93.879177377892034</v>
      </c>
      <c r="CQ37" s="77">
        <f si="56" t="shared"/>
        <v>19.156812339331619</v>
      </c>
      <c r="CR37" s="77">
        <f si="57" t="shared"/>
        <v>0</v>
      </c>
      <c r="CS37" s="77">
        <f si="58" t="shared"/>
        <v>0</v>
      </c>
      <c r="CU37" s="95">
        <v>36</v>
      </c>
      <c r="CV37" s="95">
        <f si="6" t="shared"/>
        <v>2</v>
      </c>
      <c r="CW37" s="95">
        <f si="0" t="shared"/>
        <v>16</v>
      </c>
      <c r="CX37" s="58">
        <f si="1" t="shared"/>
        <v>0</v>
      </c>
      <c r="CY37" s="58">
        <f si="2" t="shared"/>
        <v>27.999999999999996</v>
      </c>
      <c r="CZ37" s="108">
        <f si="3" t="shared"/>
        <v>27.999999999999996</v>
      </c>
      <c r="DA37" s="78" t="e">
        <f si="4" t="shared"/>
        <v>#DIV/0!</v>
      </c>
      <c r="DB37" s="95">
        <v>36000</v>
      </c>
    </row>
    <row r="38" spans="2:106" x14ac:dyDescent="0.25">
      <c r="B38" s="95">
        <v>9</v>
      </c>
      <c r="C38" s="77">
        <f>Flow_ODData!C39</f>
        <v>3340.9518432414479</v>
      </c>
      <c r="D38" s="77">
        <f>Flow_ODData!D39</f>
        <v>5058.8369312520754</v>
      </c>
      <c r="E38" s="77">
        <f>Flow_ODData!E39</f>
        <v>1846.16871471272</v>
      </c>
      <c r="F38" s="77">
        <f>Flow_ODData!F39</f>
        <v>981.64862172035873</v>
      </c>
      <c r="G38" s="77">
        <f>Flow_ODData!G39</f>
        <v>1087.6220524742612</v>
      </c>
      <c r="H38" s="77">
        <f>Flow_ODData!H39</f>
        <v>6224.5446695450019</v>
      </c>
      <c r="I38" s="77">
        <f>Flow_ODData!I39</f>
        <v>7139.2627034207908</v>
      </c>
      <c r="J38" s="77">
        <f>Flow_ODData!J39</f>
        <v>189.63666555961476</v>
      </c>
      <c r="K38" s="77">
        <f>Flow_ODData!K39</f>
        <v>22594.650946529393</v>
      </c>
      <c r="L38" s="77">
        <f>Flow_ODData!L39</f>
        <v>897.98538691464626</v>
      </c>
      <c r="M38" s="77">
        <f>Flow_ODData!M39</f>
        <v>3357.6844902025905</v>
      </c>
      <c r="N38" s="77">
        <f>Flow_ODData!N39</f>
        <v>4634.9432082364665</v>
      </c>
      <c r="O38" s="77">
        <f>Flow_ODData!O39</f>
        <v>2214.2869478578546</v>
      </c>
      <c r="P38" s="77">
        <f>Flow_ODData!P39</f>
        <v>150.59382265028228</v>
      </c>
      <c r="Q38" s="77">
        <f>Flow_ODData!Q39</f>
        <v>6057.2181999335762</v>
      </c>
      <c r="R38" s="77">
        <f>Flow_ODData!R39</f>
        <v>83.663234805712378</v>
      </c>
      <c r="S38" s="77">
        <f>Flow_ODData!S39</f>
        <v>133.86117568913983</v>
      </c>
      <c r="T38" s="77">
        <f>Flow_ODData!T39</f>
        <v>256.56725340418467</v>
      </c>
      <c r="U38" s="77">
        <f>Flow_ODData!U39</f>
        <v>897.98538691464626</v>
      </c>
      <c r="V38" s="77">
        <f>Flow_ODData!V39</f>
        <v>27.887744935237464</v>
      </c>
      <c r="W38" s="77">
        <f>Flow_ODData!W39</f>
        <v>0</v>
      </c>
      <c r="X38" s="77">
        <f si="13" t="shared"/>
        <v>67176</v>
      </c>
      <c r="Y38" s="95"/>
      <c r="Z38" s="95">
        <v>9</v>
      </c>
      <c r="AA38" s="77">
        <f>County_Flow!AX42*AA$28</f>
        <v>5792</v>
      </c>
      <c r="AB38" s="77">
        <f>County_Flow!AY42*AB$28</f>
        <v>4224</v>
      </c>
      <c r="AC38" s="77">
        <f>County_Flow!AZ42*AC$28</f>
        <v>1713</v>
      </c>
      <c r="AD38" s="77">
        <f>County_Flow!BA42*AD$28</f>
        <v>377</v>
      </c>
      <c r="AE38" s="77">
        <f>County_Flow!BB42*AE$28</f>
        <v>1719</v>
      </c>
      <c r="AF38" s="77">
        <f>County_Flow!BC42*AF$28</f>
        <v>9636</v>
      </c>
      <c r="AG38" s="77">
        <f>County_Flow!BD42*AG$28</f>
        <v>11514</v>
      </c>
      <c r="AH38" s="77">
        <f>County_Flow!BE42*AH$28</f>
        <v>34</v>
      </c>
      <c r="AI38" s="77">
        <f>County_Flow!BF42*AI$28</f>
        <v>10452</v>
      </c>
      <c r="AJ38" s="77">
        <f>County_Flow!BG42*AJ$28</f>
        <v>733</v>
      </c>
      <c r="AK38" s="77">
        <f>County_Flow!BH42*AK$28</f>
        <v>1404</v>
      </c>
      <c r="AL38" s="77">
        <f>County_Flow!BI42*AL$28</f>
        <v>5743</v>
      </c>
      <c r="AM38" s="77">
        <f>County_Flow!BJ42*AM$28</f>
        <v>4283</v>
      </c>
      <c r="AN38" s="77">
        <f>County_Flow!BK42*AN$28</f>
        <v>108</v>
      </c>
      <c r="AO38" s="77">
        <f>County_Flow!BL42*AO$28</f>
        <v>5233</v>
      </c>
      <c r="AP38" s="77">
        <f>County_Flow!BM42*AP$28</f>
        <v>38</v>
      </c>
      <c r="AQ38" s="77">
        <f>County_Flow!BN42*AQ$28</f>
        <v>1670</v>
      </c>
      <c r="AR38" s="77">
        <f>County_Flow!BO42*AR$28</f>
        <v>786</v>
      </c>
      <c r="AS38" s="77">
        <f>County_Flow!BP42*AS$28</f>
        <v>1698</v>
      </c>
      <c r="AT38" s="77">
        <f>County_Flow!BQ42*AT$28</f>
        <v>19</v>
      </c>
      <c r="AU38" s="77">
        <f>County_Flow!BR42</f>
        <v>0</v>
      </c>
      <c r="AV38" s="15">
        <f si="14" t="shared"/>
        <v>67176</v>
      </c>
      <c r="AW38" s="139">
        <f si="15" t="shared"/>
        <v>0</v>
      </c>
      <c r="AY38" s="95">
        <v>9</v>
      </c>
      <c r="AZ38" s="77">
        <f si="16" t="shared"/>
        <v>5792</v>
      </c>
      <c r="BA38" s="77">
        <f si="17" t="shared"/>
        <v>4224</v>
      </c>
      <c r="BB38" s="77">
        <f si="18" t="shared"/>
        <v>1713</v>
      </c>
      <c r="BC38" s="77">
        <f si="19" t="shared"/>
        <v>377</v>
      </c>
      <c r="BD38" s="77">
        <f si="20" t="shared"/>
        <v>1719</v>
      </c>
      <c r="BE38" s="77">
        <f si="21" t="shared"/>
        <v>9636</v>
      </c>
      <c r="BF38" s="77">
        <f si="22" t="shared"/>
        <v>11514</v>
      </c>
      <c r="BG38" s="77">
        <f si="23" t="shared"/>
        <v>34</v>
      </c>
      <c r="BH38" s="77">
        <f si="24" t="shared"/>
        <v>10452</v>
      </c>
      <c r="BI38" s="77">
        <f si="25" t="shared"/>
        <v>733</v>
      </c>
      <c r="BJ38" s="77">
        <f si="26" t="shared"/>
        <v>1404</v>
      </c>
      <c r="BK38" s="77">
        <f si="27" t="shared"/>
        <v>5743</v>
      </c>
      <c r="BL38" s="77">
        <f si="28" t="shared"/>
        <v>4283</v>
      </c>
      <c r="BM38" s="77">
        <f si="29" t="shared"/>
        <v>108</v>
      </c>
      <c r="BN38" s="77">
        <f si="30" t="shared"/>
        <v>5233</v>
      </c>
      <c r="BO38" s="77">
        <f si="31" t="shared"/>
        <v>38</v>
      </c>
      <c r="BP38" s="77">
        <f si="32" t="shared"/>
        <v>1670</v>
      </c>
      <c r="BQ38" s="77">
        <f si="33" t="shared"/>
        <v>786</v>
      </c>
      <c r="BR38" s="77">
        <f si="34" t="shared"/>
        <v>1698</v>
      </c>
      <c r="BS38" s="77">
        <f si="35" t="shared"/>
        <v>19</v>
      </c>
      <c r="BT38" s="77">
        <f si="36" t="shared"/>
        <v>0</v>
      </c>
      <c r="BU38" s="77">
        <f si="11" t="shared"/>
        <v>67176</v>
      </c>
      <c r="BV38" s="95"/>
      <c r="BW38" s="95">
        <v>9</v>
      </c>
      <c r="BX38" s="77">
        <f si="37" t="shared"/>
        <v>2451.0481567585521</v>
      </c>
      <c r="BY38" s="77">
        <f si="38" t="shared"/>
        <v>834.83693125207537</v>
      </c>
      <c r="BZ38" s="77">
        <f si="39" t="shared"/>
        <v>133.16871471271998</v>
      </c>
      <c r="CA38" s="77">
        <f si="40" t="shared"/>
        <v>604.64862172035873</v>
      </c>
      <c r="CB38" s="77">
        <f si="41" t="shared"/>
        <v>631.37794752573882</v>
      </c>
      <c r="CC38" s="77">
        <f si="42" t="shared"/>
        <v>3411.4553304549981</v>
      </c>
      <c r="CD38" s="77">
        <f si="43" t="shared"/>
        <v>4374.7372965792092</v>
      </c>
      <c r="CE38" s="77">
        <f si="44" t="shared"/>
        <v>155.63666555961476</v>
      </c>
      <c r="CF38" s="77">
        <f si="45" t="shared"/>
        <v>12142.650946529393</v>
      </c>
      <c r="CG38" s="77">
        <f si="46" t="shared"/>
        <v>164.98538691464626</v>
      </c>
      <c r="CH38" s="77">
        <f si="47" t="shared"/>
        <v>1953.6844902025905</v>
      </c>
      <c r="CI38" s="77">
        <f si="48" t="shared"/>
        <v>1108.0567917635335</v>
      </c>
      <c r="CJ38" s="77">
        <f si="49" t="shared"/>
        <v>2068.7130521421454</v>
      </c>
      <c r="CK38" s="77">
        <f si="50" t="shared"/>
        <v>42.593822650282277</v>
      </c>
      <c r="CL38" s="77">
        <f si="51" t="shared"/>
        <v>824.21819993357622</v>
      </c>
      <c r="CM38" s="77">
        <f si="52" t="shared"/>
        <v>45.663234805712378</v>
      </c>
      <c r="CN38" s="77">
        <f si="53" t="shared"/>
        <v>1536.1388243108602</v>
      </c>
      <c r="CO38" s="77">
        <f si="54" t="shared"/>
        <v>529.43274659581539</v>
      </c>
      <c r="CP38" s="77">
        <f si="55" t="shared"/>
        <v>800.01461308535374</v>
      </c>
      <c r="CQ38" s="77">
        <f si="56" t="shared"/>
        <v>8.887744935237464</v>
      </c>
      <c r="CR38" s="77">
        <f si="57" t="shared"/>
        <v>0</v>
      </c>
      <c r="CS38" s="77">
        <f si="58" t="shared"/>
        <v>0</v>
      </c>
      <c r="CU38" s="95">
        <v>37</v>
      </c>
      <c r="CV38" s="95">
        <f si="6" t="shared"/>
        <v>2</v>
      </c>
      <c r="CW38" s="95">
        <f si="0" t="shared"/>
        <v>17</v>
      </c>
      <c r="CX38" s="58">
        <f si="1" t="shared"/>
        <v>25.694013303769403</v>
      </c>
      <c r="CY38" s="58">
        <f si="2" t="shared"/>
        <v>263.99999999999994</v>
      </c>
      <c r="CZ38" s="108">
        <f si="3" t="shared"/>
        <v>238.30598669623055</v>
      </c>
      <c r="DA38" s="78">
        <f si="4" t="shared"/>
        <v>9.2747670003451823</v>
      </c>
      <c r="DB38" s="95">
        <v>37000</v>
      </c>
    </row>
    <row r="39" spans="2:106" x14ac:dyDescent="0.25">
      <c r="B39" s="95">
        <v>10</v>
      </c>
      <c r="C39" s="77">
        <f>Flow_ODData!C40</f>
        <v>2727.5852023121388</v>
      </c>
      <c r="D39" s="77">
        <f>Flow_ODData!D40</f>
        <v>931.61664739884384</v>
      </c>
      <c r="E39" s="77">
        <f>Flow_ODData!E40</f>
        <v>655.83121387283234</v>
      </c>
      <c r="F39" s="77">
        <f>Flow_ODData!F40</f>
        <v>1035.8769942196532</v>
      </c>
      <c r="G39" s="77">
        <f>Flow_ODData!G40</f>
        <v>1930.4980346820807</v>
      </c>
      <c r="H39" s="77">
        <f>Flow_ODData!H40</f>
        <v>7402.4846242774565</v>
      </c>
      <c r="I39" s="77">
        <f>Flow_ODData!I40</f>
        <v>975.33872832369934</v>
      </c>
      <c r="J39" s="77">
        <f>Flow_ODData!J40</f>
        <v>114.3500578034682</v>
      </c>
      <c r="K39" s="77">
        <f>Flow_ODData!K40</f>
        <v>783.63421965317923</v>
      </c>
      <c r="L39" s="77">
        <f>Flow_ODData!L40</f>
        <v>5505.6189595375718</v>
      </c>
      <c r="M39" s="77">
        <f>Flow_ODData!M40</f>
        <v>750.0018497109827</v>
      </c>
      <c r="N39" s="77">
        <f>Flow_ODData!N40</f>
        <v>4970.864277456647</v>
      </c>
      <c r="O39" s="77">
        <f>Flow_ODData!O40</f>
        <v>285.87514450867053</v>
      </c>
      <c r="P39" s="77">
        <f>Flow_ODData!P40</f>
        <v>20.179421965317918</v>
      </c>
      <c r="Q39" s="77">
        <f>Flow_ODData!Q40</f>
        <v>73.991213872832375</v>
      </c>
      <c r="R39" s="77">
        <f>Flow_ODData!R40</f>
        <v>639.01502890173413</v>
      </c>
      <c r="S39" s="77">
        <f>Flow_ODData!S40</f>
        <v>97.533872832369937</v>
      </c>
      <c r="T39" s="77">
        <f>Flow_ODData!T40</f>
        <v>36.995606936416188</v>
      </c>
      <c r="U39" s="77">
        <f>Flow_ODData!U40</f>
        <v>110.98682080924856</v>
      </c>
      <c r="V39" s="77">
        <f>Flow_ODData!V40</f>
        <v>43.72208092485549</v>
      </c>
      <c r="W39" s="77">
        <f>Flow_ODData!W40</f>
        <v>0</v>
      </c>
      <c r="X39" s="77">
        <f si="13" t="shared"/>
        <v>29091.999999999993</v>
      </c>
      <c r="Y39" s="95"/>
      <c r="Z39" s="95">
        <v>10</v>
      </c>
      <c r="AA39" s="77">
        <f>County_Flow!AX43*AA$28</f>
        <v>3392</v>
      </c>
      <c r="AB39" s="77">
        <f>County_Flow!AY43*AB$28</f>
        <v>1471</v>
      </c>
      <c r="AC39" s="77">
        <f>County_Flow!AZ43*AC$28</f>
        <v>825</v>
      </c>
      <c r="AD39" s="77">
        <f>County_Flow!BA43*AD$28</f>
        <v>349</v>
      </c>
      <c r="AE39" s="77">
        <f>County_Flow!BB43*AE$28</f>
        <v>1676</v>
      </c>
      <c r="AF39" s="77">
        <f>County_Flow!BC43*AF$28</f>
        <v>8745</v>
      </c>
      <c r="AG39" s="77">
        <f>County_Flow!BD43*AG$28</f>
        <v>3067</v>
      </c>
      <c r="AH39" s="77">
        <f>County_Flow!BE43*AH$28</f>
        <v>10</v>
      </c>
      <c r="AI39" s="77">
        <f>County_Flow!BF43*AI$28</f>
        <v>862</v>
      </c>
      <c r="AJ39" s="77">
        <f>County_Flow!BG43*AJ$28</f>
        <v>2034</v>
      </c>
      <c r="AK39" s="77">
        <f>County_Flow!BH43*AK$28</f>
        <v>286</v>
      </c>
      <c r="AL39" s="77">
        <f>County_Flow!BI43*AL$28</f>
        <v>3936</v>
      </c>
      <c r="AM39" s="77">
        <f>County_Flow!BJ43*AM$28</f>
        <v>526</v>
      </c>
      <c r="AN39" s="77">
        <f>County_Flow!BK43*AN$28</f>
        <v>49</v>
      </c>
      <c r="AO39" s="77">
        <f>County_Flow!BL43*AO$28</f>
        <v>270</v>
      </c>
      <c r="AP39" s="77">
        <f>County_Flow!BM43*AP$28</f>
        <v>186</v>
      </c>
      <c r="AQ39" s="77">
        <f>County_Flow!BN43*AQ$28</f>
        <v>535</v>
      </c>
      <c r="AR39" s="77">
        <f>County_Flow!BO43*AR$28</f>
        <v>645</v>
      </c>
      <c r="AS39" s="77">
        <f>County_Flow!BP43*AS$28</f>
        <v>196</v>
      </c>
      <c r="AT39" s="77">
        <f>County_Flow!BQ43*AT$28</f>
        <v>32</v>
      </c>
      <c r="AU39" s="77">
        <f>County_Flow!BR43</f>
        <v>0</v>
      </c>
      <c r="AV39" s="15">
        <f si="14" t="shared"/>
        <v>29092</v>
      </c>
      <c r="AW39" s="139">
        <f si="15" t="shared"/>
        <v>2.5010166417514875E-16</v>
      </c>
      <c r="AY39" s="95">
        <v>10</v>
      </c>
      <c r="AZ39" s="77">
        <f si="16" t="shared"/>
        <v>3391.9999999999991</v>
      </c>
      <c r="BA39" s="77">
        <f si="17" t="shared"/>
        <v>1470.9999999999998</v>
      </c>
      <c r="BB39" s="77">
        <f si="18" t="shared"/>
        <v>824.99999999999977</v>
      </c>
      <c r="BC39" s="77">
        <f si="19" t="shared"/>
        <v>348.99999999999994</v>
      </c>
      <c r="BD39" s="77">
        <f si="20" t="shared"/>
        <v>1675.9999999999995</v>
      </c>
      <c r="BE39" s="77">
        <f si="21" t="shared"/>
        <v>8744.9999999999982</v>
      </c>
      <c r="BF39" s="77">
        <f si="22" t="shared"/>
        <v>3066.9999999999995</v>
      </c>
      <c r="BG39" s="77">
        <f si="23" t="shared"/>
        <v>9.9999999999999982</v>
      </c>
      <c r="BH39" s="77">
        <f si="24" t="shared"/>
        <v>861.99999999999977</v>
      </c>
      <c r="BI39" s="77">
        <f si="25" t="shared"/>
        <v>2033.9999999999995</v>
      </c>
      <c r="BJ39" s="77">
        <f si="26" t="shared"/>
        <v>285.99999999999994</v>
      </c>
      <c r="BK39" s="77">
        <f si="27" t="shared"/>
        <v>3935.9999999999991</v>
      </c>
      <c r="BL39" s="77">
        <f si="28" t="shared"/>
        <v>525.99999999999989</v>
      </c>
      <c r="BM39" s="77">
        <f si="29" t="shared"/>
        <v>48.999999999999986</v>
      </c>
      <c r="BN39" s="77">
        <f si="30" t="shared"/>
        <v>269.99999999999994</v>
      </c>
      <c r="BO39" s="77">
        <f si="31" t="shared"/>
        <v>185.99999999999997</v>
      </c>
      <c r="BP39" s="77">
        <f si="32" t="shared"/>
        <v>534.99999999999989</v>
      </c>
      <c r="BQ39" s="77">
        <f si="33" t="shared"/>
        <v>644.99999999999989</v>
      </c>
      <c r="BR39" s="77">
        <f si="34" t="shared"/>
        <v>195.99999999999994</v>
      </c>
      <c r="BS39" s="77">
        <f si="35" t="shared"/>
        <v>31.999999999999993</v>
      </c>
      <c r="BT39" s="77">
        <f si="36" t="shared"/>
        <v>0</v>
      </c>
      <c r="BU39" s="77">
        <f si="11" t="shared"/>
        <v>29091.999999999993</v>
      </c>
      <c r="BV39" s="95"/>
      <c r="BW39" s="95">
        <v>10</v>
      </c>
      <c r="BX39" s="77">
        <f si="37" t="shared"/>
        <v>664.4147976878603</v>
      </c>
      <c r="BY39" s="77">
        <f si="38" t="shared"/>
        <v>539.38335260115593</v>
      </c>
      <c r="BZ39" s="77">
        <f si="39" t="shared"/>
        <v>169.16878612716744</v>
      </c>
      <c r="CA39" s="77">
        <f si="40" t="shared"/>
        <v>686.87699421965317</v>
      </c>
      <c r="CB39" s="77">
        <f si="41" t="shared"/>
        <v>254.4980346820812</v>
      </c>
      <c r="CC39" s="77">
        <f si="42" t="shared"/>
        <v>1342.5153757225416</v>
      </c>
      <c r="CD39" s="77">
        <f si="43" t="shared"/>
        <v>2091.6612716763002</v>
      </c>
      <c r="CE39" s="77">
        <f si="44" t="shared"/>
        <v>104.3500578034682</v>
      </c>
      <c r="CF39" s="77">
        <f si="45" t="shared"/>
        <v>78.365780346820543</v>
      </c>
      <c r="CG39" s="77">
        <f si="46" t="shared"/>
        <v>3471.6189595375722</v>
      </c>
      <c r="CH39" s="77">
        <f si="47" t="shared"/>
        <v>464.00184971098275</v>
      </c>
      <c r="CI39" s="77">
        <f si="48" t="shared"/>
        <v>1034.8642774566479</v>
      </c>
      <c r="CJ39" s="77">
        <f si="49" t="shared"/>
        <v>240.12485549132936</v>
      </c>
      <c r="CK39" s="77">
        <f si="50" t="shared"/>
        <v>28.820578034682068</v>
      </c>
      <c r="CL39" s="77">
        <f si="51" t="shared"/>
        <v>196.00878612716758</v>
      </c>
      <c r="CM39" s="77">
        <f si="52" t="shared"/>
        <v>453.01502890173413</v>
      </c>
      <c r="CN39" s="77">
        <f si="53" t="shared"/>
        <v>437.46612716762996</v>
      </c>
      <c r="CO39" s="77">
        <f si="54" t="shared"/>
        <v>608.00439306358373</v>
      </c>
      <c r="CP39" s="77">
        <f si="55" t="shared"/>
        <v>85.013179190751387</v>
      </c>
      <c r="CQ39" s="77">
        <f si="56" t="shared"/>
        <v>11.722080924855497</v>
      </c>
      <c r="CR39" s="77">
        <f si="57" t="shared"/>
        <v>0</v>
      </c>
      <c r="CS39" s="77">
        <f si="58" t="shared"/>
        <v>0</v>
      </c>
      <c r="CU39" s="95">
        <v>38</v>
      </c>
      <c r="CV39" s="95">
        <f si="6" t="shared"/>
        <v>2</v>
      </c>
      <c r="CW39" s="95">
        <f si="0" t="shared"/>
        <v>18</v>
      </c>
      <c r="CX39" s="58">
        <f si="1" t="shared"/>
        <v>44.964523281596449</v>
      </c>
      <c r="CY39" s="58">
        <f si="2" t="shared"/>
        <v>186.99999999999997</v>
      </c>
      <c r="CZ39" s="108">
        <f si="3" t="shared"/>
        <v>142.03547671840352</v>
      </c>
      <c r="DA39" s="78">
        <f si="4" t="shared"/>
        <v>3.1588342620444791</v>
      </c>
      <c r="DB39" s="95">
        <v>38000</v>
      </c>
    </row>
    <row r="40" spans="2:106" x14ac:dyDescent="0.25">
      <c r="B40" s="95">
        <v>11</v>
      </c>
      <c r="C40" s="77">
        <f>Flow_ODData!C41</f>
        <v>3496.6215790066449</v>
      </c>
      <c r="D40" s="77">
        <f>Flow_ODData!D41</f>
        <v>2435.0866088523485</v>
      </c>
      <c r="E40" s="77">
        <f>Flow_ODData!E41</f>
        <v>4259.7058227277848</v>
      </c>
      <c r="F40" s="77">
        <f>Flow_ODData!F41</f>
        <v>1437.9898637233923</v>
      </c>
      <c r="G40" s="77">
        <f>Flow_ODData!G41</f>
        <v>1722.8746480459511</v>
      </c>
      <c r="H40" s="77">
        <f>Flow_ODData!H41</f>
        <v>5721.4360851447236</v>
      </c>
      <c r="I40" s="77">
        <f>Flow_ODData!I41</f>
        <v>1797.4873296542405</v>
      </c>
      <c r="J40" s="77">
        <f>Flow_ODData!J41</f>
        <v>953.00743326951238</v>
      </c>
      <c r="K40" s="77">
        <f>Flow_ODData!K41</f>
        <v>3252.4346210158801</v>
      </c>
      <c r="L40" s="77">
        <f>Flow_ODData!L41</f>
        <v>739.34384502759315</v>
      </c>
      <c r="M40" s="77">
        <f>Flow_ODData!M41</f>
        <v>23462.296880279311</v>
      </c>
      <c r="N40" s="77">
        <f>Flow_ODData!N41</f>
        <v>3038.771032773961</v>
      </c>
      <c r="O40" s="77">
        <f>Flow_ODData!O41</f>
        <v>579.94402522806615</v>
      </c>
      <c r="P40" s="77">
        <f>Flow_ODData!P41</f>
        <v>373.06340804144611</v>
      </c>
      <c r="Q40" s="77">
        <f>Flow_ODData!Q41</f>
        <v>752.90978713819129</v>
      </c>
      <c r="R40" s="77">
        <f>Flow_ODData!R41</f>
        <v>23.74039869354657</v>
      </c>
      <c r="S40" s="77">
        <f>Flow_ODData!S41</f>
        <v>1109.0157675413898</v>
      </c>
      <c r="T40" s="77">
        <f>Flow_ODData!T41</f>
        <v>101.7445658294853</v>
      </c>
      <c r="U40" s="77">
        <f>Flow_ODData!U41</f>
        <v>4890.5221308705932</v>
      </c>
      <c r="V40" s="77">
        <f>Flow_ODData!V41</f>
        <v>78.004167135938729</v>
      </c>
      <c r="W40" s="77">
        <f>Flow_ODData!W41</f>
        <v>0</v>
      </c>
      <c r="X40" s="77">
        <f si="13" t="shared"/>
        <v>60225.999999999993</v>
      </c>
      <c r="Y40" s="95"/>
      <c r="Z40" s="95">
        <v>11</v>
      </c>
      <c r="AA40" s="77">
        <f>County_Flow!AX44*AA$28</f>
        <v>6382</v>
      </c>
      <c r="AB40" s="77">
        <f>County_Flow!AY44*AB$28</f>
        <v>3256</v>
      </c>
      <c r="AC40" s="77">
        <f>County_Flow!AZ44*AC$28</f>
        <v>2866</v>
      </c>
      <c r="AD40" s="77">
        <f>County_Flow!BA44*AD$28</f>
        <v>809</v>
      </c>
      <c r="AE40" s="77">
        <f>County_Flow!BB44*AE$28</f>
        <v>2158</v>
      </c>
      <c r="AF40" s="77">
        <f>County_Flow!BC44*AF$28</f>
        <v>10078</v>
      </c>
      <c r="AG40" s="77">
        <f>County_Flow!BD44*AG$28</f>
        <v>5140</v>
      </c>
      <c r="AH40" s="77">
        <f>County_Flow!BE44*AH$28</f>
        <v>103</v>
      </c>
      <c r="AI40" s="77">
        <f>County_Flow!BF44*AI$28</f>
        <v>4448</v>
      </c>
      <c r="AJ40" s="77">
        <f>County_Flow!BG44*AJ$28</f>
        <v>770</v>
      </c>
      <c r="AK40" s="77">
        <f>County_Flow!BH44*AK$28</f>
        <v>6025</v>
      </c>
      <c r="AL40" s="77">
        <f>County_Flow!BI44*AL$28</f>
        <v>3509</v>
      </c>
      <c r="AM40" s="77">
        <f>County_Flow!BJ44*AM$28</f>
        <v>1172</v>
      </c>
      <c r="AN40" s="77">
        <f>County_Flow!BK44*AN$28</f>
        <v>348</v>
      </c>
      <c r="AO40" s="77">
        <f>County_Flow!BL44*AO$28</f>
        <v>1498</v>
      </c>
      <c r="AP40" s="77">
        <f>County_Flow!BM44*AP$28</f>
        <v>45</v>
      </c>
      <c r="AQ40" s="77">
        <f>County_Flow!BN44*AQ$28</f>
        <v>5872</v>
      </c>
      <c r="AR40" s="77">
        <f>County_Flow!BO44*AR$28</f>
        <v>490</v>
      </c>
      <c r="AS40" s="77">
        <f>County_Flow!BP44*AS$28</f>
        <v>5248</v>
      </c>
      <c r="AT40" s="77">
        <f>County_Flow!BQ44*AT$28</f>
        <v>9</v>
      </c>
      <c r="AU40" s="77">
        <f>County_Flow!BR44</f>
        <v>0</v>
      </c>
      <c r="AV40" s="15">
        <f si="14" t="shared"/>
        <v>60226</v>
      </c>
      <c r="AW40" s="139">
        <f si="15" t="shared"/>
        <v>1.2081090582445167E-16</v>
      </c>
      <c r="AY40" s="95">
        <v>11</v>
      </c>
      <c r="AZ40" s="77">
        <f si="16" t="shared"/>
        <v>6381.9999999999991</v>
      </c>
      <c r="BA40" s="77">
        <f si="17" t="shared"/>
        <v>3255.9999999999995</v>
      </c>
      <c r="BB40" s="77">
        <f si="18" t="shared"/>
        <v>2865.9999999999995</v>
      </c>
      <c r="BC40" s="77">
        <f si="19" t="shared"/>
        <v>808.99999999999989</v>
      </c>
      <c r="BD40" s="77">
        <f si="20" t="shared"/>
        <v>2157.9999999999995</v>
      </c>
      <c r="BE40" s="77">
        <f si="21" t="shared"/>
        <v>10077.999999999998</v>
      </c>
      <c r="BF40" s="77">
        <f si="22" t="shared"/>
        <v>5139.9999999999991</v>
      </c>
      <c r="BG40" s="77">
        <f si="23" t="shared"/>
        <v>102.99999999999999</v>
      </c>
      <c r="BH40" s="77">
        <f si="24" t="shared"/>
        <v>4447.9999999999991</v>
      </c>
      <c r="BI40" s="77">
        <f si="25" t="shared"/>
        <v>769.99999999999989</v>
      </c>
      <c r="BJ40" s="77">
        <f si="26" t="shared"/>
        <v>6024.9999999999991</v>
      </c>
      <c r="BK40" s="77">
        <f si="27" t="shared"/>
        <v>3508.9999999999995</v>
      </c>
      <c r="BL40" s="77">
        <f si="28" t="shared"/>
        <v>1171.9999999999998</v>
      </c>
      <c r="BM40" s="77">
        <f si="29" t="shared"/>
        <v>347.99999999999994</v>
      </c>
      <c r="BN40" s="77">
        <f si="30" t="shared"/>
        <v>1497.9999999999998</v>
      </c>
      <c r="BO40" s="77">
        <f si="31" t="shared"/>
        <v>44.999999999999993</v>
      </c>
      <c r="BP40" s="77">
        <f si="32" t="shared"/>
        <v>5871.9999999999991</v>
      </c>
      <c r="BQ40" s="77">
        <f si="33" t="shared"/>
        <v>489.99999999999994</v>
      </c>
      <c r="BR40" s="77">
        <f si="34" t="shared"/>
        <v>5247.9999999999991</v>
      </c>
      <c r="BS40" s="77">
        <f si="35" t="shared"/>
        <v>8.9999999999999982</v>
      </c>
      <c r="BT40" s="77">
        <f si="36" t="shared"/>
        <v>0</v>
      </c>
      <c r="BU40" s="77">
        <f si="11" t="shared"/>
        <v>60225.999999999993</v>
      </c>
      <c r="BV40" s="95"/>
      <c r="BW40" s="95">
        <v>11</v>
      </c>
      <c r="BX40" s="77">
        <f si="37" t="shared"/>
        <v>2885.3784209933542</v>
      </c>
      <c r="BY40" s="77">
        <f si="38" t="shared"/>
        <v>820.91339114765105</v>
      </c>
      <c r="BZ40" s="77">
        <f si="39" t="shared"/>
        <v>1393.7058227277853</v>
      </c>
      <c r="CA40" s="77">
        <f si="40" t="shared"/>
        <v>628.98986372339243</v>
      </c>
      <c r="CB40" s="77">
        <f si="41" t="shared"/>
        <v>435.12535195404848</v>
      </c>
      <c r="CC40" s="77">
        <f si="42" t="shared"/>
        <v>4356.5639148552746</v>
      </c>
      <c r="CD40" s="77">
        <f si="43" t="shared"/>
        <v>3342.5126703457586</v>
      </c>
      <c r="CE40" s="77">
        <f si="44" t="shared"/>
        <v>850.00743326951238</v>
      </c>
      <c r="CF40" s="77">
        <f si="45" t="shared"/>
        <v>1195.565378984119</v>
      </c>
      <c r="CG40" s="77">
        <f si="46" t="shared"/>
        <v>30.656154972406739</v>
      </c>
      <c r="CH40" s="77">
        <f si="47" t="shared"/>
        <v>17437.296880279311</v>
      </c>
      <c r="CI40" s="77">
        <f si="48" t="shared"/>
        <v>470.22896722603855</v>
      </c>
      <c r="CJ40" s="77">
        <f si="49" t="shared"/>
        <v>592.05597477193362</v>
      </c>
      <c r="CK40" s="77">
        <f si="50" t="shared"/>
        <v>25.063408041446166</v>
      </c>
      <c r="CL40" s="77">
        <f si="51" t="shared"/>
        <v>745.09021286180848</v>
      </c>
      <c r="CM40" s="77">
        <f si="52" t="shared"/>
        <v>21.259601306453423</v>
      </c>
      <c r="CN40" s="77">
        <f si="53" t="shared"/>
        <v>4762.9842324586098</v>
      </c>
      <c r="CO40" s="77">
        <f si="54" t="shared"/>
        <v>388.25543417051466</v>
      </c>
      <c r="CP40" s="77">
        <f si="55" t="shared"/>
        <v>357.47786912940592</v>
      </c>
      <c r="CQ40" s="77">
        <f si="56" t="shared"/>
        <v>69.004167135938729</v>
      </c>
      <c r="CR40" s="77">
        <f si="57" t="shared"/>
        <v>0</v>
      </c>
      <c r="CS40" s="77">
        <f si="58" t="shared"/>
        <v>0</v>
      </c>
      <c r="CU40" s="95">
        <v>39</v>
      </c>
      <c r="CV40" s="95">
        <f si="6" t="shared"/>
        <v>2</v>
      </c>
      <c r="CW40" s="95">
        <f si="0" t="shared"/>
        <v>19</v>
      </c>
      <c r="CX40" s="58">
        <f si="1" t="shared"/>
        <v>109.19955654101996</v>
      </c>
      <c r="CY40" s="58">
        <f si="2" t="shared"/>
        <v>118.99999999999999</v>
      </c>
      <c r="CZ40" s="108">
        <f si="3" t="shared"/>
        <v>9.8004434589800269</v>
      </c>
      <c r="DA40" s="78">
        <f si="4" t="shared"/>
        <v>8.9748015188125488E-2</v>
      </c>
      <c r="DB40" s="95">
        <v>39000</v>
      </c>
    </row>
    <row r="41" spans="2:106" x14ac:dyDescent="0.25">
      <c r="B41" s="95">
        <v>12</v>
      </c>
      <c r="C41" s="77">
        <f>Flow_ODData!C42</f>
        <v>6973.0545397142787</v>
      </c>
      <c r="D41" s="77">
        <f>Flow_ODData!D42</f>
        <v>4386.4978557710019</v>
      </c>
      <c r="E41" s="77">
        <f>Flow_ODData!E42</f>
        <v>1817.1161830092874</v>
      </c>
      <c r="F41" s="77">
        <f>Flow_ODData!F42</f>
        <v>1635.0610644847272</v>
      </c>
      <c r="G41" s="77">
        <f>Flow_ODData!G42</f>
        <v>2967.8419321739584</v>
      </c>
      <c r="H41" s="77">
        <f>Flow_ODData!H42</f>
        <v>17669.651503591253</v>
      </c>
      <c r="I41" s="77">
        <f>Flow_ODData!I42</f>
        <v>8154.6953090057614</v>
      </c>
      <c r="J41" s="77">
        <f>Flow_ODData!J42</f>
        <v>120.22507827093582</v>
      </c>
      <c r="K41" s="77">
        <f>Flow_ODData!K42</f>
        <v>2936.9269120471467</v>
      </c>
      <c r="L41" s="77">
        <f>Flow_ODData!L42</f>
        <v>2115.9613775684707</v>
      </c>
      <c r="M41" s="77">
        <f>Flow_ODData!M42</f>
        <v>2212.1414401852194</v>
      </c>
      <c r="N41" s="77">
        <f>Flow_ODData!N42</f>
        <v>70891.576153016387</v>
      </c>
      <c r="O41" s="77">
        <f>Flow_ODData!O42</f>
        <v>3276.9921334420796</v>
      </c>
      <c r="P41" s="77">
        <f>Flow_ODData!P42</f>
        <v>72.135046962561503</v>
      </c>
      <c r="Q41" s="77">
        <f>Flow_ODData!Q42</f>
        <v>419.07027283011917</v>
      </c>
      <c r="R41" s="77">
        <f>Flow_ODData!R42</f>
        <v>676.69544055355311</v>
      </c>
      <c r="S41" s="77">
        <f>Flow_ODData!S42</f>
        <v>116.79007603462337</v>
      </c>
      <c r="T41" s="77">
        <f>Flow_ODData!T42</f>
        <v>2840.746849430398</v>
      </c>
      <c r="U41" s="77">
        <f>Flow_ODData!U42</f>
        <v>140.83509168881056</v>
      </c>
      <c r="V41" s="77">
        <f>Flow_ODData!V42</f>
        <v>1136.9857402194216</v>
      </c>
      <c r="W41" s="77">
        <f>Flow_ODData!W42</f>
        <v>0</v>
      </c>
      <c r="X41" s="77">
        <f si="13" t="shared"/>
        <v>130561</v>
      </c>
      <c r="Y41" s="95"/>
      <c r="Z41" s="95">
        <v>12</v>
      </c>
      <c r="AA41" s="77">
        <f>County_Flow!AX45*AA$28</f>
        <v>9891</v>
      </c>
      <c r="AB41" s="77">
        <f>County_Flow!AY45*AB$28</f>
        <v>6034</v>
      </c>
      <c r="AC41" s="77">
        <f>County_Flow!AZ45*AC$28</f>
        <v>2482</v>
      </c>
      <c r="AD41" s="77">
        <f>County_Flow!BA45*AD$28</f>
        <v>669</v>
      </c>
      <c r="AE41" s="77">
        <f>County_Flow!BB45*AE$28</f>
        <v>3192</v>
      </c>
      <c r="AF41" s="77">
        <f>County_Flow!BC45*AF$28</f>
        <v>22461</v>
      </c>
      <c r="AG41" s="77">
        <f>County_Flow!BD45*AG$28</f>
        <v>20857</v>
      </c>
      <c r="AH41" s="77">
        <f>County_Flow!BE45*AH$28</f>
        <v>42</v>
      </c>
      <c r="AI41" s="77">
        <f>County_Flow!BF45*AI$28</f>
        <v>4576</v>
      </c>
      <c r="AJ41" s="77">
        <f>County_Flow!BG45*AJ$28</f>
        <v>3579</v>
      </c>
      <c r="AK41" s="77">
        <f>County_Flow!BH45*AK$28</f>
        <v>948</v>
      </c>
      <c r="AL41" s="77">
        <f>County_Flow!BI45*AL$28</f>
        <v>33882</v>
      </c>
      <c r="AM41" s="77">
        <f>County_Flow!BJ45*AM$28</f>
        <v>7880</v>
      </c>
      <c r="AN41" s="77">
        <f>County_Flow!BK45*AN$28</f>
        <v>103</v>
      </c>
      <c r="AO41" s="77">
        <f>County_Flow!BL45*AO$28</f>
        <v>1034</v>
      </c>
      <c r="AP41" s="77">
        <f>County_Flow!BM45*AP$28</f>
        <v>281</v>
      </c>
      <c r="AQ41" s="77">
        <f>County_Flow!BN45*AQ$28</f>
        <v>1363</v>
      </c>
      <c r="AR41" s="77">
        <f>County_Flow!BO45*AR$28</f>
        <v>10190</v>
      </c>
      <c r="AS41" s="77">
        <f>County_Flow!BP45*AS$28</f>
        <v>656</v>
      </c>
      <c r="AT41" s="77">
        <f>County_Flow!BQ45*AT$28</f>
        <v>441</v>
      </c>
      <c r="AU41" s="77">
        <f>County_Flow!BR45</f>
        <v>0</v>
      </c>
      <c r="AV41" s="15">
        <f si="14" t="shared"/>
        <v>130561</v>
      </c>
      <c r="AW41" s="139">
        <f si="15" t="shared"/>
        <v>0</v>
      </c>
      <c r="AY41" s="95">
        <v>12</v>
      </c>
      <c r="AZ41" s="77">
        <f si="16" t="shared"/>
        <v>9891</v>
      </c>
      <c r="BA41" s="77">
        <f si="17" t="shared"/>
        <v>6034</v>
      </c>
      <c r="BB41" s="77">
        <f si="18" t="shared"/>
        <v>2482</v>
      </c>
      <c r="BC41" s="77">
        <f si="19" t="shared"/>
        <v>669</v>
      </c>
      <c r="BD41" s="77">
        <f si="20" t="shared"/>
        <v>3192</v>
      </c>
      <c r="BE41" s="77">
        <f si="21" t="shared"/>
        <v>22461</v>
      </c>
      <c r="BF41" s="77">
        <f si="22" t="shared"/>
        <v>20857</v>
      </c>
      <c r="BG41" s="77">
        <f si="23" t="shared"/>
        <v>42</v>
      </c>
      <c r="BH41" s="77">
        <f si="24" t="shared"/>
        <v>4576</v>
      </c>
      <c r="BI41" s="77">
        <f si="25" t="shared"/>
        <v>3579</v>
      </c>
      <c r="BJ41" s="77">
        <f si="26" t="shared"/>
        <v>948</v>
      </c>
      <c r="BK41" s="77">
        <f si="27" t="shared"/>
        <v>33882</v>
      </c>
      <c r="BL41" s="77">
        <f si="28" t="shared"/>
        <v>7880</v>
      </c>
      <c r="BM41" s="77">
        <f si="29" t="shared"/>
        <v>103</v>
      </c>
      <c r="BN41" s="77">
        <f si="30" t="shared"/>
        <v>1034</v>
      </c>
      <c r="BO41" s="77">
        <f si="31" t="shared"/>
        <v>281</v>
      </c>
      <c r="BP41" s="77">
        <f si="32" t="shared"/>
        <v>1363</v>
      </c>
      <c r="BQ41" s="77">
        <f si="33" t="shared"/>
        <v>10190</v>
      </c>
      <c r="BR41" s="77">
        <f si="34" t="shared"/>
        <v>656</v>
      </c>
      <c r="BS41" s="77">
        <f si="35" t="shared"/>
        <v>441</v>
      </c>
      <c r="BT41" s="77">
        <f si="36" t="shared"/>
        <v>0</v>
      </c>
      <c r="BU41" s="77">
        <f si="11" t="shared"/>
        <v>130561</v>
      </c>
      <c r="BV41" s="95"/>
      <c r="BW41" s="95">
        <v>12</v>
      </c>
      <c r="BX41" s="77">
        <f si="37" t="shared"/>
        <v>2917.9454602857213</v>
      </c>
      <c r="BY41" s="77">
        <f si="38" t="shared"/>
        <v>1647.5021442289981</v>
      </c>
      <c r="BZ41" s="77">
        <f si="39" t="shared"/>
        <v>664.8838169907126</v>
      </c>
      <c r="CA41" s="77">
        <f si="40" t="shared"/>
        <v>966.06106448472724</v>
      </c>
      <c r="CB41" s="77">
        <f si="41" t="shared"/>
        <v>224.15806782604159</v>
      </c>
      <c r="CC41" s="77">
        <f si="42" t="shared"/>
        <v>4791.3484964087475</v>
      </c>
      <c r="CD41" s="77">
        <f si="43" t="shared"/>
        <v>12702.304690994239</v>
      </c>
      <c r="CE41" s="77">
        <f si="44" t="shared"/>
        <v>78.225078270935825</v>
      </c>
      <c r="CF41" s="77">
        <f si="45" t="shared"/>
        <v>1639.0730879528533</v>
      </c>
      <c r="CG41" s="77">
        <f si="46" t="shared"/>
        <v>1463.0386224315293</v>
      </c>
      <c r="CH41" s="77">
        <f si="47" t="shared"/>
        <v>1264.1414401852194</v>
      </c>
      <c r="CI41" s="77">
        <f si="48" t="shared"/>
        <v>37009.576153016387</v>
      </c>
      <c r="CJ41" s="77">
        <f si="49" t="shared"/>
        <v>4603.0078665579204</v>
      </c>
      <c r="CK41" s="77">
        <f si="50" t="shared"/>
        <v>30.864953037438497</v>
      </c>
      <c r="CL41" s="77">
        <f si="51" t="shared"/>
        <v>614.92972716988083</v>
      </c>
      <c r="CM41" s="77">
        <f si="52" t="shared"/>
        <v>395.69544055355311</v>
      </c>
      <c r="CN41" s="77">
        <f si="53" t="shared"/>
        <v>1246.2099239653767</v>
      </c>
      <c r="CO41" s="77">
        <f si="54" t="shared"/>
        <v>7349.2531505696024</v>
      </c>
      <c r="CP41" s="77">
        <f si="55" t="shared"/>
        <v>515.16490831118949</v>
      </c>
      <c r="CQ41" s="77">
        <f si="56" t="shared"/>
        <v>695.98574021942159</v>
      </c>
      <c r="CR41" s="77">
        <f si="57" t="shared"/>
        <v>0</v>
      </c>
      <c r="CS41" s="77">
        <f si="58" t="shared"/>
        <v>0</v>
      </c>
      <c r="CU41" s="95">
        <v>40</v>
      </c>
      <c r="CV41" s="95">
        <f si="6" t="shared"/>
        <v>2</v>
      </c>
      <c r="CW41" s="95">
        <f si="0" t="shared"/>
        <v>20</v>
      </c>
      <c r="CX41" s="58">
        <f si="1" t="shared"/>
        <v>38.5410199556541</v>
      </c>
      <c r="CY41" s="58">
        <f si="2" t="shared"/>
        <v>10.999999999999998</v>
      </c>
      <c r="CZ41" s="108">
        <f si="3" t="shared"/>
        <v>-27.5410199556541</v>
      </c>
      <c r="DA41" s="78">
        <f si="4" t="shared"/>
        <v>-0.71458980554596707</v>
      </c>
      <c r="DB41" s="95">
        <v>40000</v>
      </c>
    </row>
    <row r="42" spans="2:106" x14ac:dyDescent="0.25">
      <c r="B42" s="95">
        <v>13</v>
      </c>
      <c r="C42" s="77">
        <f>Flow_ODData!C43</f>
        <v>1258.0401538526567</v>
      </c>
      <c r="D42" s="77">
        <f>Flow_ODData!D43</f>
        <v>1685.944968088254</v>
      </c>
      <c r="E42" s="77">
        <f>Flow_ODData!E43</f>
        <v>449.30005494737736</v>
      </c>
      <c r="F42" s="77">
        <f>Flow_ODData!F43</f>
        <v>393.67242909674962</v>
      </c>
      <c r="G42" s="77">
        <f>Flow_ODData!G43</f>
        <v>265.30098482607042</v>
      </c>
      <c r="H42" s="77">
        <f>Flow_ODData!H43</f>
        <v>3110.8679994927934</v>
      </c>
      <c r="I42" s="77">
        <f>Flow_ODData!I43</f>
        <v>13568.861659410793</v>
      </c>
      <c r="J42" s="77">
        <f>Flow_ODData!J43</f>
        <v>4.2790481423559745</v>
      </c>
      <c r="K42" s="77">
        <f>Flow_ODData!K43</f>
        <v>1703.0611606576779</v>
      </c>
      <c r="L42" s="77">
        <f>Flow_ODData!L43</f>
        <v>290.97527368020627</v>
      </c>
      <c r="M42" s="77">
        <f>Flow_ODData!M43</f>
        <v>393.67242909674962</v>
      </c>
      <c r="N42" s="77">
        <f>Flow_ODData!N43</f>
        <v>5866.5750031700409</v>
      </c>
      <c r="O42" s="77">
        <f>Flow_ODData!O43</f>
        <v>67549.053975231407</v>
      </c>
      <c r="P42" s="77">
        <f>Flow_ODData!P43</f>
        <v>12.837144427067924</v>
      </c>
      <c r="Q42" s="77">
        <f>Flow_ODData!Q43</f>
        <v>2267.8955154486666</v>
      </c>
      <c r="R42" s="77">
        <f>Flow_ODData!R43</f>
        <v>119.81334798596727</v>
      </c>
      <c r="S42" s="77">
        <f>Flow_ODData!S43</f>
        <v>17.116192569423898</v>
      </c>
      <c r="T42" s="77">
        <f>Flow_ODData!T43</f>
        <v>1822.8745086436452</v>
      </c>
      <c r="U42" s="77">
        <f>Flow_ODData!U43</f>
        <v>119.81334798596727</v>
      </c>
      <c r="V42" s="77">
        <f>Flow_ODData!V43</f>
        <v>338.044803246122</v>
      </c>
      <c r="W42" s="77">
        <f>Flow_ODData!W43</f>
        <v>0</v>
      </c>
      <c r="X42" s="77">
        <f si="13" t="shared"/>
        <v>101237.99999999999</v>
      </c>
      <c r="Y42" s="95"/>
      <c r="Z42" s="95">
        <v>13</v>
      </c>
      <c r="AA42" s="77">
        <f>County_Flow!AX46*AA$28</f>
        <v>2280</v>
      </c>
      <c r="AB42" s="77">
        <f>County_Flow!AY46*AB$28</f>
        <v>1667</v>
      </c>
      <c r="AC42" s="77">
        <f>County_Flow!AZ46*AC$28</f>
        <v>569</v>
      </c>
      <c r="AD42" s="77">
        <f>County_Flow!BA46*AD$28</f>
        <v>146</v>
      </c>
      <c r="AE42" s="77">
        <f>County_Flow!BB46*AE$28</f>
        <v>602</v>
      </c>
      <c r="AF42" s="77">
        <f>County_Flow!BC46*AF$28</f>
        <v>4388</v>
      </c>
      <c r="AG42" s="77">
        <f>County_Flow!BD46*AG$28</f>
        <v>17659</v>
      </c>
      <c r="AH42" s="77">
        <f>County_Flow!BE46*AH$28</f>
        <v>10</v>
      </c>
      <c r="AI42" s="77">
        <f>County_Flow!BF46*AI$28</f>
        <v>2684</v>
      </c>
      <c r="AJ42" s="77">
        <f>County_Flow!BG46*AJ$28</f>
        <v>412</v>
      </c>
      <c r="AK42" s="77">
        <f>County_Flow!BH46*AK$28</f>
        <v>307</v>
      </c>
      <c r="AL42" s="77">
        <f>County_Flow!BI46*AL$28</f>
        <v>6375</v>
      </c>
      <c r="AM42" s="77">
        <f>County_Flow!BJ46*AM$28</f>
        <v>53444</v>
      </c>
      <c r="AN42" s="77">
        <f>County_Flow!BK46*AN$28</f>
        <v>17</v>
      </c>
      <c r="AO42" s="77">
        <f>County_Flow!BL46*AO$28</f>
        <v>3555</v>
      </c>
      <c r="AP42" s="77">
        <f>County_Flow!BM46*AP$28</f>
        <v>15</v>
      </c>
      <c r="AQ42" s="77">
        <f>County_Flow!BN46*AQ$28</f>
        <v>523</v>
      </c>
      <c r="AR42" s="77">
        <f>County_Flow!BO46*AR$28</f>
        <v>5868</v>
      </c>
      <c r="AS42" s="77">
        <f>County_Flow!BP46*AS$28</f>
        <v>560</v>
      </c>
      <c r="AT42" s="77">
        <f>County_Flow!BQ46*AT$28</f>
        <v>157</v>
      </c>
      <c r="AU42" s="77">
        <f>County_Flow!BR46</f>
        <v>0</v>
      </c>
      <c r="AV42" s="15">
        <f si="14" t="shared"/>
        <v>101238</v>
      </c>
      <c r="AW42" s="139">
        <f si="15" t="shared"/>
        <v>1.4373965535043021E-16</v>
      </c>
      <c r="AY42" s="95">
        <v>13</v>
      </c>
      <c r="AZ42" s="77">
        <f si="16" t="shared"/>
        <v>2279.9999999999995</v>
      </c>
      <c r="BA42" s="77">
        <f si="17" t="shared"/>
        <v>1666.9999999999998</v>
      </c>
      <c r="BB42" s="77">
        <f si="18" t="shared"/>
        <v>568.99999999999989</v>
      </c>
      <c r="BC42" s="77">
        <f si="19" t="shared"/>
        <v>145.99999999999997</v>
      </c>
      <c r="BD42" s="77">
        <f si="20" t="shared"/>
        <v>601.99999999999989</v>
      </c>
      <c r="BE42" s="77">
        <f si="21" t="shared"/>
        <v>4387.9999999999991</v>
      </c>
      <c r="BF42" s="77">
        <f si="22" t="shared"/>
        <v>17658.999999999996</v>
      </c>
      <c r="BG42" s="77">
        <f si="23" t="shared"/>
        <v>9.9999999999999982</v>
      </c>
      <c r="BH42" s="77">
        <f si="24" t="shared"/>
        <v>2683.9999999999995</v>
      </c>
      <c r="BI42" s="77">
        <f si="25" t="shared"/>
        <v>411.99999999999994</v>
      </c>
      <c r="BJ42" s="77">
        <f si="26" t="shared"/>
        <v>306.99999999999994</v>
      </c>
      <c r="BK42" s="77">
        <f si="27" t="shared"/>
        <v>6374.9999999999991</v>
      </c>
      <c r="BL42" s="77">
        <f si="28" t="shared"/>
        <v>53443.999999999993</v>
      </c>
      <c r="BM42" s="77">
        <f si="29" t="shared"/>
        <v>16.999999999999996</v>
      </c>
      <c r="BN42" s="77">
        <f si="30" t="shared"/>
        <v>3554.9999999999995</v>
      </c>
      <c r="BO42" s="77">
        <f si="31" t="shared"/>
        <v>14.999999999999998</v>
      </c>
      <c r="BP42" s="77">
        <f si="32" t="shared"/>
        <v>522.99999999999989</v>
      </c>
      <c r="BQ42" s="77">
        <f si="33" t="shared"/>
        <v>5867.9999999999991</v>
      </c>
      <c r="BR42" s="77">
        <f si="34" t="shared"/>
        <v>559.99999999999989</v>
      </c>
      <c r="BS42" s="77">
        <f si="35" t="shared"/>
        <v>156.99999999999997</v>
      </c>
      <c r="BT42" s="77">
        <f si="36" t="shared"/>
        <v>0</v>
      </c>
      <c r="BU42" s="77">
        <f si="11" t="shared"/>
        <v>101237.99999999999</v>
      </c>
      <c r="BV42" s="95"/>
      <c r="BW42" s="95">
        <v>13</v>
      </c>
      <c r="BX42" s="77">
        <f si="37" t="shared"/>
        <v>1021.9598461473429</v>
      </c>
      <c r="BY42" s="77">
        <f si="38" t="shared"/>
        <v>18.9449680882542</v>
      </c>
      <c r="BZ42" s="77">
        <f si="39" t="shared"/>
        <v>119.69994505262252</v>
      </c>
      <c r="CA42" s="77">
        <f si="40" t="shared"/>
        <v>247.67242909674965</v>
      </c>
      <c r="CB42" s="77">
        <f si="41" t="shared"/>
        <v>336.69901517392947</v>
      </c>
      <c r="CC42" s="77">
        <f si="42" t="shared"/>
        <v>1277.1320005072057</v>
      </c>
      <c r="CD42" s="77">
        <f si="43" t="shared"/>
        <v>4090.1383405892029</v>
      </c>
      <c r="CE42" s="77">
        <f si="44" t="shared"/>
        <v>5.7209518576440237</v>
      </c>
      <c r="CF42" s="77">
        <f si="45" t="shared"/>
        <v>980.93883934232167</v>
      </c>
      <c r="CG42" s="77">
        <f si="46" t="shared"/>
        <v>121.02472631979367</v>
      </c>
      <c r="CH42" s="77">
        <f si="47" t="shared"/>
        <v>86.672429096749681</v>
      </c>
      <c r="CI42" s="77">
        <f si="48" t="shared"/>
        <v>508.42499682995822</v>
      </c>
      <c r="CJ42" s="77">
        <f si="49" t="shared"/>
        <v>14105.053975231414</v>
      </c>
      <c r="CK42" s="77">
        <f si="50" t="shared"/>
        <v>4.162855572932072</v>
      </c>
      <c r="CL42" s="77">
        <f si="51" t="shared"/>
        <v>1287.1044845513329</v>
      </c>
      <c r="CM42" s="77">
        <f si="52" t="shared"/>
        <v>104.81334798596727</v>
      </c>
      <c r="CN42" s="77">
        <f si="53" t="shared"/>
        <v>505.88380743057598</v>
      </c>
      <c r="CO42" s="77">
        <f si="54" t="shared"/>
        <v>4045.1254913563539</v>
      </c>
      <c r="CP42" s="77">
        <f si="55" t="shared"/>
        <v>440.18665201403263</v>
      </c>
      <c r="CQ42" s="77">
        <f si="56" t="shared"/>
        <v>181.04480324612203</v>
      </c>
      <c r="CR42" s="77">
        <f si="57" t="shared"/>
        <v>0</v>
      </c>
      <c r="CS42" s="77">
        <f si="58" t="shared"/>
        <v>0</v>
      </c>
      <c r="CU42" s="95">
        <v>41</v>
      </c>
      <c r="CV42" s="95">
        <f si="6" t="shared"/>
        <v>3</v>
      </c>
      <c r="CW42" s="95">
        <f si="0" t="shared"/>
        <v>1</v>
      </c>
      <c r="CX42" s="58">
        <f si="1" t="shared"/>
        <v>3971.509368892976</v>
      </c>
      <c r="CY42" s="58">
        <f si="2" t="shared"/>
        <v>5159</v>
      </c>
      <c r="CZ42" s="108">
        <f si="3" t="shared"/>
        <v>1187.490631107024</v>
      </c>
      <c r="DA42" s="78">
        <f si="4" t="shared"/>
        <v>0.29900234918444291</v>
      </c>
      <c r="DB42" s="95">
        <v>41000</v>
      </c>
    </row>
    <row r="43" spans="2:106" x14ac:dyDescent="0.25">
      <c r="B43" s="95">
        <v>14</v>
      </c>
      <c r="C43" s="77">
        <f>Flow_ODData!C44</f>
        <v>1682.7657512116316</v>
      </c>
      <c r="D43" s="77">
        <f>Flow_ODData!D44</f>
        <v>3169.8610662358647</v>
      </c>
      <c r="E43" s="77">
        <f>Flow_ODData!E44</f>
        <v>743.5476575121163</v>
      </c>
      <c r="F43" s="77">
        <f>Flow_ODData!F44</f>
        <v>939.21809369951529</v>
      </c>
      <c r="G43" s="77">
        <f>Flow_ODData!G44</f>
        <v>860.94991922455586</v>
      </c>
      <c r="H43" s="77">
        <f>Flow_ODData!H44</f>
        <v>3052.458804523425</v>
      </c>
      <c r="I43" s="77">
        <f>Flow_ODData!I44</f>
        <v>1291.4248788368336</v>
      </c>
      <c r="J43" s="77">
        <f>Flow_ODData!J44</f>
        <v>1095.7544426494346</v>
      </c>
      <c r="K43" s="77">
        <f>Flow_ODData!K44</f>
        <v>900.08400646203552</v>
      </c>
      <c r="L43" s="77">
        <f>Flow_ODData!L44</f>
        <v>469.60904684975765</v>
      </c>
      <c r="M43" s="77">
        <f>Flow_ODData!M44</f>
        <v>2661.1179321486266</v>
      </c>
      <c r="N43" s="77">
        <f>Flow_ODData!N44</f>
        <v>2387.1793214862682</v>
      </c>
      <c r="O43" s="77">
        <f>Flow_ODData!O44</f>
        <v>156.53634894991924</v>
      </c>
      <c r="P43" s="77">
        <f>Flow_ODData!P44</f>
        <v>3052.458804523425</v>
      </c>
      <c r="Q43" s="77">
        <f>Flow_ODData!Q44</f>
        <v>430.47495961227793</v>
      </c>
      <c r="R43" s="77">
        <f>Flow_ODData!R44</f>
        <v>39.134087237479811</v>
      </c>
      <c r="S43" s="77">
        <f>Flow_ODData!S44</f>
        <v>626.14539579967698</v>
      </c>
      <c r="T43" s="77">
        <f>Flow_ODData!T44</f>
        <v>117.40226171243941</v>
      </c>
      <c r="U43" s="77">
        <f>Flow_ODData!U44</f>
        <v>469.60904684975765</v>
      </c>
      <c r="V43" s="77">
        <f>Flow_ODData!V44</f>
        <v>78.268174474959622</v>
      </c>
      <c r="W43" s="77">
        <f>Flow_ODData!W44</f>
        <v>0</v>
      </c>
      <c r="X43" s="77">
        <f si="13" t="shared"/>
        <v>24223.999999999993</v>
      </c>
      <c r="Y43" s="95"/>
      <c r="Z43" s="95">
        <v>14</v>
      </c>
      <c r="AA43" s="77">
        <f>County_Flow!AX47*AA$28</f>
        <v>2110</v>
      </c>
      <c r="AB43" s="77">
        <f>County_Flow!AY47*AB$28</f>
        <v>997</v>
      </c>
      <c r="AC43" s="77">
        <f>County_Flow!AZ47*AC$28</f>
        <v>890</v>
      </c>
      <c r="AD43" s="77">
        <f>County_Flow!BA47*AD$28</f>
        <v>288</v>
      </c>
      <c r="AE43" s="77">
        <f>County_Flow!BB47*AE$28</f>
        <v>812</v>
      </c>
      <c r="AF43" s="77">
        <f>County_Flow!BC47*AF$28</f>
        <v>3410</v>
      </c>
      <c r="AG43" s="77">
        <f>County_Flow!BD47*AG$28</f>
        <v>1641</v>
      </c>
      <c r="AH43" s="77">
        <f>County_Flow!BE47*AH$28</f>
        <v>48</v>
      </c>
      <c r="AI43" s="77">
        <f>County_Flow!BF47*AI$28</f>
        <v>884</v>
      </c>
      <c r="AJ43" s="77">
        <f>County_Flow!BG47*AJ$28</f>
        <v>278</v>
      </c>
      <c r="AK43" s="77">
        <f>County_Flow!BH47*AK$28</f>
        <v>1469</v>
      </c>
      <c r="AL43" s="77">
        <f>County_Flow!BI47*AL$28</f>
        <v>1237</v>
      </c>
      <c r="AM43" s="77">
        <f>County_Flow!BJ47*AM$28</f>
        <v>303</v>
      </c>
      <c r="AN43" s="77">
        <f>County_Flow!BK47*AN$28</f>
        <v>3740</v>
      </c>
      <c r="AO43" s="77">
        <f>County_Flow!BL47*AO$28</f>
        <v>197</v>
      </c>
      <c r="AP43" s="77">
        <f>County_Flow!BM47*AP$28</f>
        <v>18</v>
      </c>
      <c r="AQ43" s="77">
        <f>County_Flow!BN47*AQ$28</f>
        <v>4611</v>
      </c>
      <c r="AR43" s="77">
        <f>County_Flow!BO47*AR$28</f>
        <v>187</v>
      </c>
      <c r="AS43" s="77">
        <f>County_Flow!BP47*AS$28</f>
        <v>1099</v>
      </c>
      <c r="AT43" s="77">
        <f>County_Flow!BQ47*AT$28</f>
        <v>5</v>
      </c>
      <c r="AU43" s="77">
        <f>County_Flow!BR47</f>
        <v>0</v>
      </c>
      <c r="AV43" s="15">
        <f si="14" t="shared"/>
        <v>24224</v>
      </c>
      <c r="AW43" s="139">
        <f si="15" t="shared"/>
        <v>3.0036152634508869E-16</v>
      </c>
      <c r="AY43" s="95">
        <v>14</v>
      </c>
      <c r="AZ43" s="77">
        <f si="16" t="shared"/>
        <v>2109.9999999999995</v>
      </c>
      <c r="BA43" s="77">
        <f si="17" t="shared"/>
        <v>996.99999999999966</v>
      </c>
      <c r="BB43" s="77">
        <f si="18" t="shared"/>
        <v>889.99999999999966</v>
      </c>
      <c r="BC43" s="77">
        <f si="19" t="shared"/>
        <v>287.99999999999994</v>
      </c>
      <c r="BD43" s="77">
        <f si="20" t="shared"/>
        <v>811.99999999999966</v>
      </c>
      <c r="BE43" s="77">
        <f si="21" t="shared"/>
        <v>3409.9999999999986</v>
      </c>
      <c r="BF43" s="77">
        <f si="22" t="shared"/>
        <v>1640.9999999999993</v>
      </c>
      <c r="BG43" s="77">
        <f si="23" t="shared"/>
        <v>47.999999999999979</v>
      </c>
      <c r="BH43" s="77">
        <f si="24" t="shared"/>
        <v>883.99999999999966</v>
      </c>
      <c r="BI43" s="77">
        <f si="25" t="shared"/>
        <v>277.99999999999994</v>
      </c>
      <c r="BJ43" s="77">
        <f si="26" t="shared"/>
        <v>1468.9999999999998</v>
      </c>
      <c r="BK43" s="77">
        <f si="27" t="shared"/>
        <v>1236.9999999999998</v>
      </c>
      <c r="BL43" s="77">
        <f si="28" t="shared"/>
        <v>302.99999999999994</v>
      </c>
      <c r="BM43" s="77">
        <f si="29" t="shared"/>
        <v>3739.9999999999986</v>
      </c>
      <c r="BN43" s="77">
        <f si="30" t="shared"/>
        <v>196.99999999999991</v>
      </c>
      <c r="BO43" s="77">
        <f si="31" t="shared"/>
        <v>17.999999999999996</v>
      </c>
      <c r="BP43" s="77">
        <f si="32" t="shared"/>
        <v>4610.9999999999991</v>
      </c>
      <c r="BQ43" s="77">
        <f si="33" t="shared"/>
        <v>186.99999999999997</v>
      </c>
      <c r="BR43" s="77">
        <f si="34" t="shared"/>
        <v>1098.9999999999998</v>
      </c>
      <c r="BS43" s="77">
        <f si="35" t="shared"/>
        <v>4.9999999999999991</v>
      </c>
      <c r="BT43" s="77">
        <f si="36" t="shared"/>
        <v>0</v>
      </c>
      <c r="BU43" s="77">
        <f si="11" t="shared"/>
        <v>24223.999999999996</v>
      </c>
      <c r="BV43" s="95"/>
      <c r="BW43" s="95">
        <v>14</v>
      </c>
      <c r="BX43" s="77">
        <f si="37" t="shared"/>
        <v>427.23424878836795</v>
      </c>
      <c r="BY43" s="77">
        <f si="38" t="shared"/>
        <v>2172.8610662358651</v>
      </c>
      <c r="BZ43" s="77">
        <f si="39" t="shared"/>
        <v>146.45234248788336</v>
      </c>
      <c r="CA43" s="77">
        <f si="40" t="shared"/>
        <v>651.21809369951529</v>
      </c>
      <c r="CB43" s="77">
        <f si="41" t="shared"/>
        <v>48.949919224556197</v>
      </c>
      <c r="CC43" s="77">
        <f si="42" t="shared"/>
        <v>357.54119547657365</v>
      </c>
      <c r="CD43" s="77">
        <f si="43" t="shared"/>
        <v>349.5751211631657</v>
      </c>
      <c r="CE43" s="77">
        <f si="44" t="shared"/>
        <v>1047.7544426494346</v>
      </c>
      <c r="CF43" s="77">
        <f si="45" t="shared"/>
        <v>16.084006462035859</v>
      </c>
      <c r="CG43" s="77">
        <f si="46" t="shared"/>
        <v>191.6090468497577</v>
      </c>
      <c r="CH43" s="77">
        <f si="47" t="shared"/>
        <v>1192.1179321486268</v>
      </c>
      <c r="CI43" s="77">
        <f si="48" t="shared"/>
        <v>1150.1793214862685</v>
      </c>
      <c r="CJ43" s="77">
        <f si="49" t="shared"/>
        <v>146.4636510500807</v>
      </c>
      <c r="CK43" s="77">
        <f si="50" t="shared"/>
        <v>687.54119547657365</v>
      </c>
      <c r="CL43" s="77">
        <f si="51" t="shared"/>
        <v>233.47495961227801</v>
      </c>
      <c r="CM43" s="77">
        <f si="52" t="shared"/>
        <v>21.134087237479815</v>
      </c>
      <c r="CN43" s="77">
        <f si="53" t="shared"/>
        <v>3984.8546042003222</v>
      </c>
      <c r="CO43" s="77">
        <f si="54" t="shared"/>
        <v>69.59773828756056</v>
      </c>
      <c r="CP43" s="77">
        <f si="55" t="shared"/>
        <v>629.39095315024213</v>
      </c>
      <c r="CQ43" s="77">
        <f si="56" t="shared"/>
        <v>73.268174474959622</v>
      </c>
      <c r="CR43" s="77">
        <f si="57" t="shared"/>
        <v>0</v>
      </c>
      <c r="CS43" s="77">
        <f si="58" t="shared"/>
        <v>3.637978807091713E-12</v>
      </c>
      <c r="CU43" s="95">
        <v>42</v>
      </c>
      <c r="CV43" s="95">
        <f si="6" t="shared"/>
        <v>3</v>
      </c>
      <c r="CW43" s="95">
        <f si="0" t="shared"/>
        <v>2</v>
      </c>
      <c r="CX43" s="58">
        <f si="1" t="shared"/>
        <v>2739.5148867685944</v>
      </c>
      <c r="CY43" s="58">
        <f si="2" t="shared"/>
        <v>2383</v>
      </c>
      <c r="CZ43" s="108">
        <f si="3" t="shared"/>
        <v>-356.51488676859435</v>
      </c>
      <c r="DA43" s="78">
        <f si="4" t="shared"/>
        <v>-0.13013796292566343</v>
      </c>
      <c r="DB43" s="95">
        <v>42000</v>
      </c>
    </row>
    <row r="44" spans="2:106" x14ac:dyDescent="0.25">
      <c r="B44" s="95">
        <v>15</v>
      </c>
      <c r="C44" s="77">
        <f>Flow_ODData!C45</f>
        <v>953.37663482733285</v>
      </c>
      <c r="D44" s="77">
        <f>Flow_ODData!D45</f>
        <v>1922.0317413666423</v>
      </c>
      <c r="E44" s="77">
        <f>Flow_ODData!E45</f>
        <v>357.5162380602498</v>
      </c>
      <c r="F44" s="77">
        <f>Flow_ODData!F45</f>
        <v>345.29346069066861</v>
      </c>
      <c r="G44" s="77">
        <f>Flow_ODData!G45</f>
        <v>455.29845701689936</v>
      </c>
      <c r="H44" s="77">
        <f>Flow_ODData!H45</f>
        <v>2028.9810433504774</v>
      </c>
      <c r="I44" s="77">
        <f>Flow_ODData!I45</f>
        <v>1592.01675238795</v>
      </c>
      <c r="J44" s="77">
        <f>Flow_ODData!J45</f>
        <v>30.556943423952973</v>
      </c>
      <c r="K44" s="77">
        <f>Flow_ODData!K45</f>
        <v>5011.3387215282883</v>
      </c>
      <c r="L44" s="77">
        <f>Flow_ODData!L45</f>
        <v>220.00999265246142</v>
      </c>
      <c r="M44" s="77">
        <f>Flow_ODData!M45</f>
        <v>690.58692138133722</v>
      </c>
      <c r="N44" s="77">
        <f>Flow_ODData!N45</f>
        <v>1323.1156502571639</v>
      </c>
      <c r="O44" s="77">
        <f>Flow_ODData!O45</f>
        <v>1595.0724467303455</v>
      </c>
      <c r="P44" s="77">
        <f>Flow_ODData!P45</f>
        <v>3.0556943423952974</v>
      </c>
      <c r="Q44" s="77">
        <f>Flow_ODData!Q45</f>
        <v>23852.750036737692</v>
      </c>
      <c r="R44" s="77">
        <f>Flow_ODData!R45</f>
        <v>42.779720793534167</v>
      </c>
      <c r="S44" s="77">
        <f>Flow_ODData!S45</f>
        <v>119.17207935341661</v>
      </c>
      <c r="T44" s="77">
        <f>Flow_ODData!T45</f>
        <v>48.891109478324758</v>
      </c>
      <c r="U44" s="77">
        <f>Flow_ODData!U45</f>
        <v>983.93357825128578</v>
      </c>
      <c r="V44" s="77">
        <f>Flow_ODData!V45</f>
        <v>12.222777369581189</v>
      </c>
      <c r="W44" s="77">
        <f>Flow_ODData!W45</f>
        <v>0</v>
      </c>
      <c r="X44" s="77">
        <f si="13" t="shared"/>
        <v>41588</v>
      </c>
      <c r="Y44" s="95"/>
      <c r="Z44" s="95">
        <v>15</v>
      </c>
      <c r="AA44" s="77">
        <f>County_Flow!AX48*AA$28</f>
        <v>1169</v>
      </c>
      <c r="AB44" s="77">
        <f>County_Flow!AY48*AB$28</f>
        <v>1038</v>
      </c>
      <c r="AC44" s="77">
        <f>County_Flow!AZ48*AC$28</f>
        <v>344</v>
      </c>
      <c r="AD44" s="77">
        <f>County_Flow!BA48*AD$28</f>
        <v>101</v>
      </c>
      <c r="AE44" s="77">
        <f>County_Flow!BB48*AE$28</f>
        <v>369</v>
      </c>
      <c r="AF44" s="77">
        <f>County_Flow!BC48*AF$28</f>
        <v>2382</v>
      </c>
      <c r="AG44" s="77">
        <f>County_Flow!BD48*AG$28</f>
        <v>3825</v>
      </c>
      <c r="AH44" s="77">
        <f>County_Flow!BE48*AH$28</f>
        <v>7</v>
      </c>
      <c r="AI44" s="77">
        <f>County_Flow!BF48*AI$28</f>
        <v>2930</v>
      </c>
      <c r="AJ44" s="77">
        <f>County_Flow!BG48*AJ$28</f>
        <v>197</v>
      </c>
      <c r="AK44" s="77">
        <f>County_Flow!BH48*AK$28</f>
        <v>329</v>
      </c>
      <c r="AL44" s="77">
        <f>County_Flow!BI48*AL$28</f>
        <v>1625</v>
      </c>
      <c r="AM44" s="77">
        <f>County_Flow!BJ48*AM$28</f>
        <v>8280</v>
      </c>
      <c r="AN44" s="77">
        <f>County_Flow!BK48*AN$28</f>
        <v>34</v>
      </c>
      <c r="AO44" s="77">
        <f>County_Flow!BL48*AO$28</f>
        <v>15153</v>
      </c>
      <c r="AP44" s="77">
        <f>County_Flow!BM48*AP$28</f>
        <v>9</v>
      </c>
      <c r="AQ44" s="77">
        <f>County_Flow!BN48*AQ$28</f>
        <v>449</v>
      </c>
      <c r="AR44" s="77">
        <f>County_Flow!BO48*AR$28</f>
        <v>465</v>
      </c>
      <c r="AS44" s="77">
        <f>County_Flow!BP48*AS$28</f>
        <v>2872</v>
      </c>
      <c r="AT44" s="77">
        <f>County_Flow!BQ48*AT$28</f>
        <v>10</v>
      </c>
      <c r="AU44" s="77">
        <f>County_Flow!BR48</f>
        <v>0</v>
      </c>
      <c r="AV44" s="15">
        <f si="14" t="shared"/>
        <v>41588</v>
      </c>
      <c r="AW44" s="139">
        <f si="15" t="shared"/>
        <v>0</v>
      </c>
      <c r="AY44" s="95">
        <v>15</v>
      </c>
      <c r="AZ44" s="77">
        <f si="16" t="shared"/>
        <v>1169</v>
      </c>
      <c r="BA44" s="77">
        <f si="17" t="shared"/>
        <v>1038</v>
      </c>
      <c r="BB44" s="77">
        <f si="18" t="shared"/>
        <v>344</v>
      </c>
      <c r="BC44" s="77">
        <f si="19" t="shared"/>
        <v>101</v>
      </c>
      <c r="BD44" s="77">
        <f si="20" t="shared"/>
        <v>369</v>
      </c>
      <c r="BE44" s="77">
        <f si="21" t="shared"/>
        <v>2382</v>
      </c>
      <c r="BF44" s="77">
        <f si="22" t="shared"/>
        <v>3825</v>
      </c>
      <c r="BG44" s="77">
        <f si="23" t="shared"/>
        <v>7</v>
      </c>
      <c r="BH44" s="77">
        <f si="24" t="shared"/>
        <v>2930</v>
      </c>
      <c r="BI44" s="77">
        <f si="25" t="shared"/>
        <v>197</v>
      </c>
      <c r="BJ44" s="77">
        <f si="26" t="shared"/>
        <v>329</v>
      </c>
      <c r="BK44" s="77">
        <f si="27" t="shared"/>
        <v>1625</v>
      </c>
      <c r="BL44" s="77">
        <f si="28" t="shared"/>
        <v>8280</v>
      </c>
      <c r="BM44" s="77">
        <f si="29" t="shared"/>
        <v>34</v>
      </c>
      <c r="BN44" s="77">
        <f si="30" t="shared"/>
        <v>15153</v>
      </c>
      <c r="BO44" s="77">
        <f si="31" t="shared"/>
        <v>9</v>
      </c>
      <c r="BP44" s="77">
        <f si="32" t="shared"/>
        <v>449</v>
      </c>
      <c r="BQ44" s="77">
        <f si="33" t="shared"/>
        <v>465</v>
      </c>
      <c r="BR44" s="77">
        <f si="34" t="shared"/>
        <v>2872</v>
      </c>
      <c r="BS44" s="77">
        <f si="35" t="shared"/>
        <v>10</v>
      </c>
      <c r="BT44" s="77">
        <f si="36" t="shared"/>
        <v>0</v>
      </c>
      <c r="BU44" s="77">
        <f si="11" t="shared"/>
        <v>41588</v>
      </c>
      <c r="BV44" s="95"/>
      <c r="BW44" s="95">
        <v>15</v>
      </c>
      <c r="BX44" s="77">
        <f si="37" t="shared"/>
        <v>215.62336517266715</v>
      </c>
      <c r="BY44" s="77">
        <f si="38" t="shared"/>
        <v>884.03174136664234</v>
      </c>
      <c r="BZ44" s="77">
        <f si="39" t="shared"/>
        <v>13.516238060249805</v>
      </c>
      <c r="CA44" s="77">
        <f si="40" t="shared"/>
        <v>244.29346069066861</v>
      </c>
      <c r="CB44" s="77">
        <f si="41" t="shared"/>
        <v>86.298457016899363</v>
      </c>
      <c r="CC44" s="77">
        <f si="42" t="shared"/>
        <v>353.01895664952258</v>
      </c>
      <c r="CD44" s="77">
        <f si="43" t="shared"/>
        <v>2232.98324761205</v>
      </c>
      <c r="CE44" s="77">
        <f si="44" t="shared"/>
        <v>23.556943423952973</v>
      </c>
      <c r="CF44" s="77">
        <f si="45" t="shared"/>
        <v>2081.3387215282883</v>
      </c>
      <c r="CG44" s="77">
        <f si="46" t="shared"/>
        <v>23.00999265246142</v>
      </c>
      <c r="CH44" s="77">
        <f si="47" t="shared"/>
        <v>361.58692138133722</v>
      </c>
      <c r="CI44" s="77">
        <f si="48" t="shared"/>
        <v>301.88434974283609</v>
      </c>
      <c r="CJ44" s="77">
        <f si="49" t="shared"/>
        <v>6684.9275532696547</v>
      </c>
      <c r="CK44" s="77">
        <f si="50" t="shared"/>
        <v>30.944305657604701</v>
      </c>
      <c r="CL44" s="77">
        <f si="51" t="shared"/>
        <v>8699.7500367376924</v>
      </c>
      <c r="CM44" s="77">
        <f si="52" t="shared"/>
        <v>33.779720793534167</v>
      </c>
      <c r="CN44" s="77">
        <f si="53" t="shared"/>
        <v>329.82792064658338</v>
      </c>
      <c r="CO44" s="77">
        <f si="54" t="shared"/>
        <v>416.10889052167522</v>
      </c>
      <c r="CP44" s="77">
        <f si="55" t="shared"/>
        <v>1888.0664217487142</v>
      </c>
      <c r="CQ44" s="77">
        <f si="56" t="shared"/>
        <v>2.2227773695811894</v>
      </c>
      <c r="CR44" s="77">
        <f si="57" t="shared"/>
        <v>0</v>
      </c>
      <c r="CS44" s="77">
        <f si="58" t="shared"/>
        <v>0</v>
      </c>
      <c r="CU44" s="95">
        <v>43</v>
      </c>
      <c r="CV44" s="95">
        <f si="6" t="shared"/>
        <v>3</v>
      </c>
      <c r="CW44" s="95">
        <f si="0" t="shared"/>
        <v>3</v>
      </c>
      <c r="CX44" s="58">
        <f si="1" t="shared"/>
        <v>7758.0227612369245</v>
      </c>
      <c r="CY44" s="58">
        <f si="2" t="shared"/>
        <v>2724</v>
      </c>
      <c r="CZ44" s="108">
        <f si="3" t="shared"/>
        <v>-5034.0227612369245</v>
      </c>
      <c r="DA44" s="78">
        <f si="4" t="shared"/>
        <v>-0.64887960710678672</v>
      </c>
      <c r="DB44" s="95">
        <v>43000</v>
      </c>
    </row>
    <row r="45" spans="2:106" x14ac:dyDescent="0.25">
      <c r="B45" s="95">
        <v>16</v>
      </c>
      <c r="C45" s="77">
        <f>Flow_ODData!C46</f>
        <v>1908.2711426726921</v>
      </c>
      <c r="D45" s="77">
        <f>Flow_ODData!D46</f>
        <v>597.70561652679146</v>
      </c>
      <c r="E45" s="77">
        <f>Flow_ODData!E46</f>
        <v>367.3970303421562</v>
      </c>
      <c r="F45" s="77">
        <f>Flow_ODData!F46</f>
        <v>460.61717236927052</v>
      </c>
      <c r="G45" s="77">
        <f>Flow_ODData!G46</f>
        <v>537.38670109748227</v>
      </c>
      <c r="H45" s="77">
        <f>Flow_ODData!H46</f>
        <v>3476.5629438347323</v>
      </c>
      <c r="I45" s="77">
        <f>Flow_ODData!I46</f>
        <v>570.28792769528729</v>
      </c>
      <c r="J45" s="77">
        <f>Flow_ODData!J46</f>
        <v>76.769528728211753</v>
      </c>
      <c r="K45" s="77">
        <f>Flow_ODData!K46</f>
        <v>740.27759845061337</v>
      </c>
      <c r="L45" s="77">
        <f>Flow_ODData!L46</f>
        <v>2703.3841187863136</v>
      </c>
      <c r="M45" s="77">
        <f>Flow_ODData!M46</f>
        <v>466.10071013557132</v>
      </c>
      <c r="N45" s="77">
        <f>Flow_ODData!N46</f>
        <v>3750.739832149774</v>
      </c>
      <c r="O45" s="77">
        <f>Flow_ODData!O46</f>
        <v>43.868302130406711</v>
      </c>
      <c r="P45" s="77">
        <f>Flow_ODData!P46</f>
        <v>5.4835377663008389</v>
      </c>
      <c r="Q45" s="77">
        <f>Flow_ODData!Q46</f>
        <v>16.450613298902518</v>
      </c>
      <c r="R45" s="77">
        <f>Flow_ODData!R46</f>
        <v>1107.6746287927695</v>
      </c>
      <c r="S45" s="77">
        <f>Flow_ODData!S46</f>
        <v>60.318915429309236</v>
      </c>
      <c r="T45" s="77">
        <f>Flow_ODData!T46</f>
        <v>43.868302130406711</v>
      </c>
      <c r="U45" s="77">
        <f>Flow_ODData!U46</f>
        <v>49.351839896707553</v>
      </c>
      <c r="V45" s="77">
        <f>Flow_ODData!V46</f>
        <v>5.4835377663008389</v>
      </c>
      <c r="W45" s="77">
        <f>Flow_ODData!W46</f>
        <v>0</v>
      </c>
      <c r="X45" s="77">
        <f si="13" t="shared"/>
        <v>16988</v>
      </c>
      <c r="Y45" s="95"/>
      <c r="Z45" s="95">
        <v>16</v>
      </c>
      <c r="AA45" s="77">
        <f>County_Flow!AX49*AA$28</f>
        <v>1635</v>
      </c>
      <c r="AB45" s="77">
        <f>County_Flow!AY49*AB$28</f>
        <v>787</v>
      </c>
      <c r="AC45" s="77">
        <f>County_Flow!AZ49*AC$28</f>
        <v>429</v>
      </c>
      <c r="AD45" s="77">
        <f>County_Flow!BA49*AD$28</f>
        <v>136</v>
      </c>
      <c r="AE45" s="77">
        <f>County_Flow!BB49*AE$28</f>
        <v>815</v>
      </c>
      <c r="AF45" s="77">
        <f>County_Flow!BC49*AF$28</f>
        <v>3760</v>
      </c>
      <c r="AG45" s="77">
        <f>County_Flow!BD49*AG$28</f>
        <v>1288</v>
      </c>
      <c r="AH45" s="77">
        <f>County_Flow!BE49*AH$28</f>
        <v>4</v>
      </c>
      <c r="AI45" s="77">
        <f>County_Flow!BF49*AI$28</f>
        <v>401</v>
      </c>
      <c r="AJ45" s="77">
        <f>County_Flow!BG49*AJ$28</f>
        <v>1256</v>
      </c>
      <c r="AK45" s="77">
        <f>County_Flow!BH49*AK$28</f>
        <v>152</v>
      </c>
      <c r="AL45" s="77">
        <f>County_Flow!BI49*AL$28</f>
        <v>3358</v>
      </c>
      <c r="AM45" s="77">
        <f>County_Flow!BJ49*AM$28</f>
        <v>443</v>
      </c>
      <c r="AN45" s="77">
        <f>County_Flow!BK49*AN$28</f>
        <v>25</v>
      </c>
      <c r="AO45" s="77">
        <f>County_Flow!BL49*AO$28</f>
        <v>95</v>
      </c>
      <c r="AP45" s="77">
        <f>County_Flow!BM49*AP$28</f>
        <v>396</v>
      </c>
      <c r="AQ45" s="77">
        <f>County_Flow!BN49*AQ$28</f>
        <v>287</v>
      </c>
      <c r="AR45" s="77">
        <f>County_Flow!BO49*AR$28</f>
        <v>1442</v>
      </c>
      <c r="AS45" s="77">
        <f>County_Flow!BP49*AS$28</f>
        <v>108</v>
      </c>
      <c r="AT45" s="77">
        <f>County_Flow!BQ49*AT$28</f>
        <v>171</v>
      </c>
      <c r="AU45" s="77">
        <f>County_Flow!BR49</f>
        <v>0</v>
      </c>
      <c r="AV45" s="15">
        <f si="14" t="shared"/>
        <v>16988</v>
      </c>
      <c r="AW45" s="139">
        <f si="15" t="shared"/>
        <v>0</v>
      </c>
      <c r="AY45" s="95">
        <v>16</v>
      </c>
      <c r="AZ45" s="77">
        <f si="16" t="shared"/>
        <v>1635</v>
      </c>
      <c r="BA45" s="77">
        <f si="17" t="shared"/>
        <v>787</v>
      </c>
      <c r="BB45" s="77">
        <f si="18" t="shared"/>
        <v>429</v>
      </c>
      <c r="BC45" s="77">
        <f si="19" t="shared"/>
        <v>136</v>
      </c>
      <c r="BD45" s="77">
        <f si="20" t="shared"/>
        <v>815</v>
      </c>
      <c r="BE45" s="77">
        <f si="21" t="shared"/>
        <v>3760</v>
      </c>
      <c r="BF45" s="77">
        <f si="22" t="shared"/>
        <v>1288</v>
      </c>
      <c r="BG45" s="77">
        <f si="23" t="shared"/>
        <v>4</v>
      </c>
      <c r="BH45" s="77">
        <f si="24" t="shared"/>
        <v>401</v>
      </c>
      <c r="BI45" s="77">
        <f si="25" t="shared"/>
        <v>1256</v>
      </c>
      <c r="BJ45" s="77">
        <f si="26" t="shared"/>
        <v>152</v>
      </c>
      <c r="BK45" s="77">
        <f si="27" t="shared"/>
        <v>3358</v>
      </c>
      <c r="BL45" s="77">
        <f si="28" t="shared"/>
        <v>443</v>
      </c>
      <c r="BM45" s="77">
        <f si="29" t="shared"/>
        <v>25</v>
      </c>
      <c r="BN45" s="77">
        <f si="30" t="shared"/>
        <v>95</v>
      </c>
      <c r="BO45" s="77">
        <f si="31" t="shared"/>
        <v>396</v>
      </c>
      <c r="BP45" s="77">
        <f si="32" t="shared"/>
        <v>287</v>
      </c>
      <c r="BQ45" s="77">
        <f si="33" t="shared"/>
        <v>1442</v>
      </c>
      <c r="BR45" s="77">
        <f si="34" t="shared"/>
        <v>108</v>
      </c>
      <c r="BS45" s="77">
        <f si="35" t="shared"/>
        <v>171</v>
      </c>
      <c r="BT45" s="77">
        <f si="36" t="shared"/>
        <v>0</v>
      </c>
      <c r="BU45" s="77">
        <f si="11" t="shared"/>
        <v>16988</v>
      </c>
      <c r="BV45" s="95"/>
      <c r="BW45" s="95">
        <v>16</v>
      </c>
      <c r="BX45" s="77">
        <f si="37" t="shared"/>
        <v>273.27114267269212</v>
      </c>
      <c r="BY45" s="77">
        <f si="38" t="shared"/>
        <v>189.29438347320854</v>
      </c>
      <c r="BZ45" s="77">
        <f si="39" t="shared"/>
        <v>61.602969657843801</v>
      </c>
      <c r="CA45" s="77">
        <f si="40" t="shared"/>
        <v>324.61717236927052</v>
      </c>
      <c r="CB45" s="77">
        <f si="41" t="shared"/>
        <v>277.61329890251773</v>
      </c>
      <c r="CC45" s="77">
        <f si="42" t="shared"/>
        <v>283.43705616526768</v>
      </c>
      <c r="CD45" s="77">
        <f si="43" t="shared"/>
        <v>717.71207230471271</v>
      </c>
      <c r="CE45" s="77">
        <f si="44" t="shared"/>
        <v>72.769528728211753</v>
      </c>
      <c r="CF45" s="77">
        <f si="45" t="shared"/>
        <v>339.27759845061337</v>
      </c>
      <c r="CG45" s="77">
        <f si="46" t="shared"/>
        <v>1447.3841187863136</v>
      </c>
      <c r="CH45" s="77">
        <f si="47" t="shared"/>
        <v>314.10071013557132</v>
      </c>
      <c r="CI45" s="77">
        <f si="48" t="shared"/>
        <v>392.73983214977397</v>
      </c>
      <c r="CJ45" s="77">
        <f si="49" t="shared"/>
        <v>399.13169786959327</v>
      </c>
      <c r="CK45" s="77">
        <f si="50" t="shared"/>
        <v>19.516462233699162</v>
      </c>
      <c r="CL45" s="77">
        <f si="51" t="shared"/>
        <v>78.54938670109749</v>
      </c>
      <c r="CM45" s="77">
        <f si="52" t="shared"/>
        <v>711.67462879276945</v>
      </c>
      <c r="CN45" s="77">
        <f si="53" t="shared"/>
        <v>226.68108457069076</v>
      </c>
      <c r="CO45" s="77">
        <f si="54" t="shared"/>
        <v>1398.1316978695934</v>
      </c>
      <c r="CP45" s="77">
        <f si="55" t="shared"/>
        <v>58.648160103292447</v>
      </c>
      <c r="CQ45" s="77">
        <f si="56" t="shared"/>
        <v>165.51646223369917</v>
      </c>
      <c r="CR45" s="77">
        <f si="57" t="shared"/>
        <v>0</v>
      </c>
      <c r="CS45" s="77">
        <f si="58" t="shared"/>
        <v>0</v>
      </c>
      <c r="CU45" s="95">
        <v>44</v>
      </c>
      <c r="CV45" s="95">
        <f si="6" t="shared"/>
        <v>3</v>
      </c>
      <c r="CW45" s="95">
        <f si="0" t="shared"/>
        <v>4</v>
      </c>
      <c r="CX45" s="58">
        <f si="1" t="shared"/>
        <v>1456.3513047476722</v>
      </c>
      <c r="CY45" s="58">
        <f si="2" t="shared"/>
        <v>445</v>
      </c>
      <c r="CZ45" s="108">
        <f si="3" t="shared"/>
        <v>-1011.3513047476722</v>
      </c>
      <c r="DA45" s="78">
        <f si="4" t="shared"/>
        <v>-0.69444185716089923</v>
      </c>
      <c r="DB45" s="95">
        <v>44000</v>
      </c>
    </row>
    <row r="46" spans="2:106" x14ac:dyDescent="0.25">
      <c r="B46" s="95">
        <v>17</v>
      </c>
      <c r="C46" s="77">
        <f>Flow_ODData!C47</f>
        <v>1663.5507246376812</v>
      </c>
      <c r="D46" s="77">
        <f>Flow_ODData!D47</f>
        <v>591.4847020933978</v>
      </c>
      <c r="E46" s="77">
        <f>Flow_ODData!E47</f>
        <v>628.45249597423515</v>
      </c>
      <c r="F46" s="77">
        <f>Flow_ODData!F47</f>
        <v>702.38808373590985</v>
      </c>
      <c r="G46" s="77">
        <f>Flow_ODData!G47</f>
        <v>665.4202898550725</v>
      </c>
      <c r="H46" s="77">
        <f>Flow_ODData!H47</f>
        <v>2292.0032206119163</v>
      </c>
      <c r="I46" s="77">
        <f>Flow_ODData!I47</f>
        <v>1219.9371980676328</v>
      </c>
      <c r="J46" s="77">
        <f>Flow_ODData!J47</f>
        <v>628.45249597423515</v>
      </c>
      <c r="K46" s="77">
        <f>Flow_ODData!K47</f>
        <v>924.19484702093393</v>
      </c>
      <c r="L46" s="77">
        <f>Flow_ODData!L47</f>
        <v>628.45249597423515</v>
      </c>
      <c r="M46" s="77">
        <f>Flow_ODData!M47</f>
        <v>5877.8792270531403</v>
      </c>
      <c r="N46" s="77">
        <f>Flow_ODData!N47</f>
        <v>850.25925925925924</v>
      </c>
      <c r="O46" s="77">
        <f>Flow_ODData!O47</f>
        <v>184.83896940418677</v>
      </c>
      <c r="P46" s="77">
        <f>Flow_ODData!P47</f>
        <v>517.54911433172299</v>
      </c>
      <c r="Q46" s="77">
        <f>Flow_ODData!Q47</f>
        <v>628.45249597423515</v>
      </c>
      <c r="R46" s="77">
        <f>Flow_ODData!R47</f>
        <v>110.90338164251207</v>
      </c>
      <c r="S46" s="77">
        <f>Flow_ODData!S47</f>
        <v>2994.391304347826</v>
      </c>
      <c r="T46" s="77">
        <f>Flow_ODData!T47</f>
        <v>73.935587761674725</v>
      </c>
      <c r="U46" s="77">
        <f>Flow_ODData!U47</f>
        <v>1737.4863123993559</v>
      </c>
      <c r="V46" s="77">
        <f>Flow_ODData!V47</f>
        <v>36.967793880837363</v>
      </c>
      <c r="W46" s="77">
        <f>Flow_ODData!W47</f>
        <v>0</v>
      </c>
      <c r="X46" s="77">
        <f si="13" t="shared"/>
        <v>22957</v>
      </c>
      <c r="Y46" s="95"/>
      <c r="Z46" s="95">
        <v>17</v>
      </c>
      <c r="AA46" s="77">
        <f>County_Flow!AX50*AA$28</f>
        <v>1781</v>
      </c>
      <c r="AB46" s="77">
        <f>County_Flow!AY50*AB$28</f>
        <v>831</v>
      </c>
      <c r="AC46" s="77">
        <f>County_Flow!AZ50*AC$28</f>
        <v>802</v>
      </c>
      <c r="AD46" s="77">
        <f>County_Flow!BA50*AD$28</f>
        <v>213</v>
      </c>
      <c r="AE46" s="77">
        <f>County_Flow!BB50*AE$28</f>
        <v>602</v>
      </c>
      <c r="AF46" s="77">
        <f>County_Flow!BC50*AF$28</f>
        <v>2873</v>
      </c>
      <c r="AG46" s="77">
        <f>County_Flow!BD50*AG$28</f>
        <v>1420</v>
      </c>
      <c r="AH46" s="77">
        <f>County_Flow!BE50*AH$28</f>
        <v>31</v>
      </c>
      <c r="AI46" s="77">
        <f>County_Flow!BF50*AI$28</f>
        <v>978</v>
      </c>
      <c r="AJ46" s="77">
        <f>County_Flow!BG50*AJ$28</f>
        <v>213</v>
      </c>
      <c r="AK46" s="77">
        <f>County_Flow!BH50*AK$28</f>
        <v>1676</v>
      </c>
      <c r="AL46" s="77">
        <f>County_Flow!BI50*AL$28</f>
        <v>1053</v>
      </c>
      <c r="AM46" s="77">
        <f>County_Flow!BJ50*AM$28</f>
        <v>324</v>
      </c>
      <c r="AN46" s="77">
        <f>County_Flow!BK50*AN$28</f>
        <v>843</v>
      </c>
      <c r="AO46" s="77">
        <f>County_Flow!BL50*AO$28</f>
        <v>407</v>
      </c>
      <c r="AP46" s="77">
        <f>County_Flow!BM50*AP$28</f>
        <v>17</v>
      </c>
      <c r="AQ46" s="77">
        <f>County_Flow!BN50*AQ$28</f>
        <v>4811</v>
      </c>
      <c r="AR46" s="77">
        <f>County_Flow!BO50*AR$28</f>
        <v>164</v>
      </c>
      <c r="AS46" s="77">
        <f>County_Flow!BP50*AS$28</f>
        <v>3916</v>
      </c>
      <c r="AT46" s="77">
        <f>County_Flow!BQ50*AT$28</f>
        <v>2</v>
      </c>
      <c r="AU46" s="77">
        <f>County_Flow!BR50</f>
        <v>0</v>
      </c>
      <c r="AV46" s="15">
        <f si="14" t="shared"/>
        <v>22957</v>
      </c>
      <c r="AW46" s="139">
        <f si="15" t="shared"/>
        <v>0</v>
      </c>
      <c r="AY46" s="95">
        <v>17</v>
      </c>
      <c r="AZ46" s="77">
        <f si="16" t="shared"/>
        <v>1781</v>
      </c>
      <c r="BA46" s="77">
        <f si="17" t="shared"/>
        <v>831</v>
      </c>
      <c r="BB46" s="77">
        <f si="18" t="shared"/>
        <v>802</v>
      </c>
      <c r="BC46" s="77">
        <f si="19" t="shared"/>
        <v>213</v>
      </c>
      <c r="BD46" s="77">
        <f si="20" t="shared"/>
        <v>602</v>
      </c>
      <c r="BE46" s="77">
        <f si="21" t="shared"/>
        <v>2873</v>
      </c>
      <c r="BF46" s="77">
        <f si="22" t="shared"/>
        <v>1420</v>
      </c>
      <c r="BG46" s="77">
        <f si="23" t="shared"/>
        <v>31</v>
      </c>
      <c r="BH46" s="77">
        <f si="24" t="shared"/>
        <v>978</v>
      </c>
      <c r="BI46" s="77">
        <f si="25" t="shared"/>
        <v>213</v>
      </c>
      <c r="BJ46" s="77">
        <f si="26" t="shared"/>
        <v>1676</v>
      </c>
      <c r="BK46" s="77">
        <f si="27" t="shared"/>
        <v>1053</v>
      </c>
      <c r="BL46" s="77">
        <f si="28" t="shared"/>
        <v>324</v>
      </c>
      <c r="BM46" s="77">
        <f si="29" t="shared"/>
        <v>843</v>
      </c>
      <c r="BN46" s="77">
        <f si="30" t="shared"/>
        <v>407</v>
      </c>
      <c r="BO46" s="77">
        <f si="31" t="shared"/>
        <v>17</v>
      </c>
      <c r="BP46" s="77">
        <f si="32" t="shared"/>
        <v>4811</v>
      </c>
      <c r="BQ46" s="77">
        <f si="33" t="shared"/>
        <v>164</v>
      </c>
      <c r="BR46" s="77">
        <f si="34" t="shared"/>
        <v>3916</v>
      </c>
      <c r="BS46" s="77">
        <f si="35" t="shared"/>
        <v>2</v>
      </c>
      <c r="BT46" s="77">
        <f si="36" t="shared"/>
        <v>0</v>
      </c>
      <c r="BU46" s="77">
        <f si="11" t="shared"/>
        <v>22957</v>
      </c>
      <c r="BV46" s="95"/>
      <c r="BW46" s="95">
        <v>17</v>
      </c>
      <c r="BX46" s="77">
        <f si="37" t="shared"/>
        <v>117.44927536231876</v>
      </c>
      <c r="BY46" s="77">
        <f si="38" t="shared"/>
        <v>239.5152979066022</v>
      </c>
      <c r="BZ46" s="77">
        <f si="39" t="shared"/>
        <v>173.54750402576485</v>
      </c>
      <c r="CA46" s="77">
        <f si="40" t="shared"/>
        <v>489.38808373590985</v>
      </c>
      <c r="CB46" s="77">
        <f si="41" t="shared"/>
        <v>63.420289855072497</v>
      </c>
      <c r="CC46" s="77">
        <f si="42" t="shared"/>
        <v>580.99677938808372</v>
      </c>
      <c r="CD46" s="77">
        <f si="43" t="shared"/>
        <v>200.06280193236717</v>
      </c>
      <c r="CE46" s="77">
        <f si="44" t="shared"/>
        <v>597.45249597423515</v>
      </c>
      <c r="CF46" s="77">
        <f si="45" t="shared"/>
        <v>53.805152979066065</v>
      </c>
      <c r="CG46" s="77">
        <f si="46" t="shared"/>
        <v>415.45249597423515</v>
      </c>
      <c r="CH46" s="77">
        <f si="47" t="shared"/>
        <v>4201.8792270531403</v>
      </c>
      <c r="CI46" s="77">
        <f si="48" t="shared"/>
        <v>202.74074074074076</v>
      </c>
      <c r="CJ46" s="77">
        <f si="49" t="shared"/>
        <v>139.16103059581323</v>
      </c>
      <c r="CK46" s="77">
        <f si="50" t="shared"/>
        <v>325.45088566827701</v>
      </c>
      <c r="CL46" s="77">
        <f si="51" t="shared"/>
        <v>221.45249597423515</v>
      </c>
      <c r="CM46" s="77">
        <f si="52" t="shared"/>
        <v>93.903381642512073</v>
      </c>
      <c r="CN46" s="77">
        <f si="53" t="shared"/>
        <v>1816.608695652174</v>
      </c>
      <c r="CO46" s="77">
        <f si="54" t="shared"/>
        <v>90.064412238325275</v>
      </c>
      <c r="CP46" s="77">
        <f si="55" t="shared"/>
        <v>2178.5136876006441</v>
      </c>
      <c r="CQ46" s="77">
        <f si="56" t="shared"/>
        <v>34.967793880837363</v>
      </c>
      <c r="CR46" s="77">
        <f si="57" t="shared"/>
        <v>0</v>
      </c>
      <c r="CS46" s="77">
        <f si="58" t="shared"/>
        <v>0</v>
      </c>
      <c r="CU46" s="95">
        <v>45</v>
      </c>
      <c r="CV46" s="95">
        <f si="6" t="shared"/>
        <v>3</v>
      </c>
      <c r="CW46" s="95">
        <f si="0" t="shared"/>
        <v>5</v>
      </c>
      <c r="CX46" s="58">
        <f si="1" t="shared"/>
        <v>1755.4937349120589</v>
      </c>
      <c r="CY46" s="58">
        <f si="2" t="shared"/>
        <v>1437</v>
      </c>
      <c r="CZ46" s="108">
        <f si="3" t="shared"/>
        <v>-318.49373491205893</v>
      </c>
      <c r="DA46" s="78">
        <f si="4" t="shared"/>
        <v>-0.18142687073048072</v>
      </c>
      <c r="DB46" s="95">
        <v>45000</v>
      </c>
    </row>
    <row r="47" spans="2:106" x14ac:dyDescent="0.25">
      <c r="B47" s="95">
        <v>18</v>
      </c>
      <c r="C47" s="77">
        <f>Flow_ODData!C48</f>
        <v>916.51768279453245</v>
      </c>
      <c r="D47" s="77">
        <f>Flow_ODData!D48</f>
        <v>1497.7240182252117</v>
      </c>
      <c r="E47" s="77">
        <f>Flow_ODData!E48</f>
        <v>324.13430245172486</v>
      </c>
      <c r="F47" s="77">
        <f>Flow_ODData!F48</f>
        <v>279.42612280321111</v>
      </c>
      <c r="G47" s="77">
        <f>Flow_ODData!G48</f>
        <v>659.44564981557824</v>
      </c>
      <c r="H47" s="77">
        <f>Flow_ODData!H48</f>
        <v>2671.3137339986984</v>
      </c>
      <c r="I47" s="77">
        <f>Flow_ODData!I48</f>
        <v>2078.9303536558909</v>
      </c>
      <c r="J47" s="77">
        <f>Flow_ODData!J48</f>
        <v>212.36385333044043</v>
      </c>
      <c r="K47" s="77">
        <f>Flow_ODData!K48</f>
        <v>860.63245823389025</v>
      </c>
      <c r="L47" s="77">
        <f>Flow_ODData!L48</f>
        <v>245.89498806682579</v>
      </c>
      <c r="M47" s="77">
        <f>Flow_ODData!M48</f>
        <v>134.12453894554133</v>
      </c>
      <c r="N47" s="77">
        <f>Flow_ODData!N48</f>
        <v>15189.604035582555</v>
      </c>
      <c r="O47" s="77">
        <f>Flow_ODData!O48</f>
        <v>2961.916901714038</v>
      </c>
      <c r="P47" s="77">
        <f>Flow_ODData!P48</f>
        <v>11.177044912128444</v>
      </c>
      <c r="Q47" s="77">
        <f>Flow_ODData!Q48</f>
        <v>78.239314384899103</v>
      </c>
      <c r="R47" s="77">
        <f>Flow_ODData!R48</f>
        <v>190.00976350618356</v>
      </c>
      <c r="S47" s="77">
        <f>Flow_ODData!S48</f>
        <v>11.177044912128444</v>
      </c>
      <c r="T47" s="77">
        <f>Flow_ODData!T48</f>
        <v>16262.600347146885</v>
      </c>
      <c r="U47" s="77">
        <f>Flow_ODData!U48</f>
        <v>67.062269472770666</v>
      </c>
      <c r="V47" s="77">
        <f>Flow_ODData!V48</f>
        <v>6862.7055760468656</v>
      </c>
      <c r="W47" s="77">
        <f>Flow_ODData!W48</f>
        <v>0</v>
      </c>
      <c r="X47" s="77">
        <f si="13" t="shared"/>
        <v>51515</v>
      </c>
      <c r="Y47" s="95"/>
      <c r="Z47" s="95">
        <v>18</v>
      </c>
      <c r="AA47" s="77">
        <f>County_Flow!AX51*AA$28</f>
        <v>1702</v>
      </c>
      <c r="AB47" s="77">
        <f>County_Flow!AY51*AB$28</f>
        <v>1052</v>
      </c>
      <c r="AC47" s="77">
        <f>County_Flow!AZ51*AC$28</f>
        <v>427</v>
      </c>
      <c r="AD47" s="77">
        <f>County_Flow!BA51*AD$28</f>
        <v>104</v>
      </c>
      <c r="AE47" s="77">
        <f>County_Flow!BB51*AE$28</f>
        <v>533</v>
      </c>
      <c r="AF47" s="77">
        <f>County_Flow!BC51*AF$28</f>
        <v>3678</v>
      </c>
      <c r="AG47" s="77">
        <f>County_Flow!BD51*AG$28</f>
        <v>3897</v>
      </c>
      <c r="AH47" s="77">
        <f>County_Flow!BE51*AH$28</f>
        <v>3</v>
      </c>
      <c r="AI47" s="77">
        <f>County_Flow!BF51*AI$28</f>
        <v>847</v>
      </c>
      <c r="AJ47" s="77">
        <f>County_Flow!BG51*AJ$28</f>
        <v>775</v>
      </c>
      <c r="AK47" s="77">
        <f>County_Flow!BH51*AK$28</f>
        <v>161</v>
      </c>
      <c r="AL47" s="77">
        <f>County_Flow!BI51*AL$28</f>
        <v>11191</v>
      </c>
      <c r="AM47" s="77">
        <f>County_Flow!BJ51*AM$28</f>
        <v>8543</v>
      </c>
      <c r="AN47" s="77">
        <f>County_Flow!BK51*AN$28</f>
        <v>21</v>
      </c>
      <c r="AO47" s="77">
        <f>County_Flow!BL51*AO$28</f>
        <v>459</v>
      </c>
      <c r="AP47" s="77">
        <f>County_Flow!BM51*AP$28</f>
        <v>66</v>
      </c>
      <c r="AQ47" s="77">
        <f>County_Flow!BN51*AQ$28</f>
        <v>336</v>
      </c>
      <c r="AR47" s="77">
        <f>County_Flow!BO51*AR$28</f>
        <v>16168</v>
      </c>
      <c r="AS47" s="77">
        <f>County_Flow!BP51*AS$28</f>
        <v>138</v>
      </c>
      <c r="AT47" s="77">
        <f>County_Flow!BQ51*AT$28</f>
        <v>1414</v>
      </c>
      <c r="AU47" s="77">
        <f>County_Flow!BR51</f>
        <v>0</v>
      </c>
      <c r="AV47" s="15">
        <f si="14" t="shared"/>
        <v>51515</v>
      </c>
      <c r="AW47" s="139">
        <f si="15" t="shared"/>
        <v>0</v>
      </c>
      <c r="AY47" s="95">
        <v>18</v>
      </c>
      <c r="AZ47" s="77">
        <f si="16" t="shared"/>
        <v>1702</v>
      </c>
      <c r="BA47" s="77">
        <f si="17" t="shared"/>
        <v>1052</v>
      </c>
      <c r="BB47" s="77">
        <f si="18" t="shared"/>
        <v>427</v>
      </c>
      <c r="BC47" s="77">
        <f si="19" t="shared"/>
        <v>104</v>
      </c>
      <c r="BD47" s="77">
        <f si="20" t="shared"/>
        <v>533</v>
      </c>
      <c r="BE47" s="77">
        <f si="21" t="shared"/>
        <v>3678</v>
      </c>
      <c r="BF47" s="77">
        <f si="22" t="shared"/>
        <v>3897</v>
      </c>
      <c r="BG47" s="77">
        <f si="23" t="shared"/>
        <v>3</v>
      </c>
      <c r="BH47" s="77">
        <f si="24" t="shared"/>
        <v>847</v>
      </c>
      <c r="BI47" s="77">
        <f si="25" t="shared"/>
        <v>775</v>
      </c>
      <c r="BJ47" s="77">
        <f si="26" t="shared"/>
        <v>161</v>
      </c>
      <c r="BK47" s="77">
        <f si="27" t="shared"/>
        <v>11191</v>
      </c>
      <c r="BL47" s="77">
        <f si="28" t="shared"/>
        <v>8543</v>
      </c>
      <c r="BM47" s="77">
        <f si="29" t="shared"/>
        <v>21</v>
      </c>
      <c r="BN47" s="77">
        <f si="30" t="shared"/>
        <v>459</v>
      </c>
      <c r="BO47" s="77">
        <f si="31" t="shared"/>
        <v>66</v>
      </c>
      <c r="BP47" s="77">
        <f si="32" t="shared"/>
        <v>336</v>
      </c>
      <c r="BQ47" s="77">
        <f si="33" t="shared"/>
        <v>16168</v>
      </c>
      <c r="BR47" s="77">
        <f si="34" t="shared"/>
        <v>138</v>
      </c>
      <c r="BS47" s="77">
        <f si="35" t="shared"/>
        <v>1414</v>
      </c>
      <c r="BT47" s="77">
        <f si="36" t="shared"/>
        <v>0</v>
      </c>
      <c r="BU47" s="77">
        <f si="11" t="shared"/>
        <v>51515</v>
      </c>
      <c r="BV47" s="95"/>
      <c r="BW47" s="95">
        <v>18</v>
      </c>
      <c r="BX47" s="77">
        <f si="37" t="shared"/>
        <v>785.48231720546755</v>
      </c>
      <c r="BY47" s="77">
        <f si="38" t="shared"/>
        <v>445.72401822521169</v>
      </c>
      <c r="BZ47" s="77">
        <f si="39" t="shared"/>
        <v>102.86569754827514</v>
      </c>
      <c r="CA47" s="77">
        <f si="40" t="shared"/>
        <v>175.42612280321111</v>
      </c>
      <c r="CB47" s="77">
        <f si="41" t="shared"/>
        <v>126.44564981557824</v>
      </c>
      <c r="CC47" s="77">
        <f si="42" t="shared"/>
        <v>1006.6862660013016</v>
      </c>
      <c r="CD47" s="77">
        <f si="43" t="shared"/>
        <v>1818.0696463441091</v>
      </c>
      <c r="CE47" s="77">
        <f si="44" t="shared"/>
        <v>209.36385333044043</v>
      </c>
      <c r="CF47" s="77">
        <f si="45" t="shared"/>
        <v>13.632458233890247</v>
      </c>
      <c r="CG47" s="77">
        <f si="46" t="shared"/>
        <v>529.10501193317418</v>
      </c>
      <c r="CH47" s="77">
        <f si="47" t="shared"/>
        <v>26.875461054458668</v>
      </c>
      <c r="CI47" s="77">
        <f si="48" t="shared"/>
        <v>3998.6040355825553</v>
      </c>
      <c r="CJ47" s="77">
        <f si="49" t="shared"/>
        <v>5581.0830982859625</v>
      </c>
      <c r="CK47" s="77">
        <f si="50" t="shared"/>
        <v>9.8229550878715557</v>
      </c>
      <c r="CL47" s="77">
        <f si="51" t="shared"/>
        <v>380.7606856151009</v>
      </c>
      <c r="CM47" s="77">
        <f si="52" t="shared"/>
        <v>124.00976350618356</v>
      </c>
      <c r="CN47" s="77">
        <f si="53" t="shared"/>
        <v>324.82295508787155</v>
      </c>
      <c r="CO47" s="77">
        <f si="54" t="shared"/>
        <v>94.600347146884815</v>
      </c>
      <c r="CP47" s="77">
        <f si="55" t="shared"/>
        <v>70.937730527229334</v>
      </c>
      <c r="CQ47" s="77">
        <f si="56" t="shared"/>
        <v>5448.7055760468656</v>
      </c>
      <c r="CR47" s="77">
        <f si="57" t="shared"/>
        <v>0</v>
      </c>
      <c r="CS47" s="77">
        <f si="58" t="shared"/>
        <v>0</v>
      </c>
      <c r="CU47" s="95">
        <v>46</v>
      </c>
      <c r="CV47" s="95">
        <f si="6" t="shared"/>
        <v>3</v>
      </c>
      <c r="CW47" s="95">
        <f si="0" t="shared"/>
        <v>6</v>
      </c>
      <c r="CX47" s="58">
        <f si="1" t="shared"/>
        <v>6100.9311415105185</v>
      </c>
      <c r="CY47" s="58">
        <f si="2" t="shared"/>
        <v>7895</v>
      </c>
      <c r="CZ47" s="108">
        <f si="3" t="shared"/>
        <v>1794.0688584894815</v>
      </c>
      <c r="DA47" s="78">
        <f si="4" t="shared"/>
        <v>0.29406476107928853</v>
      </c>
      <c r="DB47" s="95">
        <v>46000</v>
      </c>
    </row>
    <row r="48" spans="2:106" x14ac:dyDescent="0.25">
      <c r="B48" s="95">
        <v>19</v>
      </c>
      <c r="C48" s="77">
        <f>Flow_ODData!C49</f>
        <v>1651.9514843479267</v>
      </c>
      <c r="D48" s="77">
        <f>Flow_ODData!D49</f>
        <v>1322.6773709137115</v>
      </c>
      <c r="E48" s="77">
        <f>Flow_ODData!E49</f>
        <v>580.41538639251473</v>
      </c>
      <c r="F48" s="77">
        <f>Flow_ODData!F49</f>
        <v>284.62677601940629</v>
      </c>
      <c r="G48" s="77">
        <f>Flow_ODData!G49</f>
        <v>301.36952754995957</v>
      </c>
      <c r="H48" s="77">
        <f>Flow_ODData!H49</f>
        <v>2048.196603904355</v>
      </c>
      <c r="I48" s="77">
        <f>Flow_ODData!I49</f>
        <v>1021.3078433637519</v>
      </c>
      <c r="J48" s="77">
        <f>Flow_ODData!J49</f>
        <v>284.62677601940629</v>
      </c>
      <c r="K48" s="77">
        <f>Flow_ODData!K49</f>
        <v>1155.2498556081784</v>
      </c>
      <c r="L48" s="77">
        <f>Flow_ODData!L49</f>
        <v>111.61834353702206</v>
      </c>
      <c r="M48" s="77">
        <f>Flow_ODData!M49</f>
        <v>10458.638789418967</v>
      </c>
      <c r="N48" s="77">
        <f>Flow_ODData!N49</f>
        <v>1780.3125794155017</v>
      </c>
      <c r="O48" s="77">
        <f>Flow_ODData!O49</f>
        <v>373.92145084902387</v>
      </c>
      <c r="P48" s="77">
        <f>Flow_ODData!P49</f>
        <v>234.39852142774632</v>
      </c>
      <c r="Q48" s="77">
        <f>Flow_ODData!Q49</f>
        <v>2450.0226406376341</v>
      </c>
      <c r="R48" s="77">
        <f>Flow_ODData!R49</f>
        <v>22.323668707404412</v>
      </c>
      <c r="S48" s="77">
        <f>Flow_ODData!S49</f>
        <v>1333.8392052674137</v>
      </c>
      <c r="T48" s="77">
        <f>Flow_ODData!T49</f>
        <v>16.74275153055331</v>
      </c>
      <c r="U48" s="77">
        <f>Flow_ODData!U49</f>
        <v>22876.179507912671</v>
      </c>
      <c r="V48" s="77">
        <f>Flow_ODData!V49</f>
        <v>5.580917176851103</v>
      </c>
      <c r="W48" s="77">
        <f>Flow_ODData!W49</f>
        <v>0</v>
      </c>
      <c r="X48" s="77">
        <f si="13" t="shared"/>
        <v>48314</v>
      </c>
      <c r="Y48" s="95"/>
      <c r="Z48" s="95">
        <v>19</v>
      </c>
      <c r="AA48" s="77">
        <f>County_Flow!AX52*AA$28</f>
        <v>2623</v>
      </c>
      <c r="AB48" s="77">
        <f>County_Flow!AY52*AB$28</f>
        <v>1099</v>
      </c>
      <c r="AC48" s="77">
        <f>County_Flow!AZ52*AC$28</f>
        <v>971</v>
      </c>
      <c r="AD48" s="77">
        <f>County_Flow!BA52*AD$28</f>
        <v>211</v>
      </c>
      <c r="AE48" s="77">
        <f>County_Flow!BB52*AE$28</f>
        <v>754</v>
      </c>
      <c r="AF48" s="77">
        <f>County_Flow!BC52*AF$28</f>
        <v>3571</v>
      </c>
      <c r="AG48" s="77">
        <f>County_Flow!BD52*AG$28</f>
        <v>2216</v>
      </c>
      <c r="AH48" s="77">
        <f>County_Flow!BE52*AH$28</f>
        <v>34</v>
      </c>
      <c r="AI48" s="77">
        <f>County_Flow!BF52*AI$28</f>
        <v>1781</v>
      </c>
      <c r="AJ48" s="77">
        <f>County_Flow!BG52*AJ$28</f>
        <v>262</v>
      </c>
      <c r="AK48" s="77">
        <f>County_Flow!BH52*AK$28</f>
        <v>2582</v>
      </c>
      <c r="AL48" s="77">
        <f>County_Flow!BI52*AL$28</f>
        <v>1374</v>
      </c>
      <c r="AM48" s="77">
        <f>County_Flow!BJ52*AM$28</f>
        <v>1208</v>
      </c>
      <c r="AN48" s="77">
        <f>County_Flow!BK52*AN$28</f>
        <v>338</v>
      </c>
      <c r="AO48" s="77">
        <f>County_Flow!BL52*AO$28</f>
        <v>3367</v>
      </c>
      <c r="AP48" s="77">
        <f>County_Flow!BM52*AP$28</f>
        <v>28</v>
      </c>
      <c r="AQ48" s="77">
        <f>County_Flow!BN52*AQ$28</f>
        <v>4306</v>
      </c>
      <c r="AR48" s="77">
        <f>County_Flow!BO52*AR$28</f>
        <v>244</v>
      </c>
      <c r="AS48" s="77">
        <f>County_Flow!BP52*AS$28</f>
        <v>21341</v>
      </c>
      <c r="AT48" s="77">
        <f>County_Flow!BQ52*AT$28</f>
        <v>4</v>
      </c>
      <c r="AU48" s="77">
        <f>County_Flow!BR52</f>
        <v>0</v>
      </c>
      <c r="AV48" s="15">
        <f si="14" t="shared"/>
        <v>48314</v>
      </c>
      <c r="AW48" s="139">
        <f si="15" t="shared"/>
        <v>0</v>
      </c>
      <c r="AY48" s="95">
        <v>19</v>
      </c>
      <c r="AZ48" s="77">
        <f si="16" t="shared"/>
        <v>2623</v>
      </c>
      <c r="BA48" s="77">
        <f si="17" t="shared"/>
        <v>1099</v>
      </c>
      <c r="BB48" s="77">
        <f si="18" t="shared"/>
        <v>971</v>
      </c>
      <c r="BC48" s="77">
        <f si="19" t="shared"/>
        <v>211</v>
      </c>
      <c r="BD48" s="77">
        <f si="20" t="shared"/>
        <v>754</v>
      </c>
      <c r="BE48" s="77">
        <f si="21" t="shared"/>
        <v>3571</v>
      </c>
      <c r="BF48" s="77">
        <f si="22" t="shared"/>
        <v>2216</v>
      </c>
      <c r="BG48" s="77">
        <f si="23" t="shared"/>
        <v>34</v>
      </c>
      <c r="BH48" s="77">
        <f si="24" t="shared"/>
        <v>1781</v>
      </c>
      <c r="BI48" s="77">
        <f si="25" t="shared"/>
        <v>262</v>
      </c>
      <c r="BJ48" s="77">
        <f si="26" t="shared"/>
        <v>2582</v>
      </c>
      <c r="BK48" s="77">
        <f si="27" t="shared"/>
        <v>1374</v>
      </c>
      <c r="BL48" s="77">
        <f si="28" t="shared"/>
        <v>1208</v>
      </c>
      <c r="BM48" s="77">
        <f si="29" t="shared"/>
        <v>338</v>
      </c>
      <c r="BN48" s="77">
        <f si="30" t="shared"/>
        <v>3367</v>
      </c>
      <c r="BO48" s="77">
        <f si="31" t="shared"/>
        <v>28</v>
      </c>
      <c r="BP48" s="77">
        <f si="32" t="shared"/>
        <v>4306</v>
      </c>
      <c r="BQ48" s="77">
        <f si="33" t="shared"/>
        <v>244</v>
      </c>
      <c r="BR48" s="77">
        <f si="34" t="shared"/>
        <v>21341</v>
      </c>
      <c r="BS48" s="77">
        <f si="35" t="shared"/>
        <v>4</v>
      </c>
      <c r="BT48" s="77">
        <f si="36" t="shared"/>
        <v>0</v>
      </c>
      <c r="BU48" s="77">
        <f si="11" t="shared"/>
        <v>48314</v>
      </c>
      <c r="BV48" s="95"/>
      <c r="BW48" s="95">
        <v>19</v>
      </c>
      <c r="BX48" s="77">
        <f si="37" t="shared"/>
        <v>971.04851565207332</v>
      </c>
      <c r="BY48" s="77">
        <f si="38" t="shared"/>
        <v>223.67737091371146</v>
      </c>
      <c r="BZ48" s="77">
        <f si="39" t="shared"/>
        <v>390.58461360748527</v>
      </c>
      <c r="CA48" s="77">
        <f si="40" t="shared"/>
        <v>73.626776019406293</v>
      </c>
      <c r="CB48" s="77">
        <f si="41" t="shared"/>
        <v>452.63047245004043</v>
      </c>
      <c r="CC48" s="77">
        <f si="42" t="shared"/>
        <v>1522.803396095645</v>
      </c>
      <c r="CD48" s="77">
        <f si="43" t="shared"/>
        <v>1194.692156636248</v>
      </c>
      <c r="CE48" s="77">
        <f si="44" t="shared"/>
        <v>250.62677601940629</v>
      </c>
      <c r="CF48" s="77">
        <f si="45" t="shared"/>
        <v>625.75014439182155</v>
      </c>
      <c r="CG48" s="77">
        <f si="46" t="shared"/>
        <v>150.38165646297796</v>
      </c>
      <c r="CH48" s="77">
        <f si="47" t="shared"/>
        <v>7876.6387894189666</v>
      </c>
      <c r="CI48" s="77">
        <f si="48" t="shared"/>
        <v>406.31257941550166</v>
      </c>
      <c r="CJ48" s="77">
        <f si="49" t="shared"/>
        <v>834.07854915097619</v>
      </c>
      <c r="CK48" s="77">
        <f si="50" t="shared"/>
        <v>103.60147857225368</v>
      </c>
      <c r="CL48" s="77">
        <f si="51" t="shared"/>
        <v>916.97735936236586</v>
      </c>
      <c r="CM48" s="77">
        <f si="52" t="shared"/>
        <v>5.676331292595588</v>
      </c>
      <c r="CN48" s="77">
        <f si="53" t="shared"/>
        <v>2972.1607947325865</v>
      </c>
      <c r="CO48" s="77">
        <f si="54" t="shared"/>
        <v>227.25724846944669</v>
      </c>
      <c r="CP48" s="77">
        <f si="55" t="shared"/>
        <v>1535.1795079126714</v>
      </c>
      <c r="CQ48" s="77">
        <f si="56" t="shared"/>
        <v>1.580917176851103</v>
      </c>
      <c r="CR48" s="77">
        <f si="57" t="shared"/>
        <v>0</v>
      </c>
      <c r="CS48" s="77">
        <f si="58" t="shared"/>
        <v>0</v>
      </c>
      <c r="CU48" s="95">
        <v>47</v>
      </c>
      <c r="CV48" s="95">
        <f si="6" t="shared"/>
        <v>3</v>
      </c>
      <c r="CW48" s="95">
        <f si="0" t="shared"/>
        <v>7</v>
      </c>
      <c r="CX48" s="58">
        <f si="1" t="shared"/>
        <v>885.61903667088177</v>
      </c>
      <c r="CY48" s="58">
        <f si="2" t="shared"/>
        <v>4092</v>
      </c>
      <c r="CZ48" s="108">
        <f si="3" t="shared"/>
        <v>3206.3809633291185</v>
      </c>
      <c r="DA48" s="78">
        <f si="4" t="shared"/>
        <v>3.6204968847352026</v>
      </c>
      <c r="DB48" s="95">
        <v>47000</v>
      </c>
    </row>
    <row r="49" spans="2:106" x14ac:dyDescent="0.25">
      <c r="B49" s="95">
        <v>20</v>
      </c>
      <c r="C49" s="77">
        <f>Flow_ODData!C50</f>
        <v>172.67421874999999</v>
      </c>
      <c r="D49" s="77">
        <f>Flow_ODData!D50</f>
        <v>428.03750000000002</v>
      </c>
      <c r="E49" s="77">
        <f>Flow_ODData!E50</f>
        <v>19.456250000000001</v>
      </c>
      <c r="F49" s="77">
        <f>Flow_ODData!F50</f>
        <v>53.504687500000003</v>
      </c>
      <c r="G49" s="77">
        <f>Flow_ODData!G50</f>
        <v>143.48984375000001</v>
      </c>
      <c r="H49" s="77">
        <f>Flow_ODData!H50</f>
        <v>340.484375</v>
      </c>
      <c r="I49" s="77">
        <f>Flow_ODData!I50</f>
        <v>342.91640624999997</v>
      </c>
      <c r="J49" s="77">
        <f>Flow_ODData!J50</f>
        <v>4.8640625000000002</v>
      </c>
      <c r="K49" s="77">
        <f>Flow_ODData!K50</f>
        <v>141.05781249999998</v>
      </c>
      <c r="L49" s="77">
        <f>Flow_ODData!L50</f>
        <v>158.08203125</v>
      </c>
      <c r="M49" s="77">
        <f>Flow_ODData!M50</f>
        <v>36.48046875</v>
      </c>
      <c r="N49" s="77">
        <f>Flow_ODData!N50</f>
        <v>4460.3453124999996</v>
      </c>
      <c r="O49" s="77">
        <f>Flow_ODData!O50</f>
        <v>437.765625</v>
      </c>
      <c r="P49" s="77">
        <f>Flow_ODData!P50</f>
        <v>2.4320312500000001</v>
      </c>
      <c r="Q49" s="77">
        <f>Flow_ODData!Q50</f>
        <v>24.3203125</v>
      </c>
      <c r="R49" s="77">
        <f>Flow_ODData!R50</f>
        <v>53.504687500000003</v>
      </c>
      <c r="S49" s="77">
        <f>Flow_ODData!S50</f>
        <v>12.16015625</v>
      </c>
      <c r="T49" s="77">
        <f>Flow_ODData!T50</f>
        <v>3779.3765624999996</v>
      </c>
      <c r="U49" s="77">
        <f>Flow_ODData!U50</f>
        <v>2.4320312500000001</v>
      </c>
      <c r="V49" s="77">
        <f>Flow_ODData!V50</f>
        <v>20516.615624999999</v>
      </c>
      <c r="W49" s="77">
        <f>Flow_ODData!W50</f>
        <v>0</v>
      </c>
      <c r="X49" s="77">
        <f si="13" t="shared"/>
        <v>31130</v>
      </c>
      <c r="Y49" s="95"/>
      <c r="Z49" s="95">
        <v>20</v>
      </c>
      <c r="AA49" s="77">
        <f>County_Flow!AX53*AA$28</f>
        <v>640</v>
      </c>
      <c r="AB49" s="77">
        <f>County_Flow!AY53*AB$28</f>
        <v>383</v>
      </c>
      <c r="AC49" s="77">
        <f>County_Flow!AZ53*AC$28</f>
        <v>167</v>
      </c>
      <c r="AD49" s="77">
        <f>County_Flow!BA53*AD$28</f>
        <v>50</v>
      </c>
      <c r="AE49" s="77">
        <f>County_Flow!BB53*AE$28</f>
        <v>187</v>
      </c>
      <c r="AF49" s="77">
        <f>County_Flow!BC53*AF$28</f>
        <v>1461</v>
      </c>
      <c r="AG49" s="77">
        <f>County_Flow!BD53*AG$28</f>
        <v>900</v>
      </c>
      <c r="AH49" s="77">
        <f>County_Flow!BE53*AH$28</f>
        <v>4</v>
      </c>
      <c r="AI49" s="77">
        <f>County_Flow!BF53*AI$28</f>
        <v>262</v>
      </c>
      <c r="AJ49" s="77">
        <f>County_Flow!BG53*AJ$28</f>
        <v>271</v>
      </c>
      <c r="AK49" s="77">
        <f>County_Flow!BH53*AK$28</f>
        <v>66</v>
      </c>
      <c r="AL49" s="77">
        <f>County_Flow!BI53*AL$28</f>
        <v>4310</v>
      </c>
      <c r="AM49" s="77">
        <f>County_Flow!BJ53*AM$28</f>
        <v>1461</v>
      </c>
      <c r="AN49" s="77">
        <f>County_Flow!BK53*AN$28</f>
        <v>8</v>
      </c>
      <c r="AO49" s="77">
        <f>County_Flow!BL53*AO$28</f>
        <v>80</v>
      </c>
      <c r="AP49" s="77">
        <f>County_Flow!BM53*AP$28</f>
        <v>69</v>
      </c>
      <c r="AQ49" s="77">
        <f>County_Flow!BN53*AQ$28</f>
        <v>106</v>
      </c>
      <c r="AR49" s="77">
        <f>County_Flow!BO53*AR$28</f>
        <v>7910</v>
      </c>
      <c r="AS49" s="77">
        <f>County_Flow!BP53*AS$28</f>
        <v>34</v>
      </c>
      <c r="AT49" s="77">
        <f>County_Flow!BQ53*AT$28</f>
        <v>12761</v>
      </c>
      <c r="AU49" s="77">
        <f>County_Flow!BR53</f>
        <v>0</v>
      </c>
      <c r="AV49" s="15">
        <f si="14" t="shared"/>
        <v>31130</v>
      </c>
      <c r="AW49" s="139">
        <f si="15" t="shared"/>
        <v>0</v>
      </c>
      <c r="AY49" s="95">
        <v>20</v>
      </c>
      <c r="AZ49" s="77">
        <f si="16" t="shared"/>
        <v>640</v>
      </c>
      <c r="BA49" s="77">
        <f si="17" t="shared"/>
        <v>383</v>
      </c>
      <c r="BB49" s="77">
        <f si="18" t="shared"/>
        <v>167</v>
      </c>
      <c r="BC49" s="77">
        <f si="19" t="shared"/>
        <v>50</v>
      </c>
      <c r="BD49" s="77">
        <f si="20" t="shared"/>
        <v>187</v>
      </c>
      <c r="BE49" s="77">
        <f si="21" t="shared"/>
        <v>1461</v>
      </c>
      <c r="BF49" s="77">
        <f si="22" t="shared"/>
        <v>900</v>
      </c>
      <c r="BG49" s="77">
        <f si="23" t="shared"/>
        <v>4</v>
      </c>
      <c r="BH49" s="77">
        <f si="24" t="shared"/>
        <v>262</v>
      </c>
      <c r="BI49" s="77">
        <f si="25" t="shared"/>
        <v>271</v>
      </c>
      <c r="BJ49" s="77">
        <f si="26" t="shared"/>
        <v>66</v>
      </c>
      <c r="BK49" s="77">
        <f si="27" t="shared"/>
        <v>4310</v>
      </c>
      <c r="BL49" s="77">
        <f si="28" t="shared"/>
        <v>1461</v>
      </c>
      <c r="BM49" s="77">
        <f si="29" t="shared"/>
        <v>8</v>
      </c>
      <c r="BN49" s="77">
        <f si="30" t="shared"/>
        <v>80</v>
      </c>
      <c r="BO49" s="77">
        <f si="31" t="shared"/>
        <v>69</v>
      </c>
      <c r="BP49" s="77">
        <f si="32" t="shared"/>
        <v>106</v>
      </c>
      <c r="BQ49" s="77">
        <f si="33" t="shared"/>
        <v>7910</v>
      </c>
      <c r="BR49" s="77">
        <f si="34" t="shared"/>
        <v>34</v>
      </c>
      <c r="BS49" s="77">
        <f si="35" t="shared"/>
        <v>12761</v>
      </c>
      <c r="BT49" s="77">
        <f si="36" t="shared"/>
        <v>0</v>
      </c>
      <c r="BU49" s="77">
        <f si="11" t="shared"/>
        <v>31130</v>
      </c>
      <c r="BV49" s="95"/>
      <c r="BW49" s="95">
        <v>20</v>
      </c>
      <c r="BX49" s="77">
        <f si="37" t="shared"/>
        <v>467.32578124999998</v>
      </c>
      <c r="BY49" s="77">
        <f si="38" t="shared"/>
        <v>45.037500000000023</v>
      </c>
      <c r="BZ49" s="77">
        <f si="39" t="shared"/>
        <v>147.54374999999999</v>
      </c>
      <c r="CA49" s="77">
        <f si="40" t="shared"/>
        <v>3.5046875000000028</v>
      </c>
      <c r="CB49" s="77">
        <f si="41" t="shared"/>
        <v>43.510156249999994</v>
      </c>
      <c r="CC49" s="77">
        <f si="42" t="shared"/>
        <v>1120.515625</v>
      </c>
      <c r="CD49" s="77">
        <f si="43" t="shared"/>
        <v>557.08359375000009</v>
      </c>
      <c r="CE49" s="77">
        <f si="44" t="shared"/>
        <v>0.86406250000000018</v>
      </c>
      <c r="CF49" s="77">
        <f si="45" t="shared"/>
        <v>120.94218750000002</v>
      </c>
      <c r="CG49" s="77">
        <f si="46" t="shared"/>
        <v>112.91796875</v>
      </c>
      <c r="CH49" s="77">
        <f si="47" t="shared"/>
        <v>29.51953125</v>
      </c>
      <c r="CI49" s="77">
        <f si="48" t="shared"/>
        <v>150.34531249999964</v>
      </c>
      <c r="CJ49" s="77">
        <f si="49" t="shared"/>
        <v>1023.234375</v>
      </c>
      <c r="CK49" s="77">
        <f si="50" t="shared"/>
        <v>5.5679687500000004</v>
      </c>
      <c r="CL49" s="77">
        <f si="51" t="shared"/>
        <v>55.6796875</v>
      </c>
      <c r="CM49" s="77">
        <f si="52" t="shared"/>
        <v>15.495312499999997</v>
      </c>
      <c r="CN49" s="77">
        <f si="53" t="shared"/>
        <v>93.83984375</v>
      </c>
      <c r="CO49" s="77">
        <f si="54" t="shared"/>
        <v>4130.6234375000004</v>
      </c>
      <c r="CP49" s="77">
        <f si="55" t="shared"/>
        <v>31.567968749999999</v>
      </c>
      <c r="CQ49" s="77">
        <f si="56" t="shared"/>
        <v>7755.6156249999985</v>
      </c>
      <c r="CR49" s="77">
        <f si="57" t="shared"/>
        <v>0</v>
      </c>
      <c r="CS49" s="77">
        <f si="58" t="shared"/>
        <v>0</v>
      </c>
      <c r="CU49" s="95">
        <v>48</v>
      </c>
      <c r="CV49" s="95">
        <f si="6" t="shared"/>
        <v>3</v>
      </c>
      <c r="CW49" s="95">
        <f si="0" t="shared"/>
        <v>8</v>
      </c>
      <c r="CX49" s="58">
        <f si="1" t="shared"/>
        <v>358.18369927577885</v>
      </c>
      <c r="CY49" s="58">
        <f si="2" t="shared"/>
        <v>30</v>
      </c>
      <c r="CZ49" s="108">
        <f si="3" t="shared"/>
        <v>-328.18369927577885</v>
      </c>
      <c r="DA49" s="78">
        <f si="4" t="shared"/>
        <v>-0.91624409469035639</v>
      </c>
      <c r="DB49" s="95">
        <v>48000</v>
      </c>
    </row>
    <row r="50" spans="2:106" x14ac:dyDescent="0.25">
      <c r="B50" s="101" t="s">
        <v>15</v>
      </c>
      <c r="C50" s="77">
        <f>Flow_ODData!C51</f>
        <v>0</v>
      </c>
      <c r="D50" s="77">
        <f>Flow_ODData!D51</f>
        <v>0</v>
      </c>
      <c r="E50" s="77">
        <f>Flow_ODData!E51</f>
        <v>0</v>
      </c>
      <c r="F50" s="77">
        <f>Flow_ODData!F51</f>
        <v>0</v>
      </c>
      <c r="G50" s="77">
        <f>Flow_ODData!G51</f>
        <v>0</v>
      </c>
      <c r="H50" s="77">
        <f>Flow_ODData!H51</f>
        <v>0</v>
      </c>
      <c r="I50" s="77">
        <f>Flow_ODData!I51</f>
        <v>0</v>
      </c>
      <c r="J50" s="77">
        <f>Flow_ODData!J51</f>
        <v>0</v>
      </c>
      <c r="K50" s="77">
        <f>Flow_ODData!K51</f>
        <v>0</v>
      </c>
      <c r="L50" s="77">
        <f>Flow_ODData!L51</f>
        <v>0</v>
      </c>
      <c r="M50" s="77">
        <f>Flow_ODData!M51</f>
        <v>0</v>
      </c>
      <c r="N50" s="77">
        <f>Flow_ODData!N51</f>
        <v>0</v>
      </c>
      <c r="O50" s="77">
        <f>Flow_ODData!O51</f>
        <v>0</v>
      </c>
      <c r="P50" s="77">
        <f>Flow_ODData!P51</f>
        <v>0</v>
      </c>
      <c r="Q50" s="77">
        <f>Flow_ODData!Q51</f>
        <v>0</v>
      </c>
      <c r="R50" s="77">
        <f>Flow_ODData!R51</f>
        <v>0</v>
      </c>
      <c r="S50" s="77">
        <f>Flow_ODData!S51</f>
        <v>0</v>
      </c>
      <c r="T50" s="77">
        <f>Flow_ODData!T51</f>
        <v>0</v>
      </c>
      <c r="U50" s="77">
        <f>Flow_ODData!U51</f>
        <v>0</v>
      </c>
      <c r="V50" s="77">
        <f>Flow_ODData!V51</f>
        <v>0</v>
      </c>
      <c r="W50" s="77">
        <f>Flow_ODData!W51</f>
        <v>0</v>
      </c>
      <c r="X50" s="77">
        <f si="13" t="shared"/>
        <v>0</v>
      </c>
      <c r="Y50" s="95"/>
      <c r="Z50" s="101" t="s">
        <v>15</v>
      </c>
      <c r="AA50" s="77">
        <f>County_Flow!AX54</f>
        <v>0</v>
      </c>
      <c r="AB50" s="77">
        <f>County_Flow!AY54</f>
        <v>0</v>
      </c>
      <c r="AC50" s="77">
        <f>County_Flow!AZ54</f>
        <v>0</v>
      </c>
      <c r="AD50" s="77">
        <f>County_Flow!BA54</f>
        <v>0</v>
      </c>
      <c r="AE50" s="77">
        <f>County_Flow!BB54</f>
        <v>0</v>
      </c>
      <c r="AF50" s="77">
        <f>County_Flow!BC54</f>
        <v>0</v>
      </c>
      <c r="AG50" s="77">
        <f>County_Flow!BD54</f>
        <v>0</v>
      </c>
      <c r="AH50" s="77">
        <f>County_Flow!BE54</f>
        <v>0</v>
      </c>
      <c r="AI50" s="77">
        <f>County_Flow!BF54</f>
        <v>0</v>
      </c>
      <c r="AJ50" s="77">
        <f>County_Flow!BG54</f>
        <v>0</v>
      </c>
      <c r="AK50" s="77">
        <f>County_Flow!BH54</f>
        <v>0</v>
      </c>
      <c r="AL50" s="77">
        <f>County_Flow!BI54</f>
        <v>0</v>
      </c>
      <c r="AM50" s="77">
        <f>County_Flow!BJ54</f>
        <v>0</v>
      </c>
      <c r="AN50" s="77">
        <f>County_Flow!BK54</f>
        <v>0</v>
      </c>
      <c r="AO50" s="77">
        <f>County_Flow!BL54</f>
        <v>0</v>
      </c>
      <c r="AP50" s="77">
        <f>County_Flow!BM54</f>
        <v>0</v>
      </c>
      <c r="AQ50" s="77">
        <f>County_Flow!BN54</f>
        <v>0</v>
      </c>
      <c r="AR50" s="77">
        <f>County_Flow!BO54</f>
        <v>0</v>
      </c>
      <c r="AS50" s="77">
        <f>County_Flow!BP54</f>
        <v>0</v>
      </c>
      <c r="AT50" s="77">
        <f>County_Flow!BQ54</f>
        <v>0</v>
      </c>
      <c r="AU50" s="77">
        <f>County_Flow!BR54</f>
        <v>0</v>
      </c>
      <c r="AV50" s="16">
        <f>SUM(AA50:AU50)</f>
        <v>0</v>
      </c>
      <c r="AY50" s="101" t="s">
        <v>15</v>
      </c>
      <c r="AZ50" s="77">
        <f ref="AZ50:BS50" si="59" t="shared">ABS(AA50-C50)</f>
        <v>0</v>
      </c>
      <c r="BA50" s="77">
        <f si="59" t="shared"/>
        <v>0</v>
      </c>
      <c r="BB50" s="77">
        <f si="59" t="shared"/>
        <v>0</v>
      </c>
      <c r="BC50" s="77">
        <f si="59" t="shared"/>
        <v>0</v>
      </c>
      <c r="BD50" s="77">
        <f si="59" t="shared"/>
        <v>0</v>
      </c>
      <c r="BE50" s="77">
        <f si="59" t="shared"/>
        <v>0</v>
      </c>
      <c r="BF50" s="77">
        <f si="59" t="shared"/>
        <v>0</v>
      </c>
      <c r="BG50" s="77">
        <f si="59" t="shared"/>
        <v>0</v>
      </c>
      <c r="BH50" s="77">
        <f si="59" t="shared"/>
        <v>0</v>
      </c>
      <c r="BI50" s="77">
        <f si="59" t="shared"/>
        <v>0</v>
      </c>
      <c r="BJ50" s="77">
        <f si="59" t="shared"/>
        <v>0</v>
      </c>
      <c r="BK50" s="77">
        <f si="59" t="shared"/>
        <v>0</v>
      </c>
      <c r="BL50" s="77">
        <f si="59" t="shared"/>
        <v>0</v>
      </c>
      <c r="BM50" s="77">
        <f si="59" t="shared"/>
        <v>0</v>
      </c>
      <c r="BN50" s="77">
        <f si="59" t="shared"/>
        <v>0</v>
      </c>
      <c r="BO50" s="77">
        <f si="59" t="shared"/>
        <v>0</v>
      </c>
      <c r="BP50" s="77">
        <f si="59" t="shared"/>
        <v>0</v>
      </c>
      <c r="BQ50" s="77">
        <f si="59" t="shared"/>
        <v>0</v>
      </c>
      <c r="BR50" s="77">
        <f si="59" t="shared"/>
        <v>0</v>
      </c>
      <c r="BS50" s="77">
        <f si="59" t="shared"/>
        <v>0</v>
      </c>
      <c r="BT50" s="77">
        <f si="36" t="shared"/>
        <v>0</v>
      </c>
      <c r="BU50" s="16"/>
      <c r="BW50" s="101" t="s">
        <v>15</v>
      </c>
      <c r="BX50" s="77">
        <f ref="BX50:CS50" si="60" t="shared">ABS(AZ50-C50)</f>
        <v>0</v>
      </c>
      <c r="BY50" s="77">
        <f si="60" t="shared"/>
        <v>0</v>
      </c>
      <c r="BZ50" s="77">
        <f si="60" t="shared"/>
        <v>0</v>
      </c>
      <c r="CA50" s="77">
        <f si="60" t="shared"/>
        <v>0</v>
      </c>
      <c r="CB50" s="77">
        <f si="60" t="shared"/>
        <v>0</v>
      </c>
      <c r="CC50" s="77">
        <f si="60" t="shared"/>
        <v>0</v>
      </c>
      <c r="CD50" s="77">
        <f si="60" t="shared"/>
        <v>0</v>
      </c>
      <c r="CE50" s="77">
        <f si="60" t="shared"/>
        <v>0</v>
      </c>
      <c r="CF50" s="77">
        <f si="60" t="shared"/>
        <v>0</v>
      </c>
      <c r="CG50" s="77">
        <f si="60" t="shared"/>
        <v>0</v>
      </c>
      <c r="CH50" s="77">
        <f si="60" t="shared"/>
        <v>0</v>
      </c>
      <c r="CI50" s="77">
        <f si="60" t="shared"/>
        <v>0</v>
      </c>
      <c r="CJ50" s="77">
        <f si="60" t="shared"/>
        <v>0</v>
      </c>
      <c r="CK50" s="77">
        <f si="60" t="shared"/>
        <v>0</v>
      </c>
      <c r="CL50" s="77">
        <f si="60" t="shared"/>
        <v>0</v>
      </c>
      <c r="CM50" s="77">
        <f si="60" t="shared"/>
        <v>0</v>
      </c>
      <c r="CN50" s="77">
        <f si="60" t="shared"/>
        <v>0</v>
      </c>
      <c r="CO50" s="77">
        <f si="60" t="shared"/>
        <v>0</v>
      </c>
      <c r="CP50" s="77">
        <f si="60" t="shared"/>
        <v>0</v>
      </c>
      <c r="CQ50" s="77">
        <f si="60" t="shared"/>
        <v>0</v>
      </c>
      <c r="CR50" s="77">
        <f si="60" t="shared"/>
        <v>0</v>
      </c>
      <c r="CS50" s="16">
        <f si="60" t="shared"/>
        <v>0</v>
      </c>
      <c r="CU50" s="95">
        <v>49</v>
      </c>
      <c r="CV50" s="95">
        <f si="6" t="shared"/>
        <v>3</v>
      </c>
      <c r="CW50" s="95">
        <f si="0" t="shared"/>
        <v>9</v>
      </c>
      <c r="CX50" s="58">
        <f si="1" t="shared"/>
        <v>1641.3472812967009</v>
      </c>
      <c r="CY50" s="58">
        <f si="2" t="shared"/>
        <v>1721</v>
      </c>
      <c r="CZ50" s="108">
        <f si="3" t="shared"/>
        <v>79.652718703299115</v>
      </c>
      <c r="DA50" s="78">
        <f si="4" t="shared"/>
        <v>4.8528863824827913E-2</v>
      </c>
      <c r="DB50" s="95">
        <v>49000</v>
      </c>
    </row>
    <row ht="15.75" r="51" spans="2:106" thickBot="1" x14ac:dyDescent="0.3">
      <c r="B51" s="1" t="s">
        <v>3</v>
      </c>
      <c r="C51" s="107">
        <f>SUM(C30:C50)</f>
        <v>44064.449910309144</v>
      </c>
      <c r="D51" s="107">
        <f ref="D51:W51" si="61" t="shared">SUM(D30:D50)</f>
        <v>41271.800633283354</v>
      </c>
      <c r="E51" s="107">
        <f si="61" t="shared"/>
        <v>25829.876563947251</v>
      </c>
      <c r="F51" s="107">
        <f si="61" t="shared"/>
        <v>14995.435023481215</v>
      </c>
      <c r="G51" s="107">
        <f si="61" t="shared"/>
        <v>23512.19726378801</v>
      </c>
      <c r="H51" s="107">
        <f si="61" t="shared"/>
        <v>95716.4522442538</v>
      </c>
      <c r="I51" s="107">
        <f si="61" t="shared"/>
        <v>80154.65135051556</v>
      </c>
      <c r="J51" s="107">
        <f si="61" t="shared"/>
        <v>5139.0462624139791</v>
      </c>
      <c r="K51" s="107">
        <f si="61" t="shared"/>
        <v>49598.578576313572</v>
      </c>
      <c r="L51" s="107">
        <f si="61" t="shared"/>
        <v>19516.319307711343</v>
      </c>
      <c r="M51" s="107">
        <f si="61" t="shared"/>
        <v>57006.493440729108</v>
      </c>
      <c r="N51" s="107">
        <f si="61" t="shared"/>
        <v>145411.18509605396</v>
      </c>
      <c r="O51" s="107">
        <f si="61" t="shared"/>
        <v>91376.67532876473</v>
      </c>
      <c r="P51" s="107">
        <f si="61" t="shared"/>
        <v>4862.5263662467405</v>
      </c>
      <c r="Q51" s="107">
        <f si="61" t="shared"/>
        <v>38457.286420469085</v>
      </c>
      <c r="R51" s="107">
        <f si="61" t="shared"/>
        <v>3554.154636818047</v>
      </c>
      <c r="S51" s="107">
        <f si="61" t="shared"/>
        <v>6858.0404606418169</v>
      </c>
      <c r="T51" s="107">
        <f si="61" t="shared"/>
        <v>26595.562201520181</v>
      </c>
      <c r="U51" s="107">
        <f si="61" t="shared"/>
        <v>33384.1136998601</v>
      </c>
      <c r="V51" s="107">
        <f si="61" t="shared"/>
        <v>29559.155212879014</v>
      </c>
      <c r="W51" s="107">
        <f si="61" t="shared"/>
        <v>0</v>
      </c>
      <c r="X51" s="107">
        <f si="13" t="shared"/>
        <v>836864</v>
      </c>
      <c r="Y51" s="95"/>
      <c r="Z51" s="1" t="s">
        <v>3</v>
      </c>
      <c r="AA51" s="96">
        <f>SUM(AA30:AA50)</f>
        <v>61289</v>
      </c>
      <c r="AB51" s="96">
        <f ref="AB51:AV51" si="62" t="shared">SUM(AB30:AB50)</f>
        <v>34861</v>
      </c>
      <c r="AC51" s="96">
        <f si="62" t="shared"/>
        <v>19346</v>
      </c>
      <c r="AD51" s="96">
        <f si="62" t="shared"/>
        <v>5443</v>
      </c>
      <c r="AE51" s="96">
        <f si="62" t="shared"/>
        <v>20562</v>
      </c>
      <c r="AF51" s="96">
        <f si="62" t="shared"/>
        <v>122711</v>
      </c>
      <c r="AG51" s="96">
        <f si="62" t="shared"/>
        <v>117623</v>
      </c>
      <c r="AH51" s="96">
        <f si="62" t="shared"/>
        <v>445</v>
      </c>
      <c r="AI51" s="96">
        <f si="62" t="shared"/>
        <v>42397</v>
      </c>
      <c r="AJ51" s="96">
        <f si="62" t="shared"/>
        <v>14311</v>
      </c>
      <c r="AK51" s="96">
        <f si="62" t="shared"/>
        <v>18214</v>
      </c>
      <c r="AL51" s="96">
        <f si="62" t="shared"/>
        <v>100589</v>
      </c>
      <c r="AM51" s="96">
        <f si="62" t="shared"/>
        <v>104098</v>
      </c>
      <c r="AN51" s="96">
        <f si="62" t="shared"/>
        <v>6001</v>
      </c>
      <c r="AO51" s="96">
        <f si="62" t="shared"/>
        <v>34851</v>
      </c>
      <c r="AP51" s="96">
        <f si="62" t="shared"/>
        <v>1399</v>
      </c>
      <c r="AQ51" s="96">
        <f si="62" t="shared"/>
        <v>29486</v>
      </c>
      <c r="AR51" s="96">
        <f si="62" t="shared"/>
        <v>48263</v>
      </c>
      <c r="AS51" s="96">
        <f si="62" t="shared"/>
        <v>39768</v>
      </c>
      <c r="AT51" s="96">
        <f si="62" t="shared"/>
        <v>15207</v>
      </c>
      <c r="AU51" s="96">
        <f si="62" t="shared"/>
        <v>0</v>
      </c>
      <c r="AV51" s="96">
        <f si="62" t="shared"/>
        <v>836864</v>
      </c>
      <c r="AY51" s="1" t="s">
        <v>3</v>
      </c>
      <c r="AZ51" s="96">
        <f>ABS(SUM(AZ30:AZ50))</f>
        <v>61289</v>
      </c>
      <c r="BA51" s="96">
        <f ref="BA51:BS51" si="63" t="shared">ABS(SUM(BA30:BA50))</f>
        <v>34861</v>
      </c>
      <c r="BB51" s="96">
        <f si="63" t="shared"/>
        <v>19346</v>
      </c>
      <c r="BC51" s="96">
        <f si="63" t="shared"/>
        <v>5443</v>
      </c>
      <c r="BD51" s="96">
        <f si="63" t="shared"/>
        <v>20562</v>
      </c>
      <c r="BE51" s="96">
        <f si="63" t="shared"/>
        <v>122711</v>
      </c>
      <c r="BF51" s="96">
        <f si="63" t="shared"/>
        <v>117623</v>
      </c>
      <c r="BG51" s="96">
        <f si="63" t="shared"/>
        <v>445</v>
      </c>
      <c r="BH51" s="96">
        <f si="63" t="shared"/>
        <v>42397</v>
      </c>
      <c r="BI51" s="96">
        <f si="63" t="shared"/>
        <v>14311</v>
      </c>
      <c r="BJ51" s="96">
        <f si="63" t="shared"/>
        <v>18214</v>
      </c>
      <c r="BK51" s="96">
        <f si="63" t="shared"/>
        <v>100589</v>
      </c>
      <c r="BL51" s="96">
        <f si="63" t="shared"/>
        <v>104098</v>
      </c>
      <c r="BM51" s="96">
        <f si="63" t="shared"/>
        <v>6000.9999999999982</v>
      </c>
      <c r="BN51" s="96">
        <f si="63" t="shared"/>
        <v>34851</v>
      </c>
      <c r="BO51" s="96">
        <f si="63" t="shared"/>
        <v>1399</v>
      </c>
      <c r="BP51" s="96">
        <f si="63" t="shared"/>
        <v>29486</v>
      </c>
      <c r="BQ51" s="96">
        <f si="63" t="shared"/>
        <v>48263</v>
      </c>
      <c r="BR51" s="96">
        <f si="63" t="shared"/>
        <v>39768</v>
      </c>
      <c r="BS51" s="96">
        <f si="63" t="shared"/>
        <v>15207</v>
      </c>
      <c r="BT51" s="96">
        <f>ABS(SUM(BT30:BT50))</f>
        <v>0</v>
      </c>
      <c r="BU51" s="96">
        <f>ABS(SUM(BU30:BU50))</f>
        <v>836864</v>
      </c>
      <c r="BW51" s="1" t="s">
        <v>3</v>
      </c>
      <c r="BX51" s="96">
        <f>SUM(BX30:BX49)</f>
        <v>19785.322872880231</v>
      </c>
      <c r="BY51" s="96">
        <f ref="BY51:CQ51" si="64" t="shared">SUM(BY30:BY49)</f>
        <v>14457.874738345405</v>
      </c>
      <c r="BZ51" s="96">
        <f si="64" t="shared"/>
        <v>10840.233083728368</v>
      </c>
      <c r="CA51" s="96">
        <f si="64" t="shared"/>
        <v>9552.4350234812155</v>
      </c>
      <c r="CB51" s="96">
        <f si="64" t="shared"/>
        <v>7752.425883952641</v>
      </c>
      <c r="CC51" s="96">
        <f si="64" t="shared"/>
        <v>31742.902921545068</v>
      </c>
      <c r="CD51" s="96">
        <f si="64" t="shared"/>
        <v>49941.213294776782</v>
      </c>
      <c r="CE51" s="96">
        <f si="64" t="shared"/>
        <v>4705.4881661292675</v>
      </c>
      <c r="CF51" s="96">
        <f si="64" t="shared"/>
        <v>21984.388886094868</v>
      </c>
      <c r="CG51" s="96">
        <f si="64" t="shared"/>
        <v>10087.053281336643</v>
      </c>
      <c r="CH51" s="96">
        <f si="64" t="shared"/>
        <v>38905.283425338028</v>
      </c>
      <c r="CI51" s="96">
        <f si="64" t="shared"/>
        <v>50866.330773302048</v>
      </c>
      <c r="CJ51" s="96">
        <f si="64" t="shared"/>
        <v>40990.114707154768</v>
      </c>
      <c r="CK51" s="96">
        <f si="64" t="shared"/>
        <v>1523.4853045519333</v>
      </c>
      <c r="CL51" s="96">
        <f si="64" t="shared"/>
        <v>16351.504964046475</v>
      </c>
      <c r="CM51" s="96">
        <f si="64" t="shared"/>
        <v>2296.017127016145</v>
      </c>
      <c r="CN51" s="96">
        <f si="64" t="shared"/>
        <v>22627.959539358184</v>
      </c>
      <c r="CO51" s="96">
        <f si="64" t="shared"/>
        <v>21856.638492773585</v>
      </c>
      <c r="CP51" s="96">
        <f si="64" t="shared"/>
        <v>9611.0156403717356</v>
      </c>
      <c r="CQ51" s="96">
        <f si="64" t="shared"/>
        <v>14726.374663856113</v>
      </c>
      <c r="CR51" s="96">
        <f>ABS(BT51-W51)</f>
        <v>0</v>
      </c>
      <c r="CS51" s="96">
        <f>ABS(BU51-X51)</f>
        <v>0</v>
      </c>
      <c r="CU51" s="95">
        <v>50</v>
      </c>
      <c r="CV51" s="95">
        <f si="6" t="shared"/>
        <v>3</v>
      </c>
      <c r="CW51" s="95">
        <f si="0" t="shared"/>
        <v>10</v>
      </c>
      <c r="CX51" s="58">
        <f si="1" t="shared"/>
        <v>1153.2727899758593</v>
      </c>
      <c r="CY51" s="58">
        <f si="2" t="shared"/>
        <v>590</v>
      </c>
      <c r="CZ51" s="108">
        <f si="3" t="shared"/>
        <v>-563.27278997585927</v>
      </c>
      <c r="DA51" s="78">
        <f si="4" t="shared"/>
        <v>-0.48841245095850211</v>
      </c>
      <c r="DB51" s="95">
        <v>50000</v>
      </c>
    </row>
    <row r="52" spans="2:106" x14ac:dyDescent="0.25">
      <c r="B52" s="95"/>
      <c r="C52" s="95"/>
      <c r="D52" s="95"/>
      <c r="E52" s="95"/>
      <c r="F52" s="95"/>
      <c r="G52" s="95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CU52" s="95">
        <v>51</v>
      </c>
      <c r="CV52" s="95">
        <f si="6" t="shared"/>
        <v>3</v>
      </c>
      <c r="CW52" s="95">
        <f si="0" t="shared"/>
        <v>11</v>
      </c>
      <c r="CX52" s="58">
        <f si="1" t="shared"/>
        <v>2475.7972180710426</v>
      </c>
      <c r="CY52" s="58">
        <f si="2" t="shared"/>
        <v>885</v>
      </c>
      <c r="CZ52" s="108">
        <f si="3" t="shared"/>
        <v>-1590.7972180710426</v>
      </c>
      <c r="DA52" s="78">
        <f si="4" t="shared"/>
        <v>-0.64253938345987549</v>
      </c>
      <c r="DB52" s="95">
        <v>51000</v>
      </c>
    </row>
    <row r="53" spans="2:106" x14ac:dyDescent="0.25">
      <c r="B53" s="95"/>
      <c r="C53" s="95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CU53" s="95">
        <v>52</v>
      </c>
      <c r="CV53" s="95">
        <f si="6" t="shared"/>
        <v>3</v>
      </c>
      <c r="CW53" s="95">
        <f si="0" t="shared"/>
        <v>12</v>
      </c>
      <c r="CX53" s="58">
        <f si="1" t="shared"/>
        <v>3137.0594321186345</v>
      </c>
      <c r="CY53" s="58">
        <f si="2" t="shared"/>
        <v>3106</v>
      </c>
      <c r="CZ53" s="108">
        <f si="3" t="shared"/>
        <v>-31.059432118634504</v>
      </c>
      <c r="DA53" s="78">
        <f si="4" t="shared"/>
        <v>-9.9008108678573254E-3</v>
      </c>
      <c r="DB53" s="95">
        <v>52000</v>
      </c>
    </row>
    <row r="54" spans="2:106" x14ac:dyDescent="0.25">
      <c r="B54" s="95"/>
      <c r="C54" s="95"/>
      <c r="D54" s="95"/>
      <c r="E54" s="95"/>
      <c r="F54" s="95"/>
      <c r="G54" s="95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  <c r="AC54" s="95"/>
      <c r="AD54" s="95"/>
      <c r="AE54" s="95"/>
      <c r="AF54" s="95"/>
      <c r="AG54" s="95"/>
      <c r="AH54" s="95"/>
      <c r="AI54" s="95"/>
      <c r="AJ54" s="95"/>
      <c r="AK54" s="95"/>
      <c r="AL54" s="95"/>
      <c r="AM54" s="95"/>
      <c r="AN54" s="95"/>
      <c r="AO54" s="95"/>
      <c r="AP54" s="95"/>
      <c r="AQ54" s="95"/>
      <c r="AR54" s="95"/>
      <c r="AS54" s="95"/>
      <c r="AT54" s="95"/>
      <c r="AU54" s="95"/>
      <c r="AV54" s="95"/>
      <c r="CU54" s="95">
        <v>53</v>
      </c>
      <c r="CV54" s="95">
        <f si="6" t="shared"/>
        <v>3</v>
      </c>
      <c r="CW54" s="95">
        <f si="0" t="shared"/>
        <v>13</v>
      </c>
      <c r="CX54" s="58">
        <f si="1" t="shared"/>
        <v>271.58983791240377</v>
      </c>
      <c r="CY54" s="58">
        <f si="2" t="shared"/>
        <v>742</v>
      </c>
      <c r="CZ54" s="108">
        <f si="3" t="shared"/>
        <v>470.41016208759623</v>
      </c>
      <c r="DA54" s="78">
        <f si="4" t="shared"/>
        <v>1.7320609846945683</v>
      </c>
      <c r="DB54" s="95">
        <v>53000</v>
      </c>
    </row>
    <row ht="15.75" r="55" spans="2:106" thickBot="1" x14ac:dyDescent="0.3">
      <c r="B55" s="4" t="s">
        <v>355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7"/>
      <c r="Q55" s="7"/>
      <c r="R55" s="7"/>
      <c r="S55" s="7"/>
      <c r="T55" s="7"/>
      <c r="U55" s="7"/>
      <c r="V55" s="7"/>
      <c r="W55" s="7"/>
      <c r="X55" s="7"/>
      <c r="Y55" s="95"/>
      <c r="Z55" s="4" t="s">
        <v>321</v>
      </c>
      <c r="AA55" s="1"/>
      <c r="AB55" s="1"/>
      <c r="AC55" s="1"/>
      <c r="AD55" s="1"/>
      <c r="AE55" s="1"/>
      <c r="AF55" s="1"/>
      <c r="AG55" s="1"/>
      <c r="AH55" s="1"/>
      <c r="AI55" s="1"/>
      <c r="AJ55" s="95"/>
      <c r="AK55" s="95"/>
      <c r="AL55" s="95"/>
      <c r="AM55" s="95"/>
      <c r="AN55" s="95"/>
      <c r="AO55" s="95"/>
      <c r="AP55" s="95"/>
      <c r="AQ55" s="95"/>
      <c r="AR55" s="95"/>
      <c r="AS55" s="95"/>
      <c r="AT55" s="95"/>
      <c r="AU55" s="95"/>
      <c r="AV55" s="95"/>
      <c r="AY55" s="10" t="s">
        <v>366</v>
      </c>
      <c r="CU55" s="95">
        <v>54</v>
      </c>
      <c r="CV55" s="95">
        <f si="6" t="shared"/>
        <v>3</v>
      </c>
      <c r="CW55" s="95">
        <f si="0" t="shared"/>
        <v>14</v>
      </c>
      <c r="CX55" s="58">
        <f si="1" t="shared"/>
        <v>125.95470743763651</v>
      </c>
      <c r="CY55" s="58">
        <f si="2" t="shared"/>
        <v>101</v>
      </c>
      <c r="CZ55" s="108">
        <f si="3" t="shared"/>
        <v>-24.954707437636515</v>
      </c>
      <c r="DA55" s="78">
        <f si="4" t="shared"/>
        <v>-0.19812445239485985</v>
      </c>
      <c r="DB55" s="95">
        <v>54000</v>
      </c>
    </row>
    <row r="56" spans="2:106" x14ac:dyDescent="0.2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Y56" s="95"/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48" t="s">
        <v>359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49" t="s">
        <v>3</v>
      </c>
      <c r="CU56" s="95">
        <v>55</v>
      </c>
      <c r="CV56" s="95">
        <f si="6" t="shared"/>
        <v>3</v>
      </c>
      <c r="CW56" s="95">
        <f si="0" t="shared"/>
        <v>15</v>
      </c>
      <c r="CX56" s="58">
        <f si="1" t="shared"/>
        <v>78.72169214852282</v>
      </c>
      <c r="CY56" s="58">
        <f si="2" t="shared"/>
        <v>392</v>
      </c>
      <c r="CZ56" s="108">
        <f si="3" t="shared"/>
        <v>313.27830785147717</v>
      </c>
      <c r="DA56" s="78">
        <f si="4" t="shared"/>
        <v>3.9795677570093457</v>
      </c>
      <c r="DB56" s="95">
        <v>55000</v>
      </c>
    </row>
    <row r="57" spans="2:106" x14ac:dyDescent="0.25">
      <c r="B57" s="31">
        <v>1</v>
      </c>
      <c r="C57" s="103">
        <f>IF($X$51&gt;0,C30/$X$51,0)</f>
        <v>3.7952585472932183E-3</v>
      </c>
      <c r="D57" s="103">
        <f ref="D57:X57" si="65" t="shared">IF($X$51&gt;0,D30/$X$51,0)</f>
        <v>5.41167003318896E-4</v>
      </c>
      <c r="E57" s="103">
        <f si="65" t="shared"/>
        <v>3.4266032961240134E-4</v>
      </c>
      <c r="F57" s="103">
        <f si="65" t="shared"/>
        <v>2.5285969150708236E-4</v>
      </c>
      <c r="G57" s="103">
        <f si="65" t="shared"/>
        <v>5.7425144893664504E-4</v>
      </c>
      <c r="H57" s="103">
        <f si="65" t="shared"/>
        <v>3.1831963033648594E-3</v>
      </c>
      <c r="I57" s="103">
        <f si="65" t="shared"/>
        <v>4.2773461834375617E-4</v>
      </c>
      <c r="J57" s="103">
        <f si="65" t="shared"/>
        <v>7.0895240609462341E-6</v>
      </c>
      <c r="K57" s="103">
        <f si="65" t="shared"/>
        <v>3.4029715492541927E-4</v>
      </c>
      <c r="L57" s="103">
        <f si="65" t="shared"/>
        <v>1.8432762558460208E-4</v>
      </c>
      <c r="M57" s="103">
        <f si="65" t="shared"/>
        <v>4.017396967869533E-4</v>
      </c>
      <c r="N57" s="103">
        <f si="65" t="shared"/>
        <v>1.4202679868762292E-3</v>
      </c>
      <c r="O57" s="103">
        <f si="65" t="shared"/>
        <v>2.8121778775086731E-4</v>
      </c>
      <c r="P57" s="103">
        <f si="65" t="shared"/>
        <v>2.3631746869820785E-5</v>
      </c>
      <c r="Q57" s="103">
        <f si="65" t="shared"/>
        <v>4.0173969678695327E-5</v>
      </c>
      <c r="R57" s="103">
        <f si="65" t="shared"/>
        <v>1.1815873434910393E-5</v>
      </c>
      <c r="S57" s="103">
        <f si="65" t="shared"/>
        <v>4.7263493739641567E-6</v>
      </c>
      <c r="T57" s="103">
        <f si="65" t="shared"/>
        <v>3.0721270930767017E-5</v>
      </c>
      <c r="U57" s="103">
        <f si="65" t="shared"/>
        <v>1.7723810152365588E-4</v>
      </c>
      <c r="V57" s="103">
        <f si="65" t="shared"/>
        <v>1.6542222808874549E-5</v>
      </c>
      <c r="W57" s="103">
        <f si="65" t="shared"/>
        <v>0</v>
      </c>
      <c r="X57" s="103">
        <f si="65" t="shared"/>
        <v>1.2056917252982561E-2</v>
      </c>
      <c r="Y57" s="95"/>
      <c r="Z57" s="31">
        <v>1</v>
      </c>
      <c r="AA57" s="103">
        <f>IF($BU$51&gt;0,AZ30/$BU$51,0)</f>
        <v>2.5918189813398588E-3</v>
      </c>
      <c r="AB57" s="103">
        <f ref="AB57:AV57" si="66" t="shared">IF($BU$51&gt;0,BA30/$BU$51,0)</f>
        <v>7.3608137044967861E-4</v>
      </c>
      <c r="AC57" s="103">
        <f si="66" t="shared"/>
        <v>4.2181286326093602E-4</v>
      </c>
      <c r="AD57" s="103">
        <f si="66" t="shared"/>
        <v>1.2546841541755886E-4</v>
      </c>
      <c r="AE57" s="103">
        <f si="66" t="shared"/>
        <v>4.9470403793208922E-4</v>
      </c>
      <c r="AF57" s="103">
        <f si="66" t="shared"/>
        <v>3.5214801927194853E-3</v>
      </c>
      <c r="AG57" s="103">
        <f si="66" t="shared"/>
        <v>1.3299652034261238E-3</v>
      </c>
      <c r="AH57" s="103">
        <f si="66" t="shared"/>
        <v>2.3898745793820737E-6</v>
      </c>
      <c r="AI57" s="103">
        <f si="66" t="shared"/>
        <v>4.3256729886815534E-4</v>
      </c>
      <c r="AJ57" s="103">
        <f si="66" t="shared"/>
        <v>2.2464821046191491E-4</v>
      </c>
      <c r="AK57" s="103">
        <f si="66" t="shared"/>
        <v>1.3622285102477818E-4</v>
      </c>
      <c r="AL57" s="103">
        <f si="66" t="shared"/>
        <v>1.0885878709085345E-3</v>
      </c>
      <c r="AM57" s="103">
        <f si="66" t="shared"/>
        <v>2.4615708167635355E-4</v>
      </c>
      <c r="AN57" s="103">
        <f si="66" t="shared"/>
        <v>1.7924059345365553E-5</v>
      </c>
      <c r="AO57" s="103">
        <f si="66" t="shared"/>
        <v>1.7804565616396449E-4</v>
      </c>
      <c r="AP57" s="103">
        <f si="66" t="shared"/>
        <v>9.5594983175282947E-6</v>
      </c>
      <c r="AQ57" s="103">
        <f si="66" t="shared"/>
        <v>2.3779252064851629E-4</v>
      </c>
      <c r="AR57" s="103">
        <f si="66" t="shared"/>
        <v>1.242734781278678E-4</v>
      </c>
      <c r="AS57" s="103">
        <f si="66" t="shared"/>
        <v>1.3144310186601405E-4</v>
      </c>
      <c r="AT57" s="103">
        <f si="66" t="shared"/>
        <v>5.9746864484551842E-6</v>
      </c>
      <c r="AU57" s="103">
        <f si="66" t="shared"/>
        <v>0</v>
      </c>
      <c r="AV57" s="103">
        <f si="66" t="shared"/>
        <v>1.2056917252982561E-2</v>
      </c>
      <c r="AX57" t="s">
        <v>220</v>
      </c>
      <c r="AY57" s="144" t="s">
        <v>365</v>
      </c>
      <c r="AZ57" s="116">
        <f>C51</f>
        <v>44064.449910309144</v>
      </c>
      <c r="BA57" s="116">
        <f ref="BA57:BU57" si="67" t="shared">D51</f>
        <v>41271.800633283354</v>
      </c>
      <c r="BB57" s="116">
        <f si="67" t="shared"/>
        <v>25829.876563947251</v>
      </c>
      <c r="BC57" s="116">
        <f si="67" t="shared"/>
        <v>14995.435023481215</v>
      </c>
      <c r="BD57" s="116">
        <f si="67" t="shared"/>
        <v>23512.19726378801</v>
      </c>
      <c r="BE57" s="116">
        <f si="67" t="shared"/>
        <v>95716.4522442538</v>
      </c>
      <c r="BF57" s="116">
        <f si="67" t="shared"/>
        <v>80154.65135051556</v>
      </c>
      <c r="BG57" s="116">
        <f si="67" t="shared"/>
        <v>5139.0462624139791</v>
      </c>
      <c r="BH57" s="116">
        <f si="67" t="shared"/>
        <v>49598.578576313572</v>
      </c>
      <c r="BI57" s="116">
        <f si="67" t="shared"/>
        <v>19516.319307711343</v>
      </c>
      <c r="BJ57" s="116">
        <f si="67" t="shared"/>
        <v>57006.493440729108</v>
      </c>
      <c r="BK57" s="116">
        <f si="67" t="shared"/>
        <v>145411.18509605396</v>
      </c>
      <c r="BL57" s="116">
        <f si="67" t="shared"/>
        <v>91376.67532876473</v>
      </c>
      <c r="BM57" s="116">
        <f si="67" t="shared"/>
        <v>4862.5263662467405</v>
      </c>
      <c r="BN57" s="116">
        <f si="67" t="shared"/>
        <v>38457.286420469085</v>
      </c>
      <c r="BO57" s="116">
        <f si="67" t="shared"/>
        <v>3554.154636818047</v>
      </c>
      <c r="BP57" s="116">
        <f si="67" t="shared"/>
        <v>6858.0404606418169</v>
      </c>
      <c r="BQ57" s="116">
        <f si="67" t="shared"/>
        <v>26595.562201520181</v>
      </c>
      <c r="BR57" s="116">
        <f si="67" t="shared"/>
        <v>33384.1136998601</v>
      </c>
      <c r="BS57" s="116">
        <f si="67" t="shared"/>
        <v>29559.155212879014</v>
      </c>
      <c r="BT57" s="116">
        <f si="67" t="shared"/>
        <v>0</v>
      </c>
      <c r="BU57" s="152">
        <f si="67" t="shared"/>
        <v>836864</v>
      </c>
      <c r="CU57" s="95">
        <v>56</v>
      </c>
      <c r="CV57" s="95">
        <f si="6" t="shared"/>
        <v>3</v>
      </c>
      <c r="CW57" s="95">
        <f si="0" t="shared"/>
        <v>16</v>
      </c>
      <c r="CX57" s="58">
        <f si="1" t="shared"/>
        <v>78.72169214852282</v>
      </c>
      <c r="CY57" s="58">
        <f si="2" t="shared"/>
        <v>30</v>
      </c>
      <c r="CZ57" s="108">
        <f si="3" t="shared"/>
        <v>-48.72169214852282</v>
      </c>
      <c r="DA57" s="78">
        <f si="4" t="shared"/>
        <v>-0.61891063084112152</v>
      </c>
      <c r="DB57" s="95">
        <v>56000</v>
      </c>
    </row>
    <row r="58" spans="2:106" x14ac:dyDescent="0.25">
      <c r="B58" s="95">
        <v>2</v>
      </c>
      <c r="C58" s="104">
        <f ref="C58:X58" si="68" t="shared">IF($X$51&gt;0,C31/$X$51,0)</f>
        <v>1.2895148539766497E-3</v>
      </c>
      <c r="D58" s="104">
        <f si="68" t="shared"/>
        <v>6.4552499535378708E-3</v>
      </c>
      <c r="E58" s="104">
        <f si="68" t="shared"/>
        <v>5.6800059044209564E-4</v>
      </c>
      <c r="F58" s="104">
        <f si="68" t="shared"/>
        <v>2.8400029522104782E-4</v>
      </c>
      <c r="G58" s="104">
        <f si="68" t="shared"/>
        <v>5.29622172168981E-4</v>
      </c>
      <c r="H58" s="104">
        <f si="68" t="shared"/>
        <v>2.7862731666281181E-3</v>
      </c>
      <c r="I58" s="104">
        <f si="68" t="shared"/>
        <v>1.4046501087959932E-3</v>
      </c>
      <c r="J58" s="104">
        <f si="68" t="shared"/>
        <v>4.605410192773748E-5</v>
      </c>
      <c r="K58" s="104">
        <f si="68" t="shared"/>
        <v>9.287577222093726E-4</v>
      </c>
      <c r="L58" s="104">
        <f si="68" t="shared"/>
        <v>2.4562187694793328E-4</v>
      </c>
      <c r="M58" s="104">
        <f si="68" t="shared"/>
        <v>3.6843281542189984E-4</v>
      </c>
      <c r="N58" s="104">
        <f si="68" t="shared"/>
        <v>1.6579476693985495E-3</v>
      </c>
      <c r="O58" s="104">
        <f si="68" t="shared"/>
        <v>3.6075713176727701E-4</v>
      </c>
      <c r="P58" s="104">
        <f si="68" t="shared"/>
        <v>7.6756836546229151E-6</v>
      </c>
      <c r="Q58" s="104">
        <f si="68" t="shared"/>
        <v>1.1513525481934371E-4</v>
      </c>
      <c r="R58" s="104">
        <f si="68" t="shared"/>
        <v>0</v>
      </c>
      <c r="S58" s="104">
        <f si="68" t="shared"/>
        <v>3.070273461849166E-5</v>
      </c>
      <c r="T58" s="104">
        <f si="68" t="shared"/>
        <v>5.3729785582360394E-5</v>
      </c>
      <c r="U58" s="104">
        <f si="68" t="shared"/>
        <v>1.3048662212858955E-4</v>
      </c>
      <c r="V58" s="104">
        <f si="68" t="shared"/>
        <v>4.605410192773748E-5</v>
      </c>
      <c r="W58" s="104">
        <f si="68" t="shared"/>
        <v>0</v>
      </c>
      <c r="X58" s="104">
        <f si="68" t="shared"/>
        <v>1.7308666641174669E-2</v>
      </c>
      <c r="Y58" s="95"/>
      <c r="Z58" s="95">
        <v>2</v>
      </c>
      <c r="AA58" s="104">
        <f ref="AA58:AA78" si="69" t="shared">IF($BU$51&gt;0,AZ31/$BU$51,0)</f>
        <v>2.1305731875191189E-3</v>
      </c>
      <c r="AB58" s="104">
        <f ref="AB58:AB78" si="70" t="shared">IF($BU$51&gt;0,BA31/$BU$51,0)</f>
        <v>1.7254894463138572E-3</v>
      </c>
      <c r="AC58" s="104">
        <f ref="AC58:AC78" si="71" t="shared">IF($BU$51&gt;0,BB31/$BU$51,0)</f>
        <v>5.4967115325787693E-4</v>
      </c>
      <c r="AD58" s="104">
        <f ref="AD58:AD78" si="72" t="shared">IF($BU$51&gt;0,BC31/$BU$51,0)</f>
        <v>1.5295197308045272E-4</v>
      </c>
      <c r="AE58" s="104">
        <f ref="AE58:AE78" si="73" t="shared">IF($BU$51&gt;0,BD31/$BU$51,0)</f>
        <v>4.7677997858672368E-4</v>
      </c>
      <c r="AF58" s="104">
        <f ref="AF58:AF78" si="74" t="shared">IF($BU$51&gt;0,BE31/$BU$51,0)</f>
        <v>3.7783917100030584E-3</v>
      </c>
      <c r="AG58" s="104">
        <f ref="AG58:AG78" si="75" t="shared">IF($BU$51&gt;0,BF31/$BU$51,0)</f>
        <v>3.2657636127256034E-3</v>
      </c>
      <c r="AH58" s="104">
        <f ref="AH58:AH78" si="76" t="shared">IF($BU$51&gt;0,BG31/$BU$51,0)</f>
        <v>9.5594983175282947E-6</v>
      </c>
      <c r="AI58" s="104">
        <f ref="AI58:AI78" si="77" t="shared">IF($BU$51&gt;0,BH31/$BU$51,0)</f>
        <v>1.2355651575405319E-3</v>
      </c>
      <c r="AJ58" s="104">
        <f ref="AJ58:AJ78" si="78" t="shared">IF($BU$51&gt;0,BI31/$BU$51,0)</f>
        <v>2.3181783420006115E-4</v>
      </c>
      <c r="AK58" s="104">
        <f ref="AK58:AK78" si="79" t="shared">IF($BU$51&gt;0,BJ31/$BU$51,0)</f>
        <v>2.2464821046191491E-4</v>
      </c>
      <c r="AL58" s="104">
        <f ref="AL58:AL78" si="80" t="shared">IF($BU$51&gt;0,BK31/$BU$51,0)</f>
        <v>1.8139148057509939E-3</v>
      </c>
      <c r="AM58" s="104">
        <f ref="AM58:AM78" si="81" t="shared">IF($BU$51&gt;0,BL31/$BU$51,0)</f>
        <v>5.795445855001529E-4</v>
      </c>
      <c r="AN58" s="104">
        <f ref="AN58:AN78" si="82" t="shared">IF($BU$51&gt;0,BM31/$BU$51,0)</f>
        <v>4.0627867849495253E-5</v>
      </c>
      <c r="AO58" s="104">
        <f ref="AO58:AO78" si="83" t="shared">IF($BU$51&gt;0,BN31/$BU$51,0)</f>
        <v>3.6565081064545725E-4</v>
      </c>
      <c r="AP58" s="104">
        <f ref="AP58:AP78" si="84" t="shared">IF($BU$51&gt;0,BO31/$BU$51,0)</f>
        <v>3.3458244111349031E-5</v>
      </c>
      <c r="AQ58" s="104">
        <f ref="AQ58:AQ78" si="85" t="shared">IF($BU$51&gt;0,BP31/$BU$51,0)</f>
        <v>3.154634444784337E-4</v>
      </c>
      <c r="AR58" s="104">
        <f ref="AR58:AR78" si="86" t="shared">IF($BU$51&gt;0,BQ31/$BU$51,0)</f>
        <v>2.2345327317222389E-4</v>
      </c>
      <c r="AS58" s="104">
        <f ref="AS58:AS78" si="87" t="shared">IF($BU$51&gt;0,BR31/$BU$51,0)</f>
        <v>1.4219753747323339E-4</v>
      </c>
      <c r="AT58" s="104">
        <f ref="AT58:AT78" si="88" t="shared">IF($BU$51&gt;0,BS31/$BU$51,0)</f>
        <v>1.3144310186601405E-5</v>
      </c>
      <c r="AU58" s="104">
        <f ref="AU58:AU78" si="89" t="shared">IF($BU$51&gt;0,BT31/$BU$51,0)</f>
        <v>0</v>
      </c>
      <c r="AV58" s="104">
        <f ref="AV58:AV78" si="90" t="shared">IF($BU$51&gt;0,BU31/$BU$51,0)</f>
        <v>1.7308666641174669E-2</v>
      </c>
      <c r="AY58" s="151" t="s">
        <v>345</v>
      </c>
      <c r="AZ58" s="60">
        <f>AZ51</f>
        <v>61289</v>
      </c>
      <c r="BA58" s="60">
        <f ref="BA58:BU58" si="91" t="shared">BA51</f>
        <v>34861</v>
      </c>
      <c r="BB58" s="60">
        <f si="91" t="shared"/>
        <v>19346</v>
      </c>
      <c r="BC58" s="60">
        <f si="91" t="shared"/>
        <v>5443</v>
      </c>
      <c r="BD58" s="60">
        <f si="91" t="shared"/>
        <v>20562</v>
      </c>
      <c r="BE58" s="60">
        <f si="91" t="shared"/>
        <v>122711</v>
      </c>
      <c r="BF58" s="60">
        <f si="91" t="shared"/>
        <v>117623</v>
      </c>
      <c r="BG58" s="60">
        <f si="91" t="shared"/>
        <v>445</v>
      </c>
      <c r="BH58" s="60">
        <f si="91" t="shared"/>
        <v>42397</v>
      </c>
      <c r="BI58" s="60">
        <f si="91" t="shared"/>
        <v>14311</v>
      </c>
      <c r="BJ58" s="60">
        <f si="91" t="shared"/>
        <v>18214</v>
      </c>
      <c r="BK58" s="60">
        <f si="91" t="shared"/>
        <v>100589</v>
      </c>
      <c r="BL58" s="60">
        <f si="91" t="shared"/>
        <v>104098</v>
      </c>
      <c r="BM58" s="60">
        <f si="91" t="shared"/>
        <v>6000.9999999999982</v>
      </c>
      <c r="BN58" s="60">
        <f si="91" t="shared"/>
        <v>34851</v>
      </c>
      <c r="BO58" s="60">
        <f si="91" t="shared"/>
        <v>1399</v>
      </c>
      <c r="BP58" s="60">
        <f si="91" t="shared"/>
        <v>29486</v>
      </c>
      <c r="BQ58" s="60">
        <f si="91" t="shared"/>
        <v>48263</v>
      </c>
      <c r="BR58" s="60">
        <f si="91" t="shared"/>
        <v>39768</v>
      </c>
      <c r="BS58" s="60">
        <f si="91" t="shared"/>
        <v>15207</v>
      </c>
      <c r="BT58" s="60">
        <f si="91" t="shared"/>
        <v>0</v>
      </c>
      <c r="BU58" s="153">
        <f si="91" t="shared"/>
        <v>836864</v>
      </c>
      <c r="CU58" s="95">
        <v>57</v>
      </c>
      <c r="CV58" s="95">
        <f si="6" t="shared"/>
        <v>3</v>
      </c>
      <c r="CW58" s="95">
        <f si="0" t="shared"/>
        <v>17</v>
      </c>
      <c r="CX58" s="58">
        <f si="1" t="shared"/>
        <v>27.552592251982986</v>
      </c>
      <c r="CY58" s="58">
        <f si="2" t="shared"/>
        <v>1419</v>
      </c>
      <c r="CZ58" s="108">
        <f si="3" t="shared"/>
        <v>1391.447407748017</v>
      </c>
      <c r="DA58" s="78">
        <f si="4" t="shared"/>
        <v>50.501506174899866</v>
      </c>
      <c r="DB58" s="95">
        <v>57000</v>
      </c>
    </row>
    <row r="59" spans="2:106" x14ac:dyDescent="0.25">
      <c r="B59" s="95">
        <v>3</v>
      </c>
      <c r="C59" s="104">
        <f ref="C59:X59" si="92" t="shared">IF($X$51&gt;0,C32/$X$51,0)</f>
        <v>4.7457046412475333E-3</v>
      </c>
      <c r="D59" s="104">
        <f si="92" t="shared"/>
        <v>3.2735484938635124E-3</v>
      </c>
      <c r="E59" s="104">
        <f si="92" t="shared"/>
        <v>9.270350691673826E-3</v>
      </c>
      <c r="F59" s="104">
        <f si="92" t="shared"/>
        <v>1.7402484809331889E-3</v>
      </c>
      <c r="G59" s="104">
        <f si="92" t="shared"/>
        <v>2.0977049256654117E-3</v>
      </c>
      <c r="H59" s="104">
        <f si="92" t="shared"/>
        <v>7.2902301228282233E-3</v>
      </c>
      <c r="I59" s="104">
        <f si="92" t="shared"/>
        <v>1.0582592113782905E-3</v>
      </c>
      <c r="J59" s="104">
        <f si="92" t="shared"/>
        <v>4.2800705882410861E-4</v>
      </c>
      <c r="K59" s="104">
        <f si="92" t="shared"/>
        <v>1.9613070717544321E-3</v>
      </c>
      <c r="L59" s="104">
        <f si="92" t="shared"/>
        <v>1.3780886619281739E-3</v>
      </c>
      <c r="M59" s="104">
        <f si="92" t="shared"/>
        <v>2.9584224175864208E-3</v>
      </c>
      <c r="N59" s="104">
        <f si="92" t="shared"/>
        <v>3.748589295415545E-3</v>
      </c>
      <c r="O59" s="104">
        <f si="92" t="shared"/>
        <v>3.2453282482267581E-4</v>
      </c>
      <c r="P59" s="104">
        <f si="92" t="shared"/>
        <v>1.5050797672935687E-4</v>
      </c>
      <c r="Q59" s="104">
        <f si="92" t="shared"/>
        <v>9.4067485455848052E-5</v>
      </c>
      <c r="R59" s="104">
        <f si="92" t="shared"/>
        <v>9.4067485455848052E-5</v>
      </c>
      <c r="S59" s="104">
        <f si="92" t="shared"/>
        <v>3.2923619909546814E-5</v>
      </c>
      <c r="T59" s="104">
        <f si="92" t="shared"/>
        <v>3.7626994182339218E-5</v>
      </c>
      <c r="U59" s="104">
        <f si="92" t="shared"/>
        <v>1.6932147382052649E-4</v>
      </c>
      <c r="V59" s="104">
        <f si="92" t="shared"/>
        <v>6.1143865546301225E-5</v>
      </c>
      <c r="W59" s="104">
        <f si="92" t="shared"/>
        <v>0</v>
      </c>
      <c r="X59" s="104">
        <f si="92" t="shared"/>
        <v>4.0914652799021109E-2</v>
      </c>
      <c r="Y59" s="95"/>
      <c r="Z59" s="95">
        <v>3</v>
      </c>
      <c r="AA59" s="104">
        <f si="69" t="shared"/>
        <v>6.1646814775160597E-3</v>
      </c>
      <c r="AB59" s="104">
        <f si="70" t="shared"/>
        <v>2.8475355613337412E-3</v>
      </c>
      <c r="AC59" s="104">
        <f si="71" t="shared"/>
        <v>3.2550091771183847E-3</v>
      </c>
      <c r="AD59" s="104">
        <f si="72" t="shared"/>
        <v>5.3174709391251151E-4</v>
      </c>
      <c r="AE59" s="104">
        <f si="73" t="shared"/>
        <v>1.7171248852860203E-3</v>
      </c>
      <c r="AF59" s="104">
        <f si="74" t="shared"/>
        <v>9.4340299021107368E-3</v>
      </c>
      <c r="AG59" s="104">
        <f si="75" t="shared"/>
        <v>4.8896833894157233E-3</v>
      </c>
      <c r="AH59" s="104">
        <f si="76" t="shared"/>
        <v>3.5848118690731112E-5</v>
      </c>
      <c r="AI59" s="104">
        <f si="77" t="shared"/>
        <v>2.0564870755582746E-3</v>
      </c>
      <c r="AJ59" s="104">
        <f si="78" t="shared"/>
        <v>7.0501300091771186E-4</v>
      </c>
      <c r="AK59" s="104">
        <f si="79" t="shared"/>
        <v>1.0575195013765677E-3</v>
      </c>
      <c r="AL59" s="104">
        <f si="80" t="shared"/>
        <v>3.7114752217803611E-3</v>
      </c>
      <c r="AM59" s="104">
        <f si="81" t="shared"/>
        <v>8.8664346895074944E-4</v>
      </c>
      <c r="AN59" s="104">
        <f si="82" t="shared"/>
        <v>1.2068866625879474E-4</v>
      </c>
      <c r="AO59" s="104">
        <f si="83" t="shared"/>
        <v>4.6841541755888652E-4</v>
      </c>
      <c r="AP59" s="104">
        <f si="84" t="shared"/>
        <v>3.5848118690731112E-5</v>
      </c>
      <c r="AQ59" s="104">
        <f si="85" t="shared"/>
        <v>1.6956160140715816E-3</v>
      </c>
      <c r="AR59" s="104">
        <f si="86" t="shared"/>
        <v>5.9627370755582743E-4</v>
      </c>
      <c r="AS59" s="104">
        <f si="87" t="shared"/>
        <v>6.751395686754359E-4</v>
      </c>
      <c r="AT59" s="104">
        <f si="88" t="shared"/>
        <v>2.9873432242275924E-5</v>
      </c>
      <c r="AU59" s="104">
        <f si="89" t="shared"/>
        <v>0</v>
      </c>
      <c r="AV59" s="104">
        <f si="90" t="shared"/>
        <v>4.0914652799021109E-2</v>
      </c>
      <c r="AX59" t="s">
        <v>357</v>
      </c>
      <c r="AY59" s="144" t="s">
        <v>365</v>
      </c>
      <c r="AZ59" s="104">
        <f ref="AZ59:BU59" si="93" t="shared">C78</f>
        <v>5.265425434755127E-2</v>
      </c>
      <c r="BA59" s="104">
        <f si="93" t="shared"/>
        <v>4.9317213589404434E-2</v>
      </c>
      <c r="BB59" s="104">
        <f si="93" t="shared"/>
        <v>3.0865082694377165E-2</v>
      </c>
      <c r="BC59" s="104">
        <f si="93" t="shared"/>
        <v>1.7918604484696697E-2</v>
      </c>
      <c r="BD59" s="104">
        <f si="93" t="shared"/>
        <v>2.8095601273071862E-2</v>
      </c>
      <c r="BE59" s="104">
        <f si="93" t="shared"/>
        <v>0.11437515802359022</v>
      </c>
      <c r="BF59" s="104">
        <f si="93" t="shared"/>
        <v>9.5779781840915082E-2</v>
      </c>
      <c r="BG59" s="104">
        <f si="93" t="shared"/>
        <v>6.1408380124058142E-3</v>
      </c>
      <c r="BH59" s="104">
        <f si="93" t="shared"/>
        <v>5.9267191056508073E-2</v>
      </c>
      <c r="BI59" s="104">
        <f si="93" t="shared"/>
        <v>2.3320777698301449E-2</v>
      </c>
      <c r="BJ59" s="104">
        <f si="93" t="shared"/>
        <v>6.8119184766854718E-2</v>
      </c>
      <c r="BK59" s="104">
        <f si="93" t="shared"/>
        <v>0.17375724740944043</v>
      </c>
      <c r="BL59" s="104">
        <f si="93" t="shared"/>
        <v>0.10918939675833197</v>
      </c>
      <c r="BM59" s="104">
        <f si="93" t="shared"/>
        <v>5.8104140771340872E-3</v>
      </c>
      <c r="BN59" s="104">
        <f si="93" t="shared"/>
        <v>4.5954045604147252E-2</v>
      </c>
      <c r="BO59" s="104">
        <f si="93" t="shared"/>
        <v>4.2469919088621889E-3</v>
      </c>
      <c r="BP59" s="104">
        <f si="93" t="shared"/>
        <v>8.1949282806308039E-3</v>
      </c>
      <c r="BQ59" s="104">
        <f si="93" t="shared"/>
        <v>3.1780029014893914E-2</v>
      </c>
      <c r="BR59" s="104">
        <f si="93" t="shared"/>
        <v>3.9891922343248246E-2</v>
      </c>
      <c r="BS59" s="104">
        <f si="93" t="shared"/>
        <v>3.532133681563434E-2</v>
      </c>
      <c r="BT59" s="104">
        <f si="93" t="shared"/>
        <v>0</v>
      </c>
      <c r="BU59" s="145">
        <f si="93" t="shared"/>
        <v>1</v>
      </c>
      <c r="CU59" s="95">
        <v>58</v>
      </c>
      <c r="CV59" s="95">
        <f si="6" t="shared"/>
        <v>3</v>
      </c>
      <c r="CW59" s="95">
        <f si="0" t="shared"/>
        <v>18</v>
      </c>
      <c r="CX59" s="58">
        <f si="1" t="shared"/>
        <v>31.488676859409129</v>
      </c>
      <c r="CY59" s="58">
        <f si="2" t="shared"/>
        <v>499</v>
      </c>
      <c r="CZ59" s="108">
        <f si="3" t="shared"/>
        <v>467.51132314059089</v>
      </c>
      <c r="DA59" s="78">
        <f si="4" t="shared"/>
        <v>14.846966267523365</v>
      </c>
      <c r="DB59" s="95">
        <v>58000</v>
      </c>
    </row>
    <row ht="15.75" r="60" spans="2:106" thickBot="1" x14ac:dyDescent="0.3">
      <c r="B60" s="95">
        <v>4</v>
      </c>
      <c r="C60" s="104">
        <f ref="C60:X60" si="94" t="shared">IF($X$51&gt;0,C33/$X$51,0)</f>
        <v>1.1224225000971092E-3</v>
      </c>
      <c r="D60" s="104">
        <f si="94" t="shared"/>
        <v>6.9822938133131209E-4</v>
      </c>
      <c r="E60" s="104">
        <f si="94" t="shared"/>
        <v>1.1374381857171374E-3</v>
      </c>
      <c r="F60" s="104">
        <f si="94" t="shared"/>
        <v>2.3612165637494375E-3</v>
      </c>
      <c r="G60" s="104">
        <f si="94" t="shared"/>
        <v>2.6652841975550083E-3</v>
      </c>
      <c r="H60" s="104">
        <f si="94" t="shared"/>
        <v>2.0684106941588867E-3</v>
      </c>
      <c r="I60" s="104">
        <f si="94" t="shared"/>
        <v>5.5933428934605111E-4</v>
      </c>
      <c r="J60" s="104">
        <f si="94" t="shared"/>
        <v>2.6652841975550085E-4</v>
      </c>
      <c r="K60" s="104">
        <f si="94" t="shared"/>
        <v>5.1428723248596645E-4</v>
      </c>
      <c r="L60" s="104">
        <f si="94" t="shared"/>
        <v>1.0398362291869541E-3</v>
      </c>
      <c r="M60" s="104">
        <f si="94" t="shared"/>
        <v>5.5933428934605111E-4</v>
      </c>
      <c r="N60" s="104">
        <f si="94" t="shared"/>
        <v>1.0022970151368836E-3</v>
      </c>
      <c r="O60" s="104">
        <f si="94" t="shared"/>
        <v>1.2387940636523278E-4</v>
      </c>
      <c r="P60" s="104">
        <f si="94" t="shared"/>
        <v>4.1293135455077601E-5</v>
      </c>
      <c r="Q60" s="104">
        <f si="94" t="shared"/>
        <v>1.4264901339026804E-4</v>
      </c>
      <c r="R60" s="104">
        <f si="94" t="shared"/>
        <v>6.0062742480112869E-5</v>
      </c>
      <c r="S60" s="104">
        <f si="94" t="shared"/>
        <v>1.8769607025035272E-5</v>
      </c>
      <c r="T60" s="104">
        <f si="94" t="shared"/>
        <v>3.0031371240056434E-5</v>
      </c>
      <c r="U60" s="104">
        <f si="94" t="shared"/>
        <v>3.7539214050070543E-5</v>
      </c>
      <c r="V60" s="104">
        <f si="94" t="shared"/>
        <v>7.5078428100141086E-6</v>
      </c>
      <c r="W60" s="104">
        <f si="94" t="shared"/>
        <v>0</v>
      </c>
      <c r="X60" s="104">
        <f si="94" t="shared"/>
        <v>1.4456351330682167E-2</v>
      </c>
      <c r="Y60" s="95"/>
      <c r="Z60" s="95">
        <v>4</v>
      </c>
      <c r="AA60" s="104">
        <f si="69" t="shared"/>
        <v>1.9608920923829916E-3</v>
      </c>
      <c r="AB60" s="104">
        <f si="70" t="shared"/>
        <v>9.5714476904252069E-4</v>
      </c>
      <c r="AC60" s="104">
        <f si="71" t="shared"/>
        <v>5.7954458550015301E-4</v>
      </c>
      <c r="AD60" s="104">
        <f si="72" t="shared"/>
        <v>4.0149892933618843E-4</v>
      </c>
      <c r="AE60" s="104">
        <f si="73" t="shared"/>
        <v>8.3287129091465283E-4</v>
      </c>
      <c r="AF60" s="104">
        <f si="74" t="shared"/>
        <v>3.9110297491587644E-3</v>
      </c>
      <c r="AG60" s="104">
        <f si="75" t="shared"/>
        <v>1.4339247476292444E-3</v>
      </c>
      <c r="AH60" s="104">
        <f si="76" t="shared"/>
        <v>1.5534184765983482E-5</v>
      </c>
      <c r="AI60" s="104">
        <f si="77" t="shared"/>
        <v>6.1061295503211986E-4</v>
      </c>
      <c r="AJ60" s="104">
        <f si="78" t="shared"/>
        <v>4.2539767513000918E-4</v>
      </c>
      <c r="AK60" s="104">
        <f si="79" t="shared"/>
        <v>4.0149892933618843E-4</v>
      </c>
      <c r="AL60" s="104">
        <f si="80" t="shared"/>
        <v>1.3610335729580911E-3</v>
      </c>
      <c r="AM60" s="104">
        <f si="81" t="shared"/>
        <v>2.5810645457326398E-4</v>
      </c>
      <c r="AN60" s="104">
        <f si="82" t="shared"/>
        <v>6.5721550933007036E-5</v>
      </c>
      <c r="AO60" s="104">
        <f si="83" t="shared"/>
        <v>1.8521527990211073E-4</v>
      </c>
      <c r="AP60" s="104">
        <f si="84" t="shared"/>
        <v>5.8551927194860815E-5</v>
      </c>
      <c r="AQ60" s="104">
        <f si="85" t="shared"/>
        <v>5.5445090241664115E-4</v>
      </c>
      <c r="AR60" s="104">
        <f si="86" t="shared"/>
        <v>2.1030896298562251E-4</v>
      </c>
      <c r="AS60" s="104">
        <f si="87" t="shared"/>
        <v>2.1508871214438667E-4</v>
      </c>
      <c r="AT60" s="104">
        <f si="88" t="shared"/>
        <v>1.7924059345365556E-5</v>
      </c>
      <c r="AU60" s="104">
        <f si="89" t="shared"/>
        <v>0</v>
      </c>
      <c r="AV60" s="104">
        <f si="90" t="shared"/>
        <v>1.4456351330682167E-2</v>
      </c>
      <c r="AY60" s="146" t="s">
        <v>345</v>
      </c>
      <c r="AZ60" s="106">
        <f ref="AZ60:BU60" si="95" t="shared">AA78</f>
        <v>7.3236511547873973E-2</v>
      </c>
      <c r="BA60" s="106">
        <f si="95" t="shared"/>
        <v>4.1656708855919239E-2</v>
      </c>
      <c r="BB60" s="106">
        <f si="95" t="shared"/>
        <v>2.3117256806362802E-2</v>
      </c>
      <c r="BC60" s="106">
        <f si="95" t="shared"/>
        <v>6.5040436677883144E-3</v>
      </c>
      <c r="BD60" s="106">
        <f si="95" t="shared"/>
        <v>2.4570300550627103E-2</v>
      </c>
      <c r="BE60" s="106">
        <f si="95" t="shared"/>
        <v>0.14663194975527685</v>
      </c>
      <c r="BF60" s="106">
        <f si="95" t="shared"/>
        <v>0.14055210882532884</v>
      </c>
      <c r="BG60" s="106">
        <f si="95" t="shared"/>
        <v>5.3174709391251151E-4</v>
      </c>
      <c r="BH60" s="106">
        <f si="95" t="shared"/>
        <v>5.0661756271030894E-2</v>
      </c>
      <c r="BI60" s="106">
        <f si="95" t="shared"/>
        <v>1.7100747552768431E-2</v>
      </c>
      <c r="BJ60" s="106">
        <f si="95" t="shared"/>
        <v>2.1764587794432549E-2</v>
      </c>
      <c r="BK60" s="106">
        <f si="95" t="shared"/>
        <v>0.12019754703273172</v>
      </c>
      <c r="BL60" s="106">
        <f si="95" t="shared"/>
        <v>0.12439058198225757</v>
      </c>
      <c r="BM60" s="106">
        <f si="95" t="shared"/>
        <v>7.170818675435911E-3</v>
      </c>
      <c r="BN60" s="106">
        <f si="95" t="shared"/>
        <v>4.1644759483022334E-2</v>
      </c>
      <c r="BO60" s="106">
        <f si="95" t="shared"/>
        <v>1.6717172682777608E-3</v>
      </c>
      <c r="BP60" s="106">
        <f si="95" t="shared"/>
        <v>3.5233920923829917E-2</v>
      </c>
      <c r="BQ60" s="106">
        <f si="95" t="shared"/>
        <v>5.7671258412358518E-2</v>
      </c>
      <c r="BR60" s="106">
        <f si="95" t="shared"/>
        <v>4.7520266136433162E-2</v>
      </c>
      <c r="BS60" s="106">
        <f si="95" t="shared"/>
        <v>1.8171411364331602E-2</v>
      </c>
      <c r="BT60" s="106">
        <f si="95" t="shared"/>
        <v>0</v>
      </c>
      <c r="BU60" s="147">
        <f si="95" t="shared"/>
        <v>1</v>
      </c>
      <c r="CU60" s="95">
        <v>59</v>
      </c>
      <c r="CV60" s="95">
        <f si="6" t="shared"/>
        <v>3</v>
      </c>
      <c r="CW60" s="95">
        <f si="0" t="shared"/>
        <v>19</v>
      </c>
      <c r="CX60" s="58">
        <f si="1" t="shared"/>
        <v>141.69904586734108</v>
      </c>
      <c r="CY60" s="58">
        <f si="2" t="shared"/>
        <v>565</v>
      </c>
      <c r="CZ60" s="108">
        <f si="3" t="shared"/>
        <v>423.30095413265894</v>
      </c>
      <c r="DA60" s="78">
        <f si="4" t="shared"/>
        <v>2.9873239550882658</v>
      </c>
      <c r="DB60" s="95">
        <v>59000</v>
      </c>
    </row>
    <row r="61" spans="2:106" x14ac:dyDescent="0.25">
      <c r="B61" s="95">
        <v>5</v>
      </c>
      <c r="C61" s="104">
        <f ref="C61:X61" si="96" t="shared">IF($X$51&gt;0,C34/$X$51,0)</f>
        <v>1.6759453477818767E-3</v>
      </c>
      <c r="D61" s="104">
        <f si="96" t="shared"/>
        <v>6.4201024458459416E-4</v>
      </c>
      <c r="E61" s="104">
        <f si="96" t="shared"/>
        <v>6.6067333308996031E-4</v>
      </c>
      <c r="F61" s="104">
        <f si="96" t="shared"/>
        <v>7.0173212780176575E-4</v>
      </c>
      <c r="G61" s="104">
        <f si="96" t="shared"/>
        <v>3.6318370231442449E-3</v>
      </c>
      <c r="H61" s="104">
        <f si="96" t="shared"/>
        <v>3.4078799610798519E-3</v>
      </c>
      <c r="I61" s="104">
        <f si="96" t="shared"/>
        <v>6.3454500918244769E-4</v>
      </c>
      <c r="J61" s="104">
        <f si="96" t="shared"/>
        <v>8.5850207124684103E-5</v>
      </c>
      <c r="K61" s="104">
        <f si="96" t="shared"/>
        <v>2.9114418068371128E-4</v>
      </c>
      <c r="L61" s="104">
        <f si="96" t="shared"/>
        <v>7.5025615791571765E-4</v>
      </c>
      <c r="M61" s="104">
        <f si="96" t="shared"/>
        <v>2.9114418068371128E-4</v>
      </c>
      <c r="N61" s="104">
        <f si="96" t="shared"/>
        <v>1.7953891142162195E-3</v>
      </c>
      <c r="O61" s="104">
        <f si="96" t="shared"/>
        <v>4.479141241287866E-5</v>
      </c>
      <c r="P61" s="104">
        <f si="96" t="shared"/>
        <v>2.6128323907512555E-5</v>
      </c>
      <c r="Q61" s="104">
        <f si="96" t="shared"/>
        <v>5.9721883217171552E-5</v>
      </c>
      <c r="R61" s="104">
        <f si="96" t="shared"/>
        <v>5.9721883217171552E-5</v>
      </c>
      <c r="S61" s="104">
        <f si="96" t="shared"/>
        <v>1.4930470804292888E-5</v>
      </c>
      <c r="T61" s="104">
        <f si="96" t="shared"/>
        <v>3.7326177010732218E-5</v>
      </c>
      <c r="U61" s="104">
        <f si="96" t="shared"/>
        <v>1.8289826735258787E-4</v>
      </c>
      <c r="V61" s="104">
        <f si="96" t="shared"/>
        <v>3.732617701073222E-6</v>
      </c>
      <c r="W61" s="104">
        <f si="96" t="shared"/>
        <v>0</v>
      </c>
      <c r="X61" s="104">
        <f si="96" t="shared"/>
        <v>1.4997657922912206E-2</v>
      </c>
      <c r="Y61" s="95"/>
      <c r="Z61" s="95">
        <v>5</v>
      </c>
      <c r="AA61" s="104">
        <f si="69" t="shared"/>
        <v>1.9083148516365861E-3</v>
      </c>
      <c r="AB61" s="104">
        <f si="70" t="shared"/>
        <v>7.1218262465585808E-4</v>
      </c>
      <c r="AC61" s="104">
        <f si="71" t="shared"/>
        <v>4.2420273784031813E-4</v>
      </c>
      <c r="AD61" s="104">
        <f si="72" t="shared"/>
        <v>2.1269883756500459E-4</v>
      </c>
      <c r="AE61" s="104">
        <f si="73" t="shared"/>
        <v>1.2391499694096055E-3</v>
      </c>
      <c r="AF61" s="104">
        <f si="74" t="shared"/>
        <v>5.4262102324869992E-3</v>
      </c>
      <c r="AG61" s="104">
        <f si="75" t="shared"/>
        <v>1.3825424441725298E-3</v>
      </c>
      <c r="AH61" s="104">
        <f si="76" t="shared"/>
        <v>8.3645610278372596E-6</v>
      </c>
      <c r="AI61" s="104">
        <f si="77" t="shared"/>
        <v>4.2181286326093608E-4</v>
      </c>
      <c r="AJ61" s="104">
        <f si="78" t="shared"/>
        <v>5.5206102783725915E-4</v>
      </c>
      <c r="AK61" s="104">
        <f si="79" t="shared"/>
        <v>2.1150390027531356E-4</v>
      </c>
      <c r="AL61" s="104">
        <f si="80" t="shared"/>
        <v>1.3705930712756195E-3</v>
      </c>
      <c r="AM61" s="104">
        <f si="81" t="shared"/>
        <v>1.9596971550933008E-4</v>
      </c>
      <c r="AN61" s="104">
        <f si="82" t="shared"/>
        <v>2.7483557662893851E-5</v>
      </c>
      <c r="AO61" s="104">
        <f si="83" t="shared"/>
        <v>1.8880009177118384E-4</v>
      </c>
      <c r="AP61" s="104">
        <f si="84" t="shared"/>
        <v>2.1508871214438666E-5</v>
      </c>
      <c r="AQ61" s="104">
        <f si="85" t="shared"/>
        <v>3.7521030896298563E-4</v>
      </c>
      <c r="AR61" s="104">
        <f si="86" t="shared"/>
        <v>1.6490134597736312E-4</v>
      </c>
      <c r="AS61" s="104">
        <f si="87" t="shared"/>
        <v>1.3502791373508718E-4</v>
      </c>
      <c r="AT61" s="104">
        <f si="88" t="shared"/>
        <v>1.9118996635056593E-5</v>
      </c>
      <c r="AU61" s="104">
        <f si="89" t="shared"/>
        <v>0</v>
      </c>
      <c r="AV61" s="104">
        <f si="90" t="shared"/>
        <v>1.4997657922912206E-2</v>
      </c>
      <c r="CU61" s="95">
        <v>60</v>
      </c>
      <c r="CV61" s="95">
        <f si="6" t="shared"/>
        <v>3</v>
      </c>
      <c r="CW61" s="95">
        <f si="0" t="shared"/>
        <v>20</v>
      </c>
      <c r="CX61" s="58">
        <f si="1" t="shared"/>
        <v>51.169099896539834</v>
      </c>
      <c r="CY61" s="58">
        <f si="2" t="shared"/>
        <v>25</v>
      </c>
      <c r="CZ61" s="108">
        <f si="3" t="shared"/>
        <v>-26.169099896539834</v>
      </c>
      <c r="DA61" s="78">
        <f si="4" t="shared"/>
        <v>-0.51142388569374553</v>
      </c>
      <c r="DB61" s="95">
        <v>60000</v>
      </c>
    </row>
    <row r="62" spans="2:106" x14ac:dyDescent="0.25">
      <c r="B62" s="95">
        <v>6</v>
      </c>
      <c r="C62" s="104">
        <f ref="C62:X62" si="97" t="shared">IF($X$51&gt;0,C35/$X$51,0)</f>
        <v>3.6793543643204502E-3</v>
      </c>
      <c r="D62" s="104">
        <f si="97" t="shared"/>
        <v>1.7764218062693289E-3</v>
      </c>
      <c r="E62" s="104">
        <f si="97" t="shared"/>
        <v>7.4852194804226919E-4</v>
      </c>
      <c r="F62" s="104">
        <f si="97" t="shared"/>
        <v>6.7999529082713177E-4</v>
      </c>
      <c r="G62" s="104">
        <f si="97" t="shared"/>
        <v>1.9556453712935343E-3</v>
      </c>
      <c r="H62" s="104">
        <f si="97" t="shared"/>
        <v>1.8481112322790112E-2</v>
      </c>
      <c r="I62" s="104">
        <f si="97" t="shared"/>
        <v>9.4883063836343992E-4</v>
      </c>
      <c r="J62" s="104">
        <f si="97" t="shared"/>
        <v>6.3255375890895982E-5</v>
      </c>
      <c r="K62" s="104">
        <f si="97" t="shared"/>
        <v>9.3301679439071591E-4</v>
      </c>
      <c r="L62" s="104">
        <f si="97" t="shared"/>
        <v>1.0647988274967491E-3</v>
      </c>
      <c r="M62" s="104">
        <f si="97" t="shared"/>
        <v>3.9534609931809995E-4</v>
      </c>
      <c r="N62" s="104">
        <f si="97" t="shared"/>
        <v>6.568016530004701E-3</v>
      </c>
      <c r="O62" s="104">
        <f si="97" t="shared"/>
        <v>3.2154816077872123E-4</v>
      </c>
      <c r="P62" s="104">
        <f si="97" t="shared"/>
        <v>3.1627687945447991E-5</v>
      </c>
      <c r="Q62" s="104">
        <f si="97" t="shared"/>
        <v>2.6356406621206663E-4</v>
      </c>
      <c r="R62" s="104">
        <f si="97" t="shared"/>
        <v>1.3705331443027464E-4</v>
      </c>
      <c r="S62" s="104">
        <f si="97" t="shared"/>
        <v>3.1627687945447991E-5</v>
      </c>
      <c r="T62" s="104">
        <f si="97" t="shared"/>
        <v>1.2651075178179196E-4</v>
      </c>
      <c r="U62" s="104">
        <f si="97" t="shared"/>
        <v>2.0030869032117065E-4</v>
      </c>
      <c r="V62" s="104">
        <f si="97" t="shared"/>
        <v>6.3255375890895982E-5</v>
      </c>
      <c r="W62" s="104">
        <f si="97" t="shared"/>
        <v>0</v>
      </c>
      <c r="X62" s="104">
        <f si="97" t="shared"/>
        <v>3.8469811104313245E-2</v>
      </c>
      <c r="Y62" s="95"/>
      <c r="Z62" s="95">
        <v>6</v>
      </c>
      <c r="AA62" s="104">
        <f si="69" t="shared"/>
        <v>4.1189488375650042E-3</v>
      </c>
      <c r="AB62" s="104">
        <f si="70" t="shared"/>
        <v>1.8856110431324563E-3</v>
      </c>
      <c r="AC62" s="104">
        <f si="71" t="shared"/>
        <v>9.1054221474457019E-4</v>
      </c>
      <c r="AD62" s="104">
        <f si="72" t="shared"/>
        <v>3.3338750382379934E-4</v>
      </c>
      <c r="AE62" s="104">
        <f si="73" t="shared"/>
        <v>1.6418438360354848E-3</v>
      </c>
      <c r="AF62" s="104">
        <f si="74" t="shared"/>
        <v>1.5644118996635058E-2</v>
      </c>
      <c r="AG62" s="104">
        <f si="75" t="shared"/>
        <v>4.2922147445702049E-3</v>
      </c>
      <c r="AH62" s="104">
        <f si="76" t="shared"/>
        <v>1.7924059345365556E-5</v>
      </c>
      <c r="AI62" s="104">
        <f si="77" t="shared"/>
        <v>1.2427347812786786E-3</v>
      </c>
      <c r="AJ62" s="104">
        <f si="78" t="shared"/>
        <v>8.8066878250229433E-4</v>
      </c>
      <c r="AK62" s="104">
        <f si="79" t="shared"/>
        <v>3.7760018354236768E-4</v>
      </c>
      <c r="AL62" s="104">
        <f si="80" t="shared"/>
        <v>4.4630907769960234E-3</v>
      </c>
      <c r="AM62" s="104">
        <f si="81" t="shared"/>
        <v>6.7991931783420011E-4</v>
      </c>
      <c r="AN62" s="104">
        <f si="82" t="shared"/>
        <v>7.4086111960844291E-5</v>
      </c>
      <c r="AO62" s="104">
        <f si="83" t="shared"/>
        <v>3.1546344447843375E-4</v>
      </c>
      <c r="AP62" s="104">
        <f si="84" t="shared"/>
        <v>4.5407617008259407E-5</v>
      </c>
      <c r="AQ62" s="104">
        <f si="85" t="shared"/>
        <v>6.5721550933007036E-4</v>
      </c>
      <c r="AR62" s="104">
        <f si="86" t="shared"/>
        <v>6.0344333129397365E-4</v>
      </c>
      <c r="AS62" s="104">
        <f si="87" t="shared"/>
        <v>2.3420770877944326E-4</v>
      </c>
      <c r="AT62" s="104">
        <f si="88" t="shared"/>
        <v>5.1382303456714594E-5</v>
      </c>
      <c r="AU62" s="104">
        <f si="89" t="shared"/>
        <v>0</v>
      </c>
      <c r="AV62" s="104">
        <f si="90" t="shared"/>
        <v>3.8469811104313245E-2</v>
      </c>
      <c r="CU62" s="95">
        <v>61</v>
      </c>
      <c r="CV62" s="95">
        <f si="6" t="shared"/>
        <v>4</v>
      </c>
      <c r="CW62" s="95">
        <f si="0" t="shared"/>
        <v>1</v>
      </c>
      <c r="CX62" s="58">
        <f si="1" t="shared"/>
        <v>939.31498312126723</v>
      </c>
      <c r="CY62" s="58">
        <f si="2" t="shared"/>
        <v>1641</v>
      </c>
      <c r="CZ62" s="108">
        <f si="3" t="shared"/>
        <v>701.68501687873277</v>
      </c>
      <c r="DA62" s="78">
        <f si="4" t="shared"/>
        <v>0.74701780498282966</v>
      </c>
      <c r="DB62" s="95">
        <v>61000</v>
      </c>
    </row>
    <row r="63" spans="2:106" x14ac:dyDescent="0.25">
      <c r="B63" s="95">
        <v>7</v>
      </c>
      <c r="C63" s="104">
        <f ref="C63:X63" si="98" t="shared">IF($X$51&gt;0,C36/$X$51,0)</f>
        <v>3.9063099808939843E-3</v>
      </c>
      <c r="D63" s="104">
        <f si="98" t="shared"/>
        <v>6.883487527061161E-3</v>
      </c>
      <c r="E63" s="104">
        <f si="98" t="shared"/>
        <v>3.0681139121191618E-3</v>
      </c>
      <c r="F63" s="104">
        <f si="98" t="shared"/>
        <v>1.4193980598592516E-3</v>
      </c>
      <c r="G63" s="104">
        <f si="98" t="shared"/>
        <v>2.4434206155794355E-3</v>
      </c>
      <c r="H63" s="104">
        <f si="98" t="shared"/>
        <v>9.0580527998260305E-3</v>
      </c>
      <c r="I63" s="104">
        <f si="98" t="shared"/>
        <v>4.3095929951158331E-2</v>
      </c>
      <c r="J63" s="104">
        <f si="98" t="shared"/>
        <v>2.1745652727648697E-4</v>
      </c>
      <c r="K63" s="104">
        <f si="98" t="shared"/>
        <v>5.0766214731456233E-3</v>
      </c>
      <c r="L63" s="104">
        <f si="98" t="shared"/>
        <v>1.5577794863079249E-3</v>
      </c>
      <c r="M63" s="104">
        <f si="98" t="shared"/>
        <v>2.1547964975579164E-3</v>
      </c>
      <c r="N63" s="104">
        <f si="98" t="shared"/>
        <v>1.4664477448518003E-2</v>
      </c>
      <c r="O63" s="104">
        <f si="98" t="shared"/>
        <v>1.2505727195918696E-2</v>
      </c>
      <c r="P63" s="104">
        <f si="98" t="shared"/>
        <v>9.8843876034766798E-5</v>
      </c>
      <c r="Q63" s="104">
        <f si="98" t="shared"/>
        <v>9.4890120993376139E-4</v>
      </c>
      <c r="R63" s="104">
        <f si="98" t="shared"/>
        <v>1.3838142644867352E-4</v>
      </c>
      <c r="S63" s="104">
        <f si="98" t="shared"/>
        <v>9.8843876034766798E-5</v>
      </c>
      <c r="T63" s="104">
        <f si="98" t="shared"/>
        <v>1.0991439015066069E-3</v>
      </c>
      <c r="U63" s="104">
        <f si="98" t="shared"/>
        <v>3.0048538314569108E-4</v>
      </c>
      <c r="V63" s="104">
        <f si="98" t="shared"/>
        <v>2.7676285289734704E-4</v>
      </c>
      <c r="W63" s="104">
        <f si="98" t="shared"/>
        <v>0</v>
      </c>
      <c r="X63" s="104">
        <f si="98" t="shared"/>
        <v>0.10901293400122364</v>
      </c>
      <c r="Y63" s="95"/>
      <c r="Z63" s="95">
        <v>7</v>
      </c>
      <c r="AA63" s="104">
        <f si="69" t="shared"/>
        <v>6.5004588559192424E-3</v>
      </c>
      <c r="AB63" s="104">
        <f si="70" t="shared"/>
        <v>5.0976024778219648E-3</v>
      </c>
      <c r="AC63" s="104">
        <f si="71" t="shared"/>
        <v>1.7720920006118082E-3</v>
      </c>
      <c r="AD63" s="104">
        <f si="72" t="shared"/>
        <v>5.0067872438054454E-4</v>
      </c>
      <c r="AE63" s="104">
        <f si="73" t="shared"/>
        <v>1.8055502447231573E-3</v>
      </c>
      <c r="AF63" s="104">
        <f si="74" t="shared"/>
        <v>1.2184775542979507E-2</v>
      </c>
      <c r="AG63" s="104">
        <f si="75" t="shared"/>
        <v>3.5643784414193948E-2</v>
      </c>
      <c r="AH63" s="104">
        <f si="76" t="shared"/>
        <v>2.8678494952584891E-5</v>
      </c>
      <c r="AI63" s="104">
        <f si="77" t="shared"/>
        <v>7.2269807280513926E-3</v>
      </c>
      <c r="AJ63" s="104">
        <f si="78" t="shared"/>
        <v>1.0873929336188439E-3</v>
      </c>
      <c r="AK63" s="104">
        <f si="79" t="shared"/>
        <v>6.8469906699296433E-4</v>
      </c>
      <c r="AL63" s="104">
        <f si="80" t="shared"/>
        <v>1.3241100107066384E-2</v>
      </c>
      <c r="AM63" s="104">
        <f si="81" t="shared"/>
        <v>1.639334467727134E-2</v>
      </c>
      <c r="AN63" s="104">
        <f si="82" t="shared"/>
        <v>5.2577240746405634E-5</v>
      </c>
      <c r="AO63" s="104">
        <f si="83" t="shared"/>
        <v>2.418553074334659E-3</v>
      </c>
      <c r="AP63" s="104">
        <f si="84" t="shared"/>
        <v>6.572155093300705E-5</v>
      </c>
      <c r="AQ63" s="104">
        <f si="85" t="shared"/>
        <v>1.188962603242582E-3</v>
      </c>
      <c r="AR63" s="104">
        <f si="86" t="shared"/>
        <v>2.4544011930253905E-3</v>
      </c>
      <c r="AS63" s="104">
        <f si="87" t="shared"/>
        <v>5.8551927194860822E-4</v>
      </c>
      <c r="AT63" s="104">
        <f si="88" t="shared"/>
        <v>8.0060798409299492E-5</v>
      </c>
      <c r="AU63" s="104">
        <f si="89" t="shared"/>
        <v>0</v>
      </c>
      <c r="AV63" s="104">
        <f si="90" t="shared"/>
        <v>0.10901293400122364</v>
      </c>
      <c r="CU63" s="95">
        <v>62</v>
      </c>
      <c r="CV63" s="95">
        <f si="6" t="shared"/>
        <v>4</v>
      </c>
      <c r="CW63" s="95">
        <f si="0" t="shared"/>
        <v>2</v>
      </c>
      <c r="CX63" s="58">
        <f si="1" t="shared"/>
        <v>584.32303297844715</v>
      </c>
      <c r="CY63" s="58">
        <f si="2" t="shared"/>
        <v>801</v>
      </c>
      <c r="CZ63" s="108">
        <f si="3" t="shared"/>
        <v>216.67696702155285</v>
      </c>
      <c r="DA63" s="78">
        <f si="4" t="shared"/>
        <v>0.37081709053482581</v>
      </c>
      <c r="DB63" s="95">
        <v>62000</v>
      </c>
    </row>
    <row r="64" spans="2:106" x14ac:dyDescent="0.25">
      <c r="B64" s="95">
        <v>8</v>
      </c>
      <c r="C64" s="104">
        <f ref="C64:X64" si="99" t="shared">IF($X$51&gt;0,C37/$X$51,0)</f>
        <v>4.8071497773349549E-4</v>
      </c>
      <c r="D64" s="104">
        <f si="99" t="shared"/>
        <v>3.3573744476625081E-4</v>
      </c>
      <c r="E64" s="104">
        <f si="99" t="shared"/>
        <v>6.7147488953250161E-4</v>
      </c>
      <c r="F64" s="104">
        <f si="99" t="shared"/>
        <v>2.6324867828262852E-4</v>
      </c>
      <c r="G64" s="104">
        <f si="99" t="shared"/>
        <v>3.3955264300223101E-4</v>
      </c>
      <c r="H64" s="104">
        <f si="99" t="shared"/>
        <v>1.1369290743220768E-3</v>
      </c>
      <c r="I64" s="104">
        <f si="99" t="shared"/>
        <v>1.4879273120322481E-4</v>
      </c>
      <c r="J64" s="104">
        <f si="99" t="shared"/>
        <v>5.8754052834093904E-4</v>
      </c>
      <c r="K64" s="104">
        <f si="99" t="shared"/>
        <v>2.2509669592282727E-4</v>
      </c>
      <c r="L64" s="104">
        <f si="99" t="shared"/>
        <v>2.6706387651860862E-4</v>
      </c>
      <c r="M64" s="104">
        <f si="99" t="shared"/>
        <v>6.4476850188064088E-4</v>
      </c>
      <c r="N64" s="104">
        <f si="99" t="shared"/>
        <v>5.3031255480123719E-4</v>
      </c>
      <c r="O64" s="104">
        <f si="99" t="shared"/>
        <v>3.8151982359801233E-5</v>
      </c>
      <c r="P64" s="104">
        <f si="99" t="shared"/>
        <v>1.0682555060744346E-4</v>
      </c>
      <c r="Q64" s="104">
        <f si="99" t="shared"/>
        <v>1.5260792943920492E-5</v>
      </c>
      <c r="R64" s="104">
        <f si="99" t="shared"/>
        <v>3.0521585887840984E-5</v>
      </c>
      <c r="S64" s="104">
        <f si="99" t="shared"/>
        <v>3.8151982359801233E-5</v>
      </c>
      <c r="T64" s="104">
        <f si="99" t="shared"/>
        <v>1.1445594707940371E-5</v>
      </c>
      <c r="U64" s="104">
        <f si="99" t="shared"/>
        <v>4.1967180595781351E-5</v>
      </c>
      <c r="V64" s="104">
        <f si="99" t="shared"/>
        <v>2.2891189415880741E-5</v>
      </c>
      <c r="W64" s="104">
        <f si="99" t="shared"/>
        <v>0</v>
      </c>
      <c r="X64" s="104">
        <f si="99" t="shared"/>
        <v>5.9364484551850715E-3</v>
      </c>
      <c r="Y64" s="95"/>
      <c r="Z64" s="95">
        <v>8</v>
      </c>
      <c r="AA64" s="104">
        <f si="69" t="shared"/>
        <v>7.8387886203732033E-4</v>
      </c>
      <c r="AB64" s="104">
        <f si="70" t="shared"/>
        <v>4.0388880391557049E-4</v>
      </c>
      <c r="AC64" s="104">
        <f si="71" t="shared"/>
        <v>2.8559001223615784E-4</v>
      </c>
      <c r="AD64" s="104">
        <f si="72" t="shared"/>
        <v>1.194937289691037E-4</v>
      </c>
      <c r="AE64" s="104">
        <f si="73" t="shared"/>
        <v>3.2741281737534413E-4</v>
      </c>
      <c r="AF64" s="104">
        <f si="74" t="shared"/>
        <v>1.387322193331294E-3</v>
      </c>
      <c r="AG64" s="104">
        <f si="75" t="shared"/>
        <v>5.771547109207709E-4</v>
      </c>
      <c r="AH64" s="104">
        <f si="76" t="shared"/>
        <v>1.9118996635056593E-5</v>
      </c>
      <c r="AI64" s="104">
        <f si="77" t="shared"/>
        <v>2.6647101560110125E-4</v>
      </c>
      <c r="AJ64" s="104">
        <f si="78" t="shared"/>
        <v>1.1232410523095748E-4</v>
      </c>
      <c r="AK64" s="104">
        <f si="79" t="shared"/>
        <v>2.6288620373202815E-4</v>
      </c>
      <c r="AL64" s="104">
        <f si="80" t="shared"/>
        <v>4.2898248699908229E-4</v>
      </c>
      <c r="AM64" s="104">
        <f si="81" t="shared"/>
        <v>1.5534184765983482E-4</v>
      </c>
      <c r="AN64" s="104">
        <f si="82" t="shared"/>
        <v>3.9432930559804219E-5</v>
      </c>
      <c r="AO64" s="104">
        <f si="83" t="shared"/>
        <v>6.5721550933007036E-5</v>
      </c>
      <c r="AP64" s="104">
        <f si="84" t="shared"/>
        <v>5.974686448455185E-6</v>
      </c>
      <c r="AQ64" s="104">
        <f si="85" t="shared"/>
        <v>4.9231416335270722E-4</v>
      </c>
      <c r="AR64" s="104">
        <f si="86" t="shared"/>
        <v>4.8992428877332521E-5</v>
      </c>
      <c r="AS64" s="104">
        <f si="87" t="shared"/>
        <v>1.5414691037014377E-4</v>
      </c>
      <c r="AT64" s="104">
        <f si="88" t="shared"/>
        <v>0</v>
      </c>
      <c r="AU64" s="104">
        <f si="89" t="shared"/>
        <v>0</v>
      </c>
      <c r="AV64" s="104">
        <f si="90" t="shared"/>
        <v>5.9364484551850715E-3</v>
      </c>
      <c r="CU64" s="95">
        <v>63</v>
      </c>
      <c r="CV64" s="95">
        <f si="6" t="shared"/>
        <v>4</v>
      </c>
      <c r="CW64" s="95">
        <f si="0" t="shared"/>
        <v>3</v>
      </c>
      <c r="CX64" s="58">
        <f si="1" t="shared"/>
        <v>951.88106985198647</v>
      </c>
      <c r="CY64" s="58">
        <f si="2" t="shared"/>
        <v>485</v>
      </c>
      <c r="CZ64" s="108">
        <f si="3" t="shared"/>
        <v>-466.88106985198647</v>
      </c>
      <c r="DA64" s="78">
        <f si="4" t="shared"/>
        <v>-0.49048256619346842</v>
      </c>
      <c r="DB64" s="95">
        <v>63000</v>
      </c>
    </row>
    <row r="65" spans="2:106" x14ac:dyDescent="0.25">
      <c r="B65" s="95">
        <v>9</v>
      </c>
      <c r="C65" s="104">
        <f ref="C65:X65" si="100" t="shared">IF($X$51&gt;0,C38/$X$51,0)</f>
        <v>3.9922279405512099E-3</v>
      </c>
      <c r="D65" s="104">
        <f si="100" t="shared"/>
        <v>6.0449928916192783E-3</v>
      </c>
      <c r="E65" s="104">
        <f si="100" t="shared"/>
        <v>2.206055840271203E-3</v>
      </c>
      <c r="F65" s="104">
        <f si="100" t="shared"/>
        <v>1.1730085434674675E-3</v>
      </c>
      <c r="G65" s="104">
        <f si="100" t="shared"/>
        <v>1.2996401475917966E-3</v>
      </c>
      <c r="H65" s="104">
        <f si="100" t="shared"/>
        <v>7.4379405369868964E-3</v>
      </c>
      <c r="I65" s="104">
        <f si="100" t="shared"/>
        <v>8.530971225217945E-3</v>
      </c>
      <c r="J65" s="104">
        <f si="100" t="shared"/>
        <v>2.2660392316985168E-4</v>
      </c>
      <c r="K65" s="104">
        <f si="100" t="shared"/>
        <v>2.6999190963560855E-2</v>
      </c>
      <c r="L65" s="104">
        <f si="100" t="shared"/>
        <v>1.0730362244219447E-3</v>
      </c>
      <c r="M65" s="104">
        <f si="100" t="shared"/>
        <v>4.0122224043603145E-3</v>
      </c>
      <c r="N65" s="104">
        <f si="100" t="shared"/>
        <v>5.5384664751219632E-3</v>
      </c>
      <c r="O65" s="104">
        <f si="100" t="shared"/>
        <v>2.6459340440715034E-3</v>
      </c>
      <c r="P65" s="104">
        <f si="100" t="shared"/>
        <v>1.7995017428194099E-4</v>
      </c>
      <c r="Q65" s="104">
        <f si="100" t="shared"/>
        <v>7.2379958988958498E-3</v>
      </c>
      <c r="R65" s="104">
        <f si="100" t="shared"/>
        <v>9.9972319045522787E-5</v>
      </c>
      <c r="S65" s="104">
        <f si="100" t="shared"/>
        <v>1.5995571047283647E-4</v>
      </c>
      <c r="T65" s="104">
        <f si="100" t="shared"/>
        <v>3.0658177840626994E-4</v>
      </c>
      <c r="U65" s="104">
        <f si="100" t="shared"/>
        <v>1.0730362244219447E-3</v>
      </c>
      <c r="V65" s="104">
        <f si="100" t="shared"/>
        <v>3.3324106348507598E-5</v>
      </c>
      <c r="W65" s="104">
        <f si="100" t="shared"/>
        <v>0</v>
      </c>
      <c r="X65" s="104">
        <f si="100" t="shared"/>
        <v>8.02711073722851E-2</v>
      </c>
      <c r="Y65" s="95"/>
      <c r="Z65" s="95">
        <v>9</v>
      </c>
      <c r="AA65" s="104">
        <f si="69" t="shared"/>
        <v>6.9210767818904863E-3</v>
      </c>
      <c r="AB65" s="104">
        <f si="70" t="shared"/>
        <v>5.04741511165494E-3</v>
      </c>
      <c r="AC65" s="104">
        <f si="71" t="shared"/>
        <v>2.0469275772407466E-3</v>
      </c>
      <c r="AD65" s="104">
        <f si="72" t="shared"/>
        <v>4.5049135821352093E-4</v>
      </c>
      <c r="AE65" s="104">
        <f si="73" t="shared"/>
        <v>2.0540972009788928E-3</v>
      </c>
      <c r="AF65" s="104">
        <f si="74" t="shared"/>
        <v>1.1514415723462833E-2</v>
      </c>
      <c r="AG65" s="104">
        <f si="75" t="shared"/>
        <v>1.3758507953502599E-2</v>
      </c>
      <c r="AH65" s="104">
        <f si="76" t="shared"/>
        <v>4.0627867849495259E-5</v>
      </c>
      <c r="AI65" s="104">
        <f si="77" t="shared"/>
        <v>1.2489484551850718E-2</v>
      </c>
      <c r="AJ65" s="104">
        <f si="78" t="shared"/>
        <v>8.7588903334353011E-4</v>
      </c>
      <c r="AK65" s="104">
        <f si="79" t="shared"/>
        <v>1.6776919547262159E-3</v>
      </c>
      <c r="AL65" s="104">
        <f si="80" t="shared"/>
        <v>6.862524854695626E-3</v>
      </c>
      <c r="AM65" s="104">
        <f si="81" t="shared"/>
        <v>5.1179164117467115E-3</v>
      </c>
      <c r="AN65" s="104">
        <f si="82" t="shared"/>
        <v>1.2905322728663199E-4</v>
      </c>
      <c r="AO65" s="104">
        <f si="83" t="shared"/>
        <v>6.2531068369531964E-3</v>
      </c>
      <c r="AP65" s="104">
        <f si="84" t="shared"/>
        <v>4.5407617008259407E-5</v>
      </c>
      <c r="AQ65" s="104">
        <f si="85" t="shared"/>
        <v>1.9955452737840319E-3</v>
      </c>
      <c r="AR65" s="104">
        <f si="86" t="shared"/>
        <v>9.3922070969715504E-4</v>
      </c>
      <c r="AS65" s="104">
        <f si="87" t="shared"/>
        <v>2.0290035178953808E-3</v>
      </c>
      <c r="AT65" s="104">
        <f si="88" t="shared"/>
        <v>2.2703808504129703E-5</v>
      </c>
      <c r="AU65" s="104">
        <f si="89" t="shared"/>
        <v>0</v>
      </c>
      <c r="AV65" s="104">
        <f si="90" t="shared"/>
        <v>8.02711073722851E-2</v>
      </c>
      <c r="CU65" s="95">
        <v>64</v>
      </c>
      <c r="CV65" s="95">
        <f si="6" t="shared"/>
        <v>4</v>
      </c>
      <c r="CW65" s="95">
        <f si="0" t="shared"/>
        <v>4</v>
      </c>
      <c r="CX65" s="58">
        <f si="1" t="shared"/>
        <v>1976.0171384056091</v>
      </c>
      <c r="CY65" s="58">
        <f si="2" t="shared"/>
        <v>336</v>
      </c>
      <c r="CZ65" s="108">
        <f si="3" t="shared"/>
        <v>-1640.0171384056091</v>
      </c>
      <c r="DA65" s="78">
        <f si="4" t="shared"/>
        <v>-0.82996098896636661</v>
      </c>
      <c r="DB65" s="95">
        <v>64000</v>
      </c>
    </row>
    <row r="66" spans="2:106" x14ac:dyDescent="0.25">
      <c r="B66" s="95">
        <v>10</v>
      </c>
      <c r="C66" s="104">
        <f ref="C66:X66" si="101" t="shared">IF($X$51&gt;0,C39/$X$51,0)</f>
        <v>3.2592932690522461E-3</v>
      </c>
      <c r="D66" s="104">
        <f si="101" t="shared"/>
        <v>1.113223471673825E-3</v>
      </c>
      <c r="E66" s="104">
        <f si="101" t="shared"/>
        <v>7.8367717319998515E-4</v>
      </c>
      <c r="F66" s="104">
        <f si="101" t="shared"/>
        <v>1.2378080479261305E-3</v>
      </c>
      <c r="G66" s="104">
        <f si="101" t="shared"/>
        <v>2.3068240893168793E-3</v>
      </c>
      <c r="H66" s="104">
        <f si="101" t="shared"/>
        <v>8.8455049139136779E-3</v>
      </c>
      <c r="I66" s="104">
        <f si="101" t="shared"/>
        <v>1.1654686165538241E-3</v>
      </c>
      <c r="J66" s="104">
        <f si="101" t="shared"/>
        <v>1.3664114814768971E-4</v>
      </c>
      <c r="K66" s="104">
        <f si="101" t="shared"/>
        <v>9.3639375054152074E-4</v>
      </c>
      <c r="L66" s="104">
        <f si="101" t="shared"/>
        <v>6.5788693975814133E-3</v>
      </c>
      <c r="M66" s="104">
        <f si="101" t="shared"/>
        <v>8.962051775569061E-4</v>
      </c>
      <c r="N66" s="104">
        <f si="101" t="shared"/>
        <v>5.939871087126041E-3</v>
      </c>
      <c r="O66" s="104">
        <f si="101" t="shared"/>
        <v>3.4160287036922432E-4</v>
      </c>
      <c r="P66" s="104">
        <f si="101" t="shared"/>
        <v>2.4113143790768772E-5</v>
      </c>
      <c r="Q66" s="104">
        <f si="101" t="shared"/>
        <v>8.8414860566152177E-5</v>
      </c>
      <c r="R66" s="104">
        <f si="101" t="shared"/>
        <v>7.6358288670767783E-4</v>
      </c>
      <c r="S66" s="104">
        <f si="101" t="shared"/>
        <v>1.165468616553824E-4</v>
      </c>
      <c r="T66" s="104">
        <f si="101" t="shared"/>
        <v>4.4207430283076088E-5</v>
      </c>
      <c r="U66" s="104">
        <f si="101" t="shared"/>
        <v>1.3262229084922827E-4</v>
      </c>
      <c r="V66" s="104">
        <f si="101" t="shared"/>
        <v>5.2245144879999008E-5</v>
      </c>
      <c r="W66" s="104">
        <f si="101" t="shared"/>
        <v>0</v>
      </c>
      <c r="X66" s="104">
        <f si="101" t="shared"/>
        <v>3.4763115631691641E-2</v>
      </c>
      <c r="Y66" s="95"/>
      <c r="Z66" s="95">
        <v>10</v>
      </c>
      <c r="AA66" s="104">
        <f si="69" t="shared"/>
        <v>4.0532272866319963E-3</v>
      </c>
      <c r="AB66" s="104">
        <f si="70" t="shared"/>
        <v>1.7577527531355151E-3</v>
      </c>
      <c r="AC66" s="104">
        <f si="71" t="shared"/>
        <v>9.8582326399510533E-4</v>
      </c>
      <c r="AD66" s="104">
        <f si="72" t="shared"/>
        <v>4.1703311410217186E-4</v>
      </c>
      <c r="AE66" s="104">
        <f si="73" t="shared"/>
        <v>2.0027148975221773E-3</v>
      </c>
      <c r="AF66" s="104">
        <f si="74" t="shared"/>
        <v>1.0449726598348117E-2</v>
      </c>
      <c r="AG66" s="104">
        <f si="75" t="shared"/>
        <v>3.6648726674824101E-3</v>
      </c>
      <c r="AH66" s="104">
        <f si="76" t="shared"/>
        <v>1.1949372896910368E-5</v>
      </c>
      <c r="AI66" s="104">
        <f si="77" t="shared"/>
        <v>1.0300359437136737E-3</v>
      </c>
      <c r="AJ66" s="104">
        <f si="78" t="shared"/>
        <v>2.4305024472315688E-3</v>
      </c>
      <c r="AK66" s="104">
        <f si="79" t="shared"/>
        <v>3.417520648516365E-4</v>
      </c>
      <c r="AL66" s="104">
        <f si="80" t="shared"/>
        <v>4.7032731722239209E-3</v>
      </c>
      <c r="AM66" s="104">
        <f si="81" t="shared"/>
        <v>6.2853701437748529E-4</v>
      </c>
      <c r="AN66" s="104">
        <f si="82" t="shared"/>
        <v>5.8551927194860795E-5</v>
      </c>
      <c r="AO66" s="104">
        <f si="83" t="shared"/>
        <v>3.2263306821657991E-4</v>
      </c>
      <c r="AP66" s="104">
        <f si="84" t="shared"/>
        <v>2.2225833588253286E-4</v>
      </c>
      <c r="AQ66" s="104">
        <f si="85" t="shared"/>
        <v>6.3929144998470472E-4</v>
      </c>
      <c r="AR66" s="104">
        <f si="86" t="shared"/>
        <v>7.7073455185071879E-4</v>
      </c>
      <c r="AS66" s="104">
        <f si="87" t="shared"/>
        <v>2.3420770877944318E-4</v>
      </c>
      <c r="AT66" s="104">
        <f si="88" t="shared"/>
        <v>3.8237993270113179E-5</v>
      </c>
      <c r="AU66" s="104">
        <f si="89" t="shared"/>
        <v>0</v>
      </c>
      <c r="AV66" s="104">
        <f si="90" t="shared"/>
        <v>3.4763115631691641E-2</v>
      </c>
      <c r="CU66" s="95">
        <v>65</v>
      </c>
      <c r="CV66" s="95">
        <f si="6" t="shared"/>
        <v>4</v>
      </c>
      <c r="CW66" s="95">
        <f si="0" t="shared"/>
        <v>5</v>
      </c>
      <c r="CX66" s="58">
        <f si="1" t="shared"/>
        <v>2230.4803947026744</v>
      </c>
      <c r="CY66" s="58">
        <f si="2" t="shared"/>
        <v>697</v>
      </c>
      <c r="CZ66" s="108">
        <f si="3" t="shared"/>
        <v>-1533.4803947026744</v>
      </c>
      <c r="DA66" s="78">
        <f si="4" t="shared"/>
        <v>-0.68751126364734938</v>
      </c>
      <c r="DB66" s="95">
        <v>65000</v>
      </c>
    </row>
    <row r="67" spans="2:106" x14ac:dyDescent="0.25">
      <c r="B67" s="95">
        <v>11</v>
      </c>
      <c r="C67" s="104">
        <f ref="C67:X67" si="102" t="shared">IF($X$51&gt;0,C40/$X$51,0)</f>
        <v>4.1782435126933946E-3</v>
      </c>
      <c r="D67" s="104">
        <f si="102" t="shared"/>
        <v>2.9097757925449635E-3</v>
      </c>
      <c r="E67" s="104">
        <f si="102" t="shared"/>
        <v>5.0900813306914679E-3</v>
      </c>
      <c r="F67" s="104">
        <f si="102" t="shared"/>
        <v>1.7183077103608141E-3</v>
      </c>
      <c r="G67" s="104">
        <f si="102" t="shared"/>
        <v>2.058727162413428E-3</v>
      </c>
      <c r="H67" s="104">
        <f si="102" t="shared"/>
        <v>6.836757328723333E-3</v>
      </c>
      <c r="I67" s="104">
        <f si="102" t="shared"/>
        <v>2.1478846379510176E-3</v>
      </c>
      <c r="J67" s="104">
        <f si="102" t="shared"/>
        <v>1.138784119366483E-3</v>
      </c>
      <c r="K67" s="104">
        <f si="102" t="shared"/>
        <v>3.8864554109340108E-3</v>
      </c>
      <c r="L67" s="104">
        <f si="102" t="shared"/>
        <v>8.8346953032702221E-4</v>
      </c>
      <c r="M67" s="104">
        <f si="102" t="shared"/>
        <v>2.8035973444047433E-2</v>
      </c>
      <c r="N67" s="104">
        <f si="102" t="shared"/>
        <v>3.6311408218945504E-3</v>
      </c>
      <c r="O67" s="104">
        <f si="102" t="shared"/>
        <v>6.9299674167853573E-4</v>
      </c>
      <c r="P67" s="104">
        <f si="102" t="shared"/>
        <v>4.4578737768794706E-4</v>
      </c>
      <c r="Q67" s="104">
        <f si="102" t="shared"/>
        <v>8.9967998042476591E-4</v>
      </c>
      <c r="R67" s="104">
        <f si="102" t="shared"/>
        <v>2.8368287671051175E-5</v>
      </c>
      <c r="S67" s="104">
        <f si="102" t="shared"/>
        <v>1.3252042954905335E-3</v>
      </c>
      <c r="T67" s="104">
        <f si="102" t="shared"/>
        <v>1.2157837573307645E-4</v>
      </c>
      <c r="U67" s="104">
        <f si="102" t="shared"/>
        <v>5.8438672602365415E-3</v>
      </c>
      <c r="V67" s="104">
        <f si="102" t="shared"/>
        <v>9.3210088062025293E-5</v>
      </c>
      <c r="W67" s="104">
        <f si="102" t="shared"/>
        <v>0</v>
      </c>
      <c r="X67" s="104">
        <f si="102" t="shared"/>
        <v>7.1966293208932386E-2</v>
      </c>
      <c r="Y67" s="95"/>
      <c r="Z67" s="95">
        <v>11</v>
      </c>
      <c r="AA67" s="104">
        <f si="69" t="shared"/>
        <v>7.6260897828081976E-3</v>
      </c>
      <c r="AB67" s="104">
        <f si="70" t="shared"/>
        <v>3.890715815234016E-3</v>
      </c>
      <c r="AC67" s="104">
        <f si="71" t="shared"/>
        <v>3.4246902722545117E-3</v>
      </c>
      <c r="AD67" s="104">
        <f si="72" t="shared"/>
        <v>9.6670426736004879E-4</v>
      </c>
      <c r="AE67" s="104">
        <f si="73" t="shared"/>
        <v>2.5786746711532575E-3</v>
      </c>
      <c r="AF67" s="104">
        <f si="74" t="shared"/>
        <v>1.2042578005506269E-2</v>
      </c>
      <c r="AG67" s="104">
        <f si="75" t="shared"/>
        <v>6.141977669011929E-3</v>
      </c>
      <c r="AH67" s="104">
        <f si="76" t="shared"/>
        <v>1.230785408381768E-4</v>
      </c>
      <c r="AI67" s="104">
        <f si="77" t="shared"/>
        <v>5.3150810645457318E-3</v>
      </c>
      <c r="AJ67" s="104">
        <f si="78" t="shared"/>
        <v>9.201017130620984E-4</v>
      </c>
      <c r="AK67" s="104">
        <f si="79" t="shared"/>
        <v>7.1994971703884967E-3</v>
      </c>
      <c r="AL67" s="104">
        <f si="80" t="shared"/>
        <v>4.1930349495258486E-3</v>
      </c>
      <c r="AM67" s="104">
        <f si="81" t="shared"/>
        <v>1.4004665035178951E-3</v>
      </c>
      <c r="AN67" s="104">
        <f si="82" t="shared"/>
        <v>4.1583817681248081E-4</v>
      </c>
      <c r="AO67" s="104">
        <f si="83" t="shared"/>
        <v>1.7900160599571731E-3</v>
      </c>
      <c r="AP67" s="104">
        <f si="84" t="shared"/>
        <v>5.3772178036096654E-5</v>
      </c>
      <c r="AQ67" s="104">
        <f si="85" t="shared"/>
        <v>7.016671765065768E-3</v>
      </c>
      <c r="AR67" s="104">
        <f si="86" t="shared"/>
        <v>5.8551927194860811E-4</v>
      </c>
      <c r="AS67" s="104">
        <f si="87" t="shared"/>
        <v>6.2710308962985609E-3</v>
      </c>
      <c r="AT67" s="104">
        <f si="88" t="shared"/>
        <v>1.0754435607219332E-5</v>
      </c>
      <c r="AU67" s="104">
        <f si="89" t="shared"/>
        <v>0</v>
      </c>
      <c r="AV67" s="104">
        <f si="90" t="shared"/>
        <v>7.1966293208932386E-2</v>
      </c>
      <c r="CU67" s="95">
        <v>66</v>
      </c>
      <c r="CV67" s="95">
        <f si="6" t="shared"/>
        <v>4</v>
      </c>
      <c r="CW67" s="95">
        <f ref="CW67:CW130" si="103" t="shared">MOD(ROW()-2,$CS$2)+1</f>
        <v>6</v>
      </c>
      <c r="CX67" s="58">
        <f ref="CX67:CX130" si="104" t="shared">VLOOKUP($CV67,$B$30:$V$49,MATCH($CW67,$B$29:$V$29,0),0)</f>
        <v>1730.9784471565827</v>
      </c>
      <c r="CY67" s="58">
        <f ref="CY67:CY130" si="105" t="shared">VLOOKUP($CV67,$AY$30:$BS$49,MATCH($CW67,$AY$29:$BS$29,0),0)</f>
        <v>3273</v>
      </c>
      <c r="CZ67" s="108">
        <f ref="CZ67:CZ130" si="106" t="shared">CY67-CX67</f>
        <v>1542.0215528434173</v>
      </c>
      <c r="DA67" s="78">
        <f ref="DA67:DA130" si="107" t="shared">CZ67/CX67</f>
        <v>0.89083810106153649</v>
      </c>
    </row>
    <row r="68" spans="2:106" x14ac:dyDescent="0.25">
      <c r="B68" s="95">
        <v>12</v>
      </c>
      <c r="C68" s="104">
        <f ref="C68:X68" si="108" t="shared">IF($X$51&gt;0,C41/$X$51,0)</f>
        <v>8.3323628925539624E-3</v>
      </c>
      <c r="D68" s="104">
        <f si="108" t="shared"/>
        <v>5.2415898590105463E-3</v>
      </c>
      <c r="E68" s="104">
        <f si="108" t="shared"/>
        <v>2.1713398867788405E-3</v>
      </c>
      <c r="F68" s="104">
        <f si="108" t="shared"/>
        <v>1.9537954368747217E-3</v>
      </c>
      <c r="G68" s="104">
        <f si="108" t="shared"/>
        <v>3.5463849946633604E-3</v>
      </c>
      <c r="H68" s="104">
        <f si="108" t="shared"/>
        <v>2.1114125477486489E-2</v>
      </c>
      <c r="I68" s="104">
        <f si="108" t="shared"/>
        <v>9.7443495107995583E-3</v>
      </c>
      <c r="J68" s="104">
        <f si="108" t="shared"/>
        <v>1.4366142918196485E-4</v>
      </c>
      <c r="K68" s="104">
        <f si="108" t="shared"/>
        <v>3.5094434843022842E-3</v>
      </c>
      <c r="L68" s="104">
        <f si="108" t="shared"/>
        <v>2.5284411536025814E-3</v>
      </c>
      <c r="M68" s="104">
        <f si="108" t="shared"/>
        <v>2.6433702969481535E-3</v>
      </c>
      <c r="N68" s="104">
        <f si="108" t="shared"/>
        <v>8.4710987870211155E-2</v>
      </c>
      <c r="O68" s="104">
        <f si="108" t="shared"/>
        <v>3.9158000982741281E-3</v>
      </c>
      <c r="P68" s="104">
        <f si="108" t="shared"/>
        <v>8.6196857509178912E-5</v>
      </c>
      <c r="Q68" s="104">
        <f si="108" t="shared"/>
        <v>5.0076269600570606E-4</v>
      </c>
      <c r="R68" s="104">
        <f si="108" t="shared"/>
        <v>8.0860861568134504E-4</v>
      </c>
      <c r="S68" s="104">
        <f si="108" t="shared"/>
        <v>1.3955681691962298E-4</v>
      </c>
      <c r="T68" s="104">
        <f si="108" t="shared"/>
        <v>3.394514340956712E-3</v>
      </c>
      <c r="U68" s="104">
        <f si="108" t="shared"/>
        <v>1.6828910275601598E-4</v>
      </c>
      <c r="V68" s="104">
        <f si="108" t="shared"/>
        <v>1.358626658835153E-3</v>
      </c>
      <c r="W68" s="104">
        <f si="108" t="shared"/>
        <v>0</v>
      </c>
      <c r="X68" s="104">
        <f si="108" t="shared"/>
        <v>0.15601220747935149</v>
      </c>
      <c r="Y68" s="95"/>
      <c r="Z68" s="95">
        <v>12</v>
      </c>
      <c r="AA68" s="104">
        <f si="69" t="shared"/>
        <v>1.1819124732334048E-2</v>
      </c>
      <c r="AB68" s="104">
        <f si="70" t="shared"/>
        <v>7.2102516059957171E-3</v>
      </c>
      <c r="AC68" s="104">
        <f si="71" t="shared"/>
        <v>2.965834353013154E-3</v>
      </c>
      <c r="AD68" s="104">
        <f si="72" t="shared"/>
        <v>7.9941304680330376E-4</v>
      </c>
      <c r="AE68" s="104">
        <f si="73" t="shared"/>
        <v>3.8142398286937903E-3</v>
      </c>
      <c r="AF68" s="104">
        <f si="74" t="shared"/>
        <v>2.6839486463750381E-2</v>
      </c>
      <c r="AG68" s="104">
        <f si="75" t="shared"/>
        <v>2.492280705108596E-2</v>
      </c>
      <c r="AH68" s="104">
        <f si="76" t="shared"/>
        <v>5.0187366167023554E-5</v>
      </c>
      <c r="AI68" s="104">
        <f si="77" t="shared"/>
        <v>5.4680330376261858E-3</v>
      </c>
      <c r="AJ68" s="104">
        <f si="78" t="shared"/>
        <v>4.2766805598042218E-3</v>
      </c>
      <c r="AK68" s="104">
        <f si="79" t="shared"/>
        <v>1.1328005506271032E-3</v>
      </c>
      <c r="AL68" s="104">
        <f si="80" t="shared"/>
        <v>4.0486865249311714E-2</v>
      </c>
      <c r="AM68" s="104">
        <f si="81" t="shared"/>
        <v>9.4161058427653724E-3</v>
      </c>
      <c r="AN68" s="104">
        <f si="82" t="shared"/>
        <v>1.230785408381768E-4</v>
      </c>
      <c r="AO68" s="104">
        <f si="83" t="shared"/>
        <v>1.2355651575405324E-3</v>
      </c>
      <c r="AP68" s="104">
        <f si="84" t="shared"/>
        <v>3.357773784031814E-4</v>
      </c>
      <c r="AQ68" s="104">
        <f si="85" t="shared"/>
        <v>1.6286995258488835E-3</v>
      </c>
      <c r="AR68" s="104">
        <f si="86" t="shared"/>
        <v>1.2176410981951668E-2</v>
      </c>
      <c r="AS68" s="104">
        <f si="87" t="shared"/>
        <v>7.8387886203732033E-4</v>
      </c>
      <c r="AT68" s="104">
        <f si="88" t="shared"/>
        <v>5.2696734475374729E-4</v>
      </c>
      <c r="AU68" s="104">
        <f si="89" t="shared"/>
        <v>0</v>
      </c>
      <c r="AV68" s="104">
        <f si="90" t="shared"/>
        <v>0.15601220747935149</v>
      </c>
      <c r="CU68" s="95">
        <v>67</v>
      </c>
      <c r="CV68" s="95">
        <f ref="CV68:CV131" si="109" t="shared">IF(CW67&lt;$CS$2,CV67,CV67+1)</f>
        <v>4</v>
      </c>
      <c r="CW68" s="95">
        <f si="103" t="shared"/>
        <v>7</v>
      </c>
      <c r="CX68" s="58">
        <f si="104" t="shared"/>
        <v>468.08673071929371</v>
      </c>
      <c r="CY68" s="58">
        <f si="105" t="shared"/>
        <v>1200</v>
      </c>
      <c r="CZ68" s="108">
        <f si="106" t="shared"/>
        <v>731.91326928070634</v>
      </c>
      <c r="DA68" s="78">
        <f si="107" t="shared"/>
        <v>1.5636274674054507</v>
      </c>
    </row>
    <row r="69" spans="2:106" x14ac:dyDescent="0.25">
      <c r="B69" s="95">
        <v>13</v>
      </c>
      <c r="C69" s="104">
        <f ref="C69:X69" si="110" t="shared">IF($X$51&gt;0,C42/$X$51,0)</f>
        <v>1.5032790917671888E-3</v>
      </c>
      <c r="D69" s="104">
        <f si="110" t="shared"/>
        <v>2.0145985107356203E-3</v>
      </c>
      <c r="E69" s="104">
        <f si="110" t="shared"/>
        <v>5.3688538991685311E-4</v>
      </c>
      <c r="F69" s="104">
        <f si="110" t="shared"/>
        <v>4.7041386545095692E-4</v>
      </c>
      <c r="G69" s="104">
        <f si="110" t="shared"/>
        <v>3.170180397604275E-4</v>
      </c>
      <c r="H69" s="104">
        <f si="110" t="shared"/>
        <v>3.7172921759004969E-3</v>
      </c>
      <c r="I69" s="104">
        <f si="110" t="shared"/>
        <v>1.6213938775488962E-2</v>
      </c>
      <c r="J69" s="104">
        <f si="110" t="shared"/>
        <v>5.113194189684315E-6</v>
      </c>
      <c r="K69" s="104">
        <f si="110" t="shared"/>
        <v>2.0350512874943573E-3</v>
      </c>
      <c r="L69" s="104">
        <f si="110" t="shared"/>
        <v>3.4769720489853342E-4</v>
      </c>
      <c r="M69" s="104">
        <f si="110" t="shared"/>
        <v>4.7041386545095692E-4</v>
      </c>
      <c r="N69" s="104">
        <f si="110" t="shared"/>
        <v>7.0101892340571955E-3</v>
      </c>
      <c r="O69" s="104">
        <f si="110" t="shared"/>
        <v>8.0716883478356594E-2</v>
      </c>
      <c r="P69" s="104">
        <f si="110" t="shared"/>
        <v>1.5339582569052945E-5</v>
      </c>
      <c r="Q69" s="104">
        <f si="110" t="shared"/>
        <v>2.709992920532687E-3</v>
      </c>
      <c r="R69" s="104">
        <f si="110" t="shared"/>
        <v>1.4316943731116079E-4</v>
      </c>
      <c r="S69" s="104">
        <f si="110" t="shared"/>
        <v>2.045277675873726E-5</v>
      </c>
      <c r="T69" s="104">
        <f si="110" t="shared"/>
        <v>2.1782207248055184E-3</v>
      </c>
      <c r="U69" s="104">
        <f si="110" t="shared"/>
        <v>1.4316943731116079E-4</v>
      </c>
      <c r="V69" s="104">
        <f si="110" t="shared"/>
        <v>4.039423409850609E-4</v>
      </c>
      <c r="W69" s="104">
        <f si="110" t="shared"/>
        <v>0</v>
      </c>
      <c r="X69" s="104">
        <f si="110" t="shared"/>
        <v>0.12097306133374119</v>
      </c>
      <c r="Y69" s="95"/>
      <c r="Z69" s="95">
        <v>13</v>
      </c>
      <c r="AA69" s="104">
        <f si="69" t="shared"/>
        <v>2.724457020495564E-3</v>
      </c>
      <c r="AB69" s="104">
        <f si="70" t="shared"/>
        <v>1.9919604619149586E-3</v>
      </c>
      <c r="AC69" s="104">
        <f si="71" t="shared"/>
        <v>6.799193178341999E-4</v>
      </c>
      <c r="AD69" s="104">
        <f si="72" t="shared"/>
        <v>1.7446084429489136E-4</v>
      </c>
      <c r="AE69" s="104">
        <f si="73" t="shared"/>
        <v>7.1935224839400418E-4</v>
      </c>
      <c r="AF69" s="104">
        <f si="74" t="shared"/>
        <v>5.2433848271642696E-3</v>
      </c>
      <c r="AG69" s="104">
        <f si="75" t="shared"/>
        <v>2.110139759865402E-2</v>
      </c>
      <c r="AH69" s="104">
        <f si="76" t="shared"/>
        <v>1.1949372896910368E-5</v>
      </c>
      <c r="AI69" s="104">
        <f si="77" t="shared"/>
        <v>3.2072116855307426E-3</v>
      </c>
      <c r="AJ69" s="104">
        <f si="78" t="shared"/>
        <v>4.9231416335270722E-4</v>
      </c>
      <c r="AK69" s="104">
        <f si="79" t="shared"/>
        <v>3.6684574793514831E-4</v>
      </c>
      <c r="AL69" s="104">
        <f si="80" t="shared"/>
        <v>7.6177252217803602E-3</v>
      </c>
      <c r="AM69" s="104">
        <f si="81" t="shared"/>
        <v>6.3862228510247768E-2</v>
      </c>
      <c r="AN69" s="104">
        <f si="82" t="shared"/>
        <v>2.0313933924747626E-5</v>
      </c>
      <c r="AO69" s="104">
        <f si="83" t="shared"/>
        <v>4.2480020648516361E-3</v>
      </c>
      <c r="AP69" s="104">
        <f si="84" t="shared"/>
        <v>1.7924059345365553E-5</v>
      </c>
      <c r="AQ69" s="104">
        <f si="85" t="shared"/>
        <v>6.2495220250841218E-4</v>
      </c>
      <c r="AR69" s="104">
        <f si="86" t="shared"/>
        <v>7.0118920159070045E-3</v>
      </c>
      <c r="AS69" s="104">
        <f si="87" t="shared"/>
        <v>6.6916488222698058E-4</v>
      </c>
      <c r="AT69" s="104">
        <f si="88" t="shared"/>
        <v>1.8760515448149279E-4</v>
      </c>
      <c r="AU69" s="104">
        <f si="89" t="shared"/>
        <v>0</v>
      </c>
      <c r="AV69" s="104">
        <f si="90" t="shared"/>
        <v>0.12097306133374119</v>
      </c>
      <c r="CU69" s="95">
        <v>68</v>
      </c>
      <c r="CV69" s="95">
        <f si="109" t="shared"/>
        <v>4</v>
      </c>
      <c r="CW69" s="95">
        <f si="103" t="shared"/>
        <v>8</v>
      </c>
      <c r="CX69" s="58">
        <f si="104" t="shared"/>
        <v>223.04803947026744</v>
      </c>
      <c r="CY69" s="58">
        <f si="105" t="shared"/>
        <v>13</v>
      </c>
      <c r="CZ69" s="108">
        <f si="106" t="shared"/>
        <v>-210.04803947026744</v>
      </c>
      <c r="DA69" s="78">
        <f si="107" t="shared"/>
        <v>-0.94171659149807097</v>
      </c>
    </row>
    <row r="70" spans="2:106" x14ac:dyDescent="0.25">
      <c r="B70" s="95">
        <v>14</v>
      </c>
      <c r="C70" s="104">
        <f ref="C70:X70" si="111" t="shared">IF($X$51&gt;0,C43/$X$51,0)</f>
        <v>2.0107995459377288E-3</v>
      </c>
      <c r="D70" s="104">
        <f si="111" t="shared"/>
        <v>3.787785191185025E-3</v>
      </c>
      <c r="E70" s="104">
        <f si="111" t="shared"/>
        <v>8.8849282262364764E-4</v>
      </c>
      <c r="F70" s="104">
        <f si="111" t="shared"/>
        <v>1.1223067233140812E-3</v>
      </c>
      <c r="G70" s="104">
        <f si="111" t="shared"/>
        <v>1.0287811630379079E-3</v>
      </c>
      <c r="H70" s="104">
        <f si="111" t="shared"/>
        <v>3.6474968507707642E-3</v>
      </c>
      <c r="I70" s="104">
        <f si="111" t="shared"/>
        <v>1.5431717445568618E-3</v>
      </c>
      <c r="J70" s="104">
        <f si="111" t="shared"/>
        <v>1.3093578438664283E-3</v>
      </c>
      <c r="K70" s="104">
        <f si="111" t="shared"/>
        <v>1.0755439431759945E-3</v>
      </c>
      <c r="L70" s="104">
        <f si="111" t="shared"/>
        <v>5.6115336165704058E-4</v>
      </c>
      <c r="M70" s="104">
        <f si="111" t="shared"/>
        <v>3.1798690493898968E-3</v>
      </c>
      <c r="N70" s="104">
        <f si="111" t="shared"/>
        <v>2.85252958842329E-3</v>
      </c>
      <c r="O70" s="104">
        <f si="111" t="shared"/>
        <v>1.8705112055234692E-4</v>
      </c>
      <c r="P70" s="104">
        <f si="111" t="shared"/>
        <v>3.6474968507707642E-3</v>
      </c>
      <c r="Q70" s="104">
        <f si="111" t="shared"/>
        <v>5.1439058151895396E-4</v>
      </c>
      <c r="R70" s="104">
        <f si="111" t="shared"/>
        <v>4.6762780138086731E-5</v>
      </c>
      <c r="S70" s="104">
        <f si="111" t="shared"/>
        <v>7.4820448220938769E-4</v>
      </c>
      <c r="T70" s="104">
        <f si="111" t="shared"/>
        <v>1.4028834041426014E-4</v>
      </c>
      <c r="U70" s="104">
        <f si="111" t="shared"/>
        <v>5.6115336165704058E-4</v>
      </c>
      <c r="V70" s="104">
        <f si="111" t="shared"/>
        <v>9.3525560276173461E-5</v>
      </c>
      <c r="W70" s="104">
        <f si="111" t="shared"/>
        <v>0</v>
      </c>
      <c r="X70" s="104">
        <f si="111" t="shared"/>
        <v>2.8946160905475672E-2</v>
      </c>
      <c r="Y70" s="95"/>
      <c r="Z70" s="95">
        <v>14</v>
      </c>
      <c r="AA70" s="104">
        <f si="69" t="shared"/>
        <v>2.5213176812480874E-3</v>
      </c>
      <c r="AB70" s="104">
        <f si="70" t="shared"/>
        <v>1.1913524778219635E-3</v>
      </c>
      <c r="AC70" s="104">
        <f si="71" t="shared"/>
        <v>1.0634941878250226E-3</v>
      </c>
      <c r="AD70" s="104">
        <f si="72" t="shared"/>
        <v>3.4414193943101861E-4</v>
      </c>
      <c r="AE70" s="104">
        <f si="73" t="shared"/>
        <v>9.7028907922912168E-4</v>
      </c>
      <c r="AF70" s="104">
        <f si="74" t="shared"/>
        <v>4.0747361578464345E-3</v>
      </c>
      <c r="AG70" s="104">
        <f si="75" t="shared"/>
        <v>1.9608920923829911E-3</v>
      </c>
      <c r="AH70" s="104">
        <f si="76" t="shared"/>
        <v>5.7356989905169748E-5</v>
      </c>
      <c r="AI70" s="104">
        <f si="77" t="shared"/>
        <v>1.0563245640868764E-3</v>
      </c>
      <c r="AJ70" s="104">
        <f si="78" t="shared"/>
        <v>3.3219256653410823E-4</v>
      </c>
      <c r="AK70" s="104">
        <f si="79" t="shared"/>
        <v>1.7553628785561331E-3</v>
      </c>
      <c r="AL70" s="104">
        <f si="80" t="shared"/>
        <v>1.4781374273478125E-3</v>
      </c>
      <c r="AM70" s="104">
        <f si="81" t="shared"/>
        <v>3.6206599877638415E-4</v>
      </c>
      <c r="AN70" s="104">
        <f si="82" t="shared"/>
        <v>4.4690654634444767E-3</v>
      </c>
      <c r="AO70" s="104">
        <f si="83" t="shared"/>
        <v>2.3540264606913418E-4</v>
      </c>
      <c r="AP70" s="104">
        <f si="84" t="shared"/>
        <v>2.1508871214438663E-5</v>
      </c>
      <c r="AQ70" s="104">
        <f si="85" t="shared"/>
        <v>5.5098558427653706E-3</v>
      </c>
      <c r="AR70" s="104">
        <f si="86" t="shared"/>
        <v>2.2345327317222389E-4</v>
      </c>
      <c r="AS70" s="104">
        <f si="87" t="shared"/>
        <v>1.3132360813704494E-3</v>
      </c>
      <c r="AT70" s="104">
        <f si="88" t="shared"/>
        <v>5.9746864484551842E-6</v>
      </c>
      <c r="AU70" s="104">
        <f si="89" t="shared"/>
        <v>0</v>
      </c>
      <c r="AV70" s="104">
        <f si="90" t="shared"/>
        <v>2.8946160905475676E-2</v>
      </c>
      <c r="CU70" s="95">
        <v>69</v>
      </c>
      <c r="CV70" s="95">
        <f si="109" t="shared"/>
        <v>4</v>
      </c>
      <c r="CW70" s="95">
        <f si="103" t="shared"/>
        <v>9</v>
      </c>
      <c r="CX70" s="58">
        <f si="104" t="shared"/>
        <v>430.38847052713584</v>
      </c>
      <c r="CY70" s="58">
        <f si="105" t="shared"/>
        <v>511</v>
      </c>
      <c r="CZ70" s="108">
        <f si="106" t="shared"/>
        <v>80.611529472864163</v>
      </c>
      <c r="DA70" s="78">
        <f si="107" t="shared"/>
        <v>0.18729946314345247</v>
      </c>
    </row>
    <row r="71" spans="2:106" x14ac:dyDescent="0.25">
      <c r="B71" s="95">
        <v>15</v>
      </c>
      <c r="C71" s="104">
        <f ref="C71:X71" si="112" t="shared">IF($X$51&gt;0,C44/$X$51,0)</f>
        <v>1.1392252920753346E-3</v>
      </c>
      <c r="D71" s="104">
        <f si="112" t="shared"/>
        <v>2.2967073997287998E-3</v>
      </c>
      <c r="E71" s="104">
        <f si="112" t="shared"/>
        <v>4.2720948452825048E-4</v>
      </c>
      <c r="F71" s="104">
        <f si="112" t="shared"/>
        <v>4.1260403206574617E-4</v>
      </c>
      <c r="G71" s="104">
        <f si="112" t="shared"/>
        <v>5.4405310422828482E-4</v>
      </c>
      <c r="H71" s="104">
        <f si="112" t="shared"/>
        <v>2.4245051087757119E-3</v>
      </c>
      <c r="I71" s="104">
        <f si="112" t="shared"/>
        <v>1.9023601832411838E-3</v>
      </c>
      <c r="J71" s="104">
        <f si="112" t="shared"/>
        <v>3.651363115626072E-5</v>
      </c>
      <c r="K71" s="104">
        <f si="112" t="shared"/>
        <v>5.9882355096267589E-3</v>
      </c>
      <c r="L71" s="104">
        <f si="112" t="shared"/>
        <v>2.6289814432507724E-4</v>
      </c>
      <c r="M71" s="104">
        <f si="112" t="shared"/>
        <v>8.2520806413149234E-4</v>
      </c>
      <c r="N71" s="104">
        <f si="112" t="shared"/>
        <v>1.5810402290660896E-3</v>
      </c>
      <c r="O71" s="104">
        <f si="112" t="shared"/>
        <v>1.90601154635681E-3</v>
      </c>
      <c r="P71" s="104">
        <f si="112" t="shared"/>
        <v>3.6513631156260721E-6</v>
      </c>
      <c r="Q71" s="104">
        <f si="112" t="shared"/>
        <v>2.8502540480577123E-2</v>
      </c>
      <c r="R71" s="104">
        <f si="112" t="shared"/>
        <v>5.1119083618765019E-5</v>
      </c>
      <c r="S71" s="104">
        <f si="112" t="shared"/>
        <v>1.4240316150941683E-4</v>
      </c>
      <c r="T71" s="104">
        <f si="112" t="shared"/>
        <v>5.8421809850017154E-5</v>
      </c>
      <c r="U71" s="104">
        <f si="112" t="shared"/>
        <v>1.1757389232315953E-3</v>
      </c>
      <c r="V71" s="104">
        <f si="112" t="shared"/>
        <v>1.4605452462504289E-5</v>
      </c>
      <c r="W71" s="104">
        <f si="112" t="shared"/>
        <v>0</v>
      </c>
      <c r="X71" s="104">
        <f si="112" t="shared"/>
        <v>4.9695052003670845E-2</v>
      </c>
      <c r="Y71" s="95"/>
      <c r="Z71" s="95">
        <v>15</v>
      </c>
      <c r="AA71" s="104">
        <f si="69" t="shared"/>
        <v>1.3968816916488222E-3</v>
      </c>
      <c r="AB71" s="104">
        <f si="70" t="shared"/>
        <v>1.2403449066992964E-3</v>
      </c>
      <c r="AC71" s="104">
        <f si="71" t="shared"/>
        <v>4.1105842765371675E-4</v>
      </c>
      <c r="AD71" s="104">
        <f si="72" t="shared"/>
        <v>1.2068866625879474E-4</v>
      </c>
      <c r="AE71" s="104">
        <f si="73" t="shared"/>
        <v>4.4093185989599266E-4</v>
      </c>
      <c r="AF71" s="104">
        <f si="74" t="shared"/>
        <v>2.8463406240440501E-3</v>
      </c>
      <c r="AG71" s="104">
        <f si="75" t="shared"/>
        <v>4.570635133068217E-3</v>
      </c>
      <c r="AH71" s="104">
        <f si="76" t="shared"/>
        <v>8.3645610278372596E-6</v>
      </c>
      <c r="AI71" s="104">
        <f si="77" t="shared"/>
        <v>3.5011662587947382E-3</v>
      </c>
      <c r="AJ71" s="104">
        <f si="78" t="shared"/>
        <v>2.3540264606913429E-4</v>
      </c>
      <c r="AK71" s="104">
        <f si="79" t="shared"/>
        <v>3.9313436830835116E-4</v>
      </c>
      <c r="AL71" s="104">
        <f si="80" t="shared"/>
        <v>1.9417730957479351E-3</v>
      </c>
      <c r="AM71" s="104">
        <f si="81" t="shared"/>
        <v>9.8940807586417861E-3</v>
      </c>
      <c r="AN71" s="104">
        <f si="82" t="shared"/>
        <v>4.0627867849495259E-5</v>
      </c>
      <c r="AO71" s="104">
        <f si="83" t="shared"/>
        <v>1.8106884750688283E-2</v>
      </c>
      <c r="AP71" s="104">
        <f si="84" t="shared"/>
        <v>1.0754435607219333E-5</v>
      </c>
      <c r="AQ71" s="104">
        <f si="85" t="shared"/>
        <v>5.3652684307127561E-4</v>
      </c>
      <c r="AR71" s="104">
        <f si="86" t="shared"/>
        <v>5.5564583970633226E-4</v>
      </c>
      <c r="AS71" s="104">
        <f si="87" t="shared"/>
        <v>3.4318598959926583E-3</v>
      </c>
      <c r="AT71" s="104">
        <f si="88" t="shared"/>
        <v>1.194937289691037E-5</v>
      </c>
      <c r="AU71" s="104">
        <f si="89" t="shared"/>
        <v>0</v>
      </c>
      <c r="AV71" s="104">
        <f si="90" t="shared"/>
        <v>4.9695052003670845E-2</v>
      </c>
      <c r="CU71" s="95">
        <v>70</v>
      </c>
      <c r="CV71" s="95">
        <f si="109" t="shared"/>
        <v>4</v>
      </c>
      <c r="CW71" s="95">
        <f si="103" t="shared"/>
        <v>10</v>
      </c>
      <c r="CX71" s="58">
        <f si="104" t="shared"/>
        <v>870.2015061023111</v>
      </c>
      <c r="CY71" s="58">
        <f si="105" t="shared"/>
        <v>356</v>
      </c>
      <c r="CZ71" s="108">
        <f si="106" t="shared"/>
        <v>-514.2015061023111</v>
      </c>
      <c r="DA71" s="78">
        <f si="107" t="shared"/>
        <v>-0.59089935204255495</v>
      </c>
    </row>
    <row r="72" spans="2:106" x14ac:dyDescent="0.25">
      <c r="B72" s="95">
        <v>16</v>
      </c>
      <c r="C72" s="104">
        <f ref="C72:X72" si="113" t="shared">IF($X$51&gt;0,C45/$X$51,0)</f>
        <v>2.2802643472209249E-3</v>
      </c>
      <c r="D72" s="104">
        <f si="113" t="shared"/>
        <v>7.1422072944563454E-4</v>
      </c>
      <c r="E72" s="104">
        <f si="113" t="shared"/>
        <v>4.3901641167759184E-4</v>
      </c>
      <c r="F72" s="104">
        <f si="113" t="shared"/>
        <v>5.504086355360853E-4</v>
      </c>
      <c r="G72" s="104">
        <f si="113" t="shared"/>
        <v>6.4214340812543294E-4</v>
      </c>
      <c r="H72" s="104">
        <f si="113" t="shared"/>
        <v>4.1542747015461678E-3</v>
      </c>
      <c r="I72" s="104">
        <f si="113" t="shared"/>
        <v>6.8145831066372469E-4</v>
      </c>
      <c r="J72" s="104">
        <f si="113" t="shared"/>
        <v>9.1734772589347559E-5</v>
      </c>
      <c r="K72" s="104">
        <f si="113" t="shared"/>
        <v>8.8458530711156579E-4</v>
      </c>
      <c r="L72" s="104">
        <f si="113" t="shared"/>
        <v>3.23037449189631E-3</v>
      </c>
      <c r="M72" s="104">
        <f si="113" t="shared"/>
        <v>5.569611192924672E-4</v>
      </c>
      <c r="N72" s="104">
        <f si="113" t="shared"/>
        <v>4.4818988893652661E-3</v>
      </c>
      <c r="O72" s="104">
        <f si="113" t="shared"/>
        <v>5.2419870051055738E-5</v>
      </c>
      <c r="P72" s="104">
        <f si="113" t="shared"/>
        <v>6.5524837563819673E-6</v>
      </c>
      <c r="Q72" s="104">
        <f si="113" t="shared"/>
        <v>1.9657451269145904E-5</v>
      </c>
      <c r="R72" s="104">
        <f si="113" t="shared"/>
        <v>1.3236017187891575E-3</v>
      </c>
      <c r="S72" s="104">
        <f si="113" t="shared"/>
        <v>7.2077321320201655E-5</v>
      </c>
      <c r="T72" s="104">
        <f si="113" t="shared"/>
        <v>5.2419870051055738E-5</v>
      </c>
      <c r="U72" s="104">
        <f si="113" t="shared"/>
        <v>5.8972353807437711E-5</v>
      </c>
      <c r="V72" s="104">
        <f si="113" t="shared"/>
        <v>6.5524837563819673E-6</v>
      </c>
      <c r="W72" s="104">
        <f si="113" t="shared"/>
        <v>0</v>
      </c>
      <c r="X72" s="104">
        <f si="113" t="shared"/>
        <v>2.0299594677271337E-2</v>
      </c>
      <c r="Y72" s="95"/>
      <c r="Z72" s="95">
        <v>16</v>
      </c>
      <c r="AA72" s="104">
        <f si="69" t="shared"/>
        <v>1.9537224686448453E-3</v>
      </c>
      <c r="AB72" s="104">
        <f si="70" t="shared"/>
        <v>9.4041564698684615E-4</v>
      </c>
      <c r="AC72" s="104">
        <f si="71" t="shared"/>
        <v>5.1262809727745486E-4</v>
      </c>
      <c r="AD72" s="104">
        <f si="72" t="shared"/>
        <v>1.6251147139798104E-4</v>
      </c>
      <c r="AE72" s="104">
        <f si="73" t="shared"/>
        <v>9.7387389109819512E-4</v>
      </c>
      <c r="AF72" s="104">
        <f si="74" t="shared"/>
        <v>4.4929642092382989E-3</v>
      </c>
      <c r="AG72" s="104">
        <f si="75" t="shared"/>
        <v>1.5390792291220556E-3</v>
      </c>
      <c r="AH72" s="104">
        <f si="76" t="shared"/>
        <v>4.7797491587641482E-6</v>
      </c>
      <c r="AI72" s="104">
        <f si="77" t="shared"/>
        <v>4.7916985316610584E-4</v>
      </c>
      <c r="AJ72" s="104">
        <f si="78" t="shared"/>
        <v>1.5008412358519425E-3</v>
      </c>
      <c r="AK72" s="104">
        <f si="79" t="shared"/>
        <v>1.8163046803303763E-4</v>
      </c>
      <c r="AL72" s="104">
        <f si="80" t="shared"/>
        <v>4.0125994187825021E-3</v>
      </c>
      <c r="AM72" s="104">
        <f si="81" t="shared"/>
        <v>5.293572193331294E-4</v>
      </c>
      <c r="AN72" s="104">
        <f si="82" t="shared"/>
        <v>2.9873432242275924E-5</v>
      </c>
      <c r="AO72" s="104">
        <f si="83" t="shared"/>
        <v>1.1351904252064851E-4</v>
      </c>
      <c r="AP72" s="104">
        <f si="84" t="shared"/>
        <v>4.7319516671765068E-4</v>
      </c>
      <c r="AQ72" s="104">
        <f si="85" t="shared"/>
        <v>3.4294700214132761E-4</v>
      </c>
      <c r="AR72" s="104">
        <f si="86" t="shared"/>
        <v>1.7230995717344754E-3</v>
      </c>
      <c r="AS72" s="104">
        <f si="87" t="shared"/>
        <v>1.2905322728663199E-4</v>
      </c>
      <c r="AT72" s="104">
        <f si="88" t="shared"/>
        <v>2.0433427653716732E-4</v>
      </c>
      <c r="AU72" s="104">
        <f si="89" t="shared"/>
        <v>0</v>
      </c>
      <c r="AV72" s="104">
        <f si="90" t="shared"/>
        <v>2.0299594677271337E-2</v>
      </c>
      <c r="CU72" s="95">
        <v>71</v>
      </c>
      <c r="CV72" s="95">
        <f si="109" t="shared"/>
        <v>4</v>
      </c>
      <c r="CW72" s="95">
        <f si="103" t="shared"/>
        <v>11</v>
      </c>
      <c r="CX72" s="58">
        <f si="104" t="shared"/>
        <v>468.08673071929371</v>
      </c>
      <c r="CY72" s="58">
        <f si="105" t="shared"/>
        <v>336</v>
      </c>
      <c r="CZ72" s="108">
        <f si="106" t="shared"/>
        <v>-132.08673071929371</v>
      </c>
      <c r="DA72" s="78">
        <f si="107" t="shared"/>
        <v>-0.28218430912647385</v>
      </c>
    </row>
    <row r="73" spans="2:106" x14ac:dyDescent="0.25">
      <c r="B73" s="95">
        <v>17</v>
      </c>
      <c r="C73" s="104">
        <f ref="C73:X73" si="114" t="shared">IF($X$51&gt;0,C46/$X$51,0)</f>
        <v>1.9878387941621115E-3</v>
      </c>
      <c r="D73" s="104">
        <f si="114" t="shared"/>
        <v>7.0678712681319521E-4</v>
      </c>
      <c r="E73" s="104">
        <f si="114" t="shared"/>
        <v>7.5096132223901994E-4</v>
      </c>
      <c r="F73" s="104">
        <f si="114" t="shared"/>
        <v>8.393097130906693E-4</v>
      </c>
      <c r="G73" s="104">
        <f si="114" t="shared"/>
        <v>7.9513551766484457E-4</v>
      </c>
      <c r="H73" s="104">
        <f si="114" t="shared"/>
        <v>2.7388001164011314E-3</v>
      </c>
      <c r="I73" s="104">
        <f si="114" t="shared"/>
        <v>1.4577484490522149E-3</v>
      </c>
      <c r="J73" s="104">
        <f si="114" t="shared"/>
        <v>7.5096132223901994E-4</v>
      </c>
      <c r="K73" s="104">
        <f si="114" t="shared"/>
        <v>1.1043548856456173E-3</v>
      </c>
      <c r="L73" s="104">
        <f si="114" t="shared"/>
        <v>7.5096132223901994E-4</v>
      </c>
      <c r="M73" s="104">
        <f si="114" t="shared"/>
        <v>7.0236970727061273E-3</v>
      </c>
      <c r="N73" s="104">
        <f si="114" t="shared"/>
        <v>1.016006494793968E-3</v>
      </c>
      <c r="O73" s="104">
        <f si="114" t="shared"/>
        <v>2.2087097712912345E-4</v>
      </c>
      <c r="P73" s="104">
        <f si="114" t="shared"/>
        <v>6.1843873596154574E-4</v>
      </c>
      <c r="Q73" s="104">
        <f si="114" t="shared"/>
        <v>7.5096132223901994E-4</v>
      </c>
      <c r="R73" s="104">
        <f si="114" t="shared"/>
        <v>1.3252258627747409E-4</v>
      </c>
      <c r="S73" s="104">
        <f si="114" t="shared"/>
        <v>3.5781098294918002E-3</v>
      </c>
      <c r="T73" s="104">
        <f si="114" t="shared"/>
        <v>8.8348390851649401E-5</v>
      </c>
      <c r="U73" s="104">
        <f si="114" t="shared"/>
        <v>2.076187185013761E-3</v>
      </c>
      <c r="V73" s="104">
        <f si="114" t="shared"/>
        <v>4.41741954258247E-5</v>
      </c>
      <c r="W73" s="104">
        <f si="114" t="shared"/>
        <v>0</v>
      </c>
      <c r="X73" s="104">
        <f si="114" t="shared"/>
        <v>2.7432175359437136E-2</v>
      </c>
      <c r="Y73" s="95"/>
      <c r="Z73" s="95">
        <v>17</v>
      </c>
      <c r="AA73" s="104">
        <f si="69" t="shared"/>
        <v>2.1281833129397371E-3</v>
      </c>
      <c r="AB73" s="104">
        <f si="70" t="shared"/>
        <v>9.9299288773325176E-4</v>
      </c>
      <c r="AC73" s="104">
        <f si="71" t="shared"/>
        <v>9.5833970633221169E-4</v>
      </c>
      <c r="AD73" s="104">
        <f si="72" t="shared"/>
        <v>2.5452164270419088E-4</v>
      </c>
      <c r="AE73" s="104">
        <f si="73" t="shared"/>
        <v>7.1935224839400429E-4</v>
      </c>
      <c r="AF73" s="104">
        <f si="74" t="shared"/>
        <v>3.4330548332823494E-3</v>
      </c>
      <c r="AG73" s="104">
        <f si="75" t="shared"/>
        <v>1.6968109513612725E-3</v>
      </c>
      <c r="AH73" s="104">
        <f si="76" t="shared"/>
        <v>3.7043055980422145E-5</v>
      </c>
      <c r="AI73" s="104">
        <f si="77" t="shared"/>
        <v>1.1686486693178342E-3</v>
      </c>
      <c r="AJ73" s="104">
        <f si="78" t="shared"/>
        <v>2.5452164270419088E-4</v>
      </c>
      <c r="AK73" s="104">
        <f si="79" t="shared"/>
        <v>2.0027148975221782E-3</v>
      </c>
      <c r="AL73" s="104">
        <f si="80" t="shared"/>
        <v>1.2582689660446619E-3</v>
      </c>
      <c r="AM73" s="104">
        <f si="81" t="shared"/>
        <v>3.87159681859896E-4</v>
      </c>
      <c r="AN73" s="104">
        <f si="82" t="shared"/>
        <v>1.0073321352095442E-3</v>
      </c>
      <c r="AO73" s="104">
        <f si="83" t="shared"/>
        <v>4.8633947690425206E-4</v>
      </c>
      <c r="AP73" s="104">
        <f si="84" t="shared"/>
        <v>2.031393392474763E-5</v>
      </c>
      <c r="AQ73" s="104">
        <f si="85" t="shared"/>
        <v>5.7488433007035792E-3</v>
      </c>
      <c r="AR73" s="104">
        <f si="86" t="shared"/>
        <v>1.9596971550933008E-4</v>
      </c>
      <c r="AS73" s="104">
        <f si="87" t="shared"/>
        <v>4.6793744264301013E-3</v>
      </c>
      <c r="AT73" s="104">
        <f si="88" t="shared"/>
        <v>2.3898745793820741E-6</v>
      </c>
      <c r="AU73" s="104">
        <f si="89" t="shared"/>
        <v>0</v>
      </c>
      <c r="AV73" s="104">
        <f si="90" t="shared"/>
        <v>2.7432175359437136E-2</v>
      </c>
      <c r="CU73" s="95">
        <v>72</v>
      </c>
      <c r="CV73" s="95">
        <f si="109" t="shared"/>
        <v>4</v>
      </c>
      <c r="CW73" s="95">
        <f si="103" t="shared"/>
        <v>12</v>
      </c>
      <c r="CX73" s="58">
        <f si="104" t="shared"/>
        <v>838.7862892755129</v>
      </c>
      <c r="CY73" s="58">
        <f si="105" t="shared"/>
        <v>1139</v>
      </c>
      <c r="CZ73" s="108">
        <f si="106" t="shared"/>
        <v>300.2137107244871</v>
      </c>
      <c r="DA73" s="78">
        <f si="107" t="shared"/>
        <v>0.35791442297392756</v>
      </c>
    </row>
    <row r="74" spans="2:106" x14ac:dyDescent="0.25">
      <c r="B74" s="95">
        <v>18</v>
      </c>
      <c r="C74" s="104">
        <f ref="C74:X74" si="115" t="shared">IF($X$51&gt;0,C47/$X$51,0)</f>
        <v>1.0951811558324082E-3</v>
      </c>
      <c r="D74" s="104">
        <f si="115" t="shared"/>
        <v>1.7896862790432039E-3</v>
      </c>
      <c r="E74" s="104">
        <f si="115" t="shared"/>
        <v>3.8732016486755897E-4</v>
      </c>
      <c r="F74" s="104">
        <f si="115" t="shared"/>
        <v>3.3389669385134398E-4</v>
      </c>
      <c r="G74" s="104">
        <f si="115" t="shared"/>
        <v>7.8799619748917173E-4</v>
      </c>
      <c r="H74" s="104">
        <f si="115" t="shared"/>
        <v>3.1920523932188485E-3</v>
      </c>
      <c r="I74" s="104">
        <f si="115" t="shared"/>
        <v>2.4841914022539994E-3</v>
      </c>
      <c r="J74" s="104">
        <f si="115" t="shared"/>
        <v>2.5376148732702137E-4</v>
      </c>
      <c r="K74" s="104">
        <f si="115" t="shared"/>
        <v>1.0284018170621395E-3</v>
      </c>
      <c r="L74" s="104">
        <f si="115" t="shared"/>
        <v>2.938290905891827E-4</v>
      </c>
      <c r="M74" s="104">
        <f si="115" t="shared"/>
        <v>1.602704130486451E-4</v>
      </c>
      <c r="N74" s="104">
        <f si="115" t="shared"/>
        <v>1.8150624277759056E-2</v>
      </c>
      <c r="O74" s="104">
        <f si="115" t="shared"/>
        <v>3.5393049548242462E-3</v>
      </c>
      <c r="P74" s="104">
        <f si="115" t="shared"/>
        <v>1.3355867754053758E-5</v>
      </c>
      <c r="Q74" s="104">
        <f si="115" t="shared"/>
        <v>9.34910742783763E-5</v>
      </c>
      <c r="R74" s="104">
        <f si="115" t="shared"/>
        <v>2.270497518189139E-4</v>
      </c>
      <c r="S74" s="104">
        <f si="115" t="shared"/>
        <v>1.3355867754053758E-5</v>
      </c>
      <c r="T74" s="104">
        <f si="115" t="shared"/>
        <v>1.9432787582148215E-2</v>
      </c>
      <c r="U74" s="104">
        <f si="115" t="shared"/>
        <v>8.013520652432255E-5</v>
      </c>
      <c r="V74" s="104">
        <f si="115" t="shared"/>
        <v>8.2005028009890079E-3</v>
      </c>
      <c r="W74" s="104">
        <f si="115" t="shared"/>
        <v>0</v>
      </c>
      <c r="X74" s="104">
        <f si="115" t="shared"/>
        <v>6.1557194478433774E-2</v>
      </c>
      <c r="Y74" s="95"/>
      <c r="Z74" s="95">
        <v>18</v>
      </c>
      <c r="AA74" s="104">
        <f si="69" t="shared"/>
        <v>2.0337832670541448E-3</v>
      </c>
      <c r="AB74" s="104">
        <f si="70" t="shared"/>
        <v>1.257074028754971E-3</v>
      </c>
      <c r="AC74" s="104">
        <f si="71" t="shared"/>
        <v>5.1023822269807275E-4</v>
      </c>
      <c r="AD74" s="104">
        <f si="72" t="shared"/>
        <v>1.2427347812786786E-4</v>
      </c>
      <c r="AE74" s="104">
        <f si="73" t="shared"/>
        <v>6.3690157540532272E-4</v>
      </c>
      <c r="AF74" s="104">
        <f si="74" t="shared"/>
        <v>4.3949793514836341E-3</v>
      </c>
      <c r="AG74" s="104">
        <f si="75" t="shared"/>
        <v>4.6566706179259716E-3</v>
      </c>
      <c r="AH74" s="104">
        <f si="76" t="shared"/>
        <v>3.5848118690731109E-6</v>
      </c>
      <c r="AI74" s="104">
        <f si="77" t="shared"/>
        <v>1.0121118843683084E-3</v>
      </c>
      <c r="AJ74" s="104">
        <f si="78" t="shared"/>
        <v>9.2607639951055372E-4</v>
      </c>
      <c r="AK74" s="104">
        <f si="79" t="shared"/>
        <v>1.9238490364025695E-4</v>
      </c>
      <c r="AL74" s="104">
        <f si="80" t="shared"/>
        <v>1.3372543208932395E-2</v>
      </c>
      <c r="AM74" s="104">
        <f si="81" t="shared"/>
        <v>1.020834926583053E-2</v>
      </c>
      <c r="AN74" s="104">
        <f si="82" t="shared"/>
        <v>2.5093683083511777E-5</v>
      </c>
      <c r="AO74" s="104">
        <f si="83" t="shared"/>
        <v>5.4847621596818604E-4</v>
      </c>
      <c r="AP74" s="104">
        <f si="84" t="shared"/>
        <v>7.8865861119608438E-5</v>
      </c>
      <c r="AQ74" s="104">
        <f si="85" t="shared"/>
        <v>4.0149892933618843E-4</v>
      </c>
      <c r="AR74" s="104">
        <f si="86" t="shared"/>
        <v>1.9319746099724686E-2</v>
      </c>
      <c r="AS74" s="104">
        <f si="87" t="shared"/>
        <v>1.6490134597736312E-4</v>
      </c>
      <c r="AT74" s="104">
        <f si="88" t="shared"/>
        <v>1.6896413276231263E-3</v>
      </c>
      <c r="AU74" s="104">
        <f si="89" t="shared"/>
        <v>0</v>
      </c>
      <c r="AV74" s="104">
        <f si="90" t="shared"/>
        <v>6.1557194478433774E-2</v>
      </c>
      <c r="CU74" s="95">
        <v>73</v>
      </c>
      <c r="CV74" s="95">
        <f si="109" t="shared"/>
        <v>4</v>
      </c>
      <c r="CW74" s="95">
        <f si="103" t="shared"/>
        <v>13</v>
      </c>
      <c r="CX74" s="58">
        <f si="104" t="shared"/>
        <v>103.67021552843417</v>
      </c>
      <c r="CY74" s="58">
        <f si="105" t="shared"/>
        <v>216</v>
      </c>
      <c r="CZ74" s="108">
        <f si="106" t="shared"/>
        <v>112.32978447156583</v>
      </c>
      <c r="DA74" s="78">
        <f si="107" t="shared"/>
        <v>1.0835299598731571</v>
      </c>
    </row>
    <row r="75" spans="2:106" x14ac:dyDescent="0.25">
      <c r="B75" s="95">
        <v>19</v>
      </c>
      <c r="C75" s="104">
        <f ref="C75:X75" si="116" t="shared">IF($X$51&gt;0,C48/$X$51,0)</f>
        <v>1.973978429407797E-3</v>
      </c>
      <c r="D75" s="104">
        <f si="116" t="shared"/>
        <v>1.5805165127352968E-3</v>
      </c>
      <c r="E75" s="104">
        <f si="116" t="shared"/>
        <v>6.9355998871084752E-4</v>
      </c>
      <c r="F75" s="104">
        <f si="116" t="shared"/>
        <v>3.4011114831012718E-4</v>
      </c>
      <c r="G75" s="104">
        <f si="116" t="shared"/>
        <v>3.6011768644601702E-4</v>
      </c>
      <c r="H75" s="104">
        <f si="116" t="shared"/>
        <v>2.4474664986238563E-3</v>
      </c>
      <c r="I75" s="104">
        <f si="116" t="shared"/>
        <v>1.2203988262892798E-3</v>
      </c>
      <c r="J75" s="104">
        <f si="116" t="shared"/>
        <v>3.4011114831012718E-4</v>
      </c>
      <c r="K75" s="104">
        <f si="116" t="shared"/>
        <v>1.3804511313763987E-3</v>
      </c>
      <c r="L75" s="104">
        <f si="116" t="shared"/>
        <v>1.333769209059322E-4</v>
      </c>
      <c r="M75" s="104">
        <f si="116" t="shared"/>
        <v>1.2497417488885849E-2</v>
      </c>
      <c r="N75" s="104">
        <f si="116" t="shared"/>
        <v>2.1273618884496185E-3</v>
      </c>
      <c r="O75" s="104">
        <f si="116" t="shared"/>
        <v>4.4681268503487289E-4</v>
      </c>
      <c r="P75" s="104">
        <f si="116" t="shared"/>
        <v>2.8009153390245767E-4</v>
      </c>
      <c r="Q75" s="104">
        <f si="116" t="shared"/>
        <v>2.927623413885212E-3</v>
      </c>
      <c r="R75" s="104">
        <f si="116" t="shared"/>
        <v>2.6675384181186444E-5</v>
      </c>
      <c r="S75" s="104">
        <f si="116" t="shared"/>
        <v>1.5938542048258902E-3</v>
      </c>
      <c r="T75" s="104">
        <f si="116" t="shared"/>
        <v>2.0006538135889834E-5</v>
      </c>
      <c r="U75" s="104">
        <f si="116" t="shared"/>
        <v>2.7335599939670809E-2</v>
      </c>
      <c r="V75" s="104">
        <f si="116" t="shared"/>
        <v>6.6688460452966111E-6</v>
      </c>
      <c r="W75" s="104">
        <f si="116" t="shared"/>
        <v>0</v>
      </c>
      <c r="X75" s="104">
        <f si="116" t="shared"/>
        <v>5.7732200214132764E-2</v>
      </c>
      <c r="Y75" s="95"/>
      <c r="Z75" s="95">
        <v>19</v>
      </c>
      <c r="AA75" s="104">
        <f si="69" t="shared"/>
        <v>3.1343205108595902E-3</v>
      </c>
      <c r="AB75" s="104">
        <f si="70" t="shared"/>
        <v>1.3132360813704496E-3</v>
      </c>
      <c r="AC75" s="104">
        <f si="71" t="shared"/>
        <v>1.1602841082899969E-3</v>
      </c>
      <c r="AD75" s="104">
        <f si="72" t="shared"/>
        <v>2.5213176812480882E-4</v>
      </c>
      <c r="AE75" s="104">
        <f si="73" t="shared"/>
        <v>9.0098271642704186E-4</v>
      </c>
      <c r="AF75" s="104">
        <f si="74" t="shared"/>
        <v>4.2671210614866929E-3</v>
      </c>
      <c r="AG75" s="104">
        <f si="75" t="shared"/>
        <v>2.6479810339553379E-3</v>
      </c>
      <c r="AH75" s="104">
        <f si="76" t="shared"/>
        <v>4.0627867849495259E-5</v>
      </c>
      <c r="AI75" s="104">
        <f si="77" t="shared"/>
        <v>2.1281833129397371E-3</v>
      </c>
      <c r="AJ75" s="104">
        <f si="78" t="shared"/>
        <v>3.130735698990517E-4</v>
      </c>
      <c r="AK75" s="104">
        <f si="79" t="shared"/>
        <v>3.0853280819822574E-3</v>
      </c>
      <c r="AL75" s="104">
        <f si="80" t="shared"/>
        <v>1.6418438360354848E-3</v>
      </c>
      <c r="AM75" s="104">
        <f si="81" t="shared"/>
        <v>1.4434842459467728E-3</v>
      </c>
      <c r="AN75" s="104">
        <f si="82" t="shared"/>
        <v>4.0388880391557049E-4</v>
      </c>
      <c r="AO75" s="104">
        <f si="83" t="shared"/>
        <v>4.0233538543897216E-3</v>
      </c>
      <c r="AP75" s="104">
        <f si="84" t="shared"/>
        <v>3.3458244111349038E-5</v>
      </c>
      <c r="AQ75" s="104">
        <f si="85" t="shared"/>
        <v>5.1453999694096057E-3</v>
      </c>
      <c r="AR75" s="104">
        <f si="86" t="shared"/>
        <v>2.9156469868461306E-4</v>
      </c>
      <c r="AS75" s="104">
        <f si="87" t="shared"/>
        <v>2.550115669929642E-2</v>
      </c>
      <c r="AT75" s="104">
        <f si="88" t="shared"/>
        <v>4.7797491587641482E-6</v>
      </c>
      <c r="AU75" s="104">
        <f si="89" t="shared"/>
        <v>0</v>
      </c>
      <c r="AV75" s="104">
        <f si="90" t="shared"/>
        <v>5.7732200214132764E-2</v>
      </c>
      <c r="CU75" s="95">
        <v>74</v>
      </c>
      <c r="CV75" s="95">
        <f si="109" t="shared"/>
        <v>4</v>
      </c>
      <c r="CW75" s="95">
        <f si="103" t="shared"/>
        <v>14</v>
      </c>
      <c r="CX75" s="58">
        <f si="104" t="shared"/>
        <v>34.556738509478059</v>
      </c>
      <c r="CY75" s="58">
        <f si="105" t="shared"/>
        <v>55</v>
      </c>
      <c r="CZ75" s="108">
        <f si="106" t="shared"/>
        <v>20.443261490521941</v>
      </c>
      <c r="DA75" s="78">
        <f si="107" t="shared"/>
        <v>0.59158538601421717</v>
      </c>
    </row>
    <row r="76" spans="2:106" x14ac:dyDescent="0.25">
      <c r="B76" s="95">
        <v>20</v>
      </c>
      <c r="C76" s="104">
        <f ref="C76:X76" si="117" t="shared">IF($X$51&gt;0,C49/$X$51,0)</f>
        <v>2.0633486295264223E-4</v>
      </c>
      <c r="D76" s="104">
        <f si="117" t="shared"/>
        <v>5.1147797013612723E-4</v>
      </c>
      <c r="E76" s="104">
        <f si="117" t="shared"/>
        <v>2.324899864255124E-5</v>
      </c>
      <c r="F76" s="104">
        <f si="117" t="shared"/>
        <v>6.3934746267015904E-5</v>
      </c>
      <c r="G76" s="104">
        <f si="117" t="shared"/>
        <v>1.7146136498881541E-4</v>
      </c>
      <c r="H76" s="104">
        <f si="117" t="shared"/>
        <v>4.0685747624464669E-4</v>
      </c>
      <c r="I76" s="104">
        <f si="117" t="shared"/>
        <v>4.0976360107496557E-4</v>
      </c>
      <c r="J76" s="104">
        <f si="117" t="shared"/>
        <v>5.81224966063781E-6</v>
      </c>
      <c r="K76" s="104">
        <f si="117" t="shared"/>
        <v>1.6855524015849647E-4</v>
      </c>
      <c r="L76" s="104">
        <f si="117" t="shared"/>
        <v>1.888981139707288E-4</v>
      </c>
      <c r="M76" s="104">
        <f si="117" t="shared"/>
        <v>4.3591872454783572E-5</v>
      </c>
      <c r="N76" s="104">
        <f si="117" t="shared"/>
        <v>5.3298329388048711E-3</v>
      </c>
      <c r="O76" s="104">
        <f si="117" t="shared"/>
        <v>5.2310246945740286E-4</v>
      </c>
      <c r="P76" s="104">
        <f si="117" t="shared"/>
        <v>2.906124830318905E-6</v>
      </c>
      <c r="Q76" s="104">
        <f si="117" t="shared"/>
        <v>2.906124830318905E-5</v>
      </c>
      <c r="R76" s="104">
        <f si="117" t="shared"/>
        <v>6.3934746267015904E-5</v>
      </c>
      <c r="S76" s="104">
        <f si="117" t="shared"/>
        <v>1.4530624151594525E-5</v>
      </c>
      <c r="T76" s="104">
        <f si="117" t="shared"/>
        <v>4.5161179863155779E-3</v>
      </c>
      <c r="U76" s="104">
        <f si="117" t="shared"/>
        <v>2.906124830318905E-6</v>
      </c>
      <c r="V76" s="104">
        <f si="117" t="shared"/>
        <v>2.4516069068570279E-2</v>
      </c>
      <c r="W76" s="104">
        <f si="117" t="shared"/>
        <v>0</v>
      </c>
      <c r="X76" s="104">
        <f si="117" t="shared"/>
        <v>3.7198397828081979E-2</v>
      </c>
      <c r="Y76" s="95"/>
      <c r="Z76" s="95">
        <v>20</v>
      </c>
      <c r="AA76" s="104">
        <f si="69" t="shared"/>
        <v>7.6475986540226369E-4</v>
      </c>
      <c r="AB76" s="104">
        <f si="70" t="shared"/>
        <v>4.576609819516672E-4</v>
      </c>
      <c r="AC76" s="104">
        <f si="71" t="shared"/>
        <v>1.9955452737840319E-4</v>
      </c>
      <c r="AD76" s="104">
        <f si="72" t="shared"/>
        <v>5.9746864484551849E-5</v>
      </c>
      <c r="AE76" s="104">
        <f si="73" t="shared"/>
        <v>2.2345327317222391E-4</v>
      </c>
      <c r="AF76" s="104">
        <f si="74" t="shared"/>
        <v>1.7458033802386051E-3</v>
      </c>
      <c r="AG76" s="104">
        <f si="75" t="shared"/>
        <v>1.0754435607219332E-3</v>
      </c>
      <c r="AH76" s="104">
        <f si="76" t="shared"/>
        <v>4.7797491587641482E-6</v>
      </c>
      <c r="AI76" s="104">
        <f si="77" t="shared"/>
        <v>3.130735698990517E-4</v>
      </c>
      <c r="AJ76" s="104">
        <f si="78" t="shared"/>
        <v>3.2382800550627102E-4</v>
      </c>
      <c r="AK76" s="104">
        <f si="79" t="shared"/>
        <v>7.8865861119608438E-5</v>
      </c>
      <c r="AL76" s="104">
        <f si="80" t="shared"/>
        <v>5.1501797185683693E-3</v>
      </c>
      <c r="AM76" s="104">
        <f si="81" t="shared"/>
        <v>1.7458033802386051E-3</v>
      </c>
      <c r="AN76" s="104">
        <f si="82" t="shared"/>
        <v>9.5594983175282964E-6</v>
      </c>
      <c r="AO76" s="104">
        <f si="83" t="shared"/>
        <v>9.5594983175282961E-5</v>
      </c>
      <c r="AP76" s="104">
        <f si="84" t="shared"/>
        <v>8.2450672988681559E-5</v>
      </c>
      <c r="AQ76" s="104">
        <f si="85" t="shared"/>
        <v>1.2666335270724991E-4</v>
      </c>
      <c r="AR76" s="104">
        <f si="86" t="shared"/>
        <v>9.451953961456103E-3</v>
      </c>
      <c r="AS76" s="104">
        <f si="87" t="shared"/>
        <v>4.0627867849495259E-5</v>
      </c>
      <c r="AT76" s="104">
        <f si="88" t="shared"/>
        <v>1.5248594753747324E-2</v>
      </c>
      <c r="AU76" s="104">
        <f si="89" t="shared"/>
        <v>0</v>
      </c>
      <c r="AV76" s="104">
        <f si="90" t="shared"/>
        <v>3.7198397828081979E-2</v>
      </c>
      <c r="CU76" s="95">
        <v>75</v>
      </c>
      <c r="CV76" s="95">
        <f si="109" t="shared"/>
        <v>4</v>
      </c>
      <c r="CW76" s="95">
        <f si="103" t="shared"/>
        <v>15</v>
      </c>
      <c r="CX76" s="58">
        <f si="104" t="shared"/>
        <v>119.37782394183328</v>
      </c>
      <c r="CY76" s="58">
        <f si="105" t="shared"/>
        <v>155</v>
      </c>
      <c r="CZ76" s="108">
        <f si="106" t="shared"/>
        <v>35.622176058166716</v>
      </c>
      <c r="DA76" s="78">
        <f si="107" t="shared"/>
        <v>0.29839860438001936</v>
      </c>
    </row>
    <row r="77" spans="2:106" x14ac:dyDescent="0.25">
      <c r="B77" s="101" t="s">
        <v>15</v>
      </c>
      <c r="C77" s="105">
        <f ref="C77:X77" si="118" t="shared">IF($X$51&gt;0,C50/$X$51,0)</f>
        <v>0</v>
      </c>
      <c r="D77" s="105">
        <f si="118" t="shared"/>
        <v>0</v>
      </c>
      <c r="E77" s="105">
        <f si="118" t="shared"/>
        <v>0</v>
      </c>
      <c r="F77" s="105">
        <f si="118" t="shared"/>
        <v>0</v>
      </c>
      <c r="G77" s="105">
        <f si="118" t="shared"/>
        <v>0</v>
      </c>
      <c r="H77" s="105">
        <f si="118" t="shared"/>
        <v>0</v>
      </c>
      <c r="I77" s="105">
        <f si="118" t="shared"/>
        <v>0</v>
      </c>
      <c r="J77" s="105">
        <f si="118" t="shared"/>
        <v>0</v>
      </c>
      <c r="K77" s="105">
        <f si="118" t="shared"/>
        <v>0</v>
      </c>
      <c r="L77" s="105">
        <f si="118" t="shared"/>
        <v>0</v>
      </c>
      <c r="M77" s="105">
        <f si="118" t="shared"/>
        <v>0</v>
      </c>
      <c r="N77" s="105">
        <f si="118" t="shared"/>
        <v>0</v>
      </c>
      <c r="O77" s="105">
        <f si="118" t="shared"/>
        <v>0</v>
      </c>
      <c r="P77" s="105">
        <f si="118" t="shared"/>
        <v>0</v>
      </c>
      <c r="Q77" s="105">
        <f si="118" t="shared"/>
        <v>0</v>
      </c>
      <c r="R77" s="105">
        <f si="118" t="shared"/>
        <v>0</v>
      </c>
      <c r="S77" s="105">
        <f si="118" t="shared"/>
        <v>0</v>
      </c>
      <c r="T77" s="105">
        <f si="118" t="shared"/>
        <v>0</v>
      </c>
      <c r="U77" s="105">
        <f si="118" t="shared"/>
        <v>0</v>
      </c>
      <c r="V77" s="105">
        <f si="118" t="shared"/>
        <v>0</v>
      </c>
      <c r="W77" s="105">
        <f si="118" t="shared"/>
        <v>0</v>
      </c>
      <c r="X77" s="105">
        <f si="118" t="shared"/>
        <v>0</v>
      </c>
      <c r="Y77" s="95"/>
      <c r="Z77" s="101" t="s">
        <v>15</v>
      </c>
      <c r="AA77" s="105">
        <f si="69" t="shared"/>
        <v>0</v>
      </c>
      <c r="AB77" s="105">
        <f si="70" t="shared"/>
        <v>0</v>
      </c>
      <c r="AC77" s="105">
        <f si="71" t="shared"/>
        <v>0</v>
      </c>
      <c r="AD77" s="105">
        <f si="72" t="shared"/>
        <v>0</v>
      </c>
      <c r="AE77" s="105">
        <f si="73" t="shared"/>
        <v>0</v>
      </c>
      <c r="AF77" s="105">
        <f si="74" t="shared"/>
        <v>0</v>
      </c>
      <c r="AG77" s="105">
        <f si="75" t="shared"/>
        <v>0</v>
      </c>
      <c r="AH77" s="105">
        <f si="76" t="shared"/>
        <v>0</v>
      </c>
      <c r="AI77" s="105">
        <f si="77" t="shared"/>
        <v>0</v>
      </c>
      <c r="AJ77" s="105">
        <f si="78" t="shared"/>
        <v>0</v>
      </c>
      <c r="AK77" s="105">
        <f si="79" t="shared"/>
        <v>0</v>
      </c>
      <c r="AL77" s="105">
        <f si="80" t="shared"/>
        <v>0</v>
      </c>
      <c r="AM77" s="105">
        <f si="81" t="shared"/>
        <v>0</v>
      </c>
      <c r="AN77" s="105">
        <f si="82" t="shared"/>
        <v>0</v>
      </c>
      <c r="AO77" s="105">
        <f si="83" t="shared"/>
        <v>0</v>
      </c>
      <c r="AP77" s="105">
        <f si="84" t="shared"/>
        <v>0</v>
      </c>
      <c r="AQ77" s="105">
        <f si="85" t="shared"/>
        <v>0</v>
      </c>
      <c r="AR77" s="105">
        <f si="86" t="shared"/>
        <v>0</v>
      </c>
      <c r="AS77" s="105">
        <f si="87" t="shared"/>
        <v>0</v>
      </c>
      <c r="AT77" s="105">
        <f si="88" t="shared"/>
        <v>0</v>
      </c>
      <c r="AU77" s="105">
        <f si="89" t="shared"/>
        <v>0</v>
      </c>
      <c r="AV77" s="105">
        <f si="90" t="shared"/>
        <v>0</v>
      </c>
      <c r="CU77" s="95">
        <v>76</v>
      </c>
      <c r="CV77" s="95">
        <f si="109" t="shared"/>
        <v>4</v>
      </c>
      <c r="CW77" s="95">
        <f si="103" t="shared"/>
        <v>16</v>
      </c>
      <c r="CX77" s="58">
        <f si="104" t="shared"/>
        <v>50.264346922877174</v>
      </c>
      <c r="CY77" s="58">
        <f si="105" t="shared"/>
        <v>49</v>
      </c>
      <c r="CZ77" s="108">
        <f si="106" t="shared"/>
        <v>-1.2643469228771735</v>
      </c>
      <c r="DA77" s="78">
        <f si="107" t="shared"/>
        <v>-2.5153951066291924E-2</v>
      </c>
    </row>
    <row ht="15.75" r="78" spans="2:106" thickBot="1" x14ac:dyDescent="0.3">
      <c r="B78" s="1" t="s">
        <v>3</v>
      </c>
      <c r="C78" s="106">
        <f ref="C78:X78" si="119" t="shared">IF($X$51&gt;0,C51/$X$51,0)</f>
        <v>5.265425434755127E-2</v>
      </c>
      <c r="D78" s="106">
        <f si="119" t="shared"/>
        <v>4.9317213589404434E-2</v>
      </c>
      <c r="E78" s="106">
        <f si="119" t="shared"/>
        <v>3.0865082694377165E-2</v>
      </c>
      <c r="F78" s="106">
        <f si="119" t="shared"/>
        <v>1.7918604484696697E-2</v>
      </c>
      <c r="G78" s="106">
        <f si="119" t="shared"/>
        <v>2.8095601273071862E-2</v>
      </c>
      <c r="H78" s="106">
        <f si="119" t="shared"/>
        <v>0.11437515802359022</v>
      </c>
      <c r="I78" s="106">
        <f si="119" t="shared"/>
        <v>9.5779781840915082E-2</v>
      </c>
      <c r="J78" s="106">
        <f si="119" t="shared"/>
        <v>6.1408380124058142E-3</v>
      </c>
      <c r="K78" s="106">
        <f si="119" t="shared"/>
        <v>5.9267191056508073E-2</v>
      </c>
      <c r="L78" s="106">
        <f si="119" t="shared"/>
        <v>2.3320777698301449E-2</v>
      </c>
      <c r="M78" s="106">
        <f si="119" t="shared"/>
        <v>6.8119184766854718E-2</v>
      </c>
      <c r="N78" s="106">
        <f si="119" t="shared"/>
        <v>0.17375724740944043</v>
      </c>
      <c r="O78" s="106">
        <f si="119" t="shared"/>
        <v>0.10918939675833197</v>
      </c>
      <c r="P78" s="106">
        <f si="119" t="shared"/>
        <v>5.8104140771340872E-3</v>
      </c>
      <c r="Q78" s="106">
        <f si="119" t="shared"/>
        <v>4.5954045604147252E-2</v>
      </c>
      <c r="R78" s="106">
        <f si="119" t="shared"/>
        <v>4.2469919088621889E-3</v>
      </c>
      <c r="S78" s="106">
        <f si="119" t="shared"/>
        <v>8.1949282806308039E-3</v>
      </c>
      <c r="T78" s="106">
        <f si="119" t="shared"/>
        <v>3.1780029014893914E-2</v>
      </c>
      <c r="U78" s="106">
        <f si="119" t="shared"/>
        <v>3.9891922343248246E-2</v>
      </c>
      <c r="V78" s="106">
        <f si="119" t="shared"/>
        <v>3.532133681563434E-2</v>
      </c>
      <c r="W78" s="106">
        <f si="119" t="shared"/>
        <v>0</v>
      </c>
      <c r="X78" s="106">
        <f si="119" t="shared"/>
        <v>1</v>
      </c>
      <c r="Y78" s="95"/>
      <c r="Z78" s="1" t="s">
        <v>3</v>
      </c>
      <c r="AA78" s="106">
        <f si="69" t="shared"/>
        <v>7.3236511547873973E-2</v>
      </c>
      <c r="AB78" s="106">
        <f si="70" t="shared"/>
        <v>4.1656708855919239E-2</v>
      </c>
      <c r="AC78" s="106">
        <f si="71" t="shared"/>
        <v>2.3117256806362802E-2</v>
      </c>
      <c r="AD78" s="106">
        <f si="72" t="shared"/>
        <v>6.5040436677883144E-3</v>
      </c>
      <c r="AE78" s="106">
        <f si="73" t="shared"/>
        <v>2.4570300550627103E-2</v>
      </c>
      <c r="AF78" s="106">
        <f si="74" t="shared"/>
        <v>0.14663194975527685</v>
      </c>
      <c r="AG78" s="106">
        <f si="75" t="shared"/>
        <v>0.14055210882532884</v>
      </c>
      <c r="AH78" s="106">
        <f si="76" t="shared"/>
        <v>5.3174709391251151E-4</v>
      </c>
      <c r="AI78" s="106">
        <f si="77" t="shared"/>
        <v>5.0661756271030894E-2</v>
      </c>
      <c r="AJ78" s="106">
        <f si="78" t="shared"/>
        <v>1.7100747552768431E-2</v>
      </c>
      <c r="AK78" s="106">
        <f si="79" t="shared"/>
        <v>2.1764587794432549E-2</v>
      </c>
      <c r="AL78" s="106">
        <f si="80" t="shared"/>
        <v>0.12019754703273172</v>
      </c>
      <c r="AM78" s="106">
        <f si="81" t="shared"/>
        <v>0.12439058198225757</v>
      </c>
      <c r="AN78" s="106">
        <f si="82" t="shared"/>
        <v>7.170818675435911E-3</v>
      </c>
      <c r="AO78" s="106">
        <f si="83" t="shared"/>
        <v>4.1644759483022334E-2</v>
      </c>
      <c r="AP78" s="106">
        <f si="84" t="shared"/>
        <v>1.6717172682777608E-3</v>
      </c>
      <c r="AQ78" s="106">
        <f si="85" t="shared"/>
        <v>3.5233920923829917E-2</v>
      </c>
      <c r="AR78" s="106">
        <f si="86" t="shared"/>
        <v>5.7671258412358518E-2</v>
      </c>
      <c r="AS78" s="106">
        <f si="87" t="shared"/>
        <v>4.7520266136433162E-2</v>
      </c>
      <c r="AT78" s="106">
        <f si="88" t="shared"/>
        <v>1.8171411364331602E-2</v>
      </c>
      <c r="AU78" s="106">
        <f si="89" t="shared"/>
        <v>0</v>
      </c>
      <c r="AV78" s="106">
        <f si="90" t="shared"/>
        <v>1</v>
      </c>
      <c r="CU78" s="95">
        <v>77</v>
      </c>
      <c r="CV78" s="95">
        <f si="109" t="shared"/>
        <v>4</v>
      </c>
      <c r="CW78" s="95">
        <f si="103" t="shared"/>
        <v>17</v>
      </c>
      <c r="CX78" s="58">
        <f si="104" t="shared"/>
        <v>15.707608413399118</v>
      </c>
      <c r="CY78" s="58">
        <f si="105" t="shared"/>
        <v>464</v>
      </c>
      <c r="CZ78" s="108">
        <f si="106" t="shared"/>
        <v>448.2923915866009</v>
      </c>
      <c r="DA78" s="78">
        <f si="107" t="shared"/>
        <v>28.539824764423869</v>
      </c>
    </row>
    <row r="79" spans="2:106" x14ac:dyDescent="0.25">
      <c r="B79" s="95"/>
      <c r="C79" s="95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CU79" s="95">
        <v>78</v>
      </c>
      <c r="CV79" s="95">
        <f si="109" t="shared"/>
        <v>4</v>
      </c>
      <c r="CW79" s="95">
        <f si="103" t="shared"/>
        <v>18</v>
      </c>
      <c r="CX79" s="58">
        <f si="104" t="shared"/>
        <v>25.132173461438587</v>
      </c>
      <c r="CY79" s="58">
        <f si="105" t="shared"/>
        <v>176</v>
      </c>
      <c r="CZ79" s="108">
        <f si="106" t="shared"/>
        <v>150.86782653856142</v>
      </c>
      <c r="DA79" s="78">
        <f si="107" t="shared"/>
        <v>6.0029756984625564</v>
      </c>
    </row>
    <row r="80" spans="2:106" x14ac:dyDescent="0.25">
      <c r="B80" s="95"/>
      <c r="C80" s="95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CU80" s="95">
        <v>79</v>
      </c>
      <c r="CV80" s="95">
        <f si="109" t="shared"/>
        <v>4</v>
      </c>
      <c r="CW80" s="95">
        <f si="103" t="shared"/>
        <v>19</v>
      </c>
      <c r="CX80" s="58">
        <f si="104" t="shared"/>
        <v>31.415216826798236</v>
      </c>
      <c r="CY80" s="58">
        <f si="105" t="shared"/>
        <v>180</v>
      </c>
      <c r="CZ80" s="108">
        <f si="106" t="shared"/>
        <v>148.58478317320177</v>
      </c>
      <c r="DA80" s="78">
        <f si="107" t="shared"/>
        <v>4.7297073896511819</v>
      </c>
    </row>
    <row r="81" spans="2:105" x14ac:dyDescent="0.25">
      <c r="B81" s="95"/>
      <c r="C81" s="95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CU81" s="95">
        <v>80</v>
      </c>
      <c r="CV81" s="95">
        <f si="109" t="shared"/>
        <v>4</v>
      </c>
      <c r="CW81" s="95">
        <f si="103" t="shared"/>
        <v>20</v>
      </c>
      <c r="CX81" s="58">
        <f si="104" t="shared"/>
        <v>6.2830433653596467</v>
      </c>
      <c r="CY81" s="58">
        <f si="105" t="shared"/>
        <v>15</v>
      </c>
      <c r="CZ81" s="108">
        <f si="106" t="shared"/>
        <v>8.7169566346403542</v>
      </c>
      <c r="DA81" s="78">
        <f si="107" t="shared"/>
        <v>1.3873780790213259</v>
      </c>
    </row>
    <row ht="15.75" r="82" spans="2:105" thickBot="1" x14ac:dyDescent="0.3">
      <c r="B82" s="95"/>
      <c r="C82" s="95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23" t="s">
        <v>322</v>
      </c>
      <c r="AA82" s="24"/>
      <c r="AB82" s="24"/>
      <c r="AC82" s="24"/>
      <c r="AD82" s="24"/>
      <c r="AE82" s="24"/>
      <c r="AF82" s="24"/>
      <c r="AG82" s="24"/>
      <c r="AH82" s="24"/>
      <c r="AI82" s="24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CU82" s="95">
        <v>81</v>
      </c>
      <c r="CV82" s="95">
        <f si="109" t="shared"/>
        <v>5</v>
      </c>
      <c r="CW82" s="95">
        <f si="103" t="shared"/>
        <v>1</v>
      </c>
      <c r="CX82" s="58">
        <f si="104" t="shared"/>
        <v>1402.5383275261324</v>
      </c>
      <c r="CY82" s="58">
        <f si="105" t="shared"/>
        <v>1597</v>
      </c>
      <c r="CZ82" s="108">
        <f si="106" t="shared"/>
        <v>194.46167247386757</v>
      </c>
      <c r="DA82" s="78">
        <f si="107" t="shared"/>
        <v>0.13864980988923764</v>
      </c>
    </row>
    <row r="83" spans="2:105" x14ac:dyDescent="0.25">
      <c r="B83" s="95"/>
      <c r="C83" s="95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 s="95">
        <v>82</v>
      </c>
      <c r="CV83" s="95">
        <f si="109" t="shared"/>
        <v>5</v>
      </c>
      <c r="CW83" s="95">
        <f si="103" t="shared"/>
        <v>2</v>
      </c>
      <c r="CX83" s="58">
        <f si="104" t="shared"/>
        <v>537.27526132404182</v>
      </c>
      <c r="CY83" s="58">
        <f si="105" t="shared"/>
        <v>596</v>
      </c>
      <c r="CZ83" s="108">
        <f si="106" t="shared"/>
        <v>58.724738675958179</v>
      </c>
      <c r="DA83" s="78">
        <f si="107" t="shared"/>
        <v>0.10930102854771137</v>
      </c>
    </row>
    <row r="84" spans="2:105" x14ac:dyDescent="0.25">
      <c r="B84" s="95"/>
      <c r="C84" s="95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31">
        <v>1</v>
      </c>
      <c r="AA84" s="103">
        <f ref="AA84:AA100" si="120" t="shared">AA57-C57</f>
        <v>-1.2034395659533594E-3</v>
      </c>
      <c r="AB84" s="103">
        <f ref="AB84:AV96" si="121" t="shared">AB57-D57</f>
        <v>1.9491436713078261E-4</v>
      </c>
      <c r="AC84" s="103">
        <f si="121" t="shared"/>
        <v>7.9152533648534681E-5</v>
      </c>
      <c r="AD84" s="103">
        <f si="121" t="shared"/>
        <v>-1.273912760895235E-4</v>
      </c>
      <c r="AE84" s="103">
        <f si="121" t="shared"/>
        <v>-7.9547411004555818E-5</v>
      </c>
      <c r="AF84" s="103">
        <f si="121" t="shared"/>
        <v>3.3828388935462595E-4</v>
      </c>
      <c r="AG84" s="103">
        <f si="121" t="shared"/>
        <v>9.0223058508236771E-4</v>
      </c>
      <c r="AH84" s="103">
        <f si="121" t="shared"/>
        <v>-4.6996494815641605E-6</v>
      </c>
      <c r="AI84" s="103">
        <f si="121" t="shared"/>
        <v>9.2270143942736076E-5</v>
      </c>
      <c r="AJ84" s="103">
        <f si="121" t="shared"/>
        <v>4.0320584877312835E-5</v>
      </c>
      <c r="AK84" s="103">
        <f si="121" t="shared"/>
        <v>-2.6551684576217512E-4</v>
      </c>
      <c r="AL84" s="103">
        <f si="121" t="shared"/>
        <v>-3.3168011596769464E-4</v>
      </c>
      <c r="AM84" s="103">
        <f si="121" t="shared"/>
        <v>-3.506070607451375E-5</v>
      </c>
      <c r="AN84" s="103">
        <f si="121" t="shared"/>
        <v>-5.7076875244552324E-6</v>
      </c>
      <c r="AO84" s="103">
        <f si="121" t="shared"/>
        <v>1.3787168648526915E-4</v>
      </c>
      <c r="AP84" s="103">
        <f si="121" t="shared"/>
        <v>-2.2563751173820978E-6</v>
      </c>
      <c r="AQ84" s="103">
        <f si="121" t="shared"/>
        <v>2.3306617127455214E-4</v>
      </c>
      <c r="AR84" s="103">
        <f si="121" t="shared"/>
        <v>9.3552207197100787E-5</v>
      </c>
      <c r="AS84" s="103">
        <f si="121" t="shared"/>
        <v>-4.5794999657641837E-5</v>
      </c>
      <c r="AT84" s="103">
        <f si="121" t="shared"/>
        <v>-1.0567536360419365E-5</v>
      </c>
      <c r="AU84" s="103">
        <f si="121" t="shared"/>
        <v>0</v>
      </c>
      <c r="AV84" s="103">
        <f si="121" t="shared"/>
        <v>0</v>
      </c>
      <c r="CU84" s="95">
        <v>83</v>
      </c>
      <c r="CV84" s="95">
        <f si="109" t="shared"/>
        <v>5</v>
      </c>
      <c r="CW84" s="95">
        <f si="103" t="shared"/>
        <v>3</v>
      </c>
      <c r="CX84" s="58">
        <f si="104" t="shared"/>
        <v>552.89372822299651</v>
      </c>
      <c r="CY84" s="58">
        <f si="105" t="shared"/>
        <v>355</v>
      </c>
      <c r="CZ84" s="108">
        <f si="106" t="shared"/>
        <v>-197.89372822299651</v>
      </c>
      <c r="DA84" s="78">
        <f si="107" t="shared"/>
        <v>-0.35792362640652126</v>
      </c>
    </row>
    <row r="85" spans="2:105" x14ac:dyDescent="0.25">
      <c r="B85" s="95"/>
      <c r="C85" s="95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>
        <v>2</v>
      </c>
      <c r="AA85" s="104">
        <f si="120" t="shared"/>
        <v>8.4105833354246925E-4</v>
      </c>
      <c r="AB85" s="104">
        <f si="121" t="shared"/>
        <v>-4.729760507224014E-3</v>
      </c>
      <c r="AC85" s="104">
        <f si="121" t="shared"/>
        <v>-1.8329437184218711E-5</v>
      </c>
      <c r="AD85" s="104">
        <f si="121" t="shared"/>
        <v>-1.3104832214059511E-4</v>
      </c>
      <c r="AE85" s="104">
        <f si="121" t="shared"/>
        <v>-5.2842193582257314E-5</v>
      </c>
      <c r="AF85" s="104">
        <f si="121" t="shared"/>
        <v>9.9211854337494026E-4</v>
      </c>
      <c r="AG85" s="104">
        <f si="121" t="shared"/>
        <v>1.8611135039296102E-3</v>
      </c>
      <c r="AH85" s="104">
        <f si="121" t="shared"/>
        <v>-3.6494603610209186E-5</v>
      </c>
      <c r="AI85" s="104">
        <f si="121" t="shared"/>
        <v>3.0680743533115934E-4</v>
      </c>
      <c r="AJ85" s="104">
        <f si="121" t="shared"/>
        <v>-1.3804042747872128E-5</v>
      </c>
      <c r="AK85" s="104">
        <f si="121" t="shared"/>
        <v>-1.4378460495998493E-4</v>
      </c>
      <c r="AL85" s="104">
        <f si="121" t="shared"/>
        <v>1.5596713635244444E-4</v>
      </c>
      <c r="AM85" s="104">
        <f si="121" t="shared"/>
        <v>2.1878745373287589E-4</v>
      </c>
      <c r="AN85" s="104">
        <f si="121" t="shared"/>
        <v>3.2952184194872339E-5</v>
      </c>
      <c r="AO85" s="104">
        <f si="121" t="shared"/>
        <v>2.5051555582611352E-4</v>
      </c>
      <c r="AP85" s="104">
        <f si="121" t="shared"/>
        <v>3.3458244111349031E-5</v>
      </c>
      <c r="AQ85" s="104">
        <f si="121" t="shared"/>
        <v>2.8476070985994204E-4</v>
      </c>
      <c r="AR85" s="104">
        <f si="121" t="shared"/>
        <v>1.6972348758986349E-4</v>
      </c>
      <c r="AS85" s="104">
        <f si="121" t="shared"/>
        <v>1.171091534464384E-5</v>
      </c>
      <c r="AT85" s="104">
        <f si="121" t="shared"/>
        <v>-3.2909791741136078E-5</v>
      </c>
      <c r="AU85" s="104">
        <f si="121" t="shared"/>
        <v>0</v>
      </c>
      <c r="AV85" s="104">
        <f si="121" t="shared"/>
        <v>0</v>
      </c>
      <c r="CU85" s="95">
        <v>84</v>
      </c>
      <c r="CV85" s="95">
        <f si="109" t="shared"/>
        <v>5</v>
      </c>
      <c r="CW85" s="95">
        <f si="103" t="shared"/>
        <v>4</v>
      </c>
      <c r="CX85" s="58">
        <f si="104" t="shared"/>
        <v>587.25435540069691</v>
      </c>
      <c r="CY85" s="58">
        <f si="105" t="shared"/>
        <v>178</v>
      </c>
      <c r="CZ85" s="108">
        <f si="106" t="shared"/>
        <v>-409.25435540069691</v>
      </c>
      <c r="DA85" s="78">
        <f si="107" t="shared"/>
        <v>-0.69689454260659067</v>
      </c>
    </row>
    <row r="86" spans="2:105" x14ac:dyDescent="0.25"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>
        <v>3</v>
      </c>
      <c r="AA86" s="104">
        <f si="120" t="shared"/>
        <v>1.4189768362685264E-3</v>
      </c>
      <c r="AB86" s="104">
        <f si="121" t="shared"/>
        <v>-4.260129325297712E-4</v>
      </c>
      <c r="AC86" s="104">
        <f si="121" t="shared"/>
        <v>-6.0153415145554412E-3</v>
      </c>
      <c r="AD86" s="104">
        <f si="121" t="shared"/>
        <v>-1.2085013870206775E-3</v>
      </c>
      <c r="AE86" s="104">
        <f si="121" t="shared"/>
        <v>-3.8058004037939139E-4</v>
      </c>
      <c r="AF86" s="104">
        <f si="121" t="shared"/>
        <v>2.1437997792825136E-3</v>
      </c>
      <c r="AG86" s="104">
        <f si="121" t="shared"/>
        <v>3.8314241780374328E-3</v>
      </c>
      <c r="AH86" s="104">
        <f si="121" t="shared"/>
        <v>-3.9215894013337749E-4</v>
      </c>
      <c r="AI86" s="104">
        <f si="121" t="shared"/>
        <v>9.5180003803842488E-5</v>
      </c>
      <c r="AJ86" s="104">
        <f si="121" t="shared"/>
        <v>-6.7307566101046205E-4</v>
      </c>
      <c r="AK86" s="104">
        <f si="121" t="shared"/>
        <v>-1.9009029162098531E-3</v>
      </c>
      <c r="AL86" s="104">
        <f si="121" t="shared"/>
        <v>-3.7114073635183872E-5</v>
      </c>
      <c r="AM86" s="104">
        <f si="121" t="shared"/>
        <v>5.6211064412807358E-4</v>
      </c>
      <c r="AN86" s="104">
        <f si="121" t="shared"/>
        <v>-2.9819310470562135E-5</v>
      </c>
      <c r="AO86" s="104">
        <f si="121" t="shared"/>
        <v>3.7434793210303844E-4</v>
      </c>
      <c r="AP86" s="104">
        <f si="121" t="shared"/>
        <v>-5.821936676511694E-5</v>
      </c>
      <c r="AQ86" s="104">
        <f si="121" t="shared"/>
        <v>1.6626923941620347E-3</v>
      </c>
      <c r="AR86" s="104">
        <f si="121" t="shared"/>
        <v>5.586467133734882E-4</v>
      </c>
      <c r="AS86" s="104">
        <f si="121" t="shared"/>
        <v>5.0581809485490941E-4</v>
      </c>
      <c r="AT86" s="104">
        <f si="121" t="shared"/>
        <v>-3.12704333040253E-5</v>
      </c>
      <c r="AU86" s="104">
        <f si="121" t="shared"/>
        <v>0</v>
      </c>
      <c r="AV86" s="104">
        <f si="121" t="shared"/>
        <v>0</v>
      </c>
      <c r="CU86" s="95">
        <v>85</v>
      </c>
      <c r="CV86" s="95">
        <f si="109" t="shared"/>
        <v>5</v>
      </c>
      <c r="CW86" s="95">
        <f si="103" t="shared"/>
        <v>5</v>
      </c>
      <c r="CX86" s="58">
        <f si="104" t="shared"/>
        <v>3039.3536585365855</v>
      </c>
      <c r="CY86" s="58">
        <f si="105" t="shared"/>
        <v>1037</v>
      </c>
      <c r="CZ86" s="108">
        <f si="106" t="shared"/>
        <v>-2002.3536585365855</v>
      </c>
      <c r="DA86" s="78">
        <f si="107" t="shared"/>
        <v>-0.65880903754408637</v>
      </c>
    </row>
    <row r="87" spans="2:105" x14ac:dyDescent="0.25">
      <c r="B87" s="95"/>
      <c r="C87" s="95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>
        <v>4</v>
      </c>
      <c r="AA87" s="104">
        <f si="120" t="shared"/>
        <v>8.3846959228588234E-4</v>
      </c>
      <c r="AB87" s="104">
        <f si="121" t="shared"/>
        <v>2.5891538771120859E-4</v>
      </c>
      <c r="AC87" s="104">
        <f si="121" t="shared"/>
        <v>-5.5789360021698436E-4</v>
      </c>
      <c r="AD87" s="104">
        <f si="121" t="shared"/>
        <v>-1.9597176344132491E-3</v>
      </c>
      <c r="AE87" s="104">
        <f si="121" t="shared"/>
        <v>-1.8324129066403555E-3</v>
      </c>
      <c r="AF87" s="104">
        <f si="121" t="shared"/>
        <v>1.8426190549998777E-3</v>
      </c>
      <c r="AG87" s="104">
        <f si="121" t="shared"/>
        <v>8.7459045828319325E-4</v>
      </c>
      <c r="AH87" s="104">
        <f si="121" t="shared"/>
        <v>-2.5099423498951736E-4</v>
      </c>
      <c r="AI87" s="104">
        <f si="121" t="shared"/>
        <v>9.6325722546153412E-5</v>
      </c>
      <c r="AJ87" s="104">
        <f si="121" t="shared"/>
        <v>-6.1443855405694488E-4</v>
      </c>
      <c r="AK87" s="104">
        <f si="121" t="shared"/>
        <v>-1.5783536000986268E-4</v>
      </c>
      <c r="AL87" s="104">
        <f si="121" t="shared"/>
        <v>3.5873655782120754E-4</v>
      </c>
      <c r="AM87" s="104">
        <f si="121" t="shared"/>
        <v>1.3422704820803121E-4</v>
      </c>
      <c r="AN87" s="104">
        <f si="121" t="shared"/>
        <v>2.4428415477929436E-5</v>
      </c>
      <c r="AO87" s="104">
        <f si="121" t="shared"/>
        <v>4.2566266511842691E-5</v>
      </c>
      <c r="AP87" s="104">
        <f si="121" t="shared"/>
        <v>-1.5108152852520536E-6</v>
      </c>
      <c r="AQ87" s="104">
        <f si="121" t="shared"/>
        <v>5.3568129539160591E-4</v>
      </c>
      <c r="AR87" s="104">
        <f si="121" t="shared"/>
        <v>1.8027759174556608E-4</v>
      </c>
      <c r="AS87" s="104">
        <f si="121" t="shared"/>
        <v>1.7754949809431614E-4</v>
      </c>
      <c r="AT87" s="104">
        <f si="121" t="shared"/>
        <v>1.0416216535351447E-5</v>
      </c>
      <c r="AU87" s="104">
        <f si="121" t="shared"/>
        <v>0</v>
      </c>
      <c r="AV87" s="104">
        <f si="121" t="shared"/>
        <v>0</v>
      </c>
      <c r="CU87" s="95">
        <v>86</v>
      </c>
      <c r="CV87" s="95">
        <f si="109" t="shared"/>
        <v>5</v>
      </c>
      <c r="CW87" s="95">
        <f si="103" t="shared"/>
        <v>6</v>
      </c>
      <c r="CX87" s="58">
        <f si="104" t="shared"/>
        <v>2851.9320557491292</v>
      </c>
      <c r="CY87" s="58">
        <f si="105" t="shared"/>
        <v>4541</v>
      </c>
      <c r="CZ87" s="108">
        <f si="106" t="shared"/>
        <v>1689.0679442508708</v>
      </c>
      <c r="DA87" s="78">
        <f si="107" t="shared"/>
        <v>0.59225392163390655</v>
      </c>
    </row>
    <row r="88" spans="2:105" x14ac:dyDescent="0.25">
      <c r="B88" s="95"/>
      <c r="C88" s="95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>
        <v>5</v>
      </c>
      <c r="AA88" s="104">
        <f si="120" t="shared"/>
        <v>2.3236950385470932E-4</v>
      </c>
      <c r="AB88" s="104">
        <f si="121" t="shared"/>
        <v>7.0172380071263922E-5</v>
      </c>
      <c r="AC88" s="104">
        <f si="121" t="shared"/>
        <v>-2.3647059524964218E-4</v>
      </c>
      <c r="AD88" s="104">
        <f si="121" t="shared"/>
        <v>-4.890332902367611E-4</v>
      </c>
      <c r="AE88" s="104">
        <f si="121" t="shared"/>
        <v>-2.3926870537346392E-3</v>
      </c>
      <c r="AF88" s="104">
        <f si="121" t="shared"/>
        <v>2.0183302714071472E-3</v>
      </c>
      <c r="AG88" s="104">
        <f si="121" t="shared"/>
        <v>7.4799743499008207E-4</v>
      </c>
      <c r="AH88" s="104">
        <f si="121" t="shared"/>
        <v>-7.7485646096846848E-5</v>
      </c>
      <c r="AI88" s="104">
        <f si="121" t="shared"/>
        <v>1.3066868257722479E-4</v>
      </c>
      <c r="AJ88" s="104">
        <f si="121" t="shared"/>
        <v>-1.981951300784585E-4</v>
      </c>
      <c r="AK88" s="104">
        <f si="121" t="shared"/>
        <v>-7.9640280408397717E-5</v>
      </c>
      <c r="AL88" s="104">
        <f si="121" t="shared"/>
        <v>-4.2479604294059993E-4</v>
      </c>
      <c r="AM88" s="104">
        <f si="121" t="shared"/>
        <v>1.5117830309645142E-4</v>
      </c>
      <c r="AN88" s="104">
        <f si="121" t="shared"/>
        <v>1.355233755381296E-6</v>
      </c>
      <c r="AO88" s="104">
        <f si="121" t="shared"/>
        <v>1.290782085540123E-4</v>
      </c>
      <c r="AP88" s="104">
        <f si="121" t="shared"/>
        <v>-3.8213012002732882E-5</v>
      </c>
      <c r="AQ88" s="104">
        <f si="121" t="shared"/>
        <v>3.6027983815869276E-4</v>
      </c>
      <c r="AR88" s="104">
        <f si="121" t="shared"/>
        <v>1.2757516896663089E-4</v>
      </c>
      <c r="AS88" s="104">
        <f si="121" t="shared"/>
        <v>-4.7870353617500693E-5</v>
      </c>
      <c r="AT88" s="104">
        <f si="121" t="shared"/>
        <v>1.5386378933983372E-5</v>
      </c>
      <c r="AU88" s="104">
        <f si="121" t="shared"/>
        <v>0</v>
      </c>
      <c r="AV88" s="104">
        <f si="121" t="shared"/>
        <v>0</v>
      </c>
      <c r="CU88" s="95">
        <v>87</v>
      </c>
      <c r="CV88" s="95">
        <f si="109" t="shared"/>
        <v>5</v>
      </c>
      <c r="CW88" s="95">
        <f si="103" t="shared"/>
        <v>7</v>
      </c>
      <c r="CX88" s="58">
        <f si="104" t="shared"/>
        <v>531.02787456445992</v>
      </c>
      <c r="CY88" s="58">
        <f si="105" t="shared"/>
        <v>1157</v>
      </c>
      <c r="CZ88" s="108">
        <f si="106" t="shared"/>
        <v>625.97212543554008</v>
      </c>
      <c r="DA88" s="78">
        <f si="107" t="shared"/>
        <v>1.1787933466749778</v>
      </c>
    </row>
    <row r="89" spans="2:105" x14ac:dyDescent="0.25">
      <c r="B89" s="95"/>
      <c r="C89" s="95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>
        <v>6</v>
      </c>
      <c r="AA89" s="104">
        <f si="120" t="shared"/>
        <v>4.3959447324455397E-4</v>
      </c>
      <c r="AB89" s="104">
        <f si="121" t="shared"/>
        <v>1.0918923686312741E-4</v>
      </c>
      <c r="AC89" s="104">
        <f si="121" t="shared"/>
        <v>1.62020266702301E-4</v>
      </c>
      <c r="AD89" s="104">
        <f si="121" t="shared"/>
        <v>-3.4660778700333243E-4</v>
      </c>
      <c r="AE89" s="104">
        <f si="121" t="shared"/>
        <v>-3.1380153525804953E-4</v>
      </c>
      <c r="AF89" s="104">
        <f si="121" t="shared"/>
        <v>-2.8369933261550538E-3</v>
      </c>
      <c r="AG89" s="104">
        <f si="121" t="shared"/>
        <v>3.3433841062067652E-3</v>
      </c>
      <c r="AH89" s="104">
        <f si="121" t="shared"/>
        <v>-4.5331316545530426E-5</v>
      </c>
      <c r="AI89" s="104">
        <f si="121" t="shared"/>
        <v>3.0971798688796267E-4</v>
      </c>
      <c r="AJ89" s="104">
        <f si="121" t="shared"/>
        <v>-1.8413004499445479E-4</v>
      </c>
      <c r="AK89" s="104">
        <f si="121" t="shared"/>
        <v>-1.7745915775732265E-5</v>
      </c>
      <c r="AL89" s="104">
        <f si="121" t="shared"/>
        <v>-2.1049257530086777E-3</v>
      </c>
      <c r="AM89" s="104">
        <f si="121" t="shared"/>
        <v>3.5837115705547888E-4</v>
      </c>
      <c r="AN89" s="104">
        <f si="121" t="shared"/>
        <v>4.24584240153963E-5</v>
      </c>
      <c r="AO89" s="104">
        <f si="121" t="shared"/>
        <v>5.1899378266367121E-5</v>
      </c>
      <c r="AP89" s="104">
        <f si="121" t="shared"/>
        <v>-9.1645697422015234E-5</v>
      </c>
      <c r="AQ89" s="104">
        <f si="121" t="shared"/>
        <v>6.2558782138462236E-4</v>
      </c>
      <c r="AR89" s="104">
        <f si="121" t="shared"/>
        <v>4.7693257951218168E-4</v>
      </c>
      <c r="AS89" s="104">
        <f si="121" t="shared"/>
        <v>3.3899018458272612E-5</v>
      </c>
      <c r="AT89" s="104">
        <f si="121" t="shared"/>
        <v>-1.1873072434181387E-5</v>
      </c>
      <c r="AU89" s="104">
        <f si="121" t="shared"/>
        <v>0</v>
      </c>
      <c r="AV89" s="104">
        <f si="121" t="shared"/>
        <v>0</v>
      </c>
      <c r="CU89" s="95">
        <v>88</v>
      </c>
      <c r="CV89" s="95">
        <f si="109" t="shared"/>
        <v>5</v>
      </c>
      <c r="CW89" s="95">
        <f si="103" t="shared"/>
        <v>8</v>
      </c>
      <c r="CX89" s="58">
        <f si="104" t="shared"/>
        <v>71.844947735191639</v>
      </c>
      <c r="CY89" s="58">
        <f si="105" t="shared"/>
        <v>7</v>
      </c>
      <c r="CZ89" s="108">
        <f si="106" t="shared"/>
        <v>-64.844947735191639</v>
      </c>
      <c r="DA89" s="78">
        <f si="107" t="shared"/>
        <v>-0.90256795751594365</v>
      </c>
    </row>
    <row r="90" spans="2:105" x14ac:dyDescent="0.25">
      <c r="B90" s="95"/>
      <c r="C90" s="95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>
        <v>7</v>
      </c>
      <c r="AA90" s="104">
        <f si="120" t="shared"/>
        <v>2.5941488750252581E-3</v>
      </c>
      <c r="AB90" s="104">
        <f si="121" t="shared"/>
        <v>-1.7858850492391961E-3</v>
      </c>
      <c r="AC90" s="104">
        <f si="121" t="shared"/>
        <v>-1.2960219115073536E-3</v>
      </c>
      <c r="AD90" s="104">
        <f si="121" t="shared"/>
        <v>-9.1871933547870701E-4</v>
      </c>
      <c r="AE90" s="104">
        <f si="121" t="shared"/>
        <v>-6.3787037085627821E-4</v>
      </c>
      <c r="AF90" s="104">
        <f si="121" t="shared"/>
        <v>3.1267227431534764E-3</v>
      </c>
      <c r="AG90" s="104">
        <f si="121" t="shared"/>
        <v>-7.452145536964383E-3</v>
      </c>
      <c r="AH90" s="104">
        <f si="121" t="shared"/>
        <v>-1.8877803232390209E-4</v>
      </c>
      <c r="AI90" s="104">
        <f si="121" t="shared"/>
        <v>2.1503592549057694E-3</v>
      </c>
      <c r="AJ90" s="104">
        <f si="121" t="shared"/>
        <v>-4.7038655268908107E-4</v>
      </c>
      <c r="AK90" s="104">
        <f si="121" t="shared"/>
        <v>-1.470097430564952E-3</v>
      </c>
      <c r="AL90" s="104">
        <f si="121" t="shared"/>
        <v>-1.4233773414516187E-3</v>
      </c>
      <c r="AM90" s="104">
        <f si="121" t="shared"/>
        <v>3.8876174813526447E-3</v>
      </c>
      <c r="AN90" s="104">
        <f si="121" t="shared"/>
        <v>-4.6266635288361163E-5</v>
      </c>
      <c r="AO90" s="104">
        <f si="121" t="shared"/>
        <v>1.4696518644008976E-3</v>
      </c>
      <c r="AP90" s="104">
        <f si="121" t="shared"/>
        <v>-7.2659875515666472E-5</v>
      </c>
      <c r="AQ90" s="104">
        <f si="121" t="shared"/>
        <v>1.0901187272078152E-3</v>
      </c>
      <c r="AR90" s="104">
        <f si="121" t="shared"/>
        <v>1.3552572915187836E-3</v>
      </c>
      <c r="AS90" s="104">
        <f si="121" t="shared"/>
        <v>2.8503388880291714E-4</v>
      </c>
      <c r="AT90" s="104">
        <f si="121" t="shared"/>
        <v>-1.9670205448804755E-4</v>
      </c>
      <c r="AU90" s="104">
        <f si="121" t="shared"/>
        <v>0</v>
      </c>
      <c r="AV90" s="104">
        <f si="121" t="shared"/>
        <v>0</v>
      </c>
      <c r="CU90" s="95">
        <v>89</v>
      </c>
      <c r="CV90" s="95">
        <f si="109" t="shared"/>
        <v>5</v>
      </c>
      <c r="CW90" s="95">
        <f si="103" t="shared"/>
        <v>9</v>
      </c>
      <c r="CX90" s="58">
        <f si="104" t="shared"/>
        <v>243.64808362369337</v>
      </c>
      <c r="CY90" s="58">
        <f si="105" t="shared"/>
        <v>353</v>
      </c>
      <c r="CZ90" s="108">
        <f si="106" t="shared"/>
        <v>109.35191637630663</v>
      </c>
      <c r="DA90" s="78">
        <f si="107" t="shared"/>
        <v>0.44881090279863295</v>
      </c>
    </row>
    <row r="91" spans="2:105" x14ac:dyDescent="0.25">
      <c r="B91" s="95"/>
      <c r="C91" s="95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>
        <v>8</v>
      </c>
      <c r="AA91" s="104">
        <f si="120" t="shared"/>
        <v>3.0316388430382484E-4</v>
      </c>
      <c r="AB91" s="104">
        <f si="121" t="shared"/>
        <v>6.8151359149319678E-5</v>
      </c>
      <c r="AC91" s="104">
        <f si="121" t="shared"/>
        <v>-3.8588487729634377E-4</v>
      </c>
      <c r="AD91" s="104">
        <f si="121" t="shared"/>
        <v>-1.4375494931352482E-4</v>
      </c>
      <c r="AE91" s="104">
        <f si="121" t="shared"/>
        <v>-1.2139825626886886E-5</v>
      </c>
      <c r="AF91" s="104">
        <f si="121" t="shared"/>
        <v>2.5039311900921721E-4</v>
      </c>
      <c r="AG91" s="104">
        <f si="121" t="shared"/>
        <v>4.2836197971754606E-4</v>
      </c>
      <c r="AH91" s="104">
        <f si="121" t="shared"/>
        <v>-5.6842153170588239E-4</v>
      </c>
      <c r="AI91" s="104">
        <f si="121" t="shared"/>
        <v>4.1374319678273979E-5</v>
      </c>
      <c r="AJ91" s="104">
        <f si="121" t="shared"/>
        <v>-1.5473977128765113E-4</v>
      </c>
      <c r="AK91" s="104">
        <f si="121" t="shared"/>
        <v>-3.8188229814861273E-4</v>
      </c>
      <c r="AL91" s="104">
        <f si="121" t="shared"/>
        <v>-1.013300678021549E-4</v>
      </c>
      <c r="AM91" s="104">
        <f si="121" t="shared"/>
        <v>1.1718986530003359E-4</v>
      </c>
      <c r="AN91" s="104">
        <f si="121" t="shared"/>
        <v>-6.7392620047639244E-5</v>
      </c>
      <c r="AO91" s="104">
        <f si="121" t="shared"/>
        <v>5.0460757989086544E-5</v>
      </c>
      <c r="AP91" s="104">
        <f si="121" t="shared"/>
        <v>-2.45468994393858E-5</v>
      </c>
      <c r="AQ91" s="104">
        <f si="121" t="shared"/>
        <v>4.5416218099290597E-4</v>
      </c>
      <c r="AR91" s="104">
        <f si="121" t="shared"/>
        <v>3.7546834169392153E-5</v>
      </c>
      <c r="AS91" s="104">
        <f si="121" t="shared"/>
        <v>1.1217972977436243E-4</v>
      </c>
      <c r="AT91" s="104">
        <f si="121" t="shared"/>
        <v>-2.2891189415880741E-5</v>
      </c>
      <c r="AU91" s="104">
        <f si="121" t="shared"/>
        <v>0</v>
      </c>
      <c r="AV91" s="104">
        <f si="121" t="shared"/>
        <v>0</v>
      </c>
      <c r="CU91" s="95">
        <v>90</v>
      </c>
      <c r="CV91" s="95">
        <f si="109" t="shared"/>
        <v>5</v>
      </c>
      <c r="CW91" s="95">
        <f si="103" t="shared"/>
        <v>10</v>
      </c>
      <c r="CX91" s="58">
        <f si="104" t="shared"/>
        <v>627.86236933797909</v>
      </c>
      <c r="CY91" s="58">
        <f si="105" t="shared"/>
        <v>462</v>
      </c>
      <c r="CZ91" s="108">
        <f si="106" t="shared"/>
        <v>-165.86236933797909</v>
      </c>
      <c r="DA91" s="78">
        <f si="107" t="shared"/>
        <v>-0.26416994780697739</v>
      </c>
    </row>
    <row r="92" spans="2:105" x14ac:dyDescent="0.25">
      <c r="B92" s="95"/>
      <c r="C92" s="95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>
        <v>9</v>
      </c>
      <c r="AA92" s="104">
        <f si="120" t="shared"/>
        <v>2.9288488413392764E-3</v>
      </c>
      <c r="AB92" s="104">
        <f si="121" t="shared"/>
        <v>-9.9757777996433827E-4</v>
      </c>
      <c r="AC92" s="104">
        <f si="121" t="shared"/>
        <v>-1.5912826303045649E-4</v>
      </c>
      <c r="AD92" s="104">
        <f si="121" t="shared"/>
        <v>-7.2251718525394662E-4</v>
      </c>
      <c r="AE92" s="104">
        <f si="121" t="shared"/>
        <v>7.5445705338709622E-4</v>
      </c>
      <c r="AF92" s="104">
        <f si="121" t="shared"/>
        <v>4.0764751864759367E-3</v>
      </c>
      <c r="AG92" s="104">
        <f si="121" t="shared"/>
        <v>5.2275367282846544E-3</v>
      </c>
      <c r="AH92" s="104">
        <f si="121" t="shared"/>
        <v>-1.8597605532035642E-4</v>
      </c>
      <c r="AI92" s="104">
        <f si="121" t="shared"/>
        <v>-1.4509706411710137E-2</v>
      </c>
      <c r="AJ92" s="104">
        <f si="121" t="shared"/>
        <v>-1.9714719107841454E-4</v>
      </c>
      <c r="AK92" s="104">
        <f si="121" t="shared"/>
        <v>-2.3345304496340986E-3</v>
      </c>
      <c r="AL92" s="104">
        <f si="121" t="shared"/>
        <v>1.3240583795736628E-3</v>
      </c>
      <c r="AM92" s="104">
        <f si="121" t="shared"/>
        <v>2.4719823676752082E-3</v>
      </c>
      <c r="AN92" s="104">
        <f si="121" t="shared"/>
        <v>-5.0896946995309002E-5</v>
      </c>
      <c r="AO92" s="104">
        <f si="121" t="shared"/>
        <v>-9.8488906194265334E-4</v>
      </c>
      <c r="AP92" s="104">
        <f si="121" t="shared"/>
        <v>-5.456470203726338E-5</v>
      </c>
      <c r="AQ92" s="104">
        <f si="121" t="shared"/>
        <v>1.8355895633111955E-3</v>
      </c>
      <c r="AR92" s="104">
        <f si="121" t="shared"/>
        <v>6.3263893129088516E-4</v>
      </c>
      <c r="AS92" s="104">
        <f si="121" t="shared"/>
        <v>9.5596729347343615E-4</v>
      </c>
      <c r="AT92" s="104">
        <f si="121" t="shared"/>
        <v>-1.0620297844377894E-5</v>
      </c>
      <c r="AU92" s="104">
        <f si="121" t="shared"/>
        <v>0</v>
      </c>
      <c r="AV92" s="104">
        <f si="121" t="shared"/>
        <v>0</v>
      </c>
      <c r="CU92" s="95">
        <v>91</v>
      </c>
      <c r="CV92" s="95">
        <f si="109" t="shared"/>
        <v>5</v>
      </c>
      <c r="CW92" s="95">
        <f si="103" t="shared"/>
        <v>11</v>
      </c>
      <c r="CX92" s="58">
        <f si="104" t="shared"/>
        <v>243.64808362369337</v>
      </c>
      <c r="CY92" s="58">
        <f si="105" t="shared"/>
        <v>177</v>
      </c>
      <c r="CZ92" s="108">
        <f si="106" t="shared"/>
        <v>-66.648083623693367</v>
      </c>
      <c r="DA92" s="78">
        <f si="107" t="shared"/>
        <v>-0.27354240851173361</v>
      </c>
    </row>
    <row r="93" spans="2:105" x14ac:dyDescent="0.25">
      <c r="B93" s="95"/>
      <c r="C93" s="95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>
        <v>10</v>
      </c>
      <c r="AA93" s="104">
        <f si="120" t="shared"/>
        <v>7.939340175797502E-4</v>
      </c>
      <c r="AB93" s="104">
        <f si="121" t="shared"/>
        <v>6.4452928146169013E-4</v>
      </c>
      <c r="AC93" s="104">
        <f si="121" t="shared"/>
        <v>2.0214609079512017E-4</v>
      </c>
      <c r="AD93" s="104">
        <f si="121" t="shared"/>
        <v>-8.2077493382395862E-4</v>
      </c>
      <c r="AE93" s="104">
        <f si="121" t="shared"/>
        <v>-3.0410919179470197E-4</v>
      </c>
      <c r="AF93" s="104">
        <f si="121" t="shared"/>
        <v>1.6042216844344391E-3</v>
      </c>
      <c r="AG93" s="104">
        <f si="121" t="shared"/>
        <v>2.4994040509285862E-3</v>
      </c>
      <c r="AH93" s="104">
        <f si="121" t="shared"/>
        <v>-1.2469177525077933E-4</v>
      </c>
      <c r="AI93" s="104">
        <f si="121" t="shared"/>
        <v>9.3642193172152979E-5</v>
      </c>
      <c r="AJ93" s="104">
        <f si="121" t="shared"/>
        <v>-4.1483669503498445E-3</v>
      </c>
      <c r="AK93" s="104">
        <f si="121" t="shared"/>
        <v>-5.544531127052696E-4</v>
      </c>
      <c r="AL93" s="104">
        <f si="121" t="shared"/>
        <v>-1.2365979149021201E-3</v>
      </c>
      <c r="AM93" s="104">
        <f si="121" t="shared"/>
        <v>2.8693414400826096E-4</v>
      </c>
      <c r="AN93" s="104">
        <f si="121" t="shared"/>
        <v>3.4438783404092023E-5</v>
      </c>
      <c r="AO93" s="104">
        <f si="121" t="shared"/>
        <v>2.3421820765042774E-4</v>
      </c>
      <c r="AP93" s="104">
        <f si="121" t="shared"/>
        <v>-5.4132455082514497E-4</v>
      </c>
      <c r="AQ93" s="104">
        <f si="121" t="shared"/>
        <v>5.2274458832932233E-4</v>
      </c>
      <c r="AR93" s="104">
        <f si="121" t="shared"/>
        <v>7.265271215676427E-4</v>
      </c>
      <c r="AS93" s="104">
        <f si="121" t="shared"/>
        <v>1.0158541793021491E-4</v>
      </c>
      <c r="AT93" s="104">
        <f si="121" t="shared"/>
        <v>-1.4007151609885829E-5</v>
      </c>
      <c r="AU93" s="104">
        <f si="121" t="shared"/>
        <v>0</v>
      </c>
      <c r="AV93" s="104">
        <f si="121" t="shared"/>
        <v>0</v>
      </c>
      <c r="CU93" s="95">
        <v>92</v>
      </c>
      <c r="CV93" s="95">
        <f si="109" t="shared"/>
        <v>5</v>
      </c>
      <c r="CW93" s="95">
        <f si="103" t="shared"/>
        <v>12</v>
      </c>
      <c r="CX93" s="58">
        <f si="104" t="shared"/>
        <v>1502.4965156794424</v>
      </c>
      <c r="CY93" s="58">
        <f si="105" t="shared"/>
        <v>1147</v>
      </c>
      <c r="CZ93" s="108">
        <f si="106" t="shared"/>
        <v>-355.49651567944238</v>
      </c>
      <c r="DA93" s="78">
        <f si="107" t="shared"/>
        <v>-0.2366038869106353</v>
      </c>
    </row>
    <row r="94" spans="2:105" x14ac:dyDescent="0.25">
      <c r="B94" s="95"/>
      <c r="C94" s="95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>
        <v>11</v>
      </c>
      <c r="AA94" s="104">
        <f si="120" t="shared"/>
        <v>3.447846270114803E-3</v>
      </c>
      <c r="AB94" s="104">
        <f si="121" t="shared"/>
        <v>9.8094002268905248E-4</v>
      </c>
      <c r="AC94" s="104">
        <f si="121" t="shared"/>
        <v>-1.6653910584369562E-3</v>
      </c>
      <c r="AD94" s="104">
        <f si="121" t="shared"/>
        <v>-7.516034430007653E-4</v>
      </c>
      <c r="AE94" s="104">
        <f si="121" t="shared"/>
        <v>5.1994750873982955E-4</v>
      </c>
      <c r="AF94" s="104">
        <f si="121" t="shared"/>
        <v>5.205820676782936E-3</v>
      </c>
      <c r="AG94" s="104">
        <f si="121" t="shared"/>
        <v>3.9940930310609114E-3</v>
      </c>
      <c r="AH94" s="104">
        <f si="121" t="shared"/>
        <v>-1.0157055785283062E-3</v>
      </c>
      <c r="AI94" s="104">
        <f si="121" t="shared"/>
        <v>1.4286256536117209E-3</v>
      </c>
      <c r="AJ94" s="104">
        <f si="121" t="shared"/>
        <v>3.6632182735076187E-5</v>
      </c>
      <c r="AK94" s="104">
        <f si="121" t="shared"/>
        <v>-2.0836476273658935E-2</v>
      </c>
      <c r="AL94" s="104">
        <f si="121" t="shared"/>
        <v>5.6189412763129817E-4</v>
      </c>
      <c r="AM94" s="104">
        <f si="121" t="shared"/>
        <v>7.0746976183935935E-4</v>
      </c>
      <c r="AN94" s="104">
        <f si="121" t="shared"/>
        <v>-2.9949200875466252E-5</v>
      </c>
      <c r="AO94" s="104">
        <f si="121" t="shared"/>
        <v>8.9033607953240717E-4</v>
      </c>
      <c r="AP94" s="104">
        <f si="121" t="shared"/>
        <v>2.5403890365045479E-5</v>
      </c>
      <c r="AQ94" s="104">
        <f si="121" t="shared"/>
        <v>5.691467469575235E-3</v>
      </c>
      <c r="AR94" s="104">
        <f si="121" t="shared"/>
        <v>4.6394089621553167E-4</v>
      </c>
      <c r="AS94" s="104">
        <f si="121" t="shared"/>
        <v>4.271636360620194E-4</v>
      </c>
      <c r="AT94" s="104">
        <f si="121" t="shared"/>
        <v>-8.2455652454805958E-5</v>
      </c>
      <c r="AU94" s="104">
        <f si="121" t="shared"/>
        <v>0</v>
      </c>
      <c r="AV94" s="104">
        <f si="121" t="shared"/>
        <v>0</v>
      </c>
      <c r="CU94" s="95">
        <v>93</v>
      </c>
      <c r="CV94" s="95">
        <f si="109" t="shared"/>
        <v>5</v>
      </c>
      <c r="CW94" s="95">
        <f si="103" t="shared"/>
        <v>13</v>
      </c>
      <c r="CX94" s="58">
        <f si="104" t="shared"/>
        <v>37.484320557491287</v>
      </c>
      <c r="CY94" s="58">
        <f si="105" t="shared"/>
        <v>164</v>
      </c>
      <c r="CZ94" s="108">
        <f si="106" t="shared"/>
        <v>126.51567944250871</v>
      </c>
      <c r="DA94" s="78">
        <f si="107" t="shared"/>
        <v>3.3751626696411976</v>
      </c>
    </row>
    <row r="95" spans="2:105" x14ac:dyDescent="0.25">
      <c r="B95" s="95"/>
      <c r="C95" s="95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>
        <v>12</v>
      </c>
      <c r="AA95" s="104">
        <f si="120" t="shared"/>
        <v>3.4867618397800854E-3</v>
      </c>
      <c r="AB95" s="104">
        <f si="121" t="shared"/>
        <v>1.9686617469851708E-3</v>
      </c>
      <c r="AC95" s="104">
        <f si="121" t="shared"/>
        <v>7.944944662343135E-4</v>
      </c>
      <c r="AD95" s="104">
        <f si="121" t="shared"/>
        <v>-1.1543823900714179E-3</v>
      </c>
      <c r="AE95" s="104">
        <f si="121" t="shared"/>
        <v>2.6785483403042988E-4</v>
      </c>
      <c r="AF95" s="104">
        <f si="121" t="shared"/>
        <v>5.7253609862638923E-3</v>
      </c>
      <c r="AG95" s="104">
        <f si="121" t="shared"/>
        <v>1.5178457540286402E-2</v>
      </c>
      <c r="AH95" s="104">
        <f si="121" t="shared"/>
        <v>-9.3474063014941294E-5</v>
      </c>
      <c r="AI95" s="104">
        <f si="121" t="shared"/>
        <v>1.9585895533239016E-3</v>
      </c>
      <c r="AJ95" s="104">
        <f si="121" t="shared"/>
        <v>1.7482394062016404E-3</v>
      </c>
      <c r="AK95" s="104">
        <f si="121" t="shared"/>
        <v>-1.5105697463210503E-3</v>
      </c>
      <c r="AL95" s="104">
        <f si="121" t="shared"/>
        <v>-4.4224122620899441E-2</v>
      </c>
      <c r="AM95" s="104">
        <f si="121" t="shared"/>
        <v>5.5003057444912443E-3</v>
      </c>
      <c r="AN95" s="104">
        <f si="121" t="shared"/>
        <v>3.6881683328997893E-5</v>
      </c>
      <c r="AO95" s="104">
        <f si="121" t="shared"/>
        <v>7.3480246153482631E-4</v>
      </c>
      <c r="AP95" s="104">
        <f si="121" t="shared"/>
        <v>-4.7283123727816364E-4</v>
      </c>
      <c r="AQ95" s="104">
        <f si="121" t="shared"/>
        <v>1.4891427089292605E-3</v>
      </c>
      <c r="AR95" s="104">
        <f si="121" t="shared"/>
        <v>8.7818966409949559E-3</v>
      </c>
      <c r="AS95" s="104">
        <f si="121" t="shared"/>
        <v>6.1558975928130432E-4</v>
      </c>
      <c r="AT95" s="104">
        <f si="121" t="shared"/>
        <v>-8.3165931408140574E-4</v>
      </c>
      <c r="AU95" s="104">
        <f si="121" t="shared"/>
        <v>0</v>
      </c>
      <c r="AV95" s="104">
        <f si="121" t="shared"/>
        <v>0</v>
      </c>
      <c r="CU95" s="95">
        <v>94</v>
      </c>
      <c r="CV95" s="95">
        <f si="109" t="shared"/>
        <v>5</v>
      </c>
      <c r="CW95" s="95">
        <f si="103" t="shared"/>
        <v>14</v>
      </c>
      <c r="CX95" s="58">
        <f si="104" t="shared"/>
        <v>21.865853658536587</v>
      </c>
      <c r="CY95" s="58">
        <f si="105" t="shared"/>
        <v>23</v>
      </c>
      <c r="CZ95" s="108">
        <f si="106" t="shared"/>
        <v>1.1341463414634134</v>
      </c>
      <c r="DA95" s="78">
        <f si="107" t="shared"/>
        <v>5.1868377021751198E-2</v>
      </c>
    </row>
    <row r="96" spans="2:105" x14ac:dyDescent="0.25">
      <c r="B96" s="95"/>
      <c r="C96" s="95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>
        <v>13</v>
      </c>
      <c r="AA96" s="104">
        <f si="120" t="shared"/>
        <v>1.2211779287283752E-3</v>
      </c>
      <c r="AB96" s="104">
        <f si="121" t="shared"/>
        <v>-2.2638048820661661E-5</v>
      </c>
      <c r="AC96" s="104">
        <f si="121" t="shared"/>
        <v>1.4303392791734679E-4</v>
      </c>
      <c r="AD96" s="104">
        <f si="121" t="shared"/>
        <v>-2.9595302115606556E-4</v>
      </c>
      <c r="AE96" s="104">
        <f ref="AE96:AV105" si="122" t="shared">AE69-G69</f>
        <v>4.0233420863357668E-4</v>
      </c>
      <c r="AF96" s="104">
        <f si="122" t="shared"/>
        <v>1.5260926512637727E-3</v>
      </c>
      <c r="AG96" s="104">
        <f si="122" t="shared"/>
        <v>4.8874588231650577E-3</v>
      </c>
      <c r="AH96" s="104">
        <f si="122" t="shared"/>
        <v>6.8361787072260534E-6</v>
      </c>
      <c r="AI96" s="104">
        <f si="122" t="shared"/>
        <v>1.1721603980363853E-3</v>
      </c>
      <c r="AJ96" s="104">
        <f si="122" t="shared"/>
        <v>1.446169584541738E-4</v>
      </c>
      <c r="AK96" s="104">
        <f si="122" t="shared"/>
        <v>-1.0356811751580862E-4</v>
      </c>
      <c r="AL96" s="104">
        <f si="122" t="shared"/>
        <v>6.0753598772316474E-4</v>
      </c>
      <c r="AM96" s="104">
        <f si="122" t="shared"/>
        <v>-1.6854654968108826E-2</v>
      </c>
      <c r="AN96" s="104">
        <f si="122" t="shared"/>
        <v>4.9743513556946814E-6</v>
      </c>
      <c r="AO96" s="104">
        <f si="122" t="shared"/>
        <v>1.5380091443189491E-3</v>
      </c>
      <c r="AP96" s="104">
        <f si="122" t="shared"/>
        <v>-1.2524537796579523E-4</v>
      </c>
      <c r="AQ96" s="104">
        <f si="122" t="shared"/>
        <v>6.0449942574967498E-4</v>
      </c>
      <c r="AR96" s="104">
        <f si="122" t="shared"/>
        <v>4.8336712911014861E-3</v>
      </c>
      <c r="AS96" s="104">
        <f si="122" t="shared"/>
        <v>5.2599544491581981E-4</v>
      </c>
      <c r="AT96" s="104">
        <f si="122" t="shared"/>
        <v>-2.1633718650356811E-4</v>
      </c>
      <c r="AU96" s="104">
        <f si="122" t="shared"/>
        <v>0</v>
      </c>
      <c r="AV96" s="104">
        <f si="122" t="shared"/>
        <v>0</v>
      </c>
      <c r="CU96" s="95">
        <v>95</v>
      </c>
      <c r="CV96" s="95">
        <f si="109" t="shared"/>
        <v>5</v>
      </c>
      <c r="CW96" s="95">
        <f si="103" t="shared"/>
        <v>15</v>
      </c>
      <c r="CX96" s="58">
        <f si="104" t="shared"/>
        <v>49.979094076655052</v>
      </c>
      <c r="CY96" s="58">
        <f si="105" t="shared"/>
        <v>158</v>
      </c>
      <c r="CZ96" s="108">
        <f si="106" t="shared"/>
        <v>108.02090592334494</v>
      </c>
      <c r="DA96" s="78">
        <f si="107" t="shared"/>
        <v>2.1613218070273286</v>
      </c>
    </row>
    <row r="97" spans="2:105" x14ac:dyDescent="0.25">
      <c r="B97" s="95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>
        <v>14</v>
      </c>
      <c r="AA97" s="104">
        <f si="120" t="shared"/>
        <v>5.1051813531035857E-4</v>
      </c>
      <c r="AB97" s="104">
        <f ref="AB97:AD100" si="123" t="shared">AB70-D70</f>
        <v>-2.5964327133630614E-3</v>
      </c>
      <c r="AC97" s="104">
        <f si="123" t="shared"/>
        <v>1.7500136520137493E-4</v>
      </c>
      <c r="AD97" s="104">
        <f si="123" t="shared"/>
        <v>-7.7816478388306254E-4</v>
      </c>
      <c r="AE97" s="104">
        <f si="122" t="shared"/>
        <v>-5.8492083808786241E-5</v>
      </c>
      <c r="AF97" s="104">
        <f si="122" t="shared"/>
        <v>4.2723930707567028E-4</v>
      </c>
      <c r="AG97" s="104">
        <f si="122" t="shared"/>
        <v>4.1772034782612934E-4</v>
      </c>
      <c r="AH97" s="104">
        <f si="122" t="shared"/>
        <v>-1.2520008539612586E-3</v>
      </c>
      <c r="AI97" s="104">
        <f si="122" t="shared"/>
        <v>-1.9219379089118176E-5</v>
      </c>
      <c r="AJ97" s="104">
        <f si="122" t="shared"/>
        <v>-2.2896079512293234E-4</v>
      </c>
      <c r="AK97" s="104">
        <f si="122" t="shared"/>
        <v>-1.4245061708337637E-3</v>
      </c>
      <c r="AL97" s="104">
        <f si="122" t="shared"/>
        <v>-1.3743921610754775E-3</v>
      </c>
      <c r="AM97" s="104">
        <f si="122" t="shared"/>
        <v>1.7501487822403722E-4</v>
      </c>
      <c r="AN97" s="104">
        <f si="122" t="shared"/>
        <v>8.215686126737125E-4</v>
      </c>
      <c r="AO97" s="104">
        <f si="122" t="shared"/>
        <v>-2.7898793544981978E-4</v>
      </c>
      <c r="AP97" s="104">
        <f si="122" t="shared"/>
        <v>-2.5253908923648067E-5</v>
      </c>
      <c r="AQ97" s="104">
        <f si="122" t="shared"/>
        <v>4.7616513605559831E-3</v>
      </c>
      <c r="AR97" s="104">
        <f si="122" t="shared"/>
        <v>8.3164932757963741E-5</v>
      </c>
      <c r="AS97" s="104">
        <f si="122" t="shared"/>
        <v>7.5208271971340882E-4</v>
      </c>
      <c r="AT97" s="104">
        <f si="122" t="shared"/>
        <v>-8.7550873827718274E-5</v>
      </c>
      <c r="AU97" s="104">
        <f si="122" t="shared"/>
        <v>0</v>
      </c>
      <c r="AV97" s="104">
        <f si="122" t="shared"/>
        <v>0</v>
      </c>
      <c r="CU97" s="95">
        <v>96</v>
      </c>
      <c r="CV97" s="95">
        <f si="109" t="shared"/>
        <v>5</v>
      </c>
      <c r="CW97" s="95">
        <f si="103" t="shared"/>
        <v>16</v>
      </c>
      <c r="CX97" s="58">
        <f si="104" t="shared"/>
        <v>49.979094076655052</v>
      </c>
      <c r="CY97" s="58">
        <f si="105" t="shared"/>
        <v>18</v>
      </c>
      <c r="CZ97" s="108">
        <f si="106" t="shared"/>
        <v>-31.979094076655052</v>
      </c>
      <c r="DA97" s="78">
        <f si="107" t="shared"/>
        <v>-0.63984941438929166</v>
      </c>
    </row>
    <row r="98" spans="2:105" x14ac:dyDescent="0.25">
      <c r="B98" s="95"/>
      <c r="C98" s="95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>
        <v>15</v>
      </c>
      <c r="AA98" s="104">
        <f si="120" t="shared"/>
        <v>2.5765639957348757E-4</v>
      </c>
      <c r="AB98" s="104">
        <f si="123" t="shared"/>
        <v>-1.0563624930295034E-3</v>
      </c>
      <c r="AC98" s="104">
        <f si="123" t="shared"/>
        <v>-1.615105687453373E-5</v>
      </c>
      <c r="AD98" s="104">
        <f si="123" t="shared"/>
        <v>-2.9191536580695142E-4</v>
      </c>
      <c r="AE98" s="104">
        <f si="122" t="shared"/>
        <v>-1.0312124433229216E-4</v>
      </c>
      <c r="AF98" s="104">
        <f si="122" t="shared"/>
        <v>4.2183551526833816E-4</v>
      </c>
      <c r="AG98" s="104">
        <f si="122" t="shared"/>
        <v>2.668274949827033E-3</v>
      </c>
      <c r="AH98" s="104">
        <f si="122" t="shared"/>
        <v>-2.8149070128423458E-5</v>
      </c>
      <c r="AI98" s="104">
        <f si="122" t="shared"/>
        <v>-2.4870692508320207E-3</v>
      </c>
      <c r="AJ98" s="104">
        <f si="122" t="shared"/>
        <v>-2.7495498255942954E-5</v>
      </c>
      <c r="AK98" s="104">
        <f si="122" t="shared"/>
        <v>-4.3207369582314118E-4</v>
      </c>
      <c r="AL98" s="104">
        <f si="122" t="shared"/>
        <v>3.6073286668184554E-4</v>
      </c>
      <c r="AM98" s="104">
        <f si="122" t="shared"/>
        <v>7.9880692122849765E-3</v>
      </c>
      <c r="AN98" s="104">
        <f si="122" t="shared"/>
        <v>3.6976504733869188E-5</v>
      </c>
      <c r="AO98" s="104">
        <f si="122" t="shared"/>
        <v>-1.0395655729888841E-2</v>
      </c>
      <c r="AP98" s="104">
        <f si="122" t="shared"/>
        <v>-4.0364648011545684E-5</v>
      </c>
      <c r="AQ98" s="104">
        <f si="122" t="shared"/>
        <v>3.9412368156185878E-4</v>
      </c>
      <c r="AR98" s="104">
        <f si="122" t="shared"/>
        <v>4.9722402985631511E-4</v>
      </c>
      <c r="AS98" s="104">
        <f si="122" t="shared"/>
        <v>2.256120972761063E-3</v>
      </c>
      <c r="AT98" s="104">
        <f si="122" t="shared"/>
        <v>-2.6560795655939185E-6</v>
      </c>
      <c r="AU98" s="104">
        <f si="122" t="shared"/>
        <v>0</v>
      </c>
      <c r="AV98" s="104">
        <f si="122" t="shared"/>
        <v>0</v>
      </c>
      <c r="CU98" s="95">
        <v>97</v>
      </c>
      <c r="CV98" s="95">
        <f si="109" t="shared"/>
        <v>5</v>
      </c>
      <c r="CW98" s="95">
        <f si="103" t="shared"/>
        <v>17</v>
      </c>
      <c r="CX98" s="58">
        <f si="104" t="shared"/>
        <v>12.494773519163763</v>
      </c>
      <c r="CY98" s="58">
        <f si="105" t="shared"/>
        <v>314</v>
      </c>
      <c r="CZ98" s="108">
        <f si="106" t="shared"/>
        <v>301.50522648083626</v>
      </c>
      <c r="DA98" s="78">
        <f si="107" t="shared"/>
        <v>24.130507529280536</v>
      </c>
    </row>
    <row r="99" spans="2:105" x14ac:dyDescent="0.25">
      <c r="B99" s="95"/>
      <c r="C99" s="95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>
        <v>16</v>
      </c>
      <c r="AA99" s="104">
        <f si="120" t="shared"/>
        <v>-3.2654187857607958E-4</v>
      </c>
      <c r="AB99" s="104">
        <f si="123" t="shared"/>
        <v>2.2619491754121161E-4</v>
      </c>
      <c r="AC99" s="104">
        <f si="123" t="shared"/>
        <v>7.3611685599863025E-5</v>
      </c>
      <c r="AD99" s="104">
        <f si="123" t="shared"/>
        <v>-3.8789716413810426E-4</v>
      </c>
      <c r="AE99" s="104">
        <f si="122" t="shared"/>
        <v>3.3173048297276218E-4</v>
      </c>
      <c r="AF99" s="104">
        <f si="122" t="shared"/>
        <v>3.3868950769213105E-4</v>
      </c>
      <c r="AG99" s="104">
        <f si="122" t="shared"/>
        <v>8.5762091845833089E-4</v>
      </c>
      <c r="AH99" s="104">
        <f si="122" t="shared"/>
        <v>-8.6955023430583411E-5</v>
      </c>
      <c r="AI99" s="104">
        <f si="122" t="shared"/>
        <v>-4.0541545394545995E-4</v>
      </c>
      <c r="AJ99" s="104">
        <f si="122" t="shared"/>
        <v>-1.7295332560443675E-3</v>
      </c>
      <c r="AK99" s="104">
        <f si="122" t="shared"/>
        <v>-3.7533065125942958E-4</v>
      </c>
      <c r="AL99" s="104">
        <f si="122" t="shared"/>
        <v>-4.6929947058276401E-4</v>
      </c>
      <c r="AM99" s="104">
        <f si="122" t="shared"/>
        <v>4.7693734928207367E-4</v>
      </c>
      <c r="AN99" s="104">
        <f si="122" t="shared"/>
        <v>2.3320948485893959E-5</v>
      </c>
      <c r="AO99" s="104">
        <f si="122" t="shared"/>
        <v>9.3861591251502606E-5</v>
      </c>
      <c r="AP99" s="104">
        <f si="122" t="shared"/>
        <v>-8.5040655207150684E-4</v>
      </c>
      <c r="AQ99" s="104">
        <f si="122" t="shared"/>
        <v>2.7086968082112595E-4</v>
      </c>
      <c r="AR99" s="104">
        <f si="122" t="shared"/>
        <v>1.6706797016834197E-3</v>
      </c>
      <c r="AS99" s="104">
        <f si="122" t="shared"/>
        <v>7.0080873479194282E-5</v>
      </c>
      <c r="AT99" s="104">
        <f si="122" t="shared"/>
        <v>1.9778179278078536E-4</v>
      </c>
      <c r="AU99" s="104">
        <f si="122" t="shared"/>
        <v>0</v>
      </c>
      <c r="AV99" s="104">
        <f si="122" t="shared"/>
        <v>0</v>
      </c>
      <c r="CU99" s="95">
        <v>98</v>
      </c>
      <c r="CV99" s="95">
        <f si="109" t="shared"/>
        <v>5</v>
      </c>
      <c r="CW99" s="95">
        <f si="103" t="shared"/>
        <v>18</v>
      </c>
      <c r="CX99" s="58">
        <f si="104" t="shared"/>
        <v>31.236933797909405</v>
      </c>
      <c r="CY99" s="58">
        <f si="105" t="shared"/>
        <v>138</v>
      </c>
      <c r="CZ99" s="108">
        <f si="106" t="shared"/>
        <v>106.7630662020906</v>
      </c>
      <c r="DA99" s="78">
        <f si="107" t="shared"/>
        <v>3.417847183491356</v>
      </c>
    </row>
    <row r="100" spans="2:105" x14ac:dyDescent="0.25">
      <c r="B100" s="95"/>
      <c r="C100" s="95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>
        <v>17</v>
      </c>
      <c r="AA100" s="104">
        <f si="120" t="shared"/>
        <v>1.403445187776256E-4</v>
      </c>
      <c r="AB100" s="104">
        <f si="123" t="shared"/>
        <v>2.8620576092005655E-4</v>
      </c>
      <c r="AC100" s="104">
        <f si="123" t="shared"/>
        <v>2.0737838409319175E-4</v>
      </c>
      <c r="AD100" s="104">
        <f si="123" t="shared"/>
        <v>-5.8478807038647848E-4</v>
      </c>
      <c r="AE100" s="104">
        <f si="122" t="shared"/>
        <v>-7.5783269270840274E-5</v>
      </c>
      <c r="AF100" s="104">
        <f si="122" t="shared"/>
        <v>6.9425471688121807E-4</v>
      </c>
      <c r="AG100" s="104">
        <f si="122" t="shared"/>
        <v>2.3906250230905758E-4</v>
      </c>
      <c r="AH100" s="104">
        <f si="122" t="shared"/>
        <v>-7.1391826625859776E-4</v>
      </c>
      <c r="AI100" s="104">
        <f si="122" t="shared"/>
        <v>6.4293783672216952E-5</v>
      </c>
      <c r="AJ100" s="104">
        <f si="122" t="shared"/>
        <v>-4.9643967953482901E-4</v>
      </c>
      <c r="AK100" s="104">
        <f si="122" t="shared"/>
        <v>-5.0209821751839492E-3</v>
      </c>
      <c r="AL100" s="104">
        <f si="122" t="shared"/>
        <v>2.4226247125069388E-4</v>
      </c>
      <c r="AM100" s="104">
        <f si="122" t="shared"/>
        <v>1.6628870473077255E-4</v>
      </c>
      <c r="AN100" s="104">
        <f si="122" t="shared"/>
        <v>3.8889339924799845E-4</v>
      </c>
      <c r="AO100" s="104">
        <f si="122" t="shared"/>
        <v>-2.6462184533476788E-4</v>
      </c>
      <c r="AP100" s="104">
        <f si="122" t="shared"/>
        <v>-1.1220865235272646E-4</v>
      </c>
      <c r="AQ100" s="104">
        <f si="122" t="shared"/>
        <v>2.170733471211779E-3</v>
      </c>
      <c r="AR100" s="104">
        <f si="122" t="shared"/>
        <v>1.0762132465768068E-4</v>
      </c>
      <c r="AS100" s="104">
        <f si="122" t="shared"/>
        <v>2.6031872414163403E-3</v>
      </c>
      <c r="AT100" s="104">
        <f si="122" t="shared"/>
        <v>-4.1784320846442627E-5</v>
      </c>
      <c r="AU100" s="104">
        <f si="122" t="shared"/>
        <v>0</v>
      </c>
      <c r="AV100" s="104">
        <f si="122" t="shared"/>
        <v>0</v>
      </c>
      <c r="CU100" s="95">
        <v>99</v>
      </c>
      <c r="CV100" s="95">
        <f si="109" t="shared"/>
        <v>5</v>
      </c>
      <c r="CW100" s="95">
        <f si="103" t="shared"/>
        <v>19</v>
      </c>
      <c r="CX100" s="58">
        <f si="104" t="shared"/>
        <v>153.0609756097561</v>
      </c>
      <c r="CY100" s="58">
        <f si="105" t="shared"/>
        <v>113</v>
      </c>
      <c r="CZ100" s="108">
        <f si="106" t="shared"/>
        <v>-40.060975609756099</v>
      </c>
      <c r="DA100" s="78">
        <f si="107" t="shared"/>
        <v>-0.26173213289777708</v>
      </c>
    </row>
    <row r="101" spans="2:105" x14ac:dyDescent="0.25">
      <c r="B101" s="95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>
        <v>18</v>
      </c>
      <c r="AA101" s="104">
        <f ref="AA101:AD105" si="124" t="shared">AA74-C74</f>
        <v>9.3860211122173665E-4</v>
      </c>
      <c r="AB101" s="104">
        <f si="124" t="shared"/>
        <v>-5.3261225028823286E-4</v>
      </c>
      <c r="AC101" s="104">
        <f si="124" t="shared"/>
        <v>1.2291805783051378E-4</v>
      </c>
      <c r="AD101" s="104">
        <f si="124" t="shared"/>
        <v>-2.0962321572347612E-4</v>
      </c>
      <c r="AE101" s="104">
        <f si="122" t="shared"/>
        <v>-1.5109462208384901E-4</v>
      </c>
      <c r="AF101" s="104">
        <f si="122" t="shared"/>
        <v>1.2029269582647857E-3</v>
      </c>
      <c r="AG101" s="104">
        <f si="122" t="shared"/>
        <v>2.1724792156719722E-3</v>
      </c>
      <c r="AH101" s="104">
        <f si="122" t="shared"/>
        <v>-2.5017667545794827E-4</v>
      </c>
      <c r="AI101" s="104">
        <f si="122" t="shared"/>
        <v>-1.6289932693831083E-5</v>
      </c>
      <c r="AJ101" s="104">
        <f si="122" t="shared"/>
        <v>6.3224730892137097E-4</v>
      </c>
      <c r="AK101" s="104">
        <f si="122" t="shared"/>
        <v>3.2114490591611847E-5</v>
      </c>
      <c r="AL101" s="104">
        <f si="122" t="shared"/>
        <v>-4.7780810688266614E-3</v>
      </c>
      <c r="AM101" s="104">
        <f si="122" t="shared"/>
        <v>6.6690443110062839E-3</v>
      </c>
      <c r="AN101" s="104">
        <f si="122" t="shared"/>
        <v>1.1737815329458019E-5</v>
      </c>
      <c r="AO101" s="104">
        <f si="122" t="shared"/>
        <v>4.5498514168980971E-4</v>
      </c>
      <c r="AP101" s="104">
        <f si="122" t="shared"/>
        <v>-1.4818389069930546E-4</v>
      </c>
      <c r="AQ101" s="104">
        <f si="122" t="shared"/>
        <v>3.8814306158213466E-4</v>
      </c>
      <c r="AR101" s="104">
        <f si="122" t="shared"/>
        <v>-1.1304148242352943E-4</v>
      </c>
      <c r="AS101" s="104">
        <f si="122" t="shared"/>
        <v>8.4766139453040567E-5</v>
      </c>
      <c r="AT101" s="104">
        <f si="122" t="shared"/>
        <v>-6.5108614733658818E-3</v>
      </c>
      <c r="AU101" s="104">
        <f si="122" t="shared"/>
        <v>0</v>
      </c>
      <c r="AV101" s="104">
        <f si="122" t="shared"/>
        <v>0</v>
      </c>
      <c r="CU101" s="95">
        <v>100</v>
      </c>
      <c r="CV101" s="95">
        <f si="109" t="shared"/>
        <v>5</v>
      </c>
      <c r="CW101" s="95">
        <f si="103" t="shared"/>
        <v>20</v>
      </c>
      <c r="CX101" s="58">
        <f si="104" t="shared"/>
        <v>3.1236933797909407</v>
      </c>
      <c r="CY101" s="58">
        <f si="105" t="shared"/>
        <v>16</v>
      </c>
      <c r="CZ101" s="108">
        <f si="106" t="shared"/>
        <v>12.876306620209059</v>
      </c>
      <c r="DA101" s="78">
        <f si="107" t="shared"/>
        <v>4.1221416620189624</v>
      </c>
    </row>
    <row r="102" spans="2:105" x14ac:dyDescent="0.25">
      <c r="B102" s="95"/>
      <c r="C102" s="95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>
        <v>19</v>
      </c>
      <c r="AA102" s="104">
        <f si="124" t="shared"/>
        <v>1.1603420814517932E-3</v>
      </c>
      <c r="AB102" s="104">
        <f si="124" t="shared"/>
        <v>-2.6728043136484722E-4</v>
      </c>
      <c r="AC102" s="104">
        <f si="124" t="shared"/>
        <v>4.6672411957914938E-4</v>
      </c>
      <c r="AD102" s="104">
        <f si="124" t="shared"/>
        <v>-8.7979380185318359E-5</v>
      </c>
      <c r="AE102" s="104">
        <f si="122" t="shared"/>
        <v>5.4086502998102479E-4</v>
      </c>
      <c r="AF102" s="104">
        <f si="122" t="shared"/>
        <v>1.8196545628628366E-3</v>
      </c>
      <c r="AG102" s="104">
        <f si="122" t="shared"/>
        <v>1.4275822076660581E-3</v>
      </c>
      <c r="AH102" s="104">
        <f si="122" t="shared"/>
        <v>-2.9948328046063195E-4</v>
      </c>
      <c r="AI102" s="104">
        <f si="122" t="shared"/>
        <v>7.4773218156333845E-4</v>
      </c>
      <c r="AJ102" s="104">
        <f si="122" t="shared"/>
        <v>1.7969664899311949E-4</v>
      </c>
      <c r="AK102" s="104">
        <f si="122" t="shared"/>
        <v>-9.4120894069035909E-3</v>
      </c>
      <c r="AL102" s="104">
        <f si="122" t="shared"/>
        <v>-4.8551805241413368E-4</v>
      </c>
      <c r="AM102" s="104">
        <f si="122" t="shared"/>
        <v>9.9667156091190002E-4</v>
      </c>
      <c r="AN102" s="104">
        <f si="122" t="shared"/>
        <v>1.2379727001311281E-4</v>
      </c>
      <c r="AO102" s="104">
        <f si="122" t="shared"/>
        <v>1.0957304405045097E-3</v>
      </c>
      <c r="AP102" s="104">
        <f si="122" t="shared"/>
        <v>6.7828599301625939E-6</v>
      </c>
      <c r="AQ102" s="104">
        <f si="122" t="shared"/>
        <v>3.5515457645837155E-3</v>
      </c>
      <c r="AR102" s="104">
        <f si="122" t="shared"/>
        <v>2.7155816054872322E-4</v>
      </c>
      <c r="AS102" s="104">
        <f si="122" t="shared"/>
        <v>-1.8344432403743886E-3</v>
      </c>
      <c r="AT102" s="104">
        <f si="122" t="shared"/>
        <v>-1.8890968865324629E-6</v>
      </c>
      <c r="AU102" s="104">
        <f si="122" t="shared"/>
        <v>0</v>
      </c>
      <c r="AV102" s="104">
        <f si="122" t="shared"/>
        <v>0</v>
      </c>
      <c r="CU102" s="95">
        <v>101</v>
      </c>
      <c r="CV102" s="95">
        <f si="109" t="shared"/>
        <v>6</v>
      </c>
      <c r="CW102" s="95">
        <f si="103" t="shared"/>
        <v>1</v>
      </c>
      <c r="CX102" s="58">
        <f si="104" t="shared"/>
        <v>3079.1192107426691</v>
      </c>
      <c r="CY102" s="58">
        <f si="105" t="shared"/>
        <v>3447</v>
      </c>
      <c r="CZ102" s="108">
        <f si="106" t="shared"/>
        <v>367.88078925733089</v>
      </c>
      <c r="DA102" s="78">
        <f si="107" t="shared"/>
        <v>0.11947598130460164</v>
      </c>
    </row>
    <row r="103" spans="2:105" x14ac:dyDescent="0.25">
      <c r="B103" s="95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>
        <v>20</v>
      </c>
      <c r="AA103" s="104">
        <f si="124" t="shared"/>
        <v>5.5842500244962143E-4</v>
      </c>
      <c r="AB103" s="104">
        <f si="124" t="shared"/>
        <v>-5.3816988184460029E-5</v>
      </c>
      <c r="AC103" s="104">
        <f si="124" t="shared"/>
        <v>1.7630552873585195E-4</v>
      </c>
      <c r="AD103" s="104">
        <f si="124" t="shared"/>
        <v>-4.187881782464055E-6</v>
      </c>
      <c r="AE103" s="104">
        <f si="122" t="shared"/>
        <v>5.1991908183408506E-5</v>
      </c>
      <c r="AF103" s="104">
        <f si="122" t="shared"/>
        <v>1.3389459039939585E-3</v>
      </c>
      <c r="AG103" s="104">
        <f si="122" t="shared"/>
        <v>6.6567995964696765E-4</v>
      </c>
      <c r="AH103" s="104">
        <f si="122" t="shared"/>
        <v>-1.0325005018736618E-6</v>
      </c>
      <c r="AI103" s="104">
        <f si="122" t="shared"/>
        <v>1.4451832974055523E-4</v>
      </c>
      <c r="AJ103" s="104">
        <f si="122" t="shared"/>
        <v>1.3492989153554222E-4</v>
      </c>
      <c r="AK103" s="104">
        <f si="122" t="shared"/>
        <v>3.5273988664824866E-5</v>
      </c>
      <c r="AL103" s="104">
        <f si="122" t="shared"/>
        <v>-1.7965322023650188E-4</v>
      </c>
      <c r="AM103" s="104">
        <f si="122" t="shared"/>
        <v>1.2227009107812024E-3</v>
      </c>
      <c r="AN103" s="104">
        <f si="122" t="shared"/>
        <v>6.6533734872093914E-6</v>
      </c>
      <c r="AO103" s="104">
        <f si="122" t="shared"/>
        <v>6.6533734872093917E-5</v>
      </c>
      <c r="AP103" s="104">
        <f si="122" t="shared"/>
        <v>1.8515926721665655E-5</v>
      </c>
      <c r="AQ103" s="104">
        <f si="122" t="shared"/>
        <v>1.1213272855565538E-4</v>
      </c>
      <c r="AR103" s="104">
        <f si="122" t="shared"/>
        <v>4.9358359751405251E-3</v>
      </c>
      <c r="AS103" s="104">
        <f si="122" t="shared"/>
        <v>3.7721743019176351E-5</v>
      </c>
      <c r="AT103" s="104">
        <f si="122" t="shared"/>
        <v>-9.2674743148229554E-3</v>
      </c>
      <c r="AU103" s="104">
        <f si="122" t="shared"/>
        <v>0</v>
      </c>
      <c r="AV103" s="104">
        <f si="122" t="shared"/>
        <v>0</v>
      </c>
      <c r="CU103" s="95">
        <v>102</v>
      </c>
      <c r="CV103" s="95">
        <f si="109" t="shared"/>
        <v>6</v>
      </c>
      <c r="CW103" s="95">
        <f si="103" t="shared"/>
        <v>2</v>
      </c>
      <c r="CX103" s="58">
        <f si="104" t="shared"/>
        <v>1486.6234584817757</v>
      </c>
      <c r="CY103" s="58">
        <f si="105" t="shared"/>
        <v>1578</v>
      </c>
      <c r="CZ103" s="108">
        <f si="106" t="shared"/>
        <v>91.376541518224258</v>
      </c>
      <c r="DA103" s="78">
        <f si="107" t="shared"/>
        <v>6.1465827810589756E-2</v>
      </c>
    </row>
    <row r="104" spans="2:105" x14ac:dyDescent="0.25">
      <c r="B104" s="95"/>
      <c r="C104" s="95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101" t="s">
        <v>15</v>
      </c>
      <c r="AA104" s="105">
        <f si="124" t="shared"/>
        <v>0</v>
      </c>
      <c r="AB104" s="105">
        <f si="124" t="shared"/>
        <v>0</v>
      </c>
      <c r="AC104" s="105">
        <f si="124" t="shared"/>
        <v>0</v>
      </c>
      <c r="AD104" s="105">
        <f si="124" t="shared"/>
        <v>0</v>
      </c>
      <c r="AE104" s="105">
        <f si="122" t="shared"/>
        <v>0</v>
      </c>
      <c r="AF104" s="105">
        <f si="122" t="shared"/>
        <v>0</v>
      </c>
      <c r="AG104" s="105">
        <f si="122" t="shared"/>
        <v>0</v>
      </c>
      <c r="AH104" s="105">
        <f si="122" t="shared"/>
        <v>0</v>
      </c>
      <c r="AI104" s="105">
        <f si="122" t="shared"/>
        <v>0</v>
      </c>
      <c r="AJ104" s="105">
        <f si="122" t="shared"/>
        <v>0</v>
      </c>
      <c r="AK104" s="105">
        <f si="122" t="shared"/>
        <v>0</v>
      </c>
      <c r="AL104" s="105">
        <f si="122" t="shared"/>
        <v>0</v>
      </c>
      <c r="AM104" s="105">
        <f si="122" t="shared"/>
        <v>0</v>
      </c>
      <c r="AN104" s="105">
        <f si="122" t="shared"/>
        <v>0</v>
      </c>
      <c r="AO104" s="105">
        <f si="122" t="shared"/>
        <v>0</v>
      </c>
      <c r="AP104" s="105">
        <f si="122" t="shared"/>
        <v>0</v>
      </c>
      <c r="AQ104" s="105">
        <f si="122" t="shared"/>
        <v>0</v>
      </c>
      <c r="AR104" s="105">
        <f si="122" t="shared"/>
        <v>0</v>
      </c>
      <c r="AS104" s="105">
        <f si="122" t="shared"/>
        <v>0</v>
      </c>
      <c r="AT104" s="105">
        <f si="122" t="shared"/>
        <v>0</v>
      </c>
      <c r="AU104" s="105">
        <f si="122" t="shared"/>
        <v>0</v>
      </c>
      <c r="AV104" s="105">
        <f si="122" t="shared"/>
        <v>0</v>
      </c>
      <c r="CU104" s="95">
        <v>103</v>
      </c>
      <c r="CV104" s="95">
        <f si="109" t="shared"/>
        <v>6</v>
      </c>
      <c r="CW104" s="95">
        <f si="103" t="shared"/>
        <v>3</v>
      </c>
      <c r="CX104" s="58">
        <f si="104" t="shared"/>
        <v>626.41107152644554</v>
      </c>
      <c r="CY104" s="58">
        <f si="105" t="shared"/>
        <v>762</v>
      </c>
      <c r="CZ104" s="108">
        <f si="106" t="shared"/>
        <v>135.58892847355446</v>
      </c>
      <c r="DA104" s="78">
        <f si="107" t="shared"/>
        <v>0.21645359514982684</v>
      </c>
    </row>
    <row ht="15.75" r="105" spans="2:105" thickBot="1" x14ac:dyDescent="0.3">
      <c r="B105" s="95"/>
      <c r="C105" s="95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1" t="s">
        <v>3</v>
      </c>
      <c r="AA105" s="106">
        <f si="124" t="shared"/>
        <v>2.0582257200322703E-2</v>
      </c>
      <c r="AB105" s="106">
        <f si="124" t="shared"/>
        <v>-7.6605047334851947E-3</v>
      </c>
      <c r="AC105" s="106">
        <f si="124" t="shared"/>
        <v>-7.7478258880143633E-3</v>
      </c>
      <c r="AD105" s="106">
        <f si="124" t="shared"/>
        <v>-1.1414560816908382E-2</v>
      </c>
      <c r="AE105" s="106">
        <f si="122" t="shared"/>
        <v>-3.5253007224447588E-3</v>
      </c>
      <c r="AF105" s="106">
        <f si="122" t="shared"/>
        <v>3.2256791731686635E-2</v>
      </c>
      <c r="AG105" s="106">
        <f si="122" t="shared"/>
        <v>4.477232698441376E-2</v>
      </c>
      <c r="AH105" s="106">
        <f si="122" t="shared"/>
        <v>-5.6090909184933029E-3</v>
      </c>
      <c r="AI105" s="106">
        <f si="122" t="shared"/>
        <v>-8.6054347854771784E-3</v>
      </c>
      <c r="AJ105" s="106">
        <f si="122" t="shared"/>
        <v>-6.2200301455330176E-3</v>
      </c>
      <c r="AK105" s="106">
        <f si="122" t="shared"/>
        <v>-4.6354596972422168E-2</v>
      </c>
      <c r="AL105" s="106">
        <f si="122" t="shared"/>
        <v>-5.3559700376708708E-2</v>
      </c>
      <c r="AM105" s="106">
        <f si="122" t="shared"/>
        <v>1.5201185223925592E-2</v>
      </c>
      <c r="AN105" s="106">
        <f si="122" t="shared"/>
        <v>1.3604045983018238E-3</v>
      </c>
      <c r="AO105" s="106">
        <f si="122" t="shared"/>
        <v>-4.3092861211249181E-3</v>
      </c>
      <c r="AP105" s="106">
        <f si="122" t="shared"/>
        <v>-2.5752746405844282E-3</v>
      </c>
      <c r="AQ105" s="106">
        <f si="122" t="shared"/>
        <v>2.7038992643199113E-2</v>
      </c>
      <c r="AR105" s="106">
        <f si="122" t="shared"/>
        <v>2.5891229397464605E-2</v>
      </c>
      <c r="AS105" s="106">
        <f si="122" t="shared"/>
        <v>7.6283437931849163E-3</v>
      </c>
      <c r="AT105" s="106">
        <f si="122" t="shared"/>
        <v>-1.7149925451302738E-2</v>
      </c>
      <c r="AU105" s="106">
        <f si="122" t="shared"/>
        <v>0</v>
      </c>
      <c r="AV105" s="106">
        <f si="122" t="shared"/>
        <v>0</v>
      </c>
      <c r="CU105" s="95">
        <v>104</v>
      </c>
      <c r="CV105" s="95">
        <f si="109" t="shared"/>
        <v>6</v>
      </c>
      <c r="CW105" s="95">
        <f si="103" t="shared"/>
        <v>4</v>
      </c>
      <c r="CX105" s="58">
        <f si="104" t="shared"/>
        <v>569.06357906275684</v>
      </c>
      <c r="CY105" s="58">
        <f si="105" t="shared"/>
        <v>279</v>
      </c>
      <c r="CZ105" s="108">
        <f si="106" t="shared"/>
        <v>-290.06357906275684</v>
      </c>
      <c r="DA105" s="78">
        <f si="107" t="shared"/>
        <v>-0.50972086377499193</v>
      </c>
    </row>
    <row r="106" spans="2:105" x14ac:dyDescent="0.25">
      <c r="B106" s="95"/>
      <c r="C106" s="95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CU106" s="95">
        <v>105</v>
      </c>
      <c r="CV106" s="95">
        <f si="109" t="shared"/>
        <v>6</v>
      </c>
      <c r="CW106" s="95">
        <f si="103" t="shared"/>
        <v>5</v>
      </c>
      <c r="CX106" s="58">
        <f si="104" t="shared"/>
        <v>1636.6092080021924</v>
      </c>
      <c r="CY106" s="58">
        <f si="105" t="shared"/>
        <v>1374</v>
      </c>
      <c r="CZ106" s="108">
        <f si="106" t="shared"/>
        <v>-262.60920800219242</v>
      </c>
      <c r="DA106" s="78">
        <f si="107" t="shared"/>
        <v>-0.16045932450958117</v>
      </c>
    </row>
    <row r="107" spans="2:105" x14ac:dyDescent="0.25">
      <c r="CU107" s="95">
        <v>106</v>
      </c>
      <c r="CV107" s="95">
        <f si="109" t="shared"/>
        <v>6</v>
      </c>
      <c r="CW107" s="95">
        <f si="103" t="shared"/>
        <v>6</v>
      </c>
      <c r="CX107" s="58">
        <f si="104" t="shared"/>
        <v>15466.177582899425</v>
      </c>
      <c r="CY107" s="58">
        <f si="105" t="shared"/>
        <v>13092</v>
      </c>
      <c r="CZ107" s="108">
        <f si="106" t="shared"/>
        <v>-2374.177582899425</v>
      </c>
      <c r="DA107" s="78">
        <f si="107" t="shared"/>
        <v>-0.15350771515286979</v>
      </c>
    </row>
    <row ht="15.75" r="108" spans="2:105" thickBot="1" x14ac:dyDescent="0.3">
      <c r="Z108" s="23" t="s">
        <v>367</v>
      </c>
      <c r="AA108" s="24"/>
      <c r="AB108" s="24"/>
      <c r="AC108" s="24"/>
      <c r="AD108" s="24"/>
      <c r="AE108" s="24"/>
      <c r="AF108" s="24"/>
      <c r="AG108" s="24"/>
      <c r="AH108" s="24"/>
      <c r="AI108" s="24"/>
      <c r="AJ108" s="95"/>
      <c r="AK108" s="95"/>
      <c r="AL108" s="95"/>
      <c r="AM108" s="95"/>
      <c r="AN108" s="95"/>
      <c r="AO108" s="95"/>
      <c r="AP108" s="95"/>
      <c r="AQ108" s="95"/>
      <c r="AR108" s="95"/>
      <c r="AS108" s="95"/>
      <c r="AT108" s="95"/>
      <c r="AU108" s="95"/>
      <c r="AV108" s="95"/>
      <c r="CU108" s="95">
        <v>107</v>
      </c>
      <c r="CV108" s="95">
        <f si="109" t="shared"/>
        <v>6</v>
      </c>
      <c r="CW108" s="95">
        <f si="103" t="shared"/>
        <v>7</v>
      </c>
      <c r="CX108" s="58">
        <f si="104" t="shared"/>
        <v>794.04220334338174</v>
      </c>
      <c r="CY108" s="58">
        <f si="105" t="shared"/>
        <v>3592</v>
      </c>
      <c r="CZ108" s="108">
        <f si="106" t="shared"/>
        <v>2797.9577966566185</v>
      </c>
      <c r="DA108" s="78">
        <f si="107" t="shared"/>
        <v>3.5236890241797991</v>
      </c>
    </row>
    <row r="109" spans="2:105" x14ac:dyDescent="0.2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 s="95">
        <v>108</v>
      </c>
      <c r="CV109" s="95">
        <f si="109" t="shared"/>
        <v>6</v>
      </c>
      <c r="CW109" s="95">
        <f si="103" t="shared"/>
        <v>8</v>
      </c>
      <c r="CX109" s="58">
        <f si="104" t="shared"/>
        <v>52.936146889558778</v>
      </c>
      <c r="CY109" s="58">
        <f si="105" t="shared"/>
        <v>15</v>
      </c>
      <c r="CZ109" s="108">
        <f si="106" t="shared"/>
        <v>-37.936146889558778</v>
      </c>
      <c r="DA109" s="78">
        <f si="107" t="shared"/>
        <v>-0.71663974653662166</v>
      </c>
    </row>
    <row r="110" spans="2:105" x14ac:dyDescent="0.25">
      <c r="Z110" s="31">
        <v>1</v>
      </c>
      <c r="AA110" s="103">
        <f>IF(C30&gt;0,(AZ30-C30)/C30,0)</f>
        <v>-0.31709027223234992</v>
      </c>
      <c r="AB110" s="103">
        <f ref="AB110:AV110" si="125" t="shared">IF(D30&gt;0,(BA30-D30)/D30,0)</f>
        <v>0.36017415314570578</v>
      </c>
      <c r="AC110" s="103">
        <f si="125" t="shared"/>
        <v>0.23099415604388071</v>
      </c>
      <c r="AD110" s="103">
        <f si="125" t="shared"/>
        <v>-0.50380222854125967</v>
      </c>
      <c r="AE110" s="103">
        <f si="125" t="shared"/>
        <v>-0.13852365745329098</v>
      </c>
      <c r="AF110" s="103">
        <f si="125" t="shared"/>
        <v>0.10627176495431233</v>
      </c>
      <c r="AG110" s="103">
        <f si="125" t="shared"/>
        <v>2.1093232728646591</v>
      </c>
      <c r="AH110" s="103">
        <f si="125" t="shared"/>
        <v>-0.66290056161215727</v>
      </c>
      <c r="AI110" s="103">
        <f si="125" t="shared"/>
        <v>0.27114579892082347</v>
      </c>
      <c r="AJ110" s="103">
        <f si="125" t="shared"/>
        <v>0.21874412340220065</v>
      </c>
      <c r="AK110" s="103">
        <f si="125" t="shared"/>
        <v>-0.66091762373928764</v>
      </c>
      <c r="AL110" s="103">
        <f si="125" t="shared"/>
        <v>-0.23353347328288357</v>
      </c>
      <c r="AM110" s="103">
        <f si="125" t="shared"/>
        <v>-0.12467456754753459</v>
      </c>
      <c r="AN110" s="103">
        <f si="125" t="shared"/>
        <v>-0.24152626362735408</v>
      </c>
      <c r="AO110" s="103">
        <f si="125" t="shared"/>
        <v>3.4318661458636965</v>
      </c>
      <c r="AP110" s="103">
        <f si="125" t="shared"/>
        <v>-0.19096134786917765</v>
      </c>
      <c r="AQ110" s="103">
        <f si="125" t="shared"/>
        <v>49.312091179385511</v>
      </c>
      <c r="AR110" s="103">
        <f si="125" t="shared"/>
        <v>3.0451932606541123</v>
      </c>
      <c r="AS110" s="103">
        <f si="125" t="shared"/>
        <v>-0.25838123554674619</v>
      </c>
      <c r="AT110" s="103">
        <f si="125" t="shared"/>
        <v>-0.63882203029873996</v>
      </c>
      <c r="AU110" s="103">
        <f si="125" t="shared"/>
        <v>0</v>
      </c>
      <c r="AV110" s="103">
        <f si="125" t="shared"/>
        <v>0</v>
      </c>
      <c r="CU110" s="95">
        <v>109</v>
      </c>
      <c r="CV110" s="95">
        <f si="109" t="shared"/>
        <v>6</v>
      </c>
      <c r="CW110" s="95">
        <f si="103" t="shared"/>
        <v>9</v>
      </c>
      <c r="CX110" s="58">
        <f si="104" t="shared"/>
        <v>780.8081666209921</v>
      </c>
      <c r="CY110" s="58">
        <f si="105" t="shared"/>
        <v>1040</v>
      </c>
      <c r="CZ110" s="108">
        <f si="106" t="shared"/>
        <v>259.1918333790079</v>
      </c>
      <c r="DA110" s="78">
        <f si="107" t="shared"/>
        <v>0.33195328181655764</v>
      </c>
    </row>
    <row r="111" spans="2:105" x14ac:dyDescent="0.25">
      <c r="Z111" s="95">
        <v>2</v>
      </c>
      <c r="AA111" s="104">
        <f ref="AA111:AA131" si="126" t="shared">IF(C31&gt;0,(AZ31-C31)/C31,0)</f>
        <v>0.65222849581669018</v>
      </c>
      <c r="AB111" s="104">
        <f ref="AB111:AB131" si="127" t="shared">IF(D31&gt;0,(BA31-D31)/D31,0)</f>
        <v>-0.73269982437036629</v>
      </c>
      <c r="AC111" s="104">
        <f ref="AC111:AC131" si="128" t="shared">IF(E31&gt;0,(BB31-E31)/E31,0)</f>
        <v>-3.2270102342591193E-2</v>
      </c>
      <c r="AD111" s="104">
        <f ref="AD111:AD131" si="129" t="shared">IF(F31&gt;0,(BC31-F31)/F31,0)</f>
        <v>-0.46143727434718118</v>
      </c>
      <c r="AE111" s="104">
        <f ref="AE111:AE131" si="130" t="shared">IF(G31&gt;0,(BD31-G31)/G31,0)</f>
        <v>-9.9773378757635395E-2</v>
      </c>
      <c r="AF111" s="104">
        <f ref="AF111:AF131" si="131" t="shared">IF(H31&gt;0,(BE31-H31)/H31,0)</f>
        <v>0.3560736812376436</v>
      </c>
      <c r="AG111" s="104">
        <f ref="AG111:AG131" si="132" t="shared">IF(I31&gt;0,(BF31-I31)/I31,0)</f>
        <v>1.3249659059400054</v>
      </c>
      <c r="AH111" s="104">
        <f ref="AH111:AH131" si="133" t="shared">IF(J31&gt;0,(BG31-J31)/J31,0)</f>
        <v>-0.79242894948797604</v>
      </c>
      <c r="AI111" s="104">
        <f ref="AI111:AI131" si="134" t="shared">IF(K31&gt;0,(BH31-K31)/K31,0)</f>
        <v>0.3303417328270622</v>
      </c>
      <c r="AJ111" s="104">
        <f ref="AJ111:AJ131" si="135" t="shared">IF(L31&gt;0,(BI31-L31)/L31,0)</f>
        <v>-5.6200379703141359E-2</v>
      </c>
      <c r="AK111" s="104">
        <f ref="AK111:AK131" si="136" t="shared">IF(M31&gt;0,(BJ31-M31)/M31,0)</f>
        <v>-0.39026003912092977</v>
      </c>
      <c r="AL111" s="104">
        <f ref="AL111:AL131" si="137" t="shared">IF(N31&gt;0,(BK31-N31)/N31,0)</f>
        <v>9.4072412073792633E-2</v>
      </c>
      <c r="AM111" s="104">
        <f ref="AM111:AM131" si="138" t="shared">IF(O31&gt;0,(BL31-O31)/O31,0)</f>
        <v>0.60646743880316356</v>
      </c>
      <c r="AN111" s="104">
        <f ref="AN111:AN131" si="139" t="shared">IF(P31&gt;0,(BM31-P31)/P31,0)</f>
        <v>4.2930617880566091</v>
      </c>
      <c r="AO111" s="104">
        <f ref="AO111:AO131" si="140" t="shared">IF(Q31&gt;0,(BN31-Q31)/Q31,0)</f>
        <v>2.1758370728339651</v>
      </c>
      <c r="AP111" s="104">
        <f ref="AP111:AP131" si="141" t="shared">IF(R31&gt;0,(BO31-R31)/R31,0)</f>
        <v>0</v>
      </c>
      <c r="AQ111" s="104">
        <f ref="AQ111:AQ131" si="142" t="shared">IF(S31&gt;0,(BP31-S31)/S31,0)</f>
        <v>9.2747670003451823</v>
      </c>
      <c r="AR111" s="104">
        <f ref="AR111:AR131" si="143" t="shared">IF(T31&gt;0,(BQ31-T31)/T31,0)</f>
        <v>3.1588342620444791</v>
      </c>
      <c r="AS111" s="104">
        <f ref="AS111:AS131" si="144" t="shared">IF(U31&gt;0,(BR31-U31)/U31,0)</f>
        <v>8.9748015188125488E-2</v>
      </c>
      <c r="AT111" s="104">
        <f ref="AT111:AT131" si="145" t="shared">IF(V31&gt;0,(BS31-V31)/V31,0)</f>
        <v>-0.71458980554596707</v>
      </c>
      <c r="AU111" s="104">
        <f ref="AU111:AU131" si="146" t="shared">IF(W31&gt;0,(BT31-W31)/W31,0)</f>
        <v>0</v>
      </c>
      <c r="AV111" s="104">
        <f ref="AV111:AV131" si="147" t="shared">IF(X31&gt;0,(BU31-X31)/X31,0)</f>
        <v>0</v>
      </c>
      <c r="CU111" s="95">
        <v>110</v>
      </c>
      <c r="CV111" s="95">
        <f si="109" t="shared"/>
        <v>6</v>
      </c>
      <c r="CW111" s="95">
        <f si="103" t="shared"/>
        <v>10</v>
      </c>
      <c r="CX111" s="58">
        <f si="104" t="shared"/>
        <v>891.09180597423949</v>
      </c>
      <c r="CY111" s="58">
        <f si="105" t="shared"/>
        <v>737</v>
      </c>
      <c r="CZ111" s="108">
        <f si="106" t="shared"/>
        <v>-154.09180597423949</v>
      </c>
      <c r="DA111" s="78">
        <f si="107" t="shared"/>
        <v>-0.17292472553461469</v>
      </c>
    </row>
    <row r="112" spans="2:105" x14ac:dyDescent="0.25">
      <c r="Z112" s="95">
        <v>3</v>
      </c>
      <c r="AA112" s="104">
        <f si="126" t="shared"/>
        <v>0.29900234918444291</v>
      </c>
      <c r="AB112" s="104">
        <f si="127" t="shared"/>
        <v>-0.13013796292566343</v>
      </c>
      <c r="AC112" s="104">
        <f si="128" t="shared"/>
        <v>-0.64887960710678672</v>
      </c>
      <c r="AD112" s="104">
        <f si="129" t="shared"/>
        <v>-0.69444185716089923</v>
      </c>
      <c r="AE112" s="104">
        <f si="130" t="shared"/>
        <v>-0.18142687073048072</v>
      </c>
      <c r="AF112" s="104">
        <f si="131" t="shared"/>
        <v>0.29406476107928853</v>
      </c>
      <c r="AG112" s="104">
        <f si="132" t="shared"/>
        <v>3.6204968847352026</v>
      </c>
      <c r="AH112" s="104">
        <f si="133" t="shared"/>
        <v>-0.91624409469035639</v>
      </c>
      <c r="AI112" s="104">
        <f si="134" t="shared"/>
        <v>4.8528863824827913E-2</v>
      </c>
      <c r="AJ112" s="104">
        <f si="135" t="shared"/>
        <v>-0.48841245095850211</v>
      </c>
      <c r="AK112" s="104">
        <f si="136" t="shared"/>
        <v>-0.64253938345987549</v>
      </c>
      <c r="AL112" s="104">
        <f si="137" t="shared"/>
        <v>-9.9008108678573254E-3</v>
      </c>
      <c r="AM112" s="104">
        <f si="138" t="shared"/>
        <v>1.7320609846945683</v>
      </c>
      <c r="AN112" s="104">
        <f si="139" t="shared"/>
        <v>-0.19812445239485985</v>
      </c>
      <c r="AO112" s="104">
        <f si="140" t="shared"/>
        <v>3.9795677570093457</v>
      </c>
      <c r="AP112" s="104">
        <f si="141" t="shared"/>
        <v>-0.61891063084112152</v>
      </c>
      <c r="AQ112" s="104">
        <f si="142" t="shared"/>
        <v>50.501506174899866</v>
      </c>
      <c r="AR112" s="104">
        <f si="143" t="shared"/>
        <v>14.846966267523365</v>
      </c>
      <c r="AS112" s="104">
        <f si="144" t="shared"/>
        <v>2.9873239550882658</v>
      </c>
      <c r="AT112" s="104">
        <f si="145" t="shared"/>
        <v>-0.51142388569374553</v>
      </c>
      <c r="AU112" s="104">
        <f si="146" t="shared"/>
        <v>0</v>
      </c>
      <c r="AV112" s="104">
        <f si="147" t="shared"/>
        <v>0</v>
      </c>
      <c r="CU112" s="95">
        <v>111</v>
      </c>
      <c r="CV112" s="95">
        <f si="109" t="shared"/>
        <v>6</v>
      </c>
      <c r="CW112" s="95">
        <f si="103" t="shared"/>
        <v>11</v>
      </c>
      <c r="CX112" s="58">
        <f si="104" t="shared"/>
        <v>330.85091805974241</v>
      </c>
      <c r="CY112" s="58">
        <f si="105" t="shared"/>
        <v>316</v>
      </c>
      <c r="CZ112" s="108">
        <f si="106" t="shared"/>
        <v>-14.850918059742412</v>
      </c>
      <c r="DA112" s="78">
        <f si="107" t="shared"/>
        <v>-4.4887038992773028E-2</v>
      </c>
    </row>
    <row r="113" spans="26:105" x14ac:dyDescent="0.25">
      <c r="Z113" s="95">
        <v>4</v>
      </c>
      <c r="AA113" s="104">
        <f si="126" t="shared"/>
        <v>0.74701780498282966</v>
      </c>
      <c r="AB113" s="104">
        <f si="127" t="shared"/>
        <v>0.37081709053482581</v>
      </c>
      <c r="AC113" s="104">
        <f si="128" t="shared"/>
        <v>-0.49048256619346842</v>
      </c>
      <c r="AD113" s="104">
        <f si="129" t="shared"/>
        <v>-0.82996098896636661</v>
      </c>
      <c r="AE113" s="104">
        <f si="130" t="shared"/>
        <v>-0.68751126364734938</v>
      </c>
      <c r="AF113" s="104">
        <f si="131" t="shared"/>
        <v>0.89083810106153649</v>
      </c>
      <c r="AG113" s="104">
        <f si="132" t="shared"/>
        <v>1.5636274674054507</v>
      </c>
      <c r="AH113" s="104">
        <f si="133" t="shared"/>
        <v>-0.94171659149807097</v>
      </c>
      <c r="AI113" s="104">
        <f si="134" t="shared"/>
        <v>0.18729946314345247</v>
      </c>
      <c r="AJ113" s="104">
        <f si="135" t="shared"/>
        <v>-0.59089935204255495</v>
      </c>
      <c r="AK113" s="104">
        <f si="136" t="shared"/>
        <v>-0.28218430912647385</v>
      </c>
      <c r="AL113" s="104">
        <f si="137" t="shared"/>
        <v>0.35791442297392756</v>
      </c>
      <c r="AM113" s="104">
        <f si="138" t="shared"/>
        <v>1.0835299598731571</v>
      </c>
      <c r="AN113" s="104">
        <f si="139" t="shared"/>
        <v>0.59158538601421717</v>
      </c>
      <c r="AO113" s="104">
        <f si="140" t="shared"/>
        <v>0.29839860438001936</v>
      </c>
      <c r="AP113" s="104">
        <f si="141" t="shared"/>
        <v>-2.5153951066291924E-2</v>
      </c>
      <c r="AQ113" s="104">
        <f si="142" t="shared"/>
        <v>28.539824764423869</v>
      </c>
      <c r="AR113" s="104">
        <f si="143" t="shared"/>
        <v>6.0029756984625564</v>
      </c>
      <c r="AS113" s="104">
        <f si="144" t="shared"/>
        <v>4.7297073896511819</v>
      </c>
      <c r="AT113" s="104">
        <f si="145" t="shared"/>
        <v>1.3873780790213259</v>
      </c>
      <c r="AU113" s="104">
        <f si="146" t="shared"/>
        <v>0</v>
      </c>
      <c r="AV113" s="104">
        <f si="147" t="shared"/>
        <v>0</v>
      </c>
      <c r="CU113" s="95">
        <v>112</v>
      </c>
      <c r="CV113" s="95">
        <f si="109" t="shared"/>
        <v>6</v>
      </c>
      <c r="CW113" s="95">
        <f si="103" t="shared"/>
        <v>12</v>
      </c>
      <c r="CX113" s="58">
        <f si="104" t="shared"/>
        <v>5496.5365853658541</v>
      </c>
      <c r="CY113" s="58">
        <f si="105" t="shared"/>
        <v>3735</v>
      </c>
      <c r="CZ113" s="108">
        <f si="106" t="shared"/>
        <v>-1761.5365853658541</v>
      </c>
      <c r="DA113" s="78">
        <f si="107" t="shared"/>
        <v>-0.32048118992891317</v>
      </c>
    </row>
    <row r="114" spans="26:105" x14ac:dyDescent="0.25">
      <c r="Z114" s="95">
        <v>5</v>
      </c>
      <c r="AA114" s="104">
        <f si="126" t="shared"/>
        <v>0.13864980988923764</v>
      </c>
      <c r="AB114" s="104">
        <f si="127" t="shared"/>
        <v>0.10930102854771137</v>
      </c>
      <c r="AC114" s="104">
        <f si="128" t="shared"/>
        <v>-0.35792362640652126</v>
      </c>
      <c r="AD114" s="104">
        <f si="129" t="shared"/>
        <v>-0.69689454260659067</v>
      </c>
      <c r="AE114" s="104">
        <f si="130" t="shared"/>
        <v>-0.65880903754408637</v>
      </c>
      <c r="AF114" s="104">
        <f si="131" t="shared"/>
        <v>0.59225392163390655</v>
      </c>
      <c r="AG114" s="104">
        <f si="132" t="shared"/>
        <v>1.1787933466749778</v>
      </c>
      <c r="AH114" s="104">
        <f si="133" t="shared"/>
        <v>-0.90256795751594365</v>
      </c>
      <c r="AI114" s="104">
        <f si="134" t="shared"/>
        <v>0.44881090279863295</v>
      </c>
      <c r="AJ114" s="104">
        <f si="135" t="shared"/>
        <v>-0.26416994780697739</v>
      </c>
      <c r="AK114" s="104">
        <f si="136" t="shared"/>
        <v>-0.27354240851173361</v>
      </c>
      <c r="AL114" s="104">
        <f si="137" t="shared"/>
        <v>-0.2366038869106353</v>
      </c>
      <c r="AM114" s="104">
        <f si="138" t="shared"/>
        <v>3.3751626696411976</v>
      </c>
      <c r="AN114" s="104">
        <f si="139" t="shared"/>
        <v>5.1868377021751198E-2</v>
      </c>
      <c r="AO114" s="104">
        <f si="140" t="shared"/>
        <v>2.1613218070273286</v>
      </c>
      <c r="AP114" s="104">
        <f si="141" t="shared"/>
        <v>-0.63984941438929166</v>
      </c>
      <c r="AQ114" s="104">
        <f si="142" t="shared"/>
        <v>24.130507529280536</v>
      </c>
      <c r="AR114" s="104">
        <f si="143" t="shared"/>
        <v>3.417847183491356</v>
      </c>
      <c r="AS114" s="104">
        <f si="144" t="shared"/>
        <v>-0.26173213289777708</v>
      </c>
      <c r="AT114" s="104">
        <f si="145" t="shared"/>
        <v>4.1221416620189624</v>
      </c>
      <c r="AU114" s="104">
        <f si="146" t="shared"/>
        <v>0</v>
      </c>
      <c r="AV114" s="104">
        <f si="147" t="shared"/>
        <v>0</v>
      </c>
      <c r="CU114" s="95">
        <v>113</v>
      </c>
      <c r="CV114" s="95">
        <f si="109" t="shared"/>
        <v>6</v>
      </c>
      <c r="CW114" s="95">
        <f si="103" t="shared"/>
        <v>13</v>
      </c>
      <c r="CX114" s="58">
        <f si="104" t="shared"/>
        <v>269.09208002192378</v>
      </c>
      <c r="CY114" s="58">
        <f si="105" t="shared"/>
        <v>569</v>
      </c>
      <c r="CZ114" s="108">
        <f si="106" t="shared"/>
        <v>299.90791997807622</v>
      </c>
      <c r="DA114" s="78">
        <f si="107" t="shared"/>
        <v>1.114517825844751</v>
      </c>
    </row>
    <row r="115" spans="26:105" x14ac:dyDescent="0.25">
      <c r="Z115" s="95">
        <v>6</v>
      </c>
      <c r="AA115" s="104">
        <f si="126" t="shared"/>
        <v>0.11947598130460164</v>
      </c>
      <c r="AB115" s="104">
        <f si="127" t="shared"/>
        <v>6.1465827810589756E-2</v>
      </c>
      <c r="AC115" s="104">
        <f si="128" t="shared"/>
        <v>0.21645359514982684</v>
      </c>
      <c r="AD115" s="104">
        <f si="129" t="shared"/>
        <v>-0.50972086377499193</v>
      </c>
      <c r="AE115" s="104">
        <f si="130" t="shared"/>
        <v>-0.16045932450958117</v>
      </c>
      <c r="AF115" s="104">
        <f si="131" t="shared"/>
        <v>-0.15350771515286979</v>
      </c>
      <c r="AG115" s="104">
        <f si="132" t="shared"/>
        <v>3.5236890241797991</v>
      </c>
      <c r="AH115" s="104">
        <f si="133" t="shared"/>
        <v>-0.71663974653662166</v>
      </c>
      <c r="AI115" s="104">
        <f si="134" t="shared"/>
        <v>0.33195328181655764</v>
      </c>
      <c r="AJ115" s="104">
        <f si="135" t="shared"/>
        <v>-0.17292472553461469</v>
      </c>
      <c r="AK115" s="104">
        <f si="136" t="shared"/>
        <v>-4.4887038992773028E-2</v>
      </c>
      <c r="AL115" s="104">
        <f si="137" t="shared"/>
        <v>-0.32048118992891317</v>
      </c>
      <c r="AM115" s="104">
        <f si="138" t="shared"/>
        <v>1.114517825844751</v>
      </c>
      <c r="AN115" s="104">
        <f si="139" t="shared"/>
        <v>1.342444761963927</v>
      </c>
      <c r="AO115" s="104">
        <f si="140" t="shared"/>
        <v>0.19691371062930979</v>
      </c>
      <c r="AP115" s="104">
        <f si="141" t="shared"/>
        <v>-0.66868647287358851</v>
      </c>
      <c r="AQ115" s="104">
        <f si="142" t="shared"/>
        <v>19.77975192064774</v>
      </c>
      <c r="AR115" s="104">
        <f si="143" t="shared"/>
        <v>3.769897599966868</v>
      </c>
      <c r="AS115" s="104">
        <f si="144" t="shared"/>
        <v>0.16923388797520297</v>
      </c>
      <c r="AT115" s="104">
        <f si="145" t="shared"/>
        <v>-0.18770060673831554</v>
      </c>
      <c r="AU115" s="104">
        <f si="146" t="shared"/>
        <v>0</v>
      </c>
      <c r="AV115" s="104">
        <f si="147" t="shared"/>
        <v>0</v>
      </c>
      <c r="CU115" s="95">
        <v>114</v>
      </c>
      <c r="CV115" s="95">
        <f si="109" t="shared"/>
        <v>6</v>
      </c>
      <c r="CW115" s="95">
        <f si="103" t="shared"/>
        <v>14</v>
      </c>
      <c r="CX115" s="58">
        <f si="104" t="shared"/>
        <v>26.468073444779389</v>
      </c>
      <c r="CY115" s="58">
        <f si="105" t="shared"/>
        <v>62</v>
      </c>
      <c r="CZ115" s="108">
        <f si="106" t="shared"/>
        <v>35.531926555220608</v>
      </c>
      <c r="DA115" s="78">
        <f si="107" t="shared"/>
        <v>1.342444761963927</v>
      </c>
    </row>
    <row r="116" spans="26:105" x14ac:dyDescent="0.25">
      <c r="Z116" s="95">
        <v>7</v>
      </c>
      <c r="AA116" s="104">
        <f si="126" t="shared"/>
        <v>0.66409191480282137</v>
      </c>
      <c r="AB116" s="104">
        <f si="127" t="shared"/>
        <v>-0.25944480065058861</v>
      </c>
      <c r="AC116" s="104">
        <f si="128" t="shared"/>
        <v>-0.4224164905963953</v>
      </c>
      <c r="AD116" s="104">
        <f si="129" t="shared"/>
        <v>-0.64725982193452325</v>
      </c>
      <c r="AE116" s="104">
        <f si="130" t="shared"/>
        <v>-0.26105631048095784</v>
      </c>
      <c r="AF116" s="104">
        <f si="131" t="shared"/>
        <v>0.34518707411525895</v>
      </c>
      <c r="AG116" s="104">
        <f si="132" t="shared"/>
        <v>-0.17291993804078667</v>
      </c>
      <c r="AH116" s="104">
        <f si="133" t="shared"/>
        <v>-0.86811849103006522</v>
      </c>
      <c r="AI116" s="104">
        <f si="134" t="shared"/>
        <v>0.42358077439509068</v>
      </c>
      <c r="AJ116" s="104">
        <f si="135" t="shared"/>
        <v>-0.30195965271306707</v>
      </c>
      <c r="AK116" s="104">
        <f si="136" t="shared"/>
        <v>-0.68224420831899868</v>
      </c>
      <c r="AL116" s="104">
        <f si="137" t="shared"/>
        <v>-9.7062943186936812E-2</v>
      </c>
      <c r="AM116" s="104">
        <f si="138" t="shared"/>
        <v>0.31086696682631831</v>
      </c>
      <c r="AN116" s="104">
        <f si="139" t="shared"/>
        <v>-0.4680779138212629</v>
      </c>
      <c r="AO116" s="104">
        <f si="140" t="shared"/>
        <v>1.5487933296064482</v>
      </c>
      <c r="AP116" s="104">
        <f si="141" t="shared"/>
        <v>-0.52506956591184184</v>
      </c>
      <c r="AQ116" s="104">
        <f si="142" t="shared"/>
        <v>11.028692630632806</v>
      </c>
      <c r="AR116" s="104">
        <f si="143" t="shared"/>
        <v>1.2330117008893193</v>
      </c>
      <c r="AS116" s="104">
        <f si="144" t="shared"/>
        <v>0.94857821641433282</v>
      </c>
      <c r="AT116" s="104">
        <f si="145" t="shared"/>
        <v>-0.71072419014630372</v>
      </c>
      <c r="AU116" s="104">
        <f si="146" t="shared"/>
        <v>0</v>
      </c>
      <c r="AV116" s="104">
        <f si="147" t="shared"/>
        <v>0</v>
      </c>
      <c r="CU116" s="95">
        <v>115</v>
      </c>
      <c r="CV116" s="95">
        <f si="109" t="shared"/>
        <v>6</v>
      </c>
      <c r="CW116" s="95">
        <f si="103" t="shared"/>
        <v>15</v>
      </c>
      <c r="CX116" s="58">
        <f si="104" t="shared"/>
        <v>220.56727870649493</v>
      </c>
      <c r="CY116" s="58">
        <f si="105" t="shared"/>
        <v>264</v>
      </c>
      <c r="CZ116" s="108">
        <f si="106" t="shared"/>
        <v>43.432721293505068</v>
      </c>
      <c r="DA116" s="78">
        <f si="107" t="shared"/>
        <v>0.19691371062930979</v>
      </c>
    </row>
    <row r="117" spans="26:105" x14ac:dyDescent="0.25">
      <c r="Z117" s="95">
        <v>8</v>
      </c>
      <c r="AA117" s="104">
        <f si="126" t="shared"/>
        <v>0.63065204611098347</v>
      </c>
      <c r="AB117" s="104">
        <f si="127" t="shared"/>
        <v>0.20299004538134985</v>
      </c>
      <c r="AC117" s="104">
        <f si="128" t="shared"/>
        <v>-0.57468251354120914</v>
      </c>
      <c r="AD117" s="104">
        <f si="129" t="shared"/>
        <v>-0.54608042194683659</v>
      </c>
      <c r="AE117" s="104">
        <f si="130" t="shared"/>
        <v>-3.575241093560589E-2</v>
      </c>
      <c r="AF117" s="104">
        <f si="131" t="shared"/>
        <v>0.22023635833090169</v>
      </c>
      <c r="AG117" s="104">
        <f si="132" t="shared"/>
        <v>2.8789173789173788</v>
      </c>
      <c r="AH117" s="104">
        <f si="133" t="shared"/>
        <v>-0.9674592718070979</v>
      </c>
      <c r="AI117" s="104">
        <f si="134" t="shared"/>
        <v>0.18380687245830948</v>
      </c>
      <c r="AJ117" s="104">
        <f si="135" t="shared"/>
        <v>-0.57941108810674025</v>
      </c>
      <c r="AK117" s="104">
        <f si="136" t="shared"/>
        <v>-0.59227815415106388</v>
      </c>
      <c r="AL117" s="104">
        <f si="137" t="shared"/>
        <v>-0.19107612460756032</v>
      </c>
      <c r="AM117" s="104">
        <f si="138" t="shared"/>
        <v>3.0716586151368759</v>
      </c>
      <c r="AN117" s="104">
        <f si="139" t="shared"/>
        <v>-0.63086611456176678</v>
      </c>
      <c r="AO117" s="104">
        <f si="140" t="shared"/>
        <v>3.3065619967793887</v>
      </c>
      <c r="AP117" s="104">
        <f si="141" t="shared"/>
        <v>-0.80424718196457323</v>
      </c>
      <c r="AQ117" s="104">
        <f si="142" t="shared"/>
        <v>11.90402576489533</v>
      </c>
      <c r="AR117" s="104">
        <f si="143" t="shared"/>
        <v>3.2804616210413311</v>
      </c>
      <c r="AS117" s="104">
        <f si="144" t="shared"/>
        <v>2.6730346947738255</v>
      </c>
      <c r="AT117" s="104">
        <f si="145" t="shared"/>
        <v>-1</v>
      </c>
      <c r="AU117" s="104">
        <f si="146" t="shared"/>
        <v>0</v>
      </c>
      <c r="AV117" s="104">
        <f si="147" t="shared"/>
        <v>0</v>
      </c>
      <c r="CU117" s="95">
        <v>116</v>
      </c>
      <c r="CV117" s="95">
        <f si="109" t="shared"/>
        <v>6</v>
      </c>
      <c r="CW117" s="95">
        <f si="103" t="shared"/>
        <v>16</v>
      </c>
      <c r="CX117" s="58">
        <f si="104" t="shared"/>
        <v>114.69498492737736</v>
      </c>
      <c r="CY117" s="58">
        <f si="105" t="shared"/>
        <v>38</v>
      </c>
      <c r="CZ117" s="108">
        <f si="106" t="shared"/>
        <v>-76.694984927377362</v>
      </c>
      <c r="DA117" s="78">
        <f si="107" t="shared"/>
        <v>-0.66868647287358851</v>
      </c>
    </row>
    <row r="118" spans="26:105" x14ac:dyDescent="0.25">
      <c r="Z118" s="95">
        <v>9</v>
      </c>
      <c r="AA118" s="104">
        <f si="126" t="shared"/>
        <v>0.73363767924906809</v>
      </c>
      <c r="AB118" s="104">
        <f si="127" t="shared"/>
        <v>-0.1650254678293121</v>
      </c>
      <c r="AC118" s="104">
        <f si="128" t="shared"/>
        <v>-7.2132472862016947E-2</v>
      </c>
      <c r="AD118" s="104">
        <f si="129" t="shared"/>
        <v>-0.61595219342405838</v>
      </c>
      <c r="AE118" s="104">
        <f si="130" t="shared"/>
        <v>0.58051227086596846</v>
      </c>
      <c r="AF118" s="104">
        <f si="131" t="shared"/>
        <v>0.54806504115012911</v>
      </c>
      <c r="AG118" s="104">
        <f si="132" t="shared"/>
        <v>0.61277158136834575</v>
      </c>
      <c r="AH118" s="104">
        <f si="133" t="shared"/>
        <v>-0.82070977730141714</v>
      </c>
      <c r="AI118" s="104">
        <f si="134" t="shared"/>
        <v>-0.53741263696727037</v>
      </c>
      <c r="AJ118" s="104">
        <f si="135" t="shared"/>
        <v>-0.18372836498098621</v>
      </c>
      <c r="AK118" s="104">
        <f si="136" t="shared"/>
        <v>-0.58185469656343802</v>
      </c>
      <c r="AL118" s="104">
        <f si="137" t="shared"/>
        <v>0.23906588322257658</v>
      </c>
      <c r="AM118" s="104">
        <f si="138" t="shared"/>
        <v>0.9342569869471794</v>
      </c>
      <c r="AN118" s="104">
        <f si="139" t="shared"/>
        <v>-0.28283910920566857</v>
      </c>
      <c r="AO118" s="104">
        <f si="140" t="shared"/>
        <v>-0.13607206686769427</v>
      </c>
      <c r="AP118" s="104">
        <f si="141" t="shared"/>
        <v>-0.5457981024969234</v>
      </c>
      <c r="AQ118" s="104">
        <f si="142" t="shared"/>
        <v>11.475611329443055</v>
      </c>
      <c r="AR118" s="104">
        <f si="143" t="shared"/>
        <v>2.0635242400236109</v>
      </c>
      <c r="AS118" s="104">
        <f si="144" t="shared"/>
        <v>0.89089936734281772</v>
      </c>
      <c r="AT118" s="104">
        <f si="145" t="shared"/>
        <v>-0.31869715374538526</v>
      </c>
      <c r="AU118" s="104">
        <f si="146" t="shared"/>
        <v>0</v>
      </c>
      <c r="AV118" s="104">
        <f si="147" t="shared"/>
        <v>0</v>
      </c>
      <c r="CU118" s="95">
        <v>117</v>
      </c>
      <c r="CV118" s="95">
        <f si="109" t="shared"/>
        <v>6</v>
      </c>
      <c r="CW118" s="95">
        <f si="103" t="shared"/>
        <v>17</v>
      </c>
      <c r="CX118" s="58">
        <f si="104" t="shared"/>
        <v>26.468073444779389</v>
      </c>
      <c r="CY118" s="58">
        <f si="105" t="shared"/>
        <v>550</v>
      </c>
      <c r="CZ118" s="108">
        <f si="106" t="shared"/>
        <v>523.53192655522059</v>
      </c>
      <c r="DA118" s="78">
        <f si="107" t="shared"/>
        <v>19.77975192064774</v>
      </c>
    </row>
    <row r="119" spans="26:105" x14ac:dyDescent="0.25">
      <c r="Z119" s="95">
        <v>10</v>
      </c>
      <c r="AA119" s="104">
        <f si="126" t="shared"/>
        <v>0.24359084993005697</v>
      </c>
      <c r="AB119" s="104">
        <f si="127" t="shared"/>
        <v>0.57897564852148364</v>
      </c>
      <c r="AC119" s="104">
        <f si="128" t="shared"/>
        <v>0.2579456155009569</v>
      </c>
      <c r="AD119" s="104">
        <f si="129" t="shared"/>
        <v>-0.66308741100780144</v>
      </c>
      <c r="AE119" s="104">
        <f si="130" t="shared"/>
        <v>-0.13183024800333068</v>
      </c>
      <c r="AF119" s="104">
        <f si="131" t="shared"/>
        <v>0.18136010324419718</v>
      </c>
      <c r="AG119" s="104">
        <f si="132" t="shared"/>
        <v>2.1445485664977215</v>
      </c>
      <c r="AH119" s="104">
        <f si="133" t="shared"/>
        <v>-0.91254923528602971</v>
      </c>
      <c r="AI119" s="104">
        <f si="134" t="shared"/>
        <v>0.10000300954379412</v>
      </c>
      <c r="AJ119" s="104">
        <f si="135" t="shared"/>
        <v>-0.6305592495687643</v>
      </c>
      <c r="AK119" s="104">
        <f si="136" t="shared"/>
        <v>-0.61866760713962021</v>
      </c>
      <c r="AL119" s="104">
        <f si="137" t="shared"/>
        <v>-0.20818598531242505</v>
      </c>
      <c r="AM119" s="104">
        <f si="138" t="shared"/>
        <v>0.83996408958193436</v>
      </c>
      <c r="AN119" s="104">
        <f si="139" t="shared"/>
        <v>1.4282162335579076</v>
      </c>
      <c r="AO119" s="104">
        <f si="140" t="shared"/>
        <v>2.6490819094283955</v>
      </c>
      <c r="AP119" s="104">
        <f si="141" t="shared"/>
        <v>-0.70892703365729048</v>
      </c>
      <c r="AQ119" s="104">
        <f si="142" t="shared"/>
        <v>4.4852738280935149</v>
      </c>
      <c r="AR119" s="104">
        <f si="143" t="shared"/>
        <v>16.43450245615789</v>
      </c>
      <c r="AS119" s="104">
        <f si="144" t="shared"/>
        <v>0.76597544258756911</v>
      </c>
      <c r="AT119" s="104">
        <f si="145" t="shared"/>
        <v>-0.26810436916307961</v>
      </c>
      <c r="AU119" s="104">
        <f si="146" t="shared"/>
        <v>0</v>
      </c>
      <c r="AV119" s="104">
        <f si="147" t="shared"/>
        <v>0</v>
      </c>
      <c r="CU119" s="95">
        <v>118</v>
      </c>
      <c r="CV119" s="95">
        <f si="109" t="shared"/>
        <v>6</v>
      </c>
      <c r="CW119" s="95">
        <f si="103" t="shared"/>
        <v>18</v>
      </c>
      <c r="CX119" s="58">
        <f si="104" t="shared"/>
        <v>105.87229377911756</v>
      </c>
      <c r="CY119" s="58">
        <f si="105" t="shared"/>
        <v>505</v>
      </c>
      <c r="CZ119" s="108">
        <f si="106" t="shared"/>
        <v>399.12770622088243</v>
      </c>
      <c r="DA119" s="78">
        <f si="107" t="shared"/>
        <v>3.769897599966868</v>
      </c>
    </row>
    <row r="120" spans="26:105" x14ac:dyDescent="0.25">
      <c r="Z120" s="95">
        <v>11</v>
      </c>
      <c r="AA120" s="104">
        <f si="126" t="shared"/>
        <v>0.82519036040870664</v>
      </c>
      <c r="AB120" s="104">
        <f si="127" t="shared"/>
        <v>0.3371187653709557</v>
      </c>
      <c r="AC120" s="104">
        <f si="128" t="shared"/>
        <v>-0.32718358514140278</v>
      </c>
      <c r="AD120" s="104">
        <f si="129" t="shared"/>
        <v>-0.43740910808282524</v>
      </c>
      <c r="AE120" s="104">
        <f si="130" t="shared"/>
        <v>0.25255775424379173</v>
      </c>
      <c r="AF120" s="104">
        <f si="131" t="shared"/>
        <v>0.76144587652858053</v>
      </c>
      <c r="AG120" s="104">
        <f si="132" t="shared"/>
        <v>1.8595472775814863</v>
      </c>
      <c r="AH120" s="104">
        <f si="133" t="shared"/>
        <v>-0.89192109483696813</v>
      </c>
      <c r="AI120" s="104">
        <f si="134" t="shared"/>
        <v>0.36759090290666341</v>
      </c>
      <c r="AJ120" s="104">
        <f si="135" t="shared"/>
        <v>4.1464002410492258E-2</v>
      </c>
      <c r="AK120" s="104">
        <f si="136" t="shared"/>
        <v>-0.7432050224773955</v>
      </c>
      <c r="AL120" s="104">
        <f si="137" t="shared"/>
        <v>0.15474313864206712</v>
      </c>
      <c r="AM120" s="104">
        <f si="138" t="shared"/>
        <v>1.0208846871714978</v>
      </c>
      <c r="AN120" s="104">
        <f si="139" t="shared"/>
        <v>-6.7182702728812535E-2</v>
      </c>
      <c r="AO120" s="104">
        <f si="140" t="shared"/>
        <v>0.98961419494079761</v>
      </c>
      <c r="AP120" s="104">
        <f si="141" t="shared"/>
        <v>0.89550312869145243</v>
      </c>
      <c r="AQ120" s="104">
        <f si="142" t="shared"/>
        <v>4.2947849542462428</v>
      </c>
      <c r="AR120" s="104">
        <f si="143" t="shared"/>
        <v>3.8159820232679129</v>
      </c>
      <c r="AS120" s="104">
        <f si="144" t="shared"/>
        <v>7.309605386976728E-2</v>
      </c>
      <c r="AT120" s="104">
        <f si="145" t="shared"/>
        <v>-0.8846215486883463</v>
      </c>
      <c r="AU120" s="104">
        <f si="146" t="shared"/>
        <v>0</v>
      </c>
      <c r="AV120" s="104">
        <f si="147" t="shared"/>
        <v>0</v>
      </c>
      <c r="CU120" s="95">
        <v>119</v>
      </c>
      <c r="CV120" s="95">
        <f si="109" t="shared"/>
        <v>6</v>
      </c>
      <c r="CW120" s="95">
        <f si="103" t="shared"/>
        <v>19</v>
      </c>
      <c r="CX120" s="58">
        <f si="104" t="shared"/>
        <v>167.63113181693615</v>
      </c>
      <c r="CY120" s="58">
        <f si="105" t="shared"/>
        <v>196</v>
      </c>
      <c r="CZ120" s="108">
        <f si="106" t="shared"/>
        <v>28.368868183063853</v>
      </c>
      <c r="DA120" s="78">
        <f si="107" t="shared"/>
        <v>0.16923388797520297</v>
      </c>
    </row>
    <row r="121" spans="26:105" x14ac:dyDescent="0.25">
      <c r="Z121" s="95">
        <v>12</v>
      </c>
      <c r="AA121" s="104">
        <f si="126" t="shared"/>
        <v>0.41846015166909684</v>
      </c>
      <c r="AB121" s="104">
        <f si="127" t="shared"/>
        <v>0.37558485114987511</v>
      </c>
      <c r="AC121" s="104">
        <f si="128" t="shared"/>
        <v>0.36590055341954675</v>
      </c>
      <c r="AD121" s="104">
        <f si="129" t="shared"/>
        <v>-0.59084096947117482</v>
      </c>
      <c r="AE121" s="104">
        <f si="130" t="shared"/>
        <v>7.552897794049454E-2</v>
      </c>
      <c r="AF121" s="104">
        <f si="131" t="shared"/>
        <v>0.27116259171466589</v>
      </c>
      <c r="AG121" s="104">
        <f si="132" t="shared"/>
        <v>1.5576676024873983</v>
      </c>
      <c r="AH121" s="104">
        <f si="133" t="shared"/>
        <v>-0.65065524927045593</v>
      </c>
      <c r="AI121" s="104">
        <f si="134" t="shared"/>
        <v>0.5580912079321575</v>
      </c>
      <c r="AJ121" s="104">
        <f si="135" t="shared"/>
        <v>0.69142973871893687</v>
      </c>
      <c r="AK121" s="104">
        <f si="136" t="shared"/>
        <v>-0.57145597348394439</v>
      </c>
      <c r="AL121" s="104">
        <f si="137" t="shared"/>
        <v>-0.52205887019824226</v>
      </c>
      <c r="AM121" s="104">
        <f si="138" t="shared"/>
        <v>1.4046441612061555</v>
      </c>
      <c r="AN121" s="104">
        <f si="139" t="shared"/>
        <v>0.42787735417234263</v>
      </c>
      <c r="AO121" s="104">
        <f si="140" t="shared"/>
        <v>1.4673666137592114</v>
      </c>
      <c r="AP121" s="104">
        <f si="141" t="shared"/>
        <v>-0.58474672184855381</v>
      </c>
      <c r="AQ121" s="104">
        <f si="142" t="shared"/>
        <v>10.670512138342367</v>
      </c>
      <c r="AR121" s="104">
        <f si="143" t="shared"/>
        <v>2.5870848548307679</v>
      </c>
      <c r="AS121" s="104">
        <f si="144" t="shared"/>
        <v>3.6579300097272536</v>
      </c>
      <c r="AT121" s="104">
        <f si="145" t="shared"/>
        <v>-0.61213233869151829</v>
      </c>
      <c r="AU121" s="104">
        <f si="146" t="shared"/>
        <v>0</v>
      </c>
      <c r="AV121" s="104">
        <f si="147" t="shared"/>
        <v>0</v>
      </c>
      <c r="CU121" s="95">
        <v>120</v>
      </c>
      <c r="CV121" s="95">
        <f si="109" t="shared"/>
        <v>6</v>
      </c>
      <c r="CW121" s="95">
        <f si="103" t="shared"/>
        <v>20</v>
      </c>
      <c r="CX121" s="58">
        <f si="104" t="shared"/>
        <v>52.936146889558778</v>
      </c>
      <c r="CY121" s="58">
        <f si="105" t="shared"/>
        <v>43</v>
      </c>
      <c r="CZ121" s="108">
        <f si="106" t="shared"/>
        <v>-9.9361468895587777</v>
      </c>
      <c r="DA121" s="78">
        <f si="107" t="shared"/>
        <v>-0.18770060673831554</v>
      </c>
    </row>
    <row r="122" spans="26:105" x14ac:dyDescent="0.25">
      <c r="Z122" s="95">
        <v>13</v>
      </c>
      <c r="AA122" s="104">
        <f si="126" t="shared"/>
        <v>0.81234278811981087</v>
      </c>
      <c r="AB122" s="104">
        <f si="127" t="shared"/>
        <v>-1.1237002658358709E-2</v>
      </c>
      <c r="AC122" s="104">
        <f si="128" t="shared"/>
        <v>0.26641426755810643</v>
      </c>
      <c r="AD122" s="104">
        <f si="129" t="shared"/>
        <v>-0.62913328643566568</v>
      </c>
      <c r="AE122" s="104">
        <f si="130" t="shared"/>
        <v>1.2691208643445751</v>
      </c>
      <c r="AF122" s="104">
        <f si="131" t="shared"/>
        <v>0.41053879519009928</v>
      </c>
      <c r="AG122" s="104">
        <f si="132" t="shared"/>
        <v>0.30143562837140836</v>
      </c>
      <c r="AH122" s="104">
        <f si="133" t="shared"/>
        <v>1.33696833204923</v>
      </c>
      <c r="AI122" s="104">
        <f si="134" t="shared"/>
        <v>0.5759856792010386</v>
      </c>
      <c r="AJ122" s="104">
        <f si="135" t="shared"/>
        <v>0.41592787177100415</v>
      </c>
      <c r="AK122" s="104">
        <f si="136" t="shared"/>
        <v>-0.22016382832705034</v>
      </c>
      <c r="AL122" s="104">
        <f si="137" t="shared"/>
        <v>8.6664705821578619E-2</v>
      </c>
      <c r="AM122" s="104">
        <f si="138" t="shared"/>
        <v>-0.20881201356873769</v>
      </c>
      <c r="AN122" s="104">
        <f si="139" t="shared"/>
        <v>0.3242820548278969</v>
      </c>
      <c r="AO122" s="104">
        <f si="140" t="shared"/>
        <v>0.56753253215754962</v>
      </c>
      <c r="AP122" s="104">
        <f si="141" t="shared"/>
        <v>-0.87480526792593405</v>
      </c>
      <c r="AQ122" s="104">
        <f si="142" t="shared"/>
        <v>29.555860941543681</v>
      </c>
      <c r="AR122" s="104">
        <f si="143" t="shared"/>
        <v>2.2190915897804886</v>
      </c>
      <c r="AS122" s="104">
        <f si="144" t="shared"/>
        <v>3.673936664098461</v>
      </c>
      <c r="AT122" s="104">
        <f si="145" t="shared"/>
        <v>-0.53556452135224164</v>
      </c>
      <c r="AU122" s="104">
        <f si="146" t="shared"/>
        <v>0</v>
      </c>
      <c r="AV122" s="104">
        <f si="147" t="shared"/>
        <v>0</v>
      </c>
      <c r="CU122" s="95">
        <v>121</v>
      </c>
      <c r="CV122" s="95">
        <f si="109" t="shared"/>
        <v>7</v>
      </c>
      <c r="CW122" s="95">
        <f si="103" t="shared"/>
        <v>1</v>
      </c>
      <c r="CX122" s="58">
        <f si="104" t="shared"/>
        <v>3269.050195850863</v>
      </c>
      <c r="CY122" s="58">
        <f si="105" t="shared"/>
        <v>5440.0000000000009</v>
      </c>
      <c r="CZ122" s="108">
        <f si="106" t="shared"/>
        <v>2170.9498041491379</v>
      </c>
      <c r="DA122" s="78">
        <f si="107" t="shared"/>
        <v>0.66409191480282137</v>
      </c>
    </row>
    <row r="123" spans="26:105" x14ac:dyDescent="0.25">
      <c r="Z123" s="95">
        <v>14</v>
      </c>
      <c r="AA123" s="104">
        <f si="126" t="shared"/>
        <v>0.25388812939694611</v>
      </c>
      <c r="AB123" s="104">
        <f si="127" t="shared"/>
        <v>-0.68547517409527559</v>
      </c>
      <c r="AC123" s="104">
        <f si="128" t="shared"/>
        <v>0.19696429812973607</v>
      </c>
      <c r="AD123" s="104">
        <f si="129" t="shared"/>
        <v>-0.69336195508586529</v>
      </c>
      <c r="AE123" s="104">
        <f si="130" t="shared"/>
        <v>-5.6855710339858818E-2</v>
      </c>
      <c r="AF123" s="104">
        <f si="131" t="shared"/>
        <v>0.11713219354401604</v>
      </c>
      <c r="AG123" s="104">
        <f si="132" t="shared"/>
        <v>0.27068947400023963</v>
      </c>
      <c r="AH123" s="104">
        <f si="133" t="shared"/>
        <v>-0.95619456501226652</v>
      </c>
      <c r="AI123" s="104">
        <f si="134" t="shared"/>
        <v>-1.786945034748183E-2</v>
      </c>
      <c r="AJ123" s="104">
        <f si="135" t="shared"/>
        <v>-0.40801821884632328</v>
      </c>
      <c r="AK123" s="104">
        <f si="136" t="shared"/>
        <v>-0.44797636277100011</v>
      </c>
      <c r="AL123" s="104">
        <f si="137" t="shared"/>
        <v>-0.48181521644974784</v>
      </c>
      <c r="AM123" s="104">
        <f si="138" t="shared"/>
        <v>0.93565265852047497</v>
      </c>
      <c r="AN123" s="104">
        <f si="139" t="shared"/>
        <v>0.22524176066117893</v>
      </c>
      <c r="AO123" s="104">
        <f si="140" t="shared"/>
        <v>-0.54236594812057193</v>
      </c>
      <c r="AP123" s="104">
        <f si="141" t="shared"/>
        <v>-0.54004293262879799</v>
      </c>
      <c r="AQ123" s="104">
        <f si="142" t="shared"/>
        <v>6.3641042973910151</v>
      </c>
      <c r="AR123" s="104">
        <f si="143" t="shared"/>
        <v>0.59281428885953313</v>
      </c>
      <c r="AS123" s="104">
        <f si="144" t="shared"/>
        <v>1.3402445233377362</v>
      </c>
      <c r="AT123" s="104">
        <f si="145" t="shared"/>
        <v>-0.9361170739762219</v>
      </c>
      <c r="AU123" s="104">
        <f si="146" t="shared"/>
        <v>0</v>
      </c>
      <c r="AV123" s="104">
        <f si="147" t="shared"/>
        <v>1.5018076317254434E-16</v>
      </c>
      <c r="CU123" s="95">
        <v>122</v>
      </c>
      <c r="CV123" s="95">
        <f si="109" t="shared"/>
        <v>7</v>
      </c>
      <c r="CW123" s="95">
        <f si="103" t="shared"/>
        <v>2</v>
      </c>
      <c r="CX123" s="58">
        <f si="104" t="shared"/>
        <v>5760.5429058465115</v>
      </c>
      <c r="CY123" s="58">
        <f si="105" t="shared"/>
        <v>4266.0000000000009</v>
      </c>
      <c r="CZ123" s="108">
        <f si="106" t="shared"/>
        <v>-1494.5429058465106</v>
      </c>
      <c r="DA123" s="78">
        <f si="107" t="shared"/>
        <v>-0.25944480065058861</v>
      </c>
    </row>
    <row r="124" spans="26:105" x14ac:dyDescent="0.25">
      <c r="Z124" s="95">
        <v>15</v>
      </c>
      <c r="AA124" s="104">
        <f si="126" t="shared"/>
        <v>0.2261680822623883</v>
      </c>
      <c r="AB124" s="104">
        <f si="127" t="shared"/>
        <v>-0.45994648389004233</v>
      </c>
      <c r="AC124" s="104">
        <f si="128" t="shared"/>
        <v>-3.7805941720532435E-2</v>
      </c>
      <c r="AD124" s="104">
        <f si="129" t="shared"/>
        <v>-0.70749518453672389</v>
      </c>
      <c r="AE124" s="104">
        <f si="130" t="shared"/>
        <v>-0.1895426081219867</v>
      </c>
      <c r="AF124" s="104">
        <f si="131" t="shared"/>
        <v>0.17398829713390457</v>
      </c>
      <c r="AG124" s="104">
        <f si="132" t="shared"/>
        <v>1.402612908603305</v>
      </c>
      <c r="AH124" s="104">
        <f si="133" t="shared"/>
        <v>-0.77091949600846399</v>
      </c>
      <c r="AI124" s="104">
        <f si="134" t="shared"/>
        <v>-0.41532589138048737</v>
      </c>
      <c r="AJ124" s="104">
        <f si="135" t="shared"/>
        <v>-0.10458612527117864</v>
      </c>
      <c r="AK124" s="104">
        <f si="136" t="shared"/>
        <v>-0.52359364214149584</v>
      </c>
      <c r="AL124" s="104">
        <f si="137" t="shared"/>
        <v>0.22816172545775656</v>
      </c>
      <c r="AM124" s="104">
        <f si="138" t="shared"/>
        <v>4.1909867899559883</v>
      </c>
      <c r="AN124" s="104">
        <f si="139" t="shared"/>
        <v>10.126767336731749</v>
      </c>
      <c r="AO124" s="104">
        <f si="140" t="shared"/>
        <v>-0.36472733849717337</v>
      </c>
      <c r="AP124" s="104">
        <f si="141" t="shared"/>
        <v>-0.78961994531389545</v>
      </c>
      <c r="AQ124" s="104">
        <f si="142" t="shared"/>
        <v>2.7676610363443102</v>
      </c>
      <c r="AR124" s="104">
        <f si="143" t="shared"/>
        <v>8.5109316389343075</v>
      </c>
      <c r="AS124" s="104">
        <f si="144" t="shared"/>
        <v>1.9188962176738753</v>
      </c>
      <c r="AT124" s="104">
        <f si="145" t="shared"/>
        <v>-0.18185534288737129</v>
      </c>
      <c r="AU124" s="104">
        <f si="146" t="shared"/>
        <v>0</v>
      </c>
      <c r="AV124" s="104">
        <f si="147" t="shared"/>
        <v>0</v>
      </c>
      <c r="CU124" s="95">
        <v>123</v>
      </c>
      <c r="CV124" s="95">
        <f si="109" t="shared"/>
        <v>7</v>
      </c>
      <c r="CW124" s="95">
        <f si="103" t="shared"/>
        <v>3</v>
      </c>
      <c r="CX124" s="58">
        <f si="104" t="shared"/>
        <v>2567.5940809516901</v>
      </c>
      <c r="CY124" s="58">
        <f si="105" t="shared"/>
        <v>1483.0000000000002</v>
      </c>
      <c r="CZ124" s="108">
        <f si="106" t="shared"/>
        <v>-1084.5940809516899</v>
      </c>
      <c r="DA124" s="78">
        <f si="107" t="shared"/>
        <v>-0.4224164905963953</v>
      </c>
    </row>
    <row r="125" spans="26:105" x14ac:dyDescent="0.25">
      <c r="Z125" s="95">
        <v>16</v>
      </c>
      <c r="AA125" s="104">
        <f si="126" t="shared"/>
        <v>-0.14320351891395958</v>
      </c>
      <c r="AB125" s="104">
        <f si="127" t="shared"/>
        <v>0.31670169769054468</v>
      </c>
      <c r="AC125" s="104">
        <f si="128" t="shared"/>
        <v>0.16767410885295689</v>
      </c>
      <c r="AD125" s="104">
        <f si="129" t="shared"/>
        <v>-0.70474396492762403</v>
      </c>
      <c r="AE125" s="104">
        <f si="130" t="shared"/>
        <v>0.51659875157974644</v>
      </c>
      <c r="AF125" s="104">
        <f si="131" t="shared"/>
        <v>8.1527951814567123E-2</v>
      </c>
      <c r="AG125" s="104">
        <f si="132" t="shared"/>
        <v>1.2585082682798716</v>
      </c>
      <c r="AH125" s="104">
        <f si="133" t="shared"/>
        <v>-0.94789599381075718</v>
      </c>
      <c r="AI125" s="104">
        <f si="134" t="shared"/>
        <v>-0.45831131343257553</v>
      </c>
      <c r="AJ125" s="104">
        <f si="135" t="shared"/>
        <v>-0.5353971375093074</v>
      </c>
      <c r="AK125" s="104">
        <f si="136" t="shared"/>
        <v>-0.67389022008615074</v>
      </c>
      <c r="AL125" s="104">
        <f si="137" t="shared"/>
        <v>-0.10470996382723545</v>
      </c>
      <c r="AM125" s="104">
        <f si="138" t="shared"/>
        <v>9.0984076995526255</v>
      </c>
      <c r="AN125" s="104">
        <f si="139" t="shared"/>
        <v>3.559100541558748</v>
      </c>
      <c r="AO125" s="104">
        <f si="140" t="shared"/>
        <v>4.7748606859744136</v>
      </c>
      <c r="AP125" s="104">
        <f si="141" t="shared"/>
        <v>-0.64249429416687842</v>
      </c>
      <c r="AQ125" s="104">
        <f si="142" t="shared"/>
        <v>3.7580431106449468</v>
      </c>
      <c r="AR125" s="104">
        <f si="143" t="shared"/>
        <v>31.871114904638574</v>
      </c>
      <c r="AS125" s="104">
        <f si="144" t="shared"/>
        <v>1.1883682599481988</v>
      </c>
      <c r="AT125" s="104">
        <f si="145" t="shared"/>
        <v>30.184247704261836</v>
      </c>
      <c r="AU125" s="104">
        <f si="146" t="shared"/>
        <v>0</v>
      </c>
      <c r="AV125" s="104">
        <f si="147" t="shared"/>
        <v>0</v>
      </c>
      <c r="CU125" s="95">
        <v>124</v>
      </c>
      <c r="CV125" s="95">
        <f si="109" t="shared"/>
        <v>7</v>
      </c>
      <c r="CW125" s="95">
        <f si="103" t="shared"/>
        <v>4</v>
      </c>
      <c r="CX125" s="58">
        <f si="104" t="shared"/>
        <v>1187.8431379660526</v>
      </c>
      <c r="CY125" s="58">
        <f si="105" t="shared"/>
        <v>419.00000000000006</v>
      </c>
      <c r="CZ125" s="108">
        <f si="106" t="shared"/>
        <v>-768.84313796605261</v>
      </c>
      <c r="DA125" s="78">
        <f si="107" t="shared"/>
        <v>-0.64725982193452325</v>
      </c>
    </row>
    <row r="126" spans="26:105" x14ac:dyDescent="0.25">
      <c r="Z126" s="95">
        <v>17</v>
      </c>
      <c r="AA126" s="104">
        <f si="126" t="shared"/>
        <v>7.0601559437208639E-2</v>
      </c>
      <c r="AB126" s="104">
        <f si="127" t="shared"/>
        <v>0.40493912532125265</v>
      </c>
      <c r="AC126" s="104">
        <f si="128" t="shared"/>
        <v>0.27615055256758791</v>
      </c>
      <c r="AD126" s="104">
        <f si="129" t="shared"/>
        <v>-0.69674884165591044</v>
      </c>
      <c r="AE126" s="104">
        <f si="130" t="shared"/>
        <v>-9.5308620464346433E-2</v>
      </c>
      <c r="AF126" s="104">
        <f si="131" t="shared"/>
        <v>0.25348864005215921</v>
      </c>
      <c r="AG126" s="104">
        <f si="132" t="shared"/>
        <v>0.16399434515913153</v>
      </c>
      <c r="AH126" s="104">
        <f si="133" t="shared"/>
        <v>-0.95067248487581646</v>
      </c>
      <c r="AI126" s="104">
        <f si="134" t="shared"/>
        <v>5.8218408328614413E-2</v>
      </c>
      <c r="AJ126" s="104">
        <f si="135" t="shared"/>
        <v>-0.66107223479189992</v>
      </c>
      <c r="AK126" s="104">
        <f si="136" t="shared"/>
        <v>-0.71486314446779498</v>
      </c>
      <c r="AL126" s="104">
        <f si="137" t="shared"/>
        <v>0.23844578995513355</v>
      </c>
      <c r="AM126" s="104">
        <f si="138" t="shared"/>
        <v>0.75287711809034308</v>
      </c>
      <c r="AN126" s="104">
        <f si="139" t="shared"/>
        <v>0.62883091991860574</v>
      </c>
      <c r="AO126" s="104">
        <f si="140" t="shared"/>
        <v>-0.3523774627244286</v>
      </c>
      <c r="AP126" s="104">
        <f si="141" t="shared"/>
        <v>-0.8467134207431285</v>
      </c>
      <c r="AQ126" s="104">
        <f si="142" t="shared"/>
        <v>0.60667044184054253</v>
      </c>
      <c r="AR126" s="104">
        <f si="143" t="shared"/>
        <v>1.2181469704229644</v>
      </c>
      <c r="AS126" s="104">
        <f si="144" t="shared"/>
        <v>1.2538307047681188</v>
      </c>
      <c r="AT126" s="104">
        <f si="145" t="shared"/>
        <v>-0.94589885437992771</v>
      </c>
      <c r="AU126" s="104">
        <f si="146" t="shared"/>
        <v>0</v>
      </c>
      <c r="AV126" s="104">
        <f si="147" t="shared"/>
        <v>0</v>
      </c>
      <c r="CU126" s="95">
        <v>125</v>
      </c>
      <c r="CV126" s="95">
        <f si="109" t="shared"/>
        <v>7</v>
      </c>
      <c r="CW126" s="95">
        <f si="103" t="shared"/>
        <v>5</v>
      </c>
      <c r="CX126" s="58">
        <f si="104" t="shared"/>
        <v>2044.8107500362687</v>
      </c>
      <c r="CY126" s="58">
        <f si="105" t="shared"/>
        <v>1511.0000000000002</v>
      </c>
      <c r="CZ126" s="108">
        <f si="106" t="shared"/>
        <v>-533.81075003626847</v>
      </c>
      <c r="DA126" s="78">
        <f si="107" t="shared"/>
        <v>-0.26105631048095784</v>
      </c>
    </row>
    <row r="127" spans="26:105" x14ac:dyDescent="0.25">
      <c r="Z127" s="95">
        <v>18</v>
      </c>
      <c r="AA127" s="104">
        <f si="126" t="shared"/>
        <v>0.85702909169245045</v>
      </c>
      <c r="AB127" s="104">
        <f si="127" t="shared"/>
        <v>-0.29760090163566333</v>
      </c>
      <c r="AC127" s="104">
        <f si="128" t="shared"/>
        <v>0.3173551727484798</v>
      </c>
      <c r="AD127" s="104">
        <f si="129" t="shared"/>
        <v>-0.62780859943705714</v>
      </c>
      <c r="AE127" s="104">
        <f si="130" t="shared"/>
        <v>-0.19174536954021951</v>
      </c>
      <c r="AF127" s="104">
        <f si="131" t="shared"/>
        <v>0.37685063090451365</v>
      </c>
      <c r="AG127" s="104">
        <f si="132" t="shared"/>
        <v>0.87452167079428766</v>
      </c>
      <c r="AH127" s="104">
        <f si="133" t="shared"/>
        <v>-0.98587330210413926</v>
      </c>
      <c r="AI127" s="104">
        <f si="134" t="shared"/>
        <v>-1.5840046588372354E-2</v>
      </c>
      <c r="AJ127" s="104">
        <f si="135" t="shared"/>
        <v>2.1517519169174024</v>
      </c>
      <c r="AK127" s="104">
        <f si="136" t="shared"/>
        <v>0.20037691287327317</v>
      </c>
      <c r="AL127" s="104">
        <f si="137" t="shared"/>
        <v>-0.26324610083420125</v>
      </c>
      <c r="AM127" s="104">
        <f si="138" t="shared"/>
        <v>1.8842807828458097</v>
      </c>
      <c r="AN127" s="104">
        <f si="139" t="shared"/>
        <v>0.87885082014947102</v>
      </c>
      <c r="AO127" s="104">
        <f si="140" t="shared"/>
        <v>4.8666158261810022</v>
      </c>
      <c r="AP127" s="104">
        <f si="141" t="shared"/>
        <v>-0.65264942820766081</v>
      </c>
      <c r="AQ127" s="104">
        <f si="142" t="shared"/>
        <v>29.061613122391535</v>
      </c>
      <c r="AR127" s="104">
        <f si="143" t="shared"/>
        <v>-5.817049249659605E-3</v>
      </c>
      <c r="AS127" s="104">
        <f si="144" t="shared"/>
        <v>1.0577889934970397</v>
      </c>
      <c r="AT127" s="104">
        <f si="145" t="shared"/>
        <v>-0.79395881342551944</v>
      </c>
      <c r="AU127" s="104">
        <f si="146" t="shared"/>
        <v>0</v>
      </c>
      <c r="AV127" s="104">
        <f si="147" t="shared"/>
        <v>0</v>
      </c>
      <c r="CU127" s="95">
        <v>126</v>
      </c>
      <c r="CV127" s="95">
        <f si="109" t="shared"/>
        <v>7</v>
      </c>
      <c r="CW127" s="95">
        <f si="103" t="shared"/>
        <v>6</v>
      </c>
      <c r="CX127" s="58">
        <f si="104" t="shared"/>
        <v>7580.3582982736107</v>
      </c>
      <c r="CY127" s="58">
        <f si="105" t="shared"/>
        <v>10197.000000000002</v>
      </c>
      <c r="CZ127" s="108">
        <f si="106" t="shared"/>
        <v>2616.6417017263911</v>
      </c>
      <c r="DA127" s="78">
        <f si="107" t="shared"/>
        <v>0.34518707411525895</v>
      </c>
    </row>
    <row r="128" spans="26:105" x14ac:dyDescent="0.25">
      <c r="Z128" s="95">
        <v>19</v>
      </c>
      <c r="AA128" s="104">
        <f si="126" t="shared"/>
        <v>0.58781902789074614</v>
      </c>
      <c r="AB128" s="104">
        <f si="127" t="shared"/>
        <v>-0.16910954691785052</v>
      </c>
      <c r="AC128" s="104">
        <f si="128" t="shared"/>
        <v>0.67293979926187986</v>
      </c>
      <c r="AD128" s="104">
        <f si="129" t="shared"/>
        <v>-0.25867831919786177</v>
      </c>
      <c r="AE128" s="104">
        <f si="130" t="shared"/>
        <v>1.5019118758614556</v>
      </c>
      <c r="AF128" s="104">
        <f si="131" t="shared"/>
        <v>0.74348497267929048</v>
      </c>
      <c r="AG128" s="104">
        <f si="132" t="shared"/>
        <v>1.1697669457834008</v>
      </c>
      <c r="AH128" s="104">
        <f si="133" t="shared"/>
        <v>-0.88054532157690668</v>
      </c>
      <c r="AI128" s="104">
        <f si="134" t="shared"/>
        <v>0.54165784254731364</v>
      </c>
      <c r="AJ128" s="104">
        <f si="135" t="shared"/>
        <v>1.347284431013785</v>
      </c>
      <c r="AK128" s="104">
        <f si="136" t="shared"/>
        <v>-0.75312274838172855</v>
      </c>
      <c r="AL128" s="104">
        <f si="137" t="shared"/>
        <v>-0.22822541620691073</v>
      </c>
      <c r="AM128" s="104">
        <f si="138" t="shared"/>
        <v>2.2306250343678391</v>
      </c>
      <c r="AN128" s="104">
        <f si="139" t="shared"/>
        <v>0.44198861810734158</v>
      </c>
      <c r="AO128" s="104">
        <f si="140" t="shared"/>
        <v>0.37427301452353789</v>
      </c>
      <c r="AP128" s="104">
        <f si="141" t="shared"/>
        <v>0.25427412344248046</v>
      </c>
      <c r="AQ128" s="104">
        <f si="142" t="shared"/>
        <v>2.2282751796433478</v>
      </c>
      <c r="AR128" s="104">
        <f si="143" t="shared"/>
        <v>13.573470767617392</v>
      </c>
      <c r="AS128" s="104">
        <f si="144" t="shared"/>
        <v>-6.7108212163734166E-2</v>
      </c>
      <c r="AT128" s="104">
        <f si="145" t="shared"/>
        <v>-0.28327192946143975</v>
      </c>
      <c r="AU128" s="104">
        <f si="146" t="shared"/>
        <v>0</v>
      </c>
      <c r="AV128" s="104">
        <f si="147" t="shared"/>
        <v>0</v>
      </c>
      <c r="CU128" s="95">
        <v>127</v>
      </c>
      <c r="CV128" s="95">
        <f si="109" t="shared"/>
        <v>7</v>
      </c>
      <c r="CW128" s="95">
        <f si="103" t="shared"/>
        <v>7</v>
      </c>
      <c r="CX128" s="58">
        <f si="104" t="shared"/>
        <v>36065.432322646164</v>
      </c>
      <c r="CY128" s="58">
        <f si="105" t="shared"/>
        <v>29829.000000000004</v>
      </c>
      <c r="CZ128" s="108">
        <f si="106" t="shared"/>
        <v>-6236.4323226461602</v>
      </c>
      <c r="DA128" s="78">
        <f si="107" t="shared"/>
        <v>-0.17291993804078667</v>
      </c>
    </row>
    <row r="129" spans="26:105" x14ac:dyDescent="0.25">
      <c r="Z129" s="95">
        <v>20</v>
      </c>
      <c r="AA129" s="104">
        <f si="126" t="shared"/>
        <v>2.7064015962139685</v>
      </c>
      <c r="AB129" s="104">
        <f si="127" t="shared"/>
        <v>-0.10521858482025528</v>
      </c>
      <c r="AC129" s="104">
        <f si="128" t="shared"/>
        <v>7.5833601027947308</v>
      </c>
      <c r="AD129" s="104">
        <f si="129" t="shared"/>
        <v>-6.5502438454574707E-2</v>
      </c>
      <c r="AE129" s="104">
        <f si="130" t="shared"/>
        <v>0.30322812481284056</v>
      </c>
      <c r="AF129" s="104">
        <f si="131" t="shared"/>
        <v>3.2909458033132943</v>
      </c>
      <c r="AG129" s="104">
        <f si="132" t="shared"/>
        <v>1.6245463430637481</v>
      </c>
      <c r="AH129" s="104">
        <f si="133" t="shared"/>
        <v>-0.17764214584002572</v>
      </c>
      <c r="AI129" s="104">
        <f si="134" t="shared"/>
        <v>0.85739446370614902</v>
      </c>
      <c r="AJ129" s="104">
        <f si="135" t="shared"/>
        <v>0.71429983444117717</v>
      </c>
      <c r="AK129" s="104">
        <f si="136" t="shared"/>
        <v>0.80918727915194344</v>
      </c>
      <c r="AL129" s="104">
        <f si="137" t="shared"/>
        <v>-3.3707101573203509E-2</v>
      </c>
      <c r="AM129" s="104">
        <f si="138" t="shared"/>
        <v>2.3374022914658958</v>
      </c>
      <c r="AN129" s="104">
        <f si="139" t="shared"/>
        <v>2.2894314166398972</v>
      </c>
      <c r="AO129" s="104">
        <f si="140" t="shared"/>
        <v>2.2894314166398972</v>
      </c>
      <c r="AP129" s="104">
        <f si="141" t="shared"/>
        <v>0.2896066349326869</v>
      </c>
      <c r="AQ129" s="104">
        <f si="142" t="shared"/>
        <v>7.716993254095728</v>
      </c>
      <c r="AR129" s="104">
        <f si="143" t="shared"/>
        <v>1.0929377819837185</v>
      </c>
      <c r="AS129" s="104">
        <f si="144" t="shared"/>
        <v>12.980083520719562</v>
      </c>
      <c r="AT129" s="104">
        <f si="145" t="shared"/>
        <v>-0.37801632426888143</v>
      </c>
      <c r="AU129" s="104">
        <f si="146" t="shared"/>
        <v>0</v>
      </c>
      <c r="AV129" s="104">
        <f si="147" t="shared"/>
        <v>0</v>
      </c>
      <c r="CU129" s="95">
        <v>128</v>
      </c>
      <c r="CV129" s="95">
        <f si="109" t="shared"/>
        <v>7</v>
      </c>
      <c r="CW129" s="95">
        <f si="103" t="shared"/>
        <v>8</v>
      </c>
      <c r="CX129" s="58">
        <f si="104" t="shared"/>
        <v>181.98153924271</v>
      </c>
      <c r="CY129" s="58">
        <f si="105" t="shared"/>
        <v>24.000000000000004</v>
      </c>
      <c r="CZ129" s="108">
        <f si="106" t="shared"/>
        <v>-157.98153924271</v>
      </c>
      <c r="DA129" s="78">
        <f si="107" t="shared"/>
        <v>-0.86811849103006522</v>
      </c>
    </row>
    <row r="130" spans="26:105" x14ac:dyDescent="0.25">
      <c r="Z130" s="101" t="s">
        <v>15</v>
      </c>
      <c r="AA130" s="105">
        <f si="126" t="shared"/>
        <v>0</v>
      </c>
      <c r="AB130" s="105">
        <f si="127" t="shared"/>
        <v>0</v>
      </c>
      <c r="AC130" s="105">
        <f si="128" t="shared"/>
        <v>0</v>
      </c>
      <c r="AD130" s="105">
        <f si="129" t="shared"/>
        <v>0</v>
      </c>
      <c r="AE130" s="105">
        <f si="130" t="shared"/>
        <v>0</v>
      </c>
      <c r="AF130" s="105">
        <f si="131" t="shared"/>
        <v>0</v>
      </c>
      <c r="AG130" s="105">
        <f si="132" t="shared"/>
        <v>0</v>
      </c>
      <c r="AH130" s="105">
        <f si="133" t="shared"/>
        <v>0</v>
      </c>
      <c r="AI130" s="105">
        <f si="134" t="shared"/>
        <v>0</v>
      </c>
      <c r="AJ130" s="105">
        <f si="135" t="shared"/>
        <v>0</v>
      </c>
      <c r="AK130" s="105">
        <f si="136" t="shared"/>
        <v>0</v>
      </c>
      <c r="AL130" s="105">
        <f si="137" t="shared"/>
        <v>0</v>
      </c>
      <c r="AM130" s="105">
        <f si="138" t="shared"/>
        <v>0</v>
      </c>
      <c r="AN130" s="105">
        <f si="139" t="shared"/>
        <v>0</v>
      </c>
      <c r="AO130" s="105">
        <f si="140" t="shared"/>
        <v>0</v>
      </c>
      <c r="AP130" s="105">
        <f si="141" t="shared"/>
        <v>0</v>
      </c>
      <c r="AQ130" s="105">
        <f si="142" t="shared"/>
        <v>0</v>
      </c>
      <c r="AR130" s="105">
        <f si="143" t="shared"/>
        <v>0</v>
      </c>
      <c r="AS130" s="105">
        <f si="144" t="shared"/>
        <v>0</v>
      </c>
      <c r="AT130" s="105">
        <f si="145" t="shared"/>
        <v>0</v>
      </c>
      <c r="AU130" s="105">
        <f si="146" t="shared"/>
        <v>0</v>
      </c>
      <c r="AV130" s="105">
        <f si="147" t="shared"/>
        <v>0</v>
      </c>
      <c r="CU130" s="95">
        <v>129</v>
      </c>
      <c r="CV130" s="95">
        <f si="109" t="shared"/>
        <v>7</v>
      </c>
      <c r="CW130" s="95">
        <f si="103" t="shared"/>
        <v>9</v>
      </c>
      <c r="CX130" s="58">
        <f si="104" t="shared"/>
        <v>4248.4417525025392</v>
      </c>
      <c r="CY130" s="58">
        <f si="105" t="shared"/>
        <v>6048.0000000000009</v>
      </c>
      <c r="CZ130" s="108">
        <f si="106" t="shared"/>
        <v>1799.5582474974617</v>
      </c>
      <c r="DA130" s="78">
        <f si="107" t="shared"/>
        <v>0.42358077439509068</v>
      </c>
    </row>
    <row ht="15.75" r="131" spans="26:105" thickBot="1" x14ac:dyDescent="0.3">
      <c r="Z131" s="1" t="s">
        <v>3</v>
      </c>
      <c r="AA131" s="106">
        <f si="126" t="shared"/>
        <v>0.39089447672104194</v>
      </c>
      <c r="AB131" s="106">
        <f si="127" t="shared"/>
        <v>-0.15533125608562395</v>
      </c>
      <c r="AC131" s="106">
        <f si="128" t="shared"/>
        <v>-0.25102235962665409</v>
      </c>
      <c r="AD131" s="106">
        <f si="129" t="shared"/>
        <v>-0.63702286786099527</v>
      </c>
      <c r="AE131" s="106">
        <f si="130" t="shared"/>
        <v>-0.1254751833990316</v>
      </c>
      <c r="AF131" s="106">
        <f si="131" t="shared"/>
        <v>0.28202620472037793</v>
      </c>
      <c r="AG131" s="106">
        <f si="132" t="shared"/>
        <v>0.46745070957436635</v>
      </c>
      <c r="AH131" s="106">
        <f si="133" t="shared"/>
        <v>-0.91340805720029283</v>
      </c>
      <c r="AI131" s="106">
        <f si="134" t="shared"/>
        <v>-0.14519727748312483</v>
      </c>
      <c r="AJ131" s="106">
        <f si="135" t="shared"/>
        <v>-0.26671624017007156</v>
      </c>
      <c r="AK131" s="106">
        <f si="136" t="shared"/>
        <v>-0.68049253864496173</v>
      </c>
      <c r="AL131" s="106">
        <f si="137" t="shared"/>
        <v>-0.30824441095398447</v>
      </c>
      <c r="AM131" s="106">
        <f si="138" t="shared"/>
        <v>0.13921851091063595</v>
      </c>
      <c r="AN131" s="106">
        <f si="139" t="shared"/>
        <v>0.23413212556665605</v>
      </c>
      <c r="AO131" s="106">
        <f si="140" t="shared"/>
        <v>-9.3773813915004181E-2</v>
      </c>
      <c r="AP131" s="106">
        <f si="141" t="shared"/>
        <v>-0.60637615890216512</v>
      </c>
      <c r="AQ131" s="106">
        <f si="142" t="shared"/>
        <v>3.2994788626896674</v>
      </c>
      <c r="AR131" s="106">
        <f si="143" t="shared"/>
        <v>0.81470125106967384</v>
      </c>
      <c r="AS131" s="106">
        <f si="144" t="shared"/>
        <v>0.19122527431862457</v>
      </c>
      <c r="AT131" s="106">
        <f si="145" t="shared"/>
        <v>-0.48554010118075824</v>
      </c>
      <c r="AU131" s="106">
        <f si="146" t="shared"/>
        <v>0</v>
      </c>
      <c r="AV131" s="106">
        <f si="147" t="shared"/>
        <v>0</v>
      </c>
      <c r="CU131" s="95">
        <v>130</v>
      </c>
      <c r="CV131" s="95">
        <f si="109" t="shared"/>
        <v>7</v>
      </c>
      <c r="CW131" s="95">
        <f ref="CW131:CW194" si="148" t="shared">MOD(ROW()-2,$CS$2)+1</f>
        <v>10</v>
      </c>
      <c r="CX131" s="58">
        <f ref="CX131:CX194" si="149" t="shared">VLOOKUP($CV131,$B$30:$V$49,MATCH($CW131,$B$29:$V$29,0),0)</f>
        <v>1303.6495720295952</v>
      </c>
      <c r="CY131" s="58">
        <f ref="CY131:CY194" si="150" t="shared">VLOOKUP($CV131,$AY$30:$BS$49,MATCH($CW131,$AY$29:$BS$29,0),0)</f>
        <v>910.00000000000011</v>
      </c>
      <c r="CZ131" s="108">
        <f ref="CZ131:CZ194" si="151" t="shared">CY131-CX131</f>
        <v>-393.64957202959511</v>
      </c>
      <c r="DA131" s="78">
        <f ref="DA131:DA194" si="152" t="shared">CZ131/CX131</f>
        <v>-0.30195965271306707</v>
      </c>
    </row>
    <row r="132" spans="26:105" x14ac:dyDescent="0.25">
      <c r="CU132" s="95">
        <v>131</v>
      </c>
      <c r="CV132" s="95">
        <f ref="CV132:CV195" si="153" t="shared">IF(CW131&lt;$CS$2,CV131,CV131+1)</f>
        <v>7</v>
      </c>
      <c r="CW132" s="95">
        <f si="148" t="shared"/>
        <v>11</v>
      </c>
      <c r="CX132" s="58">
        <f si="149" t="shared"/>
        <v>1803.2716161323081</v>
      </c>
      <c r="CY132" s="58">
        <f si="150" t="shared"/>
        <v>573.00000000000011</v>
      </c>
      <c r="CZ132" s="108">
        <f si="151" t="shared"/>
        <v>-1230.2716161323078</v>
      </c>
      <c r="DA132" s="78">
        <f si="152" t="shared"/>
        <v>-0.68224420831899868</v>
      </c>
    </row>
    <row r="133" spans="26:105" x14ac:dyDescent="0.25">
      <c r="CU133" s="95">
        <v>132</v>
      </c>
      <c r="CV133" s="95">
        <f si="153" t="shared"/>
        <v>7</v>
      </c>
      <c r="CW133" s="95">
        <f si="148" t="shared"/>
        <v>12</v>
      </c>
      <c r="CX133" s="58">
        <f si="149" t="shared"/>
        <v>12272.173255476569</v>
      </c>
      <c r="CY133" s="58">
        <f si="150" t="shared"/>
        <v>11081.000000000002</v>
      </c>
      <c r="CZ133" s="108">
        <f si="151" t="shared"/>
        <v>-1191.1732554765676</v>
      </c>
      <c r="DA133" s="78">
        <f si="152" t="shared"/>
        <v>-9.7062943186936812E-2</v>
      </c>
    </row>
    <row ht="15.75" r="134" spans="26:105" thickBot="1" x14ac:dyDescent="0.3">
      <c r="Z134" s="23" t="s">
        <v>367</v>
      </c>
      <c r="AA134" s="24"/>
      <c r="AB134" s="24"/>
      <c r="AC134" s="24"/>
      <c r="AD134" s="24"/>
      <c r="AE134" s="24"/>
      <c r="AF134" s="24"/>
      <c r="AG134" s="24"/>
      <c r="AH134" s="24"/>
      <c r="AI134" s="24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CU134" s="95">
        <v>133</v>
      </c>
      <c r="CV134" s="95">
        <f si="153" t="shared"/>
        <v>7</v>
      </c>
      <c r="CW134" s="95">
        <f si="148" t="shared"/>
        <v>13</v>
      </c>
      <c r="CX134" s="58">
        <f si="149" t="shared"/>
        <v>10465.592884085303</v>
      </c>
      <c r="CY134" s="58">
        <f si="150" t="shared"/>
        <v>13719.000000000002</v>
      </c>
      <c r="CZ134" s="108">
        <f si="151" t="shared"/>
        <v>3253.4071159146988</v>
      </c>
      <c r="DA134" s="78">
        <f si="152" t="shared"/>
        <v>0.31086696682631831</v>
      </c>
    </row>
    <row r="135" spans="26:105" x14ac:dyDescent="0.2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 s="95">
        <v>134</v>
      </c>
      <c r="CV135" s="95">
        <f si="153" t="shared"/>
        <v>7</v>
      </c>
      <c r="CW135" s="95">
        <f si="148" t="shared"/>
        <v>14</v>
      </c>
      <c r="CX135" s="58">
        <f si="149" t="shared"/>
        <v>82.718881473959087</v>
      </c>
      <c r="CY135" s="58">
        <f si="150" t="shared"/>
        <v>44.000000000000007</v>
      </c>
      <c r="CZ135" s="108">
        <f si="151" t="shared"/>
        <v>-38.71888147395908</v>
      </c>
      <c r="DA135" s="78">
        <f si="152" t="shared"/>
        <v>-0.4680779138212629</v>
      </c>
    </row>
    <row r="136" spans="26:105" x14ac:dyDescent="0.25">
      <c r="Z136" s="31">
        <v>1</v>
      </c>
      <c r="AA136" s="103">
        <f>ABS(AA110)</f>
        <v>0.31709027223234992</v>
      </c>
      <c r="AB136" s="103">
        <f ref="AB136:AV136" si="154" t="shared">ABS(AB110)</f>
        <v>0.36017415314570578</v>
      </c>
      <c r="AC136" s="103">
        <f si="154" t="shared"/>
        <v>0.23099415604388071</v>
      </c>
      <c r="AD136" s="103">
        <f si="154" t="shared"/>
        <v>0.50380222854125967</v>
      </c>
      <c r="AE136" s="103">
        <f si="154" t="shared"/>
        <v>0.13852365745329098</v>
      </c>
      <c r="AF136" s="103">
        <f si="154" t="shared"/>
        <v>0.10627176495431233</v>
      </c>
      <c r="AG136" s="103">
        <f si="154" t="shared"/>
        <v>2.1093232728646591</v>
      </c>
      <c r="AH136" s="103">
        <f si="154" t="shared"/>
        <v>0.66290056161215727</v>
      </c>
      <c r="AI136" s="103">
        <f si="154" t="shared"/>
        <v>0.27114579892082347</v>
      </c>
      <c r="AJ136" s="103">
        <f si="154" t="shared"/>
        <v>0.21874412340220065</v>
      </c>
      <c r="AK136" s="103">
        <f si="154" t="shared"/>
        <v>0.66091762373928764</v>
      </c>
      <c r="AL136" s="103">
        <f si="154" t="shared"/>
        <v>0.23353347328288357</v>
      </c>
      <c r="AM136" s="103">
        <f si="154" t="shared"/>
        <v>0.12467456754753459</v>
      </c>
      <c r="AN136" s="103">
        <f si="154" t="shared"/>
        <v>0.24152626362735408</v>
      </c>
      <c r="AO136" s="103">
        <f si="154" t="shared"/>
        <v>3.4318661458636965</v>
      </c>
      <c r="AP136" s="103">
        <f si="154" t="shared"/>
        <v>0.19096134786917765</v>
      </c>
      <c r="AQ136" s="103">
        <f si="154" t="shared"/>
        <v>49.312091179385511</v>
      </c>
      <c r="AR136" s="103">
        <f si="154" t="shared"/>
        <v>3.0451932606541123</v>
      </c>
      <c r="AS136" s="103">
        <f si="154" t="shared"/>
        <v>0.25838123554674619</v>
      </c>
      <c r="AT136" s="103">
        <f si="154" t="shared"/>
        <v>0.63882203029873996</v>
      </c>
      <c r="AU136" s="103">
        <f si="154" t="shared"/>
        <v>0</v>
      </c>
      <c r="AV136" s="103">
        <f si="154" t="shared"/>
        <v>0</v>
      </c>
      <c r="CU136" s="95">
        <v>135</v>
      </c>
      <c r="CV136" s="95">
        <f si="153" t="shared"/>
        <v>7</v>
      </c>
      <c r="CW136" s="95">
        <f si="148" t="shared"/>
        <v>15</v>
      </c>
      <c r="CX136" s="58">
        <f si="149" t="shared"/>
        <v>794.1012621500073</v>
      </c>
      <c r="CY136" s="58">
        <f si="150" t="shared"/>
        <v>2024.0000000000002</v>
      </c>
      <c r="CZ136" s="108">
        <f si="151" t="shared"/>
        <v>1229.8987378499928</v>
      </c>
      <c r="DA136" s="78">
        <f si="152" t="shared"/>
        <v>1.5487933296064482</v>
      </c>
    </row>
    <row r="137" spans="26:105" x14ac:dyDescent="0.25">
      <c r="Z137" s="95">
        <v>2</v>
      </c>
      <c r="AA137" s="104">
        <f ref="AA137:AV137" si="155" t="shared">ABS(AA111)</f>
        <v>0.65222849581669018</v>
      </c>
      <c r="AB137" s="104">
        <f si="155" t="shared"/>
        <v>0.73269982437036629</v>
      </c>
      <c r="AC137" s="104">
        <f si="155" t="shared"/>
        <v>3.2270102342591193E-2</v>
      </c>
      <c r="AD137" s="104">
        <f si="155" t="shared"/>
        <v>0.46143727434718118</v>
      </c>
      <c r="AE137" s="104">
        <f si="155" t="shared"/>
        <v>9.9773378757635395E-2</v>
      </c>
      <c r="AF137" s="104">
        <f si="155" t="shared"/>
        <v>0.3560736812376436</v>
      </c>
      <c r="AG137" s="104">
        <f si="155" t="shared"/>
        <v>1.3249659059400054</v>
      </c>
      <c r="AH137" s="104">
        <f si="155" t="shared"/>
        <v>0.79242894948797604</v>
      </c>
      <c r="AI137" s="104">
        <f si="155" t="shared"/>
        <v>0.3303417328270622</v>
      </c>
      <c r="AJ137" s="104">
        <f si="155" t="shared"/>
        <v>5.6200379703141359E-2</v>
      </c>
      <c r="AK137" s="104">
        <f si="155" t="shared"/>
        <v>0.39026003912092977</v>
      </c>
      <c r="AL137" s="104">
        <f si="155" t="shared"/>
        <v>9.4072412073792633E-2</v>
      </c>
      <c r="AM137" s="104">
        <f si="155" t="shared"/>
        <v>0.60646743880316356</v>
      </c>
      <c r="AN137" s="104">
        <f si="155" t="shared"/>
        <v>4.2930617880566091</v>
      </c>
      <c r="AO137" s="104">
        <f si="155" t="shared"/>
        <v>2.1758370728339651</v>
      </c>
      <c r="AP137" s="104">
        <f si="155" t="shared"/>
        <v>0</v>
      </c>
      <c r="AQ137" s="104">
        <f si="155" t="shared"/>
        <v>9.2747670003451823</v>
      </c>
      <c r="AR137" s="104">
        <f si="155" t="shared"/>
        <v>3.1588342620444791</v>
      </c>
      <c r="AS137" s="104">
        <f si="155" t="shared"/>
        <v>8.9748015188125488E-2</v>
      </c>
      <c r="AT137" s="104">
        <f si="155" t="shared"/>
        <v>0.71458980554596707</v>
      </c>
      <c r="AU137" s="104">
        <f si="155" t="shared"/>
        <v>0</v>
      </c>
      <c r="AV137" s="104">
        <f si="155" t="shared"/>
        <v>0</v>
      </c>
      <c r="CU137" s="95">
        <v>136</v>
      </c>
      <c r="CV137" s="95">
        <f si="153" t="shared"/>
        <v>7</v>
      </c>
      <c r="CW137" s="95">
        <f si="148" t="shared"/>
        <v>16</v>
      </c>
      <c r="CX137" s="58">
        <f si="149" t="shared"/>
        <v>115.80643406354272</v>
      </c>
      <c r="CY137" s="58">
        <f si="150" t="shared"/>
        <v>55.000000000000007</v>
      </c>
      <c r="CZ137" s="108">
        <f si="151" t="shared"/>
        <v>-60.806434063542717</v>
      </c>
      <c r="DA137" s="78">
        <f si="152" t="shared"/>
        <v>-0.52506956591184184</v>
      </c>
    </row>
    <row r="138" spans="26:105" x14ac:dyDescent="0.25">
      <c r="Z138" s="95">
        <v>3</v>
      </c>
      <c r="AA138" s="104">
        <f ref="AA138:AV138" si="156" t="shared">ABS(AA112)</f>
        <v>0.29900234918444291</v>
      </c>
      <c r="AB138" s="104">
        <f si="156" t="shared"/>
        <v>0.13013796292566343</v>
      </c>
      <c r="AC138" s="104">
        <f si="156" t="shared"/>
        <v>0.64887960710678672</v>
      </c>
      <c r="AD138" s="104">
        <f si="156" t="shared"/>
        <v>0.69444185716089923</v>
      </c>
      <c r="AE138" s="104">
        <f si="156" t="shared"/>
        <v>0.18142687073048072</v>
      </c>
      <c r="AF138" s="104">
        <f si="156" t="shared"/>
        <v>0.29406476107928853</v>
      </c>
      <c r="AG138" s="104">
        <f si="156" t="shared"/>
        <v>3.6204968847352026</v>
      </c>
      <c r="AH138" s="104">
        <f si="156" t="shared"/>
        <v>0.91624409469035639</v>
      </c>
      <c r="AI138" s="104">
        <f si="156" t="shared"/>
        <v>4.8528863824827913E-2</v>
      </c>
      <c r="AJ138" s="104">
        <f si="156" t="shared"/>
        <v>0.48841245095850211</v>
      </c>
      <c r="AK138" s="104">
        <f si="156" t="shared"/>
        <v>0.64253938345987549</v>
      </c>
      <c r="AL138" s="104">
        <f si="156" t="shared"/>
        <v>9.9008108678573254E-3</v>
      </c>
      <c r="AM138" s="104">
        <f si="156" t="shared"/>
        <v>1.7320609846945683</v>
      </c>
      <c r="AN138" s="104">
        <f si="156" t="shared"/>
        <v>0.19812445239485985</v>
      </c>
      <c r="AO138" s="104">
        <f si="156" t="shared"/>
        <v>3.9795677570093457</v>
      </c>
      <c r="AP138" s="104">
        <f si="156" t="shared"/>
        <v>0.61891063084112152</v>
      </c>
      <c r="AQ138" s="104">
        <f si="156" t="shared"/>
        <v>50.501506174899866</v>
      </c>
      <c r="AR138" s="104">
        <f si="156" t="shared"/>
        <v>14.846966267523365</v>
      </c>
      <c r="AS138" s="104">
        <f si="156" t="shared"/>
        <v>2.9873239550882658</v>
      </c>
      <c r="AT138" s="104">
        <f si="156" t="shared"/>
        <v>0.51142388569374553</v>
      </c>
      <c r="AU138" s="104">
        <f si="156" t="shared"/>
        <v>0</v>
      </c>
      <c r="AV138" s="104">
        <f si="156" t="shared"/>
        <v>0</v>
      </c>
      <c r="CU138" s="95">
        <v>137</v>
      </c>
      <c r="CV138" s="95">
        <f si="153" t="shared"/>
        <v>7</v>
      </c>
      <c r="CW138" s="95">
        <f si="148" t="shared"/>
        <v>17</v>
      </c>
      <c r="CX138" s="58">
        <f si="149" t="shared"/>
        <v>82.718881473959087</v>
      </c>
      <c r="CY138" s="58">
        <f si="150" t="shared"/>
        <v>995.00000000000011</v>
      </c>
      <c r="CZ138" s="108">
        <f si="151" t="shared"/>
        <v>912.28111852604104</v>
      </c>
      <c r="DA138" s="78">
        <f si="152" t="shared"/>
        <v>11.028692630632806</v>
      </c>
    </row>
    <row r="139" spans="26:105" x14ac:dyDescent="0.25">
      <c r="Z139" s="95">
        <v>4</v>
      </c>
      <c r="AA139" s="104">
        <f ref="AA139:AV139" si="157" t="shared">ABS(AA113)</f>
        <v>0.74701780498282966</v>
      </c>
      <c r="AB139" s="104">
        <f si="157" t="shared"/>
        <v>0.37081709053482581</v>
      </c>
      <c r="AC139" s="104">
        <f si="157" t="shared"/>
        <v>0.49048256619346842</v>
      </c>
      <c r="AD139" s="104">
        <f si="157" t="shared"/>
        <v>0.82996098896636661</v>
      </c>
      <c r="AE139" s="104">
        <f si="157" t="shared"/>
        <v>0.68751126364734938</v>
      </c>
      <c r="AF139" s="104">
        <f si="157" t="shared"/>
        <v>0.89083810106153649</v>
      </c>
      <c r="AG139" s="104">
        <f si="157" t="shared"/>
        <v>1.5636274674054507</v>
      </c>
      <c r="AH139" s="104">
        <f si="157" t="shared"/>
        <v>0.94171659149807097</v>
      </c>
      <c r="AI139" s="104">
        <f si="157" t="shared"/>
        <v>0.18729946314345247</v>
      </c>
      <c r="AJ139" s="104">
        <f si="157" t="shared"/>
        <v>0.59089935204255495</v>
      </c>
      <c r="AK139" s="104">
        <f si="157" t="shared"/>
        <v>0.28218430912647385</v>
      </c>
      <c r="AL139" s="104">
        <f si="157" t="shared"/>
        <v>0.35791442297392756</v>
      </c>
      <c r="AM139" s="104">
        <f si="157" t="shared"/>
        <v>1.0835299598731571</v>
      </c>
      <c r="AN139" s="104">
        <f si="157" t="shared"/>
        <v>0.59158538601421717</v>
      </c>
      <c r="AO139" s="104">
        <f si="157" t="shared"/>
        <v>0.29839860438001936</v>
      </c>
      <c r="AP139" s="104">
        <f si="157" t="shared"/>
        <v>2.5153951066291924E-2</v>
      </c>
      <c r="AQ139" s="104">
        <f si="157" t="shared"/>
        <v>28.539824764423869</v>
      </c>
      <c r="AR139" s="104">
        <f si="157" t="shared"/>
        <v>6.0029756984625564</v>
      </c>
      <c r="AS139" s="104">
        <f si="157" t="shared"/>
        <v>4.7297073896511819</v>
      </c>
      <c r="AT139" s="104">
        <f si="157" t="shared"/>
        <v>1.3873780790213259</v>
      </c>
      <c r="AU139" s="104">
        <f si="157" t="shared"/>
        <v>0</v>
      </c>
      <c r="AV139" s="104">
        <f si="157" t="shared"/>
        <v>0</v>
      </c>
      <c r="CU139" s="95">
        <v>138</v>
      </c>
      <c r="CV139" s="95">
        <f si="153" t="shared"/>
        <v>7</v>
      </c>
      <c r="CW139" s="95">
        <f si="148" t="shared"/>
        <v>18</v>
      </c>
      <c r="CX139" s="58">
        <f si="149" t="shared"/>
        <v>919.833961990425</v>
      </c>
      <c r="CY139" s="58">
        <f si="150" t="shared"/>
        <v>2054.0000000000005</v>
      </c>
      <c r="CZ139" s="108">
        <f si="151" t="shared"/>
        <v>1134.1660380095755</v>
      </c>
      <c r="DA139" s="78">
        <f si="152" t="shared"/>
        <v>1.2330117008893193</v>
      </c>
    </row>
    <row r="140" spans="26:105" x14ac:dyDescent="0.25">
      <c r="Z140" s="95">
        <v>5</v>
      </c>
      <c r="AA140" s="104">
        <f ref="AA140:AV140" si="158" t="shared">ABS(AA114)</f>
        <v>0.13864980988923764</v>
      </c>
      <c r="AB140" s="104">
        <f si="158" t="shared"/>
        <v>0.10930102854771137</v>
      </c>
      <c r="AC140" s="104">
        <f si="158" t="shared"/>
        <v>0.35792362640652126</v>
      </c>
      <c r="AD140" s="104">
        <f si="158" t="shared"/>
        <v>0.69689454260659067</v>
      </c>
      <c r="AE140" s="104">
        <f si="158" t="shared"/>
        <v>0.65880903754408637</v>
      </c>
      <c r="AF140" s="104">
        <f si="158" t="shared"/>
        <v>0.59225392163390655</v>
      </c>
      <c r="AG140" s="104">
        <f si="158" t="shared"/>
        <v>1.1787933466749778</v>
      </c>
      <c r="AH140" s="104">
        <f si="158" t="shared"/>
        <v>0.90256795751594365</v>
      </c>
      <c r="AI140" s="104">
        <f si="158" t="shared"/>
        <v>0.44881090279863295</v>
      </c>
      <c r="AJ140" s="104">
        <f si="158" t="shared"/>
        <v>0.26416994780697739</v>
      </c>
      <c r="AK140" s="104">
        <f si="158" t="shared"/>
        <v>0.27354240851173361</v>
      </c>
      <c r="AL140" s="104">
        <f si="158" t="shared"/>
        <v>0.2366038869106353</v>
      </c>
      <c r="AM140" s="104">
        <f si="158" t="shared"/>
        <v>3.3751626696411976</v>
      </c>
      <c r="AN140" s="104">
        <f si="158" t="shared"/>
        <v>5.1868377021751198E-2</v>
      </c>
      <c r="AO140" s="104">
        <f si="158" t="shared"/>
        <v>2.1613218070273286</v>
      </c>
      <c r="AP140" s="104">
        <f si="158" t="shared"/>
        <v>0.63984941438929166</v>
      </c>
      <c r="AQ140" s="104">
        <f si="158" t="shared"/>
        <v>24.130507529280536</v>
      </c>
      <c r="AR140" s="104">
        <f si="158" t="shared"/>
        <v>3.417847183491356</v>
      </c>
      <c r="AS140" s="104">
        <f si="158" t="shared"/>
        <v>0.26173213289777708</v>
      </c>
      <c r="AT140" s="104">
        <f si="158" t="shared"/>
        <v>4.1221416620189624</v>
      </c>
      <c r="AU140" s="104">
        <f si="158" t="shared"/>
        <v>0</v>
      </c>
      <c r="AV140" s="104">
        <f si="158" t="shared"/>
        <v>0</v>
      </c>
      <c r="CU140" s="95">
        <v>139</v>
      </c>
      <c r="CV140" s="95">
        <f si="153" t="shared"/>
        <v>7</v>
      </c>
      <c r="CW140" s="95">
        <f si="148" t="shared"/>
        <v>19</v>
      </c>
      <c r="CX140" s="58">
        <f si="149" t="shared"/>
        <v>251.46539968083565</v>
      </c>
      <c r="CY140" s="58">
        <f si="150" t="shared"/>
        <v>490.00000000000006</v>
      </c>
      <c r="CZ140" s="108">
        <f si="151" t="shared"/>
        <v>238.53460031916441</v>
      </c>
      <c r="DA140" s="78">
        <f si="152" t="shared"/>
        <v>0.94857821641433282</v>
      </c>
    </row>
    <row r="141" spans="26:105" x14ac:dyDescent="0.25">
      <c r="Z141" s="95">
        <v>6</v>
      </c>
      <c r="AA141" s="104">
        <f ref="AA141:AV141" si="159" t="shared">ABS(AA115)</f>
        <v>0.11947598130460164</v>
      </c>
      <c r="AB141" s="104">
        <f si="159" t="shared"/>
        <v>6.1465827810589756E-2</v>
      </c>
      <c r="AC141" s="104">
        <f si="159" t="shared"/>
        <v>0.21645359514982684</v>
      </c>
      <c r="AD141" s="104">
        <f si="159" t="shared"/>
        <v>0.50972086377499193</v>
      </c>
      <c r="AE141" s="104">
        <f si="159" t="shared"/>
        <v>0.16045932450958117</v>
      </c>
      <c r="AF141" s="104">
        <f si="159" t="shared"/>
        <v>0.15350771515286979</v>
      </c>
      <c r="AG141" s="104">
        <f si="159" t="shared"/>
        <v>3.5236890241797991</v>
      </c>
      <c r="AH141" s="104">
        <f si="159" t="shared"/>
        <v>0.71663974653662166</v>
      </c>
      <c r="AI141" s="104">
        <f si="159" t="shared"/>
        <v>0.33195328181655764</v>
      </c>
      <c r="AJ141" s="104">
        <f si="159" t="shared"/>
        <v>0.17292472553461469</v>
      </c>
      <c r="AK141" s="104">
        <f si="159" t="shared"/>
        <v>4.4887038992773028E-2</v>
      </c>
      <c r="AL141" s="104">
        <f si="159" t="shared"/>
        <v>0.32048118992891317</v>
      </c>
      <c r="AM141" s="104">
        <f si="159" t="shared"/>
        <v>1.114517825844751</v>
      </c>
      <c r="AN141" s="104">
        <f si="159" t="shared"/>
        <v>1.342444761963927</v>
      </c>
      <c r="AO141" s="104">
        <f si="159" t="shared"/>
        <v>0.19691371062930979</v>
      </c>
      <c r="AP141" s="104">
        <f si="159" t="shared"/>
        <v>0.66868647287358851</v>
      </c>
      <c r="AQ141" s="104">
        <f si="159" t="shared"/>
        <v>19.77975192064774</v>
      </c>
      <c r="AR141" s="104">
        <f si="159" t="shared"/>
        <v>3.769897599966868</v>
      </c>
      <c r="AS141" s="104">
        <f si="159" t="shared"/>
        <v>0.16923388797520297</v>
      </c>
      <c r="AT141" s="104">
        <f si="159" t="shared"/>
        <v>0.18770060673831554</v>
      </c>
      <c r="AU141" s="104">
        <f si="159" t="shared"/>
        <v>0</v>
      </c>
      <c r="AV141" s="104">
        <f si="159" t="shared"/>
        <v>0</v>
      </c>
      <c r="CU141" s="95">
        <v>140</v>
      </c>
      <c r="CV141" s="95">
        <f si="153" t="shared"/>
        <v>7</v>
      </c>
      <c r="CW141" s="95">
        <f si="148" t="shared"/>
        <v>20</v>
      </c>
      <c r="CX141" s="58">
        <f si="149" t="shared"/>
        <v>231.61286812708545</v>
      </c>
      <c r="CY141" s="58">
        <f si="150" t="shared"/>
        <v>67.000000000000014</v>
      </c>
      <c r="CZ141" s="108">
        <f si="151" t="shared"/>
        <v>-164.61286812708545</v>
      </c>
      <c r="DA141" s="78">
        <f si="152" t="shared"/>
        <v>-0.71072419014630372</v>
      </c>
    </row>
    <row r="142" spans="26:105" x14ac:dyDescent="0.25">
      <c r="Z142" s="95">
        <v>7</v>
      </c>
      <c r="AA142" s="104">
        <f ref="AA142:AV142" si="160" t="shared">ABS(AA116)</f>
        <v>0.66409191480282137</v>
      </c>
      <c r="AB142" s="104">
        <f si="160" t="shared"/>
        <v>0.25944480065058861</v>
      </c>
      <c r="AC142" s="104">
        <f si="160" t="shared"/>
        <v>0.4224164905963953</v>
      </c>
      <c r="AD142" s="104">
        <f si="160" t="shared"/>
        <v>0.64725982193452325</v>
      </c>
      <c r="AE142" s="104">
        <f si="160" t="shared"/>
        <v>0.26105631048095784</v>
      </c>
      <c r="AF142" s="104">
        <f si="160" t="shared"/>
        <v>0.34518707411525895</v>
      </c>
      <c r="AG142" s="104">
        <f si="160" t="shared"/>
        <v>0.17291993804078667</v>
      </c>
      <c r="AH142" s="104">
        <f si="160" t="shared"/>
        <v>0.86811849103006522</v>
      </c>
      <c r="AI142" s="104">
        <f si="160" t="shared"/>
        <v>0.42358077439509068</v>
      </c>
      <c r="AJ142" s="104">
        <f si="160" t="shared"/>
        <v>0.30195965271306707</v>
      </c>
      <c r="AK142" s="104">
        <f si="160" t="shared"/>
        <v>0.68224420831899868</v>
      </c>
      <c r="AL142" s="104">
        <f si="160" t="shared"/>
        <v>9.7062943186936812E-2</v>
      </c>
      <c r="AM142" s="104">
        <f si="160" t="shared"/>
        <v>0.31086696682631831</v>
      </c>
      <c r="AN142" s="104">
        <f si="160" t="shared"/>
        <v>0.4680779138212629</v>
      </c>
      <c r="AO142" s="104">
        <f si="160" t="shared"/>
        <v>1.5487933296064482</v>
      </c>
      <c r="AP142" s="104">
        <f si="160" t="shared"/>
        <v>0.52506956591184184</v>
      </c>
      <c r="AQ142" s="104">
        <f si="160" t="shared"/>
        <v>11.028692630632806</v>
      </c>
      <c r="AR142" s="104">
        <f si="160" t="shared"/>
        <v>1.2330117008893193</v>
      </c>
      <c r="AS142" s="104">
        <f si="160" t="shared"/>
        <v>0.94857821641433282</v>
      </c>
      <c r="AT142" s="104">
        <f si="160" t="shared"/>
        <v>0.71072419014630372</v>
      </c>
      <c r="AU142" s="104">
        <f si="160" t="shared"/>
        <v>0</v>
      </c>
      <c r="AV142" s="104">
        <f si="160" t="shared"/>
        <v>0</v>
      </c>
      <c r="CU142" s="95">
        <v>141</v>
      </c>
      <c r="CV142" s="95">
        <f si="153" t="shared"/>
        <v>8</v>
      </c>
      <c r="CW142" s="95">
        <f si="148" t="shared"/>
        <v>1</v>
      </c>
      <c r="CX142" s="58">
        <f si="149" t="shared"/>
        <v>402.29305912596396</v>
      </c>
      <c r="CY142" s="58">
        <f si="150" t="shared"/>
        <v>656</v>
      </c>
      <c r="CZ142" s="108">
        <f si="151" t="shared"/>
        <v>253.70694087403604</v>
      </c>
      <c r="DA142" s="78">
        <f si="152" t="shared"/>
        <v>0.63065204611098347</v>
      </c>
    </row>
    <row r="143" spans="26:105" x14ac:dyDescent="0.25">
      <c r="Z143" s="95">
        <v>8</v>
      </c>
      <c r="AA143" s="104">
        <f ref="AA143:AV143" si="161" t="shared">ABS(AA117)</f>
        <v>0.63065204611098347</v>
      </c>
      <c r="AB143" s="104">
        <f si="161" t="shared"/>
        <v>0.20299004538134985</v>
      </c>
      <c r="AC143" s="104">
        <f si="161" t="shared"/>
        <v>0.57468251354120914</v>
      </c>
      <c r="AD143" s="104">
        <f si="161" t="shared"/>
        <v>0.54608042194683659</v>
      </c>
      <c r="AE143" s="104">
        <f si="161" t="shared"/>
        <v>3.575241093560589E-2</v>
      </c>
      <c r="AF143" s="104">
        <f si="161" t="shared"/>
        <v>0.22023635833090169</v>
      </c>
      <c r="AG143" s="104">
        <f si="161" t="shared"/>
        <v>2.8789173789173788</v>
      </c>
      <c r="AH143" s="104">
        <f si="161" t="shared"/>
        <v>0.9674592718070979</v>
      </c>
      <c r="AI143" s="104">
        <f si="161" t="shared"/>
        <v>0.18380687245830948</v>
      </c>
      <c r="AJ143" s="104">
        <f si="161" t="shared"/>
        <v>0.57941108810674025</v>
      </c>
      <c r="AK143" s="104">
        <f si="161" t="shared"/>
        <v>0.59227815415106388</v>
      </c>
      <c r="AL143" s="104">
        <f si="161" t="shared"/>
        <v>0.19107612460756032</v>
      </c>
      <c r="AM143" s="104">
        <f si="161" t="shared"/>
        <v>3.0716586151368759</v>
      </c>
      <c r="AN143" s="104">
        <f si="161" t="shared"/>
        <v>0.63086611456176678</v>
      </c>
      <c r="AO143" s="104">
        <f si="161" t="shared"/>
        <v>3.3065619967793887</v>
      </c>
      <c r="AP143" s="104">
        <f si="161" t="shared"/>
        <v>0.80424718196457323</v>
      </c>
      <c r="AQ143" s="104">
        <f si="161" t="shared"/>
        <v>11.90402576489533</v>
      </c>
      <c r="AR143" s="104">
        <f si="161" t="shared"/>
        <v>3.2804616210413311</v>
      </c>
      <c r="AS143" s="104">
        <f si="161" t="shared"/>
        <v>2.6730346947738255</v>
      </c>
      <c r="AT143" s="104">
        <f si="161" t="shared"/>
        <v>1</v>
      </c>
      <c r="AU143" s="104">
        <f si="161" t="shared"/>
        <v>0</v>
      </c>
      <c r="AV143" s="104">
        <f si="161" t="shared"/>
        <v>0</v>
      </c>
      <c r="CU143" s="95">
        <v>142</v>
      </c>
      <c r="CV143" s="95">
        <f si="153" t="shared"/>
        <v>8</v>
      </c>
      <c r="CW143" s="95">
        <f si="148" t="shared"/>
        <v>2</v>
      </c>
      <c r="CX143" s="58">
        <f si="149" t="shared"/>
        <v>280.96658097686372</v>
      </c>
      <c r="CY143" s="58">
        <f si="150" t="shared"/>
        <v>338</v>
      </c>
      <c r="CZ143" s="108">
        <f si="151" t="shared"/>
        <v>57.033419023136275</v>
      </c>
      <c r="DA143" s="78">
        <f si="152" t="shared"/>
        <v>0.20299004538134985</v>
      </c>
    </row>
    <row r="144" spans="26:105" x14ac:dyDescent="0.25">
      <c r="Z144" s="95">
        <v>9</v>
      </c>
      <c r="AA144" s="104">
        <f ref="AA144:AV144" si="162" t="shared">ABS(AA118)</f>
        <v>0.73363767924906809</v>
      </c>
      <c r="AB144" s="104">
        <f si="162" t="shared"/>
        <v>0.1650254678293121</v>
      </c>
      <c r="AC144" s="104">
        <f si="162" t="shared"/>
        <v>7.2132472862016947E-2</v>
      </c>
      <c r="AD144" s="104">
        <f si="162" t="shared"/>
        <v>0.61595219342405838</v>
      </c>
      <c r="AE144" s="104">
        <f si="162" t="shared"/>
        <v>0.58051227086596846</v>
      </c>
      <c r="AF144" s="104">
        <f si="162" t="shared"/>
        <v>0.54806504115012911</v>
      </c>
      <c r="AG144" s="104">
        <f si="162" t="shared"/>
        <v>0.61277158136834575</v>
      </c>
      <c r="AH144" s="104">
        <f si="162" t="shared"/>
        <v>0.82070977730141714</v>
      </c>
      <c r="AI144" s="104">
        <f si="162" t="shared"/>
        <v>0.53741263696727037</v>
      </c>
      <c r="AJ144" s="104">
        <f si="162" t="shared"/>
        <v>0.18372836498098621</v>
      </c>
      <c r="AK144" s="104">
        <f si="162" t="shared"/>
        <v>0.58185469656343802</v>
      </c>
      <c r="AL144" s="104">
        <f si="162" t="shared"/>
        <v>0.23906588322257658</v>
      </c>
      <c r="AM144" s="104">
        <f si="162" t="shared"/>
        <v>0.9342569869471794</v>
      </c>
      <c r="AN144" s="104">
        <f si="162" t="shared"/>
        <v>0.28283910920566857</v>
      </c>
      <c r="AO144" s="104">
        <f si="162" t="shared"/>
        <v>0.13607206686769427</v>
      </c>
      <c r="AP144" s="104">
        <f si="162" t="shared"/>
        <v>0.5457981024969234</v>
      </c>
      <c r="AQ144" s="104">
        <f si="162" t="shared"/>
        <v>11.475611329443055</v>
      </c>
      <c r="AR144" s="104">
        <f si="162" t="shared"/>
        <v>2.0635242400236109</v>
      </c>
      <c r="AS144" s="104">
        <f si="162" t="shared"/>
        <v>0.89089936734281772</v>
      </c>
      <c r="AT144" s="104">
        <f si="162" t="shared"/>
        <v>0.31869715374538526</v>
      </c>
      <c r="AU144" s="104">
        <f si="162" t="shared"/>
        <v>0</v>
      </c>
      <c r="AV144" s="104">
        <f si="162" t="shared"/>
        <v>0</v>
      </c>
      <c r="CU144" s="95">
        <v>143</v>
      </c>
      <c r="CV144" s="95">
        <f si="153" t="shared"/>
        <v>8</v>
      </c>
      <c r="CW144" s="95">
        <f si="148" t="shared"/>
        <v>3</v>
      </c>
      <c r="CX144" s="58">
        <f si="149" t="shared"/>
        <v>561.93316195372745</v>
      </c>
      <c r="CY144" s="58">
        <f si="150" t="shared"/>
        <v>239</v>
      </c>
      <c r="CZ144" s="108">
        <f si="151" t="shared"/>
        <v>-322.93316195372745</v>
      </c>
      <c r="DA144" s="78">
        <f si="152" t="shared"/>
        <v>-0.57468251354120914</v>
      </c>
    </row>
    <row r="145" spans="26:105" x14ac:dyDescent="0.25">
      <c r="Z145" s="95">
        <v>10</v>
      </c>
      <c r="AA145" s="104">
        <f ref="AA145:AV145" si="163" t="shared">ABS(AA119)</f>
        <v>0.24359084993005697</v>
      </c>
      <c r="AB145" s="104">
        <f si="163" t="shared"/>
        <v>0.57897564852148364</v>
      </c>
      <c r="AC145" s="104">
        <f si="163" t="shared"/>
        <v>0.2579456155009569</v>
      </c>
      <c r="AD145" s="104">
        <f si="163" t="shared"/>
        <v>0.66308741100780144</v>
      </c>
      <c r="AE145" s="104">
        <f si="163" t="shared"/>
        <v>0.13183024800333068</v>
      </c>
      <c r="AF145" s="104">
        <f si="163" t="shared"/>
        <v>0.18136010324419718</v>
      </c>
      <c r="AG145" s="104">
        <f si="163" t="shared"/>
        <v>2.1445485664977215</v>
      </c>
      <c r="AH145" s="104">
        <f si="163" t="shared"/>
        <v>0.91254923528602971</v>
      </c>
      <c r="AI145" s="104">
        <f si="163" t="shared"/>
        <v>0.10000300954379412</v>
      </c>
      <c r="AJ145" s="104">
        <f si="163" t="shared"/>
        <v>0.6305592495687643</v>
      </c>
      <c r="AK145" s="104">
        <f si="163" t="shared"/>
        <v>0.61866760713962021</v>
      </c>
      <c r="AL145" s="104">
        <f si="163" t="shared"/>
        <v>0.20818598531242505</v>
      </c>
      <c r="AM145" s="104">
        <f si="163" t="shared"/>
        <v>0.83996408958193436</v>
      </c>
      <c r="AN145" s="104">
        <f si="163" t="shared"/>
        <v>1.4282162335579076</v>
      </c>
      <c r="AO145" s="104">
        <f si="163" t="shared"/>
        <v>2.6490819094283955</v>
      </c>
      <c r="AP145" s="104">
        <f si="163" t="shared"/>
        <v>0.70892703365729048</v>
      </c>
      <c r="AQ145" s="104">
        <f si="163" t="shared"/>
        <v>4.4852738280935149</v>
      </c>
      <c r="AR145" s="104">
        <f si="163" t="shared"/>
        <v>16.43450245615789</v>
      </c>
      <c r="AS145" s="104">
        <f si="163" t="shared"/>
        <v>0.76597544258756911</v>
      </c>
      <c r="AT145" s="104">
        <f si="163" t="shared"/>
        <v>0.26810436916307961</v>
      </c>
      <c r="AU145" s="104">
        <f si="163" t="shared"/>
        <v>0</v>
      </c>
      <c r="AV145" s="104">
        <f si="163" t="shared"/>
        <v>0</v>
      </c>
      <c r="CU145" s="95">
        <v>144</v>
      </c>
      <c r="CV145" s="95">
        <f si="153" t="shared"/>
        <v>8</v>
      </c>
      <c r="CW145" s="95">
        <f si="148" t="shared"/>
        <v>4</v>
      </c>
      <c r="CX145" s="58">
        <f si="149" t="shared"/>
        <v>220.30334190231363</v>
      </c>
      <c r="CY145" s="58">
        <f si="150" t="shared"/>
        <v>100</v>
      </c>
      <c r="CZ145" s="108">
        <f si="151" t="shared"/>
        <v>-120.30334190231363</v>
      </c>
      <c r="DA145" s="78">
        <f si="152" t="shared"/>
        <v>-0.54608042194683659</v>
      </c>
    </row>
    <row r="146" spans="26:105" x14ac:dyDescent="0.25">
      <c r="Z146" s="95">
        <v>11</v>
      </c>
      <c r="AA146" s="104">
        <f ref="AA146:AV146" si="164" t="shared">ABS(AA120)</f>
        <v>0.82519036040870664</v>
      </c>
      <c r="AB146" s="104">
        <f si="164" t="shared"/>
        <v>0.3371187653709557</v>
      </c>
      <c r="AC146" s="104">
        <f si="164" t="shared"/>
        <v>0.32718358514140278</v>
      </c>
      <c r="AD146" s="104">
        <f si="164" t="shared"/>
        <v>0.43740910808282524</v>
      </c>
      <c r="AE146" s="104">
        <f si="164" t="shared"/>
        <v>0.25255775424379173</v>
      </c>
      <c r="AF146" s="104">
        <f si="164" t="shared"/>
        <v>0.76144587652858053</v>
      </c>
      <c r="AG146" s="104">
        <f si="164" t="shared"/>
        <v>1.8595472775814863</v>
      </c>
      <c r="AH146" s="104">
        <f si="164" t="shared"/>
        <v>0.89192109483696813</v>
      </c>
      <c r="AI146" s="104">
        <f si="164" t="shared"/>
        <v>0.36759090290666341</v>
      </c>
      <c r="AJ146" s="104">
        <f si="164" t="shared"/>
        <v>4.1464002410492258E-2</v>
      </c>
      <c r="AK146" s="104">
        <f si="164" t="shared"/>
        <v>0.7432050224773955</v>
      </c>
      <c r="AL146" s="104">
        <f si="164" t="shared"/>
        <v>0.15474313864206712</v>
      </c>
      <c r="AM146" s="104">
        <f si="164" t="shared"/>
        <v>1.0208846871714978</v>
      </c>
      <c r="AN146" s="104">
        <f si="164" t="shared"/>
        <v>6.7182702728812535E-2</v>
      </c>
      <c r="AO146" s="104">
        <f si="164" t="shared"/>
        <v>0.98961419494079761</v>
      </c>
      <c r="AP146" s="104">
        <f si="164" t="shared"/>
        <v>0.89550312869145243</v>
      </c>
      <c r="AQ146" s="104">
        <f si="164" t="shared"/>
        <v>4.2947849542462428</v>
      </c>
      <c r="AR146" s="104">
        <f si="164" t="shared"/>
        <v>3.8159820232679129</v>
      </c>
      <c r="AS146" s="104">
        <f si="164" t="shared"/>
        <v>7.309605386976728E-2</v>
      </c>
      <c r="AT146" s="104">
        <f si="164" t="shared"/>
        <v>0.8846215486883463</v>
      </c>
      <c r="AU146" s="104">
        <f si="164" t="shared"/>
        <v>0</v>
      </c>
      <c r="AV146" s="104">
        <f si="164" t="shared"/>
        <v>0</v>
      </c>
      <c r="CU146" s="95">
        <v>145</v>
      </c>
      <c r="CV146" s="95">
        <f si="153" t="shared"/>
        <v>8</v>
      </c>
      <c r="CW146" s="95">
        <f si="148" t="shared"/>
        <v>5</v>
      </c>
      <c r="CX146" s="58">
        <f si="149" t="shared"/>
        <v>284.15938303341903</v>
      </c>
      <c r="CY146" s="58">
        <f si="150" t="shared"/>
        <v>274</v>
      </c>
      <c r="CZ146" s="108">
        <f si="151" t="shared"/>
        <v>-10.159383033419033</v>
      </c>
      <c r="DA146" s="78">
        <f si="152" t="shared"/>
        <v>-3.575241093560589E-2</v>
      </c>
    </row>
    <row r="147" spans="26:105" x14ac:dyDescent="0.25">
      <c r="Z147" s="95">
        <v>12</v>
      </c>
      <c r="AA147" s="104">
        <f ref="AA147:AV147" si="165" t="shared">ABS(AA121)</f>
        <v>0.41846015166909684</v>
      </c>
      <c r="AB147" s="104">
        <f si="165" t="shared"/>
        <v>0.37558485114987511</v>
      </c>
      <c r="AC147" s="104">
        <f si="165" t="shared"/>
        <v>0.36590055341954675</v>
      </c>
      <c r="AD147" s="104">
        <f si="165" t="shared"/>
        <v>0.59084096947117482</v>
      </c>
      <c r="AE147" s="104">
        <f si="165" t="shared"/>
        <v>7.552897794049454E-2</v>
      </c>
      <c r="AF147" s="104">
        <f si="165" t="shared"/>
        <v>0.27116259171466589</v>
      </c>
      <c r="AG147" s="104">
        <f si="165" t="shared"/>
        <v>1.5576676024873983</v>
      </c>
      <c r="AH147" s="104">
        <f si="165" t="shared"/>
        <v>0.65065524927045593</v>
      </c>
      <c r="AI147" s="104">
        <f si="165" t="shared"/>
        <v>0.5580912079321575</v>
      </c>
      <c r="AJ147" s="104">
        <f si="165" t="shared"/>
        <v>0.69142973871893687</v>
      </c>
      <c r="AK147" s="104">
        <f si="165" t="shared"/>
        <v>0.57145597348394439</v>
      </c>
      <c r="AL147" s="104">
        <f si="165" t="shared"/>
        <v>0.52205887019824226</v>
      </c>
      <c r="AM147" s="104">
        <f si="165" t="shared"/>
        <v>1.4046441612061555</v>
      </c>
      <c r="AN147" s="104">
        <f si="165" t="shared"/>
        <v>0.42787735417234263</v>
      </c>
      <c r="AO147" s="104">
        <f si="165" t="shared"/>
        <v>1.4673666137592114</v>
      </c>
      <c r="AP147" s="104">
        <f si="165" t="shared"/>
        <v>0.58474672184855381</v>
      </c>
      <c r="AQ147" s="104">
        <f si="165" t="shared"/>
        <v>10.670512138342367</v>
      </c>
      <c r="AR147" s="104">
        <f si="165" t="shared"/>
        <v>2.5870848548307679</v>
      </c>
      <c r="AS147" s="104">
        <f si="165" t="shared"/>
        <v>3.6579300097272536</v>
      </c>
      <c r="AT147" s="104">
        <f si="165" t="shared"/>
        <v>0.61213233869151829</v>
      </c>
      <c r="AU147" s="104">
        <f si="165" t="shared"/>
        <v>0</v>
      </c>
      <c r="AV147" s="104">
        <f si="165" t="shared"/>
        <v>0</v>
      </c>
      <c r="CU147" s="95">
        <v>146</v>
      </c>
      <c r="CV147" s="95">
        <f si="153" t="shared"/>
        <v>8</v>
      </c>
      <c r="CW147" s="95">
        <f si="148" t="shared"/>
        <v>6</v>
      </c>
      <c r="CX147" s="58">
        <f si="149" t="shared"/>
        <v>951.45501285347041</v>
      </c>
      <c r="CY147" s="58">
        <f si="150" t="shared"/>
        <v>1161</v>
      </c>
      <c r="CZ147" s="108">
        <f si="151" t="shared"/>
        <v>209.54498714652959</v>
      </c>
      <c r="DA147" s="78">
        <f si="152" t="shared"/>
        <v>0.22023635833090169</v>
      </c>
    </row>
    <row r="148" spans="26:105" x14ac:dyDescent="0.25">
      <c r="Z148" s="95">
        <v>13</v>
      </c>
      <c r="AA148" s="104">
        <f ref="AA148:AV148" si="166" t="shared">ABS(AA122)</f>
        <v>0.81234278811981087</v>
      </c>
      <c r="AB148" s="104">
        <f si="166" t="shared"/>
        <v>1.1237002658358709E-2</v>
      </c>
      <c r="AC148" s="104">
        <f si="166" t="shared"/>
        <v>0.26641426755810643</v>
      </c>
      <c r="AD148" s="104">
        <f si="166" t="shared"/>
        <v>0.62913328643566568</v>
      </c>
      <c r="AE148" s="104">
        <f si="166" t="shared"/>
        <v>1.2691208643445751</v>
      </c>
      <c r="AF148" s="104">
        <f si="166" t="shared"/>
        <v>0.41053879519009928</v>
      </c>
      <c r="AG148" s="104">
        <f si="166" t="shared"/>
        <v>0.30143562837140836</v>
      </c>
      <c r="AH148" s="104">
        <f si="166" t="shared"/>
        <v>1.33696833204923</v>
      </c>
      <c r="AI148" s="104">
        <f si="166" t="shared"/>
        <v>0.5759856792010386</v>
      </c>
      <c r="AJ148" s="104">
        <f si="166" t="shared"/>
        <v>0.41592787177100415</v>
      </c>
      <c r="AK148" s="104">
        <f si="166" t="shared"/>
        <v>0.22016382832705034</v>
      </c>
      <c r="AL148" s="104">
        <f si="166" t="shared"/>
        <v>8.6664705821578619E-2</v>
      </c>
      <c r="AM148" s="104">
        <f si="166" t="shared"/>
        <v>0.20881201356873769</v>
      </c>
      <c r="AN148" s="104">
        <f si="166" t="shared"/>
        <v>0.3242820548278969</v>
      </c>
      <c r="AO148" s="104">
        <f si="166" t="shared"/>
        <v>0.56753253215754962</v>
      </c>
      <c r="AP148" s="104">
        <f si="166" t="shared"/>
        <v>0.87480526792593405</v>
      </c>
      <c r="AQ148" s="104">
        <f si="166" t="shared"/>
        <v>29.555860941543681</v>
      </c>
      <c r="AR148" s="104">
        <f si="166" t="shared"/>
        <v>2.2190915897804886</v>
      </c>
      <c r="AS148" s="104">
        <f si="166" t="shared"/>
        <v>3.673936664098461</v>
      </c>
      <c r="AT148" s="104">
        <f si="166" t="shared"/>
        <v>0.53556452135224164</v>
      </c>
      <c r="AU148" s="104">
        <f si="166" t="shared"/>
        <v>0</v>
      </c>
      <c r="AV148" s="104">
        <f si="166" t="shared"/>
        <v>0</v>
      </c>
      <c r="CU148" s="95">
        <v>147</v>
      </c>
      <c r="CV148" s="95">
        <f si="153" t="shared"/>
        <v>8</v>
      </c>
      <c r="CW148" s="95">
        <f si="148" t="shared"/>
        <v>7</v>
      </c>
      <c r="CX148" s="58">
        <f si="149" t="shared"/>
        <v>124.51928020565553</v>
      </c>
      <c r="CY148" s="58">
        <f si="150" t="shared"/>
        <v>483</v>
      </c>
      <c r="CZ148" s="108">
        <f si="151" t="shared"/>
        <v>358.48071979434445</v>
      </c>
      <c r="DA148" s="78">
        <f si="152" t="shared"/>
        <v>2.8789173789173788</v>
      </c>
    </row>
    <row r="149" spans="26:105" x14ac:dyDescent="0.25">
      <c r="Z149" s="95">
        <v>14</v>
      </c>
      <c r="AA149" s="104">
        <f ref="AA149:AV149" si="167" t="shared">ABS(AA123)</f>
        <v>0.25388812939694611</v>
      </c>
      <c r="AB149" s="104">
        <f si="167" t="shared"/>
        <v>0.68547517409527559</v>
      </c>
      <c r="AC149" s="104">
        <f si="167" t="shared"/>
        <v>0.19696429812973607</v>
      </c>
      <c r="AD149" s="104">
        <f si="167" t="shared"/>
        <v>0.69336195508586529</v>
      </c>
      <c r="AE149" s="104">
        <f si="167" t="shared"/>
        <v>5.6855710339858818E-2</v>
      </c>
      <c r="AF149" s="104">
        <f si="167" t="shared"/>
        <v>0.11713219354401604</v>
      </c>
      <c r="AG149" s="104">
        <f si="167" t="shared"/>
        <v>0.27068947400023963</v>
      </c>
      <c r="AH149" s="104">
        <f si="167" t="shared"/>
        <v>0.95619456501226652</v>
      </c>
      <c r="AI149" s="104">
        <f si="167" t="shared"/>
        <v>1.786945034748183E-2</v>
      </c>
      <c r="AJ149" s="104">
        <f si="167" t="shared"/>
        <v>0.40801821884632328</v>
      </c>
      <c r="AK149" s="104">
        <f si="167" t="shared"/>
        <v>0.44797636277100011</v>
      </c>
      <c r="AL149" s="104">
        <f si="167" t="shared"/>
        <v>0.48181521644974784</v>
      </c>
      <c r="AM149" s="104">
        <f si="167" t="shared"/>
        <v>0.93565265852047497</v>
      </c>
      <c r="AN149" s="104">
        <f si="167" t="shared"/>
        <v>0.22524176066117893</v>
      </c>
      <c r="AO149" s="104">
        <f si="167" t="shared"/>
        <v>0.54236594812057193</v>
      </c>
      <c r="AP149" s="104">
        <f si="167" t="shared"/>
        <v>0.54004293262879799</v>
      </c>
      <c r="AQ149" s="104">
        <f si="167" t="shared"/>
        <v>6.3641042973910151</v>
      </c>
      <c r="AR149" s="104">
        <f si="167" t="shared"/>
        <v>0.59281428885953313</v>
      </c>
      <c r="AS149" s="104">
        <f si="167" t="shared"/>
        <v>1.3402445233377362</v>
      </c>
      <c r="AT149" s="104">
        <f si="167" t="shared"/>
        <v>0.9361170739762219</v>
      </c>
      <c r="AU149" s="104">
        <f si="167" t="shared"/>
        <v>0</v>
      </c>
      <c r="AV149" s="104">
        <f si="167" t="shared"/>
        <v>1.5018076317254434E-16</v>
      </c>
      <c r="CU149" s="95">
        <v>148</v>
      </c>
      <c r="CV149" s="95">
        <f si="153" t="shared"/>
        <v>8</v>
      </c>
      <c r="CW149" s="95">
        <f si="148" t="shared"/>
        <v>8</v>
      </c>
      <c r="CX149" s="58">
        <f si="149" t="shared"/>
        <v>491.69151670951157</v>
      </c>
      <c r="CY149" s="58">
        <f si="150" t="shared"/>
        <v>16</v>
      </c>
      <c r="CZ149" s="108">
        <f si="151" t="shared"/>
        <v>-475.69151670951157</v>
      </c>
      <c r="DA149" s="78">
        <f si="152" t="shared"/>
        <v>-0.9674592718070979</v>
      </c>
    </row>
    <row r="150" spans="26:105" x14ac:dyDescent="0.25">
      <c r="Z150" s="95">
        <v>15</v>
      </c>
      <c r="AA150" s="104">
        <f ref="AA150:AV150" si="168" t="shared">ABS(AA124)</f>
        <v>0.2261680822623883</v>
      </c>
      <c r="AB150" s="104">
        <f si="168" t="shared"/>
        <v>0.45994648389004233</v>
      </c>
      <c r="AC150" s="104">
        <f si="168" t="shared"/>
        <v>3.7805941720532435E-2</v>
      </c>
      <c r="AD150" s="104">
        <f si="168" t="shared"/>
        <v>0.70749518453672389</v>
      </c>
      <c r="AE150" s="104">
        <f si="168" t="shared"/>
        <v>0.1895426081219867</v>
      </c>
      <c r="AF150" s="104">
        <f si="168" t="shared"/>
        <v>0.17398829713390457</v>
      </c>
      <c r="AG150" s="104">
        <f si="168" t="shared"/>
        <v>1.402612908603305</v>
      </c>
      <c r="AH150" s="104">
        <f si="168" t="shared"/>
        <v>0.77091949600846399</v>
      </c>
      <c r="AI150" s="104">
        <f si="168" t="shared"/>
        <v>0.41532589138048737</v>
      </c>
      <c r="AJ150" s="104">
        <f si="168" t="shared"/>
        <v>0.10458612527117864</v>
      </c>
      <c r="AK150" s="104">
        <f si="168" t="shared"/>
        <v>0.52359364214149584</v>
      </c>
      <c r="AL150" s="104">
        <f si="168" t="shared"/>
        <v>0.22816172545775656</v>
      </c>
      <c r="AM150" s="104">
        <f si="168" t="shared"/>
        <v>4.1909867899559883</v>
      </c>
      <c r="AN150" s="104">
        <f si="168" t="shared"/>
        <v>10.126767336731749</v>
      </c>
      <c r="AO150" s="104">
        <f si="168" t="shared"/>
        <v>0.36472733849717337</v>
      </c>
      <c r="AP150" s="104">
        <f si="168" t="shared"/>
        <v>0.78961994531389545</v>
      </c>
      <c r="AQ150" s="104">
        <f si="168" t="shared"/>
        <v>2.7676610363443102</v>
      </c>
      <c r="AR150" s="104">
        <f si="168" t="shared"/>
        <v>8.5109316389343075</v>
      </c>
      <c r="AS150" s="104">
        <f si="168" t="shared"/>
        <v>1.9188962176738753</v>
      </c>
      <c r="AT150" s="104">
        <f si="168" t="shared"/>
        <v>0.18185534288737129</v>
      </c>
      <c r="AU150" s="104">
        <f si="168" t="shared"/>
        <v>0</v>
      </c>
      <c r="AV150" s="104">
        <f si="168" t="shared"/>
        <v>0</v>
      </c>
      <c r="CU150" s="95">
        <v>149</v>
      </c>
      <c r="CV150" s="95">
        <f si="153" t="shared"/>
        <v>8</v>
      </c>
      <c r="CW150" s="95">
        <f si="148" t="shared"/>
        <v>9</v>
      </c>
      <c r="CX150" s="58">
        <f si="149" t="shared"/>
        <v>188.37532133676092</v>
      </c>
      <c r="CY150" s="58">
        <f si="150" t="shared"/>
        <v>223</v>
      </c>
      <c r="CZ150" s="108">
        <f si="151" t="shared"/>
        <v>34.624678663239081</v>
      </c>
      <c r="DA150" s="78">
        <f si="152" t="shared"/>
        <v>0.18380687245830948</v>
      </c>
    </row>
    <row r="151" spans="26:105" x14ac:dyDescent="0.25">
      <c r="Z151" s="95">
        <v>16</v>
      </c>
      <c r="AA151" s="104">
        <f ref="AA151:AV151" si="169" t="shared">ABS(AA125)</f>
        <v>0.14320351891395958</v>
      </c>
      <c r="AB151" s="104">
        <f si="169" t="shared"/>
        <v>0.31670169769054468</v>
      </c>
      <c r="AC151" s="104">
        <f si="169" t="shared"/>
        <v>0.16767410885295689</v>
      </c>
      <c r="AD151" s="104">
        <f si="169" t="shared"/>
        <v>0.70474396492762403</v>
      </c>
      <c r="AE151" s="104">
        <f si="169" t="shared"/>
        <v>0.51659875157974644</v>
      </c>
      <c r="AF151" s="104">
        <f si="169" t="shared"/>
        <v>8.1527951814567123E-2</v>
      </c>
      <c r="AG151" s="104">
        <f si="169" t="shared"/>
        <v>1.2585082682798716</v>
      </c>
      <c r="AH151" s="104">
        <f si="169" t="shared"/>
        <v>0.94789599381075718</v>
      </c>
      <c r="AI151" s="104">
        <f si="169" t="shared"/>
        <v>0.45831131343257553</v>
      </c>
      <c r="AJ151" s="104">
        <f si="169" t="shared"/>
        <v>0.5353971375093074</v>
      </c>
      <c r="AK151" s="104">
        <f si="169" t="shared"/>
        <v>0.67389022008615074</v>
      </c>
      <c r="AL151" s="104">
        <f si="169" t="shared"/>
        <v>0.10470996382723545</v>
      </c>
      <c r="AM151" s="104">
        <f si="169" t="shared"/>
        <v>9.0984076995526255</v>
      </c>
      <c r="AN151" s="104">
        <f si="169" t="shared"/>
        <v>3.559100541558748</v>
      </c>
      <c r="AO151" s="104">
        <f si="169" t="shared"/>
        <v>4.7748606859744136</v>
      </c>
      <c r="AP151" s="104">
        <f si="169" t="shared"/>
        <v>0.64249429416687842</v>
      </c>
      <c r="AQ151" s="104">
        <f si="169" t="shared"/>
        <v>3.7580431106449468</v>
      </c>
      <c r="AR151" s="104">
        <f si="169" t="shared"/>
        <v>31.871114904638574</v>
      </c>
      <c r="AS151" s="104">
        <f si="169" t="shared"/>
        <v>1.1883682599481988</v>
      </c>
      <c r="AT151" s="104">
        <f si="169" t="shared"/>
        <v>30.184247704261836</v>
      </c>
      <c r="AU151" s="104">
        <f si="169" t="shared"/>
        <v>0</v>
      </c>
      <c r="AV151" s="104">
        <f si="169" t="shared"/>
        <v>0</v>
      </c>
      <c r="CU151" s="95">
        <v>150</v>
      </c>
      <c r="CV151" s="95">
        <f si="153" t="shared"/>
        <v>8</v>
      </c>
      <c r="CW151" s="95">
        <f si="148" t="shared"/>
        <v>10</v>
      </c>
      <c r="CX151" s="58">
        <f si="149" t="shared"/>
        <v>223.49614395886888</v>
      </c>
      <c r="CY151" s="58">
        <f si="150" t="shared"/>
        <v>94</v>
      </c>
      <c r="CZ151" s="108">
        <f si="151" t="shared"/>
        <v>-129.49614395886888</v>
      </c>
      <c r="DA151" s="78">
        <f si="152" t="shared"/>
        <v>-0.57941108810674025</v>
      </c>
    </row>
    <row r="152" spans="26:105" x14ac:dyDescent="0.25">
      <c r="Z152" s="95">
        <v>17</v>
      </c>
      <c r="AA152" s="104">
        <f ref="AA152:AV152" si="170" t="shared">ABS(AA126)</f>
        <v>7.0601559437208639E-2</v>
      </c>
      <c r="AB152" s="104">
        <f si="170" t="shared"/>
        <v>0.40493912532125265</v>
      </c>
      <c r="AC152" s="104">
        <f si="170" t="shared"/>
        <v>0.27615055256758791</v>
      </c>
      <c r="AD152" s="104">
        <f si="170" t="shared"/>
        <v>0.69674884165591044</v>
      </c>
      <c r="AE152" s="104">
        <f si="170" t="shared"/>
        <v>9.5308620464346433E-2</v>
      </c>
      <c r="AF152" s="104">
        <f si="170" t="shared"/>
        <v>0.25348864005215921</v>
      </c>
      <c r="AG152" s="104">
        <f si="170" t="shared"/>
        <v>0.16399434515913153</v>
      </c>
      <c r="AH152" s="104">
        <f si="170" t="shared"/>
        <v>0.95067248487581646</v>
      </c>
      <c r="AI152" s="104">
        <f si="170" t="shared"/>
        <v>5.8218408328614413E-2</v>
      </c>
      <c r="AJ152" s="104">
        <f si="170" t="shared"/>
        <v>0.66107223479189992</v>
      </c>
      <c r="AK152" s="104">
        <f si="170" t="shared"/>
        <v>0.71486314446779498</v>
      </c>
      <c r="AL152" s="104">
        <f si="170" t="shared"/>
        <v>0.23844578995513355</v>
      </c>
      <c r="AM152" s="104">
        <f si="170" t="shared"/>
        <v>0.75287711809034308</v>
      </c>
      <c r="AN152" s="104">
        <f si="170" t="shared"/>
        <v>0.62883091991860574</v>
      </c>
      <c r="AO152" s="104">
        <f si="170" t="shared"/>
        <v>0.3523774627244286</v>
      </c>
      <c r="AP152" s="104">
        <f si="170" t="shared"/>
        <v>0.8467134207431285</v>
      </c>
      <c r="AQ152" s="104">
        <f si="170" t="shared"/>
        <v>0.60667044184054253</v>
      </c>
      <c r="AR152" s="104">
        <f si="170" t="shared"/>
        <v>1.2181469704229644</v>
      </c>
      <c r="AS152" s="104">
        <f si="170" t="shared"/>
        <v>1.2538307047681188</v>
      </c>
      <c r="AT152" s="104">
        <f si="170" t="shared"/>
        <v>0.94589885437992771</v>
      </c>
      <c r="AU152" s="104">
        <f si="170" t="shared"/>
        <v>0</v>
      </c>
      <c r="AV152" s="104">
        <f si="170" t="shared"/>
        <v>0</v>
      </c>
      <c r="CU152" s="95">
        <v>151</v>
      </c>
      <c r="CV152" s="95">
        <f si="153" t="shared"/>
        <v>8</v>
      </c>
      <c r="CW152" s="95">
        <f si="148" t="shared"/>
        <v>11</v>
      </c>
      <c r="CX152" s="58">
        <f si="149" t="shared"/>
        <v>539.58354755784069</v>
      </c>
      <c r="CY152" s="58">
        <f si="150" t="shared"/>
        <v>220</v>
      </c>
      <c r="CZ152" s="108">
        <f si="151" t="shared"/>
        <v>-319.58354755784069</v>
      </c>
      <c r="DA152" s="78">
        <f si="152" t="shared"/>
        <v>-0.59227815415106388</v>
      </c>
    </row>
    <row r="153" spans="26:105" x14ac:dyDescent="0.25">
      <c r="Z153" s="95">
        <v>18</v>
      </c>
      <c r="AA153" s="104">
        <f ref="AA153:AV153" si="171" t="shared">ABS(AA127)</f>
        <v>0.85702909169245045</v>
      </c>
      <c r="AB153" s="104">
        <f si="171" t="shared"/>
        <v>0.29760090163566333</v>
      </c>
      <c r="AC153" s="104">
        <f si="171" t="shared"/>
        <v>0.3173551727484798</v>
      </c>
      <c r="AD153" s="104">
        <f si="171" t="shared"/>
        <v>0.62780859943705714</v>
      </c>
      <c r="AE153" s="104">
        <f si="171" t="shared"/>
        <v>0.19174536954021951</v>
      </c>
      <c r="AF153" s="104">
        <f si="171" t="shared"/>
        <v>0.37685063090451365</v>
      </c>
      <c r="AG153" s="104">
        <f si="171" t="shared"/>
        <v>0.87452167079428766</v>
      </c>
      <c r="AH153" s="104">
        <f si="171" t="shared"/>
        <v>0.98587330210413926</v>
      </c>
      <c r="AI153" s="104">
        <f si="171" t="shared"/>
        <v>1.5840046588372354E-2</v>
      </c>
      <c r="AJ153" s="104">
        <f si="171" t="shared"/>
        <v>2.1517519169174024</v>
      </c>
      <c r="AK153" s="104">
        <f si="171" t="shared"/>
        <v>0.20037691287327317</v>
      </c>
      <c r="AL153" s="104">
        <f si="171" t="shared"/>
        <v>0.26324610083420125</v>
      </c>
      <c r="AM153" s="104">
        <f si="171" t="shared"/>
        <v>1.8842807828458097</v>
      </c>
      <c r="AN153" s="104">
        <f si="171" t="shared"/>
        <v>0.87885082014947102</v>
      </c>
      <c r="AO153" s="104">
        <f si="171" t="shared"/>
        <v>4.8666158261810022</v>
      </c>
      <c r="AP153" s="104">
        <f si="171" t="shared"/>
        <v>0.65264942820766081</v>
      </c>
      <c r="AQ153" s="104">
        <f si="171" t="shared"/>
        <v>29.061613122391535</v>
      </c>
      <c r="AR153" s="104">
        <f si="171" t="shared"/>
        <v>5.817049249659605E-3</v>
      </c>
      <c r="AS153" s="104">
        <f si="171" t="shared"/>
        <v>1.0577889934970397</v>
      </c>
      <c r="AT153" s="104">
        <f si="171" t="shared"/>
        <v>0.79395881342551944</v>
      </c>
      <c r="AU153" s="104">
        <f si="171" t="shared"/>
        <v>0</v>
      </c>
      <c r="AV153" s="104">
        <f si="171" t="shared"/>
        <v>0</v>
      </c>
      <c r="CU153" s="95">
        <v>152</v>
      </c>
      <c r="CV153" s="95">
        <f si="153" t="shared"/>
        <v>8</v>
      </c>
      <c r="CW153" s="95">
        <f si="148" t="shared"/>
        <v>12</v>
      </c>
      <c r="CX153" s="58">
        <f si="149" t="shared"/>
        <v>443.79948586118252</v>
      </c>
      <c r="CY153" s="58">
        <f si="150" t="shared"/>
        <v>359</v>
      </c>
      <c r="CZ153" s="108">
        <f si="151" t="shared"/>
        <v>-84.799485861182518</v>
      </c>
      <c r="DA153" s="78">
        <f si="152" t="shared"/>
        <v>-0.19107612460756032</v>
      </c>
    </row>
    <row r="154" spans="26:105" x14ac:dyDescent="0.25">
      <c r="Z154" s="95">
        <v>19</v>
      </c>
      <c r="AA154" s="104">
        <f ref="AA154:AV154" si="172" t="shared">ABS(AA128)</f>
        <v>0.58781902789074614</v>
      </c>
      <c r="AB154" s="104">
        <f si="172" t="shared"/>
        <v>0.16910954691785052</v>
      </c>
      <c r="AC154" s="104">
        <f si="172" t="shared"/>
        <v>0.67293979926187986</v>
      </c>
      <c r="AD154" s="104">
        <f si="172" t="shared"/>
        <v>0.25867831919786177</v>
      </c>
      <c r="AE154" s="104">
        <f si="172" t="shared"/>
        <v>1.5019118758614556</v>
      </c>
      <c r="AF154" s="104">
        <f si="172" t="shared"/>
        <v>0.74348497267929048</v>
      </c>
      <c r="AG154" s="104">
        <f si="172" t="shared"/>
        <v>1.1697669457834008</v>
      </c>
      <c r="AH154" s="104">
        <f si="172" t="shared"/>
        <v>0.88054532157690668</v>
      </c>
      <c r="AI154" s="104">
        <f si="172" t="shared"/>
        <v>0.54165784254731364</v>
      </c>
      <c r="AJ154" s="104">
        <f si="172" t="shared"/>
        <v>1.347284431013785</v>
      </c>
      <c r="AK154" s="104">
        <f si="172" t="shared"/>
        <v>0.75312274838172855</v>
      </c>
      <c r="AL154" s="104">
        <f si="172" t="shared"/>
        <v>0.22822541620691073</v>
      </c>
      <c r="AM154" s="104">
        <f si="172" t="shared"/>
        <v>2.2306250343678391</v>
      </c>
      <c r="AN154" s="104">
        <f si="172" t="shared"/>
        <v>0.44198861810734158</v>
      </c>
      <c r="AO154" s="104">
        <f si="172" t="shared"/>
        <v>0.37427301452353789</v>
      </c>
      <c r="AP154" s="104">
        <f si="172" t="shared"/>
        <v>0.25427412344248046</v>
      </c>
      <c r="AQ154" s="104">
        <f si="172" t="shared"/>
        <v>2.2282751796433478</v>
      </c>
      <c r="AR154" s="104">
        <f si="172" t="shared"/>
        <v>13.573470767617392</v>
      </c>
      <c r="AS154" s="104">
        <f si="172" t="shared"/>
        <v>6.7108212163734166E-2</v>
      </c>
      <c r="AT154" s="104">
        <f si="172" t="shared"/>
        <v>0.28327192946143975</v>
      </c>
      <c r="AU154" s="104">
        <f si="172" t="shared"/>
        <v>0</v>
      </c>
      <c r="AV154" s="104">
        <f si="172" t="shared"/>
        <v>0</v>
      </c>
      <c r="CU154" s="95">
        <v>153</v>
      </c>
      <c r="CV154" s="95">
        <f si="153" t="shared"/>
        <v>8</v>
      </c>
      <c r="CW154" s="95">
        <f si="148" t="shared"/>
        <v>13</v>
      </c>
      <c r="CX154" s="58">
        <f si="149" t="shared"/>
        <v>31.9280205655527</v>
      </c>
      <c r="CY154" s="58">
        <f si="150" t="shared"/>
        <v>130</v>
      </c>
      <c r="CZ154" s="108">
        <f si="151" t="shared"/>
        <v>98.0719794344473</v>
      </c>
      <c r="DA154" s="78">
        <f si="152" t="shared"/>
        <v>3.0716586151368759</v>
      </c>
    </row>
    <row r="155" spans="26:105" x14ac:dyDescent="0.25">
      <c r="Z155" s="95">
        <v>20</v>
      </c>
      <c r="AA155" s="104">
        <f ref="AA155:AV155" si="173" t="shared">ABS(AA129)</f>
        <v>2.7064015962139685</v>
      </c>
      <c r="AB155" s="104">
        <f si="173" t="shared"/>
        <v>0.10521858482025528</v>
      </c>
      <c r="AC155" s="104">
        <f si="173" t="shared"/>
        <v>7.5833601027947308</v>
      </c>
      <c r="AD155" s="104">
        <f si="173" t="shared"/>
        <v>6.5502438454574707E-2</v>
      </c>
      <c r="AE155" s="104">
        <f si="173" t="shared"/>
        <v>0.30322812481284056</v>
      </c>
      <c r="AF155" s="104">
        <f si="173" t="shared"/>
        <v>3.2909458033132943</v>
      </c>
      <c r="AG155" s="104">
        <f si="173" t="shared"/>
        <v>1.6245463430637481</v>
      </c>
      <c r="AH155" s="104">
        <f si="173" t="shared"/>
        <v>0.17764214584002572</v>
      </c>
      <c r="AI155" s="104">
        <f si="173" t="shared"/>
        <v>0.85739446370614902</v>
      </c>
      <c r="AJ155" s="104">
        <f si="173" t="shared"/>
        <v>0.71429983444117717</v>
      </c>
      <c r="AK155" s="104">
        <f si="173" t="shared"/>
        <v>0.80918727915194344</v>
      </c>
      <c r="AL155" s="104">
        <f si="173" t="shared"/>
        <v>3.3707101573203509E-2</v>
      </c>
      <c r="AM155" s="104">
        <f si="173" t="shared"/>
        <v>2.3374022914658958</v>
      </c>
      <c r="AN155" s="104">
        <f si="173" t="shared"/>
        <v>2.2894314166398972</v>
      </c>
      <c r="AO155" s="104">
        <f si="173" t="shared"/>
        <v>2.2894314166398972</v>
      </c>
      <c r="AP155" s="104">
        <f si="173" t="shared"/>
        <v>0.2896066349326869</v>
      </c>
      <c r="AQ155" s="104">
        <f si="173" t="shared"/>
        <v>7.716993254095728</v>
      </c>
      <c r="AR155" s="104">
        <f si="173" t="shared"/>
        <v>1.0929377819837185</v>
      </c>
      <c r="AS155" s="104">
        <f si="173" t="shared"/>
        <v>12.980083520719562</v>
      </c>
      <c r="AT155" s="104">
        <f si="173" t="shared"/>
        <v>0.37801632426888143</v>
      </c>
      <c r="AU155" s="104">
        <f si="173" t="shared"/>
        <v>0</v>
      </c>
      <c r="AV155" s="104">
        <f si="173" t="shared"/>
        <v>0</v>
      </c>
      <c r="CU155" s="95">
        <v>154</v>
      </c>
      <c r="CV155" s="95">
        <f si="153" t="shared"/>
        <v>8</v>
      </c>
      <c r="CW155" s="95">
        <f si="148" t="shared"/>
        <v>14</v>
      </c>
      <c r="CX155" s="58">
        <f si="149" t="shared"/>
        <v>89.398457583547568</v>
      </c>
      <c r="CY155" s="58">
        <f si="150" t="shared"/>
        <v>33</v>
      </c>
      <c r="CZ155" s="108">
        <f si="151" t="shared"/>
        <v>-56.398457583547568</v>
      </c>
      <c r="DA155" s="78">
        <f si="152" t="shared"/>
        <v>-0.63086611456176678</v>
      </c>
    </row>
    <row r="156" spans="26:105" x14ac:dyDescent="0.25">
      <c r="Z156" s="101" t="s">
        <v>15</v>
      </c>
      <c r="AA156" s="105">
        <f ref="AA156:AV156" si="174" t="shared">ABS(AA130)</f>
        <v>0</v>
      </c>
      <c r="AB156" s="105">
        <f si="174" t="shared"/>
        <v>0</v>
      </c>
      <c r="AC156" s="105">
        <f si="174" t="shared"/>
        <v>0</v>
      </c>
      <c r="AD156" s="105">
        <f si="174" t="shared"/>
        <v>0</v>
      </c>
      <c r="AE156" s="105">
        <f si="174" t="shared"/>
        <v>0</v>
      </c>
      <c r="AF156" s="105">
        <f si="174" t="shared"/>
        <v>0</v>
      </c>
      <c r="AG156" s="105">
        <f si="174" t="shared"/>
        <v>0</v>
      </c>
      <c r="AH156" s="105">
        <f si="174" t="shared"/>
        <v>0</v>
      </c>
      <c r="AI156" s="105">
        <f si="174" t="shared"/>
        <v>0</v>
      </c>
      <c r="AJ156" s="105">
        <f si="174" t="shared"/>
        <v>0</v>
      </c>
      <c r="AK156" s="105">
        <f si="174" t="shared"/>
        <v>0</v>
      </c>
      <c r="AL156" s="105">
        <f si="174" t="shared"/>
        <v>0</v>
      </c>
      <c r="AM156" s="105">
        <f si="174" t="shared"/>
        <v>0</v>
      </c>
      <c r="AN156" s="105">
        <f si="174" t="shared"/>
        <v>0</v>
      </c>
      <c r="AO156" s="105">
        <f si="174" t="shared"/>
        <v>0</v>
      </c>
      <c r="AP156" s="105">
        <f si="174" t="shared"/>
        <v>0</v>
      </c>
      <c r="AQ156" s="105">
        <f si="174" t="shared"/>
        <v>0</v>
      </c>
      <c r="AR156" s="105">
        <f si="174" t="shared"/>
        <v>0</v>
      </c>
      <c r="AS156" s="105">
        <f si="174" t="shared"/>
        <v>0</v>
      </c>
      <c r="AT156" s="105">
        <f si="174" t="shared"/>
        <v>0</v>
      </c>
      <c r="AU156" s="105">
        <f si="174" t="shared"/>
        <v>0</v>
      </c>
      <c r="AV156" s="105">
        <f si="174" t="shared"/>
        <v>0</v>
      </c>
      <c r="CU156" s="95">
        <v>155</v>
      </c>
      <c r="CV156" s="95">
        <f si="153" t="shared"/>
        <v>8</v>
      </c>
      <c r="CW156" s="95">
        <f si="148" t="shared"/>
        <v>15</v>
      </c>
      <c r="CX156" s="58">
        <f si="149" t="shared"/>
        <v>12.771208226221079</v>
      </c>
      <c r="CY156" s="58">
        <f si="150" t="shared"/>
        <v>55</v>
      </c>
      <c r="CZ156" s="108">
        <f si="151" t="shared"/>
        <v>42.228791773778923</v>
      </c>
      <c r="DA156" s="78">
        <f si="152" t="shared"/>
        <v>3.3065619967793887</v>
      </c>
    </row>
    <row ht="15.75" r="157" spans="26:105" thickBot="1" x14ac:dyDescent="0.3">
      <c r="Z157" s="1" t="s">
        <v>3</v>
      </c>
      <c r="AA157" s="106">
        <f ref="AA157:AV157" si="175" t="shared">ABS(AA131)</f>
        <v>0.39089447672104194</v>
      </c>
      <c r="AB157" s="106">
        <f si="175" t="shared"/>
        <v>0.15533125608562395</v>
      </c>
      <c r="AC157" s="106">
        <f si="175" t="shared"/>
        <v>0.25102235962665409</v>
      </c>
      <c r="AD157" s="106">
        <f si="175" t="shared"/>
        <v>0.63702286786099527</v>
      </c>
      <c r="AE157" s="106">
        <f si="175" t="shared"/>
        <v>0.1254751833990316</v>
      </c>
      <c r="AF157" s="106">
        <f si="175" t="shared"/>
        <v>0.28202620472037793</v>
      </c>
      <c r="AG157" s="106">
        <f si="175" t="shared"/>
        <v>0.46745070957436635</v>
      </c>
      <c r="AH157" s="106">
        <f si="175" t="shared"/>
        <v>0.91340805720029283</v>
      </c>
      <c r="AI157" s="106">
        <f si="175" t="shared"/>
        <v>0.14519727748312483</v>
      </c>
      <c r="AJ157" s="106">
        <f si="175" t="shared"/>
        <v>0.26671624017007156</v>
      </c>
      <c r="AK157" s="106">
        <f si="175" t="shared"/>
        <v>0.68049253864496173</v>
      </c>
      <c r="AL157" s="106">
        <f si="175" t="shared"/>
        <v>0.30824441095398447</v>
      </c>
      <c r="AM157" s="106">
        <f si="175" t="shared"/>
        <v>0.13921851091063595</v>
      </c>
      <c r="AN157" s="106">
        <f si="175" t="shared"/>
        <v>0.23413212556665605</v>
      </c>
      <c r="AO157" s="106">
        <f si="175" t="shared"/>
        <v>9.3773813915004181E-2</v>
      </c>
      <c r="AP157" s="106">
        <f si="175" t="shared"/>
        <v>0.60637615890216512</v>
      </c>
      <c r="AQ157" s="106">
        <f si="175" t="shared"/>
        <v>3.2994788626896674</v>
      </c>
      <c r="AR157" s="106">
        <f si="175" t="shared"/>
        <v>0.81470125106967384</v>
      </c>
      <c r="AS157" s="106">
        <f si="175" t="shared"/>
        <v>0.19122527431862457</v>
      </c>
      <c r="AT157" s="106">
        <f si="175" t="shared"/>
        <v>0.48554010118075824</v>
      </c>
      <c r="AU157" s="106">
        <f si="175" t="shared"/>
        <v>0</v>
      </c>
      <c r="AV157" s="106">
        <f si="175" t="shared"/>
        <v>0</v>
      </c>
      <c r="CU157" s="95">
        <v>156</v>
      </c>
      <c r="CV157" s="95">
        <f si="153" t="shared"/>
        <v>8</v>
      </c>
      <c r="CW157" s="95">
        <f si="148" t="shared"/>
        <v>16</v>
      </c>
      <c r="CX157" s="58">
        <f si="149" t="shared"/>
        <v>25.542416452442158</v>
      </c>
      <c r="CY157" s="58">
        <f si="150" t="shared"/>
        <v>5</v>
      </c>
      <c r="CZ157" s="108">
        <f si="151" t="shared"/>
        <v>-20.542416452442158</v>
      </c>
      <c r="DA157" s="78">
        <f si="152" t="shared"/>
        <v>-0.80424718196457323</v>
      </c>
    </row>
    <row r="158" spans="26:105" x14ac:dyDescent="0.25">
      <c r="CU158" s="95">
        <v>157</v>
      </c>
      <c r="CV158" s="95">
        <f si="153" t="shared"/>
        <v>8</v>
      </c>
      <c r="CW158" s="95">
        <f si="148" t="shared"/>
        <v>17</v>
      </c>
      <c r="CX158" s="58">
        <f si="149" t="shared"/>
        <v>31.9280205655527</v>
      </c>
      <c r="CY158" s="58">
        <f si="150" t="shared"/>
        <v>412</v>
      </c>
      <c r="CZ158" s="108">
        <f si="151" t="shared"/>
        <v>380.07197943444731</v>
      </c>
      <c r="DA158" s="78">
        <f si="152" t="shared"/>
        <v>11.90402576489533</v>
      </c>
    </row>
    <row r="159" spans="26:105" x14ac:dyDescent="0.25">
      <c r="AA159" s="127" t="s">
        <v>369</v>
      </c>
      <c r="AB159" s="127" t="s">
        <v>370</v>
      </c>
      <c r="AC159" s="127" t="s">
        <v>371</v>
      </c>
      <c r="CU159" s="95">
        <v>158</v>
      </c>
      <c r="CV159" s="95">
        <f si="153" t="shared"/>
        <v>8</v>
      </c>
      <c r="CW159" s="95">
        <f si="148" t="shared"/>
        <v>18</v>
      </c>
      <c r="CX159" s="58">
        <f si="149" t="shared"/>
        <v>9.5784061696658096</v>
      </c>
      <c r="CY159" s="58">
        <f si="150" t="shared"/>
        <v>41</v>
      </c>
      <c r="CZ159" s="108">
        <f si="151" t="shared"/>
        <v>31.421593830334189</v>
      </c>
      <c r="DA159" s="78">
        <f si="152" t="shared"/>
        <v>3.2804616210413311</v>
      </c>
    </row>
    <row r="160" spans="26:105" x14ac:dyDescent="0.25">
      <c r="Z160" t="s">
        <v>368</v>
      </c>
      <c r="AA160" s="8">
        <f>SUM(AA136:AL155)</f>
        <v>138.94153424381781</v>
      </c>
      <c r="AB160" s="8">
        <f>MIN($AA$136:$AL$155)</f>
        <v>9.9008108678573254E-3</v>
      </c>
      <c r="AC160" s="8">
        <f>MAX($AA$136:$AL$154)</f>
        <v>3.6204968847352026</v>
      </c>
      <c r="CU160" s="95">
        <v>159</v>
      </c>
      <c r="CV160" s="95">
        <f si="153" t="shared"/>
        <v>8</v>
      </c>
      <c r="CW160" s="95">
        <f si="148" t="shared"/>
        <v>19</v>
      </c>
      <c r="CX160" s="58">
        <f si="149" t="shared"/>
        <v>35.120822622107966</v>
      </c>
      <c r="CY160" s="58">
        <f si="150" t="shared"/>
        <v>129</v>
      </c>
      <c r="CZ160" s="108">
        <f si="151" t="shared"/>
        <v>93.879177377892034</v>
      </c>
      <c r="DA160" s="78">
        <f si="152" t="shared"/>
        <v>2.6730346947738255</v>
      </c>
    </row>
    <row r="161" spans="26:105" x14ac:dyDescent="0.25">
      <c r="Z161" t="s">
        <v>372</v>
      </c>
      <c r="AA161" s="8">
        <f>SUM(AM136:AT155)</f>
        <v>640.10587678968523</v>
      </c>
      <c r="AB161" s="8">
        <f>MIN($AM$136:$AT$155)</f>
        <v>0</v>
      </c>
      <c r="AC161" s="8">
        <f>MAX($AM$136:$AT$155)</f>
        <v>50.501506174899866</v>
      </c>
      <c r="CU161" s="95">
        <v>160</v>
      </c>
      <c r="CV161" s="95">
        <f si="153" t="shared"/>
        <v>8</v>
      </c>
      <c r="CW161" s="95">
        <f si="148" t="shared"/>
        <v>20</v>
      </c>
      <c r="CX161" s="58">
        <f si="149" t="shared"/>
        <v>19.156812339331619</v>
      </c>
      <c r="CY161" s="58">
        <f si="150" t="shared"/>
        <v>0</v>
      </c>
      <c r="CZ161" s="108">
        <f si="151" t="shared"/>
        <v>-19.156812339331619</v>
      </c>
      <c r="DA161" s="78">
        <f si="152" t="shared"/>
        <v>-1</v>
      </c>
    </row>
    <row r="162" spans="26:105" x14ac:dyDescent="0.25">
      <c r="CU162" s="95">
        <v>161</v>
      </c>
      <c r="CV162" s="95">
        <f si="153" t="shared"/>
        <v>9</v>
      </c>
      <c r="CW162" s="95">
        <f si="148" t="shared"/>
        <v>1</v>
      </c>
      <c r="CX162" s="58">
        <f si="149" t="shared"/>
        <v>3340.9518432414479</v>
      </c>
      <c r="CY162" s="58">
        <f si="150" t="shared"/>
        <v>5792</v>
      </c>
      <c r="CZ162" s="108">
        <f si="151" t="shared"/>
        <v>2451.0481567585521</v>
      </c>
      <c r="DA162" s="78">
        <f si="152" t="shared"/>
        <v>0.73363767924906809</v>
      </c>
    </row>
    <row r="163" spans="26:105" x14ac:dyDescent="0.25">
      <c r="CU163" s="95">
        <v>162</v>
      </c>
      <c r="CV163" s="95">
        <f si="153" t="shared"/>
        <v>9</v>
      </c>
      <c r="CW163" s="95">
        <f si="148" t="shared"/>
        <v>2</v>
      </c>
      <c r="CX163" s="58">
        <f si="149" t="shared"/>
        <v>5058.8369312520754</v>
      </c>
      <c r="CY163" s="58">
        <f si="150" t="shared"/>
        <v>4224</v>
      </c>
      <c r="CZ163" s="108">
        <f si="151" t="shared"/>
        <v>-834.83693125207537</v>
      </c>
      <c r="DA163" s="78">
        <f si="152" t="shared"/>
        <v>-0.1650254678293121</v>
      </c>
    </row>
    <row r="164" spans="26:105" x14ac:dyDescent="0.25">
      <c r="CU164" s="95">
        <v>163</v>
      </c>
      <c r="CV164" s="95">
        <f si="153" t="shared"/>
        <v>9</v>
      </c>
      <c r="CW164" s="95">
        <f si="148" t="shared"/>
        <v>3</v>
      </c>
      <c r="CX164" s="58">
        <f si="149" t="shared"/>
        <v>1846.16871471272</v>
      </c>
      <c r="CY164" s="58">
        <f si="150" t="shared"/>
        <v>1713</v>
      </c>
      <c r="CZ164" s="108">
        <f si="151" t="shared"/>
        <v>-133.16871471271998</v>
      </c>
      <c r="DA164" s="78">
        <f si="152" t="shared"/>
        <v>-7.2132472862016947E-2</v>
      </c>
    </row>
    <row r="165" spans="26:105" x14ac:dyDescent="0.25">
      <c r="CU165" s="95">
        <v>164</v>
      </c>
      <c r="CV165" s="95">
        <f si="153" t="shared"/>
        <v>9</v>
      </c>
      <c r="CW165" s="95">
        <f si="148" t="shared"/>
        <v>4</v>
      </c>
      <c r="CX165" s="58">
        <f si="149" t="shared"/>
        <v>981.64862172035873</v>
      </c>
      <c r="CY165" s="58">
        <f si="150" t="shared"/>
        <v>377</v>
      </c>
      <c r="CZ165" s="108">
        <f si="151" t="shared"/>
        <v>-604.64862172035873</v>
      </c>
      <c r="DA165" s="78">
        <f si="152" t="shared"/>
        <v>-0.61595219342405838</v>
      </c>
    </row>
    <row r="166" spans="26:105" x14ac:dyDescent="0.25">
      <c r="CU166" s="95">
        <v>165</v>
      </c>
      <c r="CV166" s="95">
        <f si="153" t="shared"/>
        <v>9</v>
      </c>
      <c r="CW166" s="95">
        <f si="148" t="shared"/>
        <v>5</v>
      </c>
      <c r="CX166" s="58">
        <f si="149" t="shared"/>
        <v>1087.6220524742612</v>
      </c>
      <c r="CY166" s="58">
        <f si="150" t="shared"/>
        <v>1719</v>
      </c>
      <c r="CZ166" s="108">
        <f si="151" t="shared"/>
        <v>631.37794752573882</v>
      </c>
      <c r="DA166" s="78">
        <f si="152" t="shared"/>
        <v>0.58051227086596846</v>
      </c>
    </row>
    <row r="167" spans="26:105" x14ac:dyDescent="0.25">
      <c r="CU167" s="95">
        <v>166</v>
      </c>
      <c r="CV167" s="95">
        <f si="153" t="shared"/>
        <v>9</v>
      </c>
      <c r="CW167" s="95">
        <f si="148" t="shared"/>
        <v>6</v>
      </c>
      <c r="CX167" s="58">
        <f si="149" t="shared"/>
        <v>6224.5446695450019</v>
      </c>
      <c r="CY167" s="58">
        <f si="150" t="shared"/>
        <v>9636</v>
      </c>
      <c r="CZ167" s="108">
        <f si="151" t="shared"/>
        <v>3411.4553304549981</v>
      </c>
      <c r="DA167" s="78">
        <f si="152" t="shared"/>
        <v>0.54806504115012911</v>
      </c>
    </row>
    <row r="168" spans="26:105" x14ac:dyDescent="0.25">
      <c r="CU168" s="95">
        <v>167</v>
      </c>
      <c r="CV168" s="95">
        <f si="153" t="shared"/>
        <v>9</v>
      </c>
      <c r="CW168" s="95">
        <f si="148" t="shared"/>
        <v>7</v>
      </c>
      <c r="CX168" s="58">
        <f si="149" t="shared"/>
        <v>7139.2627034207908</v>
      </c>
      <c r="CY168" s="58">
        <f si="150" t="shared"/>
        <v>11514</v>
      </c>
      <c r="CZ168" s="108">
        <f si="151" t="shared"/>
        <v>4374.7372965792092</v>
      </c>
      <c r="DA168" s="78">
        <f si="152" t="shared"/>
        <v>0.61277158136834575</v>
      </c>
    </row>
    <row r="169" spans="26:105" x14ac:dyDescent="0.25">
      <c r="CU169" s="95">
        <v>168</v>
      </c>
      <c r="CV169" s="95">
        <f si="153" t="shared"/>
        <v>9</v>
      </c>
      <c r="CW169" s="95">
        <f si="148" t="shared"/>
        <v>8</v>
      </c>
      <c r="CX169" s="58">
        <f si="149" t="shared"/>
        <v>189.63666555961476</v>
      </c>
      <c r="CY169" s="58">
        <f si="150" t="shared"/>
        <v>34</v>
      </c>
      <c r="CZ169" s="108">
        <f si="151" t="shared"/>
        <v>-155.63666555961476</v>
      </c>
      <c r="DA169" s="78">
        <f si="152" t="shared"/>
        <v>-0.82070977730141714</v>
      </c>
    </row>
    <row r="170" spans="26:105" x14ac:dyDescent="0.25">
      <c r="CU170" s="95">
        <v>169</v>
      </c>
      <c r="CV170" s="95">
        <f si="153" t="shared"/>
        <v>9</v>
      </c>
      <c r="CW170" s="95">
        <f si="148" t="shared"/>
        <v>9</v>
      </c>
      <c r="CX170" s="58">
        <f si="149" t="shared"/>
        <v>22594.650946529393</v>
      </c>
      <c r="CY170" s="58">
        <f si="150" t="shared"/>
        <v>10452</v>
      </c>
      <c r="CZ170" s="108">
        <f si="151" t="shared"/>
        <v>-12142.650946529393</v>
      </c>
      <c r="DA170" s="78">
        <f si="152" t="shared"/>
        <v>-0.53741263696727037</v>
      </c>
    </row>
    <row r="171" spans="26:105" x14ac:dyDescent="0.25">
      <c r="CU171" s="95">
        <v>170</v>
      </c>
      <c r="CV171" s="95">
        <f si="153" t="shared"/>
        <v>9</v>
      </c>
      <c r="CW171" s="95">
        <f si="148" t="shared"/>
        <v>10</v>
      </c>
      <c r="CX171" s="58">
        <f si="149" t="shared"/>
        <v>897.98538691464626</v>
      </c>
      <c r="CY171" s="58">
        <f si="150" t="shared"/>
        <v>733</v>
      </c>
      <c r="CZ171" s="108">
        <f si="151" t="shared"/>
        <v>-164.98538691464626</v>
      </c>
      <c r="DA171" s="78">
        <f si="152" t="shared"/>
        <v>-0.18372836498098621</v>
      </c>
    </row>
    <row r="172" spans="26:105" x14ac:dyDescent="0.25">
      <c r="CU172" s="95">
        <v>171</v>
      </c>
      <c r="CV172" s="95">
        <f si="153" t="shared"/>
        <v>9</v>
      </c>
      <c r="CW172" s="95">
        <f si="148" t="shared"/>
        <v>11</v>
      </c>
      <c r="CX172" s="58">
        <f si="149" t="shared"/>
        <v>3357.6844902025905</v>
      </c>
      <c r="CY172" s="58">
        <f si="150" t="shared"/>
        <v>1404</v>
      </c>
      <c r="CZ172" s="108">
        <f si="151" t="shared"/>
        <v>-1953.6844902025905</v>
      </c>
      <c r="DA172" s="78">
        <f si="152" t="shared"/>
        <v>-0.58185469656343802</v>
      </c>
    </row>
    <row r="173" spans="26:105" x14ac:dyDescent="0.25">
      <c r="CU173" s="95">
        <v>172</v>
      </c>
      <c r="CV173" s="95">
        <f si="153" t="shared"/>
        <v>9</v>
      </c>
      <c r="CW173" s="95">
        <f si="148" t="shared"/>
        <v>12</v>
      </c>
      <c r="CX173" s="58">
        <f si="149" t="shared"/>
        <v>4634.9432082364665</v>
      </c>
      <c r="CY173" s="58">
        <f si="150" t="shared"/>
        <v>5743</v>
      </c>
      <c r="CZ173" s="108">
        <f si="151" t="shared"/>
        <v>1108.0567917635335</v>
      </c>
      <c r="DA173" s="78">
        <f si="152" t="shared"/>
        <v>0.23906588322257658</v>
      </c>
    </row>
    <row r="174" spans="26:105" x14ac:dyDescent="0.25">
      <c r="CU174" s="95">
        <v>173</v>
      </c>
      <c r="CV174" s="95">
        <f si="153" t="shared"/>
        <v>9</v>
      </c>
      <c r="CW174" s="95">
        <f si="148" t="shared"/>
        <v>13</v>
      </c>
      <c r="CX174" s="58">
        <f si="149" t="shared"/>
        <v>2214.2869478578546</v>
      </c>
      <c r="CY174" s="58">
        <f si="150" t="shared"/>
        <v>4283</v>
      </c>
      <c r="CZ174" s="108">
        <f si="151" t="shared"/>
        <v>2068.7130521421454</v>
      </c>
      <c r="DA174" s="78">
        <f si="152" t="shared"/>
        <v>0.9342569869471794</v>
      </c>
    </row>
    <row r="175" spans="26:105" x14ac:dyDescent="0.25">
      <c r="CU175" s="95">
        <v>174</v>
      </c>
      <c r="CV175" s="95">
        <f si="153" t="shared"/>
        <v>9</v>
      </c>
      <c r="CW175" s="95">
        <f si="148" t="shared"/>
        <v>14</v>
      </c>
      <c r="CX175" s="58">
        <f si="149" t="shared"/>
        <v>150.59382265028228</v>
      </c>
      <c r="CY175" s="58">
        <f si="150" t="shared"/>
        <v>108</v>
      </c>
      <c r="CZ175" s="108">
        <f si="151" t="shared"/>
        <v>-42.593822650282277</v>
      </c>
      <c r="DA175" s="78">
        <f si="152" t="shared"/>
        <v>-0.28283910920566857</v>
      </c>
    </row>
    <row r="176" spans="26:105" x14ac:dyDescent="0.25">
      <c r="CU176" s="95">
        <v>175</v>
      </c>
      <c r="CV176" s="95">
        <f si="153" t="shared"/>
        <v>9</v>
      </c>
      <c r="CW176" s="95">
        <f si="148" t="shared"/>
        <v>15</v>
      </c>
      <c r="CX176" s="58">
        <f si="149" t="shared"/>
        <v>6057.2181999335762</v>
      </c>
      <c r="CY176" s="58">
        <f si="150" t="shared"/>
        <v>5233</v>
      </c>
      <c r="CZ176" s="108">
        <f si="151" t="shared"/>
        <v>-824.21819993357622</v>
      </c>
      <c r="DA176" s="78">
        <f si="152" t="shared"/>
        <v>-0.13607206686769427</v>
      </c>
    </row>
    <row r="177" spans="99:105" x14ac:dyDescent="0.25">
      <c r="CU177" s="95">
        <v>176</v>
      </c>
      <c r="CV177" s="95">
        <f si="153" t="shared"/>
        <v>9</v>
      </c>
      <c r="CW177" s="95">
        <f si="148" t="shared"/>
        <v>16</v>
      </c>
      <c r="CX177" s="58">
        <f si="149" t="shared"/>
        <v>83.663234805712378</v>
      </c>
      <c r="CY177" s="58">
        <f si="150" t="shared"/>
        <v>38</v>
      </c>
      <c r="CZ177" s="108">
        <f si="151" t="shared"/>
        <v>-45.663234805712378</v>
      </c>
      <c r="DA177" s="78">
        <f si="152" t="shared"/>
        <v>-0.5457981024969234</v>
      </c>
    </row>
    <row r="178" spans="99:105" x14ac:dyDescent="0.25">
      <c r="CU178" s="95">
        <v>177</v>
      </c>
      <c r="CV178" s="95">
        <f si="153" t="shared"/>
        <v>9</v>
      </c>
      <c r="CW178" s="95">
        <f si="148" t="shared"/>
        <v>17</v>
      </c>
      <c r="CX178" s="58">
        <f si="149" t="shared"/>
        <v>133.86117568913983</v>
      </c>
      <c r="CY178" s="58">
        <f si="150" t="shared"/>
        <v>1670</v>
      </c>
      <c r="CZ178" s="108">
        <f si="151" t="shared"/>
        <v>1536.1388243108602</v>
      </c>
      <c r="DA178" s="78">
        <f si="152" t="shared"/>
        <v>11.475611329443055</v>
      </c>
    </row>
    <row r="179" spans="99:105" x14ac:dyDescent="0.25">
      <c r="CU179" s="95">
        <v>178</v>
      </c>
      <c r="CV179" s="95">
        <f si="153" t="shared"/>
        <v>9</v>
      </c>
      <c r="CW179" s="95">
        <f si="148" t="shared"/>
        <v>18</v>
      </c>
      <c r="CX179" s="58">
        <f si="149" t="shared"/>
        <v>256.56725340418467</v>
      </c>
      <c r="CY179" s="58">
        <f si="150" t="shared"/>
        <v>786</v>
      </c>
      <c r="CZ179" s="108">
        <f si="151" t="shared"/>
        <v>529.43274659581539</v>
      </c>
      <c r="DA179" s="78">
        <f si="152" t="shared"/>
        <v>2.0635242400236109</v>
      </c>
    </row>
    <row r="180" spans="99:105" x14ac:dyDescent="0.25">
      <c r="CU180" s="95">
        <v>179</v>
      </c>
      <c r="CV180" s="95">
        <f si="153" t="shared"/>
        <v>9</v>
      </c>
      <c r="CW180" s="95">
        <f si="148" t="shared"/>
        <v>19</v>
      </c>
      <c r="CX180" s="58">
        <f si="149" t="shared"/>
        <v>897.98538691464626</v>
      </c>
      <c r="CY180" s="58">
        <f si="150" t="shared"/>
        <v>1698</v>
      </c>
      <c r="CZ180" s="108">
        <f si="151" t="shared"/>
        <v>800.01461308535374</v>
      </c>
      <c r="DA180" s="78">
        <f si="152" t="shared"/>
        <v>0.89089936734281772</v>
      </c>
    </row>
    <row r="181" spans="99:105" x14ac:dyDescent="0.25">
      <c r="CU181" s="95">
        <v>180</v>
      </c>
      <c r="CV181" s="95">
        <f si="153" t="shared"/>
        <v>9</v>
      </c>
      <c r="CW181" s="95">
        <f si="148" t="shared"/>
        <v>20</v>
      </c>
      <c r="CX181" s="58">
        <f si="149" t="shared"/>
        <v>27.887744935237464</v>
      </c>
      <c r="CY181" s="58">
        <f si="150" t="shared"/>
        <v>19</v>
      </c>
      <c r="CZ181" s="108">
        <f si="151" t="shared"/>
        <v>-8.887744935237464</v>
      </c>
      <c r="DA181" s="78">
        <f si="152" t="shared"/>
        <v>-0.31869715374538526</v>
      </c>
    </row>
    <row r="182" spans="99:105" x14ac:dyDescent="0.25">
      <c r="CU182" s="95">
        <v>181</v>
      </c>
      <c r="CV182" s="95">
        <f si="153" t="shared"/>
        <v>10</v>
      </c>
      <c r="CW182" s="95">
        <f si="148" t="shared"/>
        <v>1</v>
      </c>
      <c r="CX182" s="58">
        <f si="149" t="shared"/>
        <v>2727.5852023121388</v>
      </c>
      <c r="CY182" s="58">
        <f si="150" t="shared"/>
        <v>3391.9999999999991</v>
      </c>
      <c r="CZ182" s="108">
        <f si="151" t="shared"/>
        <v>664.4147976878603</v>
      </c>
      <c r="DA182" s="78">
        <f si="152" t="shared"/>
        <v>0.24359084993005697</v>
      </c>
    </row>
    <row r="183" spans="99:105" x14ac:dyDescent="0.25">
      <c r="CU183" s="95">
        <v>182</v>
      </c>
      <c r="CV183" s="95">
        <f si="153" t="shared"/>
        <v>10</v>
      </c>
      <c r="CW183" s="95">
        <f si="148" t="shared"/>
        <v>2</v>
      </c>
      <c r="CX183" s="58">
        <f si="149" t="shared"/>
        <v>931.61664739884384</v>
      </c>
      <c r="CY183" s="58">
        <f si="150" t="shared"/>
        <v>1470.9999999999998</v>
      </c>
      <c r="CZ183" s="108">
        <f si="151" t="shared"/>
        <v>539.38335260115593</v>
      </c>
      <c r="DA183" s="78">
        <f si="152" t="shared"/>
        <v>0.57897564852148364</v>
      </c>
    </row>
    <row r="184" spans="99:105" x14ac:dyDescent="0.25">
      <c r="CU184" s="95">
        <v>183</v>
      </c>
      <c r="CV184" s="95">
        <f si="153" t="shared"/>
        <v>10</v>
      </c>
      <c r="CW184" s="95">
        <f si="148" t="shared"/>
        <v>3</v>
      </c>
      <c r="CX184" s="58">
        <f si="149" t="shared"/>
        <v>655.83121387283234</v>
      </c>
      <c r="CY184" s="58">
        <f si="150" t="shared"/>
        <v>824.99999999999977</v>
      </c>
      <c r="CZ184" s="108">
        <f si="151" t="shared"/>
        <v>169.16878612716744</v>
      </c>
      <c r="DA184" s="78">
        <f si="152" t="shared"/>
        <v>0.2579456155009569</v>
      </c>
    </row>
    <row r="185" spans="99:105" x14ac:dyDescent="0.25">
      <c r="CU185" s="95">
        <v>184</v>
      </c>
      <c r="CV185" s="95">
        <f si="153" t="shared"/>
        <v>10</v>
      </c>
      <c r="CW185" s="95">
        <f si="148" t="shared"/>
        <v>4</v>
      </c>
      <c r="CX185" s="58">
        <f si="149" t="shared"/>
        <v>1035.8769942196532</v>
      </c>
      <c r="CY185" s="58">
        <f si="150" t="shared"/>
        <v>348.99999999999994</v>
      </c>
      <c r="CZ185" s="108">
        <f si="151" t="shared"/>
        <v>-686.87699421965317</v>
      </c>
      <c r="DA185" s="78">
        <f si="152" t="shared"/>
        <v>-0.66308741100780144</v>
      </c>
    </row>
    <row r="186" spans="99:105" x14ac:dyDescent="0.25">
      <c r="CU186" s="95">
        <v>185</v>
      </c>
      <c r="CV186" s="95">
        <f si="153" t="shared"/>
        <v>10</v>
      </c>
      <c r="CW186" s="95">
        <f si="148" t="shared"/>
        <v>5</v>
      </c>
      <c r="CX186" s="58">
        <f si="149" t="shared"/>
        <v>1930.4980346820807</v>
      </c>
      <c r="CY186" s="58">
        <f si="150" t="shared"/>
        <v>1675.9999999999995</v>
      </c>
      <c r="CZ186" s="108">
        <f si="151" t="shared"/>
        <v>-254.4980346820812</v>
      </c>
      <c r="DA186" s="78">
        <f si="152" t="shared"/>
        <v>-0.13183024800333068</v>
      </c>
    </row>
    <row r="187" spans="99:105" x14ac:dyDescent="0.25">
      <c r="CU187" s="95">
        <v>186</v>
      </c>
      <c r="CV187" s="95">
        <f si="153" t="shared"/>
        <v>10</v>
      </c>
      <c r="CW187" s="95">
        <f si="148" t="shared"/>
        <v>6</v>
      </c>
      <c r="CX187" s="58">
        <f si="149" t="shared"/>
        <v>7402.4846242774565</v>
      </c>
      <c r="CY187" s="58">
        <f si="150" t="shared"/>
        <v>8744.9999999999982</v>
      </c>
      <c r="CZ187" s="108">
        <f si="151" t="shared"/>
        <v>1342.5153757225416</v>
      </c>
      <c r="DA187" s="78">
        <f si="152" t="shared"/>
        <v>0.18136010324419718</v>
      </c>
    </row>
    <row r="188" spans="99:105" x14ac:dyDescent="0.25">
      <c r="CU188" s="95">
        <v>187</v>
      </c>
      <c r="CV188" s="95">
        <f si="153" t="shared"/>
        <v>10</v>
      </c>
      <c r="CW188" s="95">
        <f si="148" t="shared"/>
        <v>7</v>
      </c>
      <c r="CX188" s="58">
        <f si="149" t="shared"/>
        <v>975.33872832369934</v>
      </c>
      <c r="CY188" s="58">
        <f si="150" t="shared"/>
        <v>3066.9999999999995</v>
      </c>
      <c r="CZ188" s="108">
        <f si="151" t="shared"/>
        <v>2091.6612716763002</v>
      </c>
      <c r="DA188" s="78">
        <f si="152" t="shared"/>
        <v>2.1445485664977215</v>
      </c>
    </row>
    <row r="189" spans="99:105" x14ac:dyDescent="0.25">
      <c r="CU189" s="95">
        <v>188</v>
      </c>
      <c r="CV189" s="95">
        <f si="153" t="shared"/>
        <v>10</v>
      </c>
      <c r="CW189" s="95">
        <f si="148" t="shared"/>
        <v>8</v>
      </c>
      <c r="CX189" s="58">
        <f si="149" t="shared"/>
        <v>114.3500578034682</v>
      </c>
      <c r="CY189" s="58">
        <f si="150" t="shared"/>
        <v>9.9999999999999982</v>
      </c>
      <c r="CZ189" s="108">
        <f si="151" t="shared"/>
        <v>-104.3500578034682</v>
      </c>
      <c r="DA189" s="78">
        <f si="152" t="shared"/>
        <v>-0.91254923528602971</v>
      </c>
    </row>
    <row r="190" spans="99:105" x14ac:dyDescent="0.25">
      <c r="CU190" s="95">
        <v>189</v>
      </c>
      <c r="CV190" s="95">
        <f si="153" t="shared"/>
        <v>10</v>
      </c>
      <c r="CW190" s="95">
        <f si="148" t="shared"/>
        <v>9</v>
      </c>
      <c r="CX190" s="58">
        <f si="149" t="shared"/>
        <v>783.63421965317923</v>
      </c>
      <c r="CY190" s="58">
        <f si="150" t="shared"/>
        <v>861.99999999999977</v>
      </c>
      <c r="CZ190" s="108">
        <f si="151" t="shared"/>
        <v>78.365780346820543</v>
      </c>
      <c r="DA190" s="78">
        <f si="152" t="shared"/>
        <v>0.10000300954379412</v>
      </c>
    </row>
    <row r="191" spans="99:105" x14ac:dyDescent="0.25">
      <c r="CU191" s="95">
        <v>190</v>
      </c>
      <c r="CV191" s="95">
        <f si="153" t="shared"/>
        <v>10</v>
      </c>
      <c r="CW191" s="95">
        <f si="148" t="shared"/>
        <v>10</v>
      </c>
      <c r="CX191" s="58">
        <f si="149" t="shared"/>
        <v>5505.6189595375718</v>
      </c>
      <c r="CY191" s="58">
        <f si="150" t="shared"/>
        <v>2033.9999999999995</v>
      </c>
      <c r="CZ191" s="108">
        <f si="151" t="shared"/>
        <v>-3471.6189595375722</v>
      </c>
      <c r="DA191" s="78">
        <f si="152" t="shared"/>
        <v>-0.6305592495687643</v>
      </c>
    </row>
    <row r="192" spans="99:105" x14ac:dyDescent="0.25">
      <c r="CU192" s="95">
        <v>191</v>
      </c>
      <c r="CV192" s="95">
        <f si="153" t="shared"/>
        <v>10</v>
      </c>
      <c r="CW192" s="95">
        <f si="148" t="shared"/>
        <v>11</v>
      </c>
      <c r="CX192" s="58">
        <f si="149" t="shared"/>
        <v>750.0018497109827</v>
      </c>
      <c r="CY192" s="58">
        <f si="150" t="shared"/>
        <v>285.99999999999994</v>
      </c>
      <c r="CZ192" s="108">
        <f si="151" t="shared"/>
        <v>-464.00184971098275</v>
      </c>
      <c r="DA192" s="78">
        <f si="152" t="shared"/>
        <v>-0.61866760713962021</v>
      </c>
    </row>
    <row r="193" spans="99:105" x14ac:dyDescent="0.25">
      <c r="CU193" s="95">
        <v>192</v>
      </c>
      <c r="CV193" s="95">
        <f si="153" t="shared"/>
        <v>10</v>
      </c>
      <c r="CW193" s="95">
        <f si="148" t="shared"/>
        <v>12</v>
      </c>
      <c r="CX193" s="58">
        <f si="149" t="shared"/>
        <v>4970.864277456647</v>
      </c>
      <c r="CY193" s="58">
        <f si="150" t="shared"/>
        <v>3935.9999999999991</v>
      </c>
      <c r="CZ193" s="108">
        <f si="151" t="shared"/>
        <v>-1034.8642774566479</v>
      </c>
      <c r="DA193" s="78">
        <f si="152" t="shared"/>
        <v>-0.20818598531242505</v>
      </c>
    </row>
    <row r="194" spans="99:105" x14ac:dyDescent="0.25">
      <c r="CU194" s="95">
        <v>193</v>
      </c>
      <c r="CV194" s="95">
        <f si="153" t="shared"/>
        <v>10</v>
      </c>
      <c r="CW194" s="95">
        <f si="148" t="shared"/>
        <v>13</v>
      </c>
      <c r="CX194" s="58">
        <f si="149" t="shared"/>
        <v>285.87514450867053</v>
      </c>
      <c r="CY194" s="58">
        <f si="150" t="shared"/>
        <v>525.99999999999989</v>
      </c>
      <c r="CZ194" s="108">
        <f si="151" t="shared"/>
        <v>240.12485549132936</v>
      </c>
      <c r="DA194" s="78">
        <f si="152" t="shared"/>
        <v>0.83996408958193436</v>
      </c>
    </row>
    <row r="195" spans="99:105" x14ac:dyDescent="0.25">
      <c r="CU195" s="95">
        <v>194</v>
      </c>
      <c r="CV195" s="95">
        <f si="153" t="shared"/>
        <v>10</v>
      </c>
      <c r="CW195" s="95">
        <f ref="CW195:CW258" si="176" t="shared">MOD(ROW()-2,$CS$2)+1</f>
        <v>14</v>
      </c>
      <c r="CX195" s="58">
        <f ref="CX195:CX258" si="177" t="shared">VLOOKUP($CV195,$B$30:$V$49,MATCH($CW195,$B$29:$V$29,0),0)</f>
        <v>20.179421965317918</v>
      </c>
      <c r="CY195" s="58">
        <f ref="CY195:CY258" si="178" t="shared">VLOOKUP($CV195,$AY$30:$BS$49,MATCH($CW195,$AY$29:$BS$29,0),0)</f>
        <v>48.999999999999986</v>
      </c>
      <c r="CZ195" s="108">
        <f ref="CZ195:CZ258" si="179" t="shared">CY195-CX195</f>
        <v>28.820578034682068</v>
      </c>
      <c r="DA195" s="78">
        <f ref="DA195:DA258" si="180" t="shared">CZ195/CX195</f>
        <v>1.4282162335579076</v>
      </c>
    </row>
    <row r="196" spans="99:105" x14ac:dyDescent="0.25">
      <c r="CU196" s="95">
        <v>195</v>
      </c>
      <c r="CV196" s="95">
        <f ref="CV196:CV259" si="181" t="shared">IF(CW195&lt;$CS$2,CV195,CV195+1)</f>
        <v>10</v>
      </c>
      <c r="CW196" s="95">
        <f si="176" t="shared"/>
        <v>15</v>
      </c>
      <c r="CX196" s="58">
        <f si="177" t="shared"/>
        <v>73.991213872832375</v>
      </c>
      <c r="CY196" s="58">
        <f si="178" t="shared"/>
        <v>269.99999999999994</v>
      </c>
      <c r="CZ196" s="108">
        <f si="179" t="shared"/>
        <v>196.00878612716758</v>
      </c>
      <c r="DA196" s="78">
        <f si="180" t="shared"/>
        <v>2.6490819094283955</v>
      </c>
    </row>
    <row r="197" spans="99:105" x14ac:dyDescent="0.25">
      <c r="CU197" s="95">
        <v>196</v>
      </c>
      <c r="CV197" s="95">
        <f si="181" t="shared"/>
        <v>10</v>
      </c>
      <c r="CW197" s="95">
        <f si="176" t="shared"/>
        <v>16</v>
      </c>
      <c r="CX197" s="58">
        <f si="177" t="shared"/>
        <v>639.01502890173413</v>
      </c>
      <c r="CY197" s="58">
        <f si="178" t="shared"/>
        <v>185.99999999999997</v>
      </c>
      <c r="CZ197" s="108">
        <f si="179" t="shared"/>
        <v>-453.01502890173413</v>
      </c>
      <c r="DA197" s="78">
        <f si="180" t="shared"/>
        <v>-0.70892703365729048</v>
      </c>
    </row>
    <row r="198" spans="99:105" x14ac:dyDescent="0.25">
      <c r="CU198" s="95">
        <v>197</v>
      </c>
      <c r="CV198" s="95">
        <f si="181" t="shared"/>
        <v>10</v>
      </c>
      <c r="CW198" s="95">
        <f si="176" t="shared"/>
        <v>17</v>
      </c>
      <c r="CX198" s="58">
        <f si="177" t="shared"/>
        <v>97.533872832369937</v>
      </c>
      <c r="CY198" s="58">
        <f si="178" t="shared"/>
        <v>534.99999999999989</v>
      </c>
      <c r="CZ198" s="108">
        <f si="179" t="shared"/>
        <v>437.46612716762996</v>
      </c>
      <c r="DA198" s="78">
        <f si="180" t="shared"/>
        <v>4.4852738280935149</v>
      </c>
    </row>
    <row r="199" spans="99:105" x14ac:dyDescent="0.25">
      <c r="CU199" s="95">
        <v>198</v>
      </c>
      <c r="CV199" s="95">
        <f si="181" t="shared"/>
        <v>10</v>
      </c>
      <c r="CW199" s="95">
        <f si="176" t="shared"/>
        <v>18</v>
      </c>
      <c r="CX199" s="58">
        <f si="177" t="shared"/>
        <v>36.995606936416188</v>
      </c>
      <c r="CY199" s="58">
        <f si="178" t="shared"/>
        <v>644.99999999999989</v>
      </c>
      <c r="CZ199" s="108">
        <f si="179" t="shared"/>
        <v>608.00439306358373</v>
      </c>
      <c r="DA199" s="78">
        <f si="180" t="shared"/>
        <v>16.43450245615789</v>
      </c>
    </row>
    <row r="200" spans="99:105" x14ac:dyDescent="0.25">
      <c r="CU200" s="95">
        <v>199</v>
      </c>
      <c r="CV200" s="95">
        <f si="181" t="shared"/>
        <v>10</v>
      </c>
      <c r="CW200" s="95">
        <f si="176" t="shared"/>
        <v>19</v>
      </c>
      <c r="CX200" s="58">
        <f si="177" t="shared"/>
        <v>110.98682080924856</v>
      </c>
      <c r="CY200" s="58">
        <f si="178" t="shared"/>
        <v>195.99999999999994</v>
      </c>
      <c r="CZ200" s="108">
        <f si="179" t="shared"/>
        <v>85.013179190751387</v>
      </c>
      <c r="DA200" s="78">
        <f si="180" t="shared"/>
        <v>0.76597544258756911</v>
      </c>
    </row>
    <row r="201" spans="99:105" x14ac:dyDescent="0.25">
      <c r="CU201" s="95">
        <v>200</v>
      </c>
      <c r="CV201" s="95">
        <f si="181" t="shared"/>
        <v>10</v>
      </c>
      <c r="CW201" s="95">
        <f si="176" t="shared"/>
        <v>20</v>
      </c>
      <c r="CX201" s="58">
        <f si="177" t="shared"/>
        <v>43.72208092485549</v>
      </c>
      <c r="CY201" s="58">
        <f si="178" t="shared"/>
        <v>31.999999999999993</v>
      </c>
      <c r="CZ201" s="108">
        <f si="179" t="shared"/>
        <v>-11.722080924855497</v>
      </c>
      <c r="DA201" s="78">
        <f si="180" t="shared"/>
        <v>-0.26810436916307961</v>
      </c>
    </row>
    <row r="202" spans="99:105" x14ac:dyDescent="0.25">
      <c r="CU202" s="95">
        <v>201</v>
      </c>
      <c r="CV202" s="95">
        <f si="181" t="shared"/>
        <v>11</v>
      </c>
      <c r="CW202" s="95">
        <f si="176" t="shared"/>
        <v>1</v>
      </c>
      <c r="CX202" s="58">
        <f si="177" t="shared"/>
        <v>3496.6215790066449</v>
      </c>
      <c r="CY202" s="58">
        <f si="178" t="shared"/>
        <v>6381.9999999999991</v>
      </c>
      <c r="CZ202" s="108">
        <f si="179" t="shared"/>
        <v>2885.3784209933542</v>
      </c>
      <c r="DA202" s="78">
        <f si="180" t="shared"/>
        <v>0.82519036040870664</v>
      </c>
    </row>
    <row r="203" spans="99:105" x14ac:dyDescent="0.25">
      <c r="CU203" s="95">
        <v>202</v>
      </c>
      <c r="CV203" s="95">
        <f si="181" t="shared"/>
        <v>11</v>
      </c>
      <c r="CW203" s="95">
        <f si="176" t="shared"/>
        <v>2</v>
      </c>
      <c r="CX203" s="58">
        <f si="177" t="shared"/>
        <v>2435.0866088523485</v>
      </c>
      <c r="CY203" s="58">
        <f si="178" t="shared"/>
        <v>3255.9999999999995</v>
      </c>
      <c r="CZ203" s="108">
        <f si="179" t="shared"/>
        <v>820.91339114765105</v>
      </c>
      <c r="DA203" s="78">
        <f si="180" t="shared"/>
        <v>0.3371187653709557</v>
      </c>
    </row>
    <row r="204" spans="99:105" x14ac:dyDescent="0.25">
      <c r="CU204" s="95">
        <v>203</v>
      </c>
      <c r="CV204" s="95">
        <f si="181" t="shared"/>
        <v>11</v>
      </c>
      <c r="CW204" s="95">
        <f si="176" t="shared"/>
        <v>3</v>
      </c>
      <c r="CX204" s="58">
        <f si="177" t="shared"/>
        <v>4259.7058227277848</v>
      </c>
      <c r="CY204" s="58">
        <f si="178" t="shared"/>
        <v>2865.9999999999995</v>
      </c>
      <c r="CZ204" s="108">
        <f si="179" t="shared"/>
        <v>-1393.7058227277853</v>
      </c>
      <c r="DA204" s="78">
        <f si="180" t="shared"/>
        <v>-0.32718358514140278</v>
      </c>
    </row>
    <row r="205" spans="99:105" x14ac:dyDescent="0.25">
      <c r="CU205" s="95">
        <v>204</v>
      </c>
      <c r="CV205" s="95">
        <f si="181" t="shared"/>
        <v>11</v>
      </c>
      <c r="CW205" s="95">
        <f si="176" t="shared"/>
        <v>4</v>
      </c>
      <c r="CX205" s="58">
        <f si="177" t="shared"/>
        <v>1437.9898637233923</v>
      </c>
      <c r="CY205" s="58">
        <f si="178" t="shared"/>
        <v>808.99999999999989</v>
      </c>
      <c r="CZ205" s="108">
        <f si="179" t="shared"/>
        <v>-628.98986372339243</v>
      </c>
      <c r="DA205" s="78">
        <f si="180" t="shared"/>
        <v>-0.43740910808282524</v>
      </c>
    </row>
    <row r="206" spans="99:105" x14ac:dyDescent="0.25">
      <c r="CU206" s="95">
        <v>205</v>
      </c>
      <c r="CV206" s="95">
        <f si="181" t="shared"/>
        <v>11</v>
      </c>
      <c r="CW206" s="95">
        <f si="176" t="shared"/>
        <v>5</v>
      </c>
      <c r="CX206" s="58">
        <f si="177" t="shared"/>
        <v>1722.8746480459511</v>
      </c>
      <c r="CY206" s="58">
        <f si="178" t="shared"/>
        <v>2157.9999999999995</v>
      </c>
      <c r="CZ206" s="108">
        <f si="179" t="shared"/>
        <v>435.12535195404848</v>
      </c>
      <c r="DA206" s="78">
        <f si="180" t="shared"/>
        <v>0.25255775424379173</v>
      </c>
    </row>
    <row r="207" spans="99:105" x14ac:dyDescent="0.25">
      <c r="CU207" s="95">
        <v>206</v>
      </c>
      <c r="CV207" s="95">
        <f si="181" t="shared"/>
        <v>11</v>
      </c>
      <c r="CW207" s="95">
        <f si="176" t="shared"/>
        <v>6</v>
      </c>
      <c r="CX207" s="58">
        <f si="177" t="shared"/>
        <v>5721.4360851447236</v>
      </c>
      <c r="CY207" s="58">
        <f si="178" t="shared"/>
        <v>10077.999999999998</v>
      </c>
      <c r="CZ207" s="108">
        <f si="179" t="shared"/>
        <v>4356.5639148552746</v>
      </c>
      <c r="DA207" s="78">
        <f si="180" t="shared"/>
        <v>0.76144587652858053</v>
      </c>
    </row>
    <row r="208" spans="99:105" x14ac:dyDescent="0.25">
      <c r="CU208" s="95">
        <v>207</v>
      </c>
      <c r="CV208" s="95">
        <f si="181" t="shared"/>
        <v>11</v>
      </c>
      <c r="CW208" s="95">
        <f si="176" t="shared"/>
        <v>7</v>
      </c>
      <c r="CX208" s="58">
        <f si="177" t="shared"/>
        <v>1797.4873296542405</v>
      </c>
      <c r="CY208" s="58">
        <f si="178" t="shared"/>
        <v>5139.9999999999991</v>
      </c>
      <c r="CZ208" s="108">
        <f si="179" t="shared"/>
        <v>3342.5126703457586</v>
      </c>
      <c r="DA208" s="78">
        <f si="180" t="shared"/>
        <v>1.8595472775814863</v>
      </c>
    </row>
    <row r="209" spans="99:105" x14ac:dyDescent="0.25">
      <c r="CU209" s="95">
        <v>208</v>
      </c>
      <c r="CV209" s="95">
        <f si="181" t="shared"/>
        <v>11</v>
      </c>
      <c r="CW209" s="95">
        <f si="176" t="shared"/>
        <v>8</v>
      </c>
      <c r="CX209" s="58">
        <f si="177" t="shared"/>
        <v>953.00743326951238</v>
      </c>
      <c r="CY209" s="58">
        <f si="178" t="shared"/>
        <v>102.99999999999999</v>
      </c>
      <c r="CZ209" s="108">
        <f si="179" t="shared"/>
        <v>-850.00743326951238</v>
      </c>
      <c r="DA209" s="78">
        <f si="180" t="shared"/>
        <v>-0.89192109483696813</v>
      </c>
    </row>
    <row r="210" spans="99:105" x14ac:dyDescent="0.25">
      <c r="CU210" s="95">
        <v>209</v>
      </c>
      <c r="CV210" s="95">
        <f si="181" t="shared"/>
        <v>11</v>
      </c>
      <c r="CW210" s="95">
        <f si="176" t="shared"/>
        <v>9</v>
      </c>
      <c r="CX210" s="58">
        <f si="177" t="shared"/>
        <v>3252.4346210158801</v>
      </c>
      <c r="CY210" s="58">
        <f si="178" t="shared"/>
        <v>4447.9999999999991</v>
      </c>
      <c r="CZ210" s="108">
        <f si="179" t="shared"/>
        <v>1195.565378984119</v>
      </c>
      <c r="DA210" s="78">
        <f si="180" t="shared"/>
        <v>0.36759090290666341</v>
      </c>
    </row>
    <row r="211" spans="99:105" x14ac:dyDescent="0.25">
      <c r="CU211" s="95">
        <v>210</v>
      </c>
      <c r="CV211" s="95">
        <f si="181" t="shared"/>
        <v>11</v>
      </c>
      <c r="CW211" s="95">
        <f si="176" t="shared"/>
        <v>10</v>
      </c>
      <c r="CX211" s="58">
        <f si="177" t="shared"/>
        <v>739.34384502759315</v>
      </c>
      <c r="CY211" s="58">
        <f si="178" t="shared"/>
        <v>769.99999999999989</v>
      </c>
      <c r="CZ211" s="108">
        <f si="179" t="shared"/>
        <v>30.656154972406739</v>
      </c>
      <c r="DA211" s="78">
        <f si="180" t="shared"/>
        <v>4.1464002410492258E-2</v>
      </c>
    </row>
    <row r="212" spans="99:105" x14ac:dyDescent="0.25">
      <c r="CU212" s="95">
        <v>211</v>
      </c>
      <c r="CV212" s="95">
        <f si="181" t="shared"/>
        <v>11</v>
      </c>
      <c r="CW212" s="95">
        <f si="176" t="shared"/>
        <v>11</v>
      </c>
      <c r="CX212" s="58">
        <f si="177" t="shared"/>
        <v>23462.296880279311</v>
      </c>
      <c r="CY212" s="58">
        <f si="178" t="shared"/>
        <v>6024.9999999999991</v>
      </c>
      <c r="CZ212" s="108">
        <f si="179" t="shared"/>
        <v>-17437.296880279311</v>
      </c>
      <c r="DA212" s="78">
        <f si="180" t="shared"/>
        <v>-0.7432050224773955</v>
      </c>
    </row>
    <row r="213" spans="99:105" x14ac:dyDescent="0.25">
      <c r="CU213" s="95">
        <v>212</v>
      </c>
      <c r="CV213" s="95">
        <f si="181" t="shared"/>
        <v>11</v>
      </c>
      <c r="CW213" s="95">
        <f si="176" t="shared"/>
        <v>12</v>
      </c>
      <c r="CX213" s="58">
        <f si="177" t="shared"/>
        <v>3038.771032773961</v>
      </c>
      <c r="CY213" s="58">
        <f si="178" t="shared"/>
        <v>3508.9999999999995</v>
      </c>
      <c r="CZ213" s="108">
        <f si="179" t="shared"/>
        <v>470.22896722603855</v>
      </c>
      <c r="DA213" s="78">
        <f si="180" t="shared"/>
        <v>0.15474313864206712</v>
      </c>
    </row>
    <row r="214" spans="99:105" x14ac:dyDescent="0.25">
      <c r="CU214" s="95">
        <v>213</v>
      </c>
      <c r="CV214" s="95">
        <f si="181" t="shared"/>
        <v>11</v>
      </c>
      <c r="CW214" s="95">
        <f si="176" t="shared"/>
        <v>13</v>
      </c>
      <c r="CX214" s="58">
        <f si="177" t="shared"/>
        <v>579.94402522806615</v>
      </c>
      <c r="CY214" s="58">
        <f si="178" t="shared"/>
        <v>1171.9999999999998</v>
      </c>
      <c r="CZ214" s="108">
        <f si="179" t="shared"/>
        <v>592.05597477193362</v>
      </c>
      <c r="DA214" s="78">
        <f si="180" t="shared"/>
        <v>1.0208846871714978</v>
      </c>
    </row>
    <row r="215" spans="99:105" x14ac:dyDescent="0.25">
      <c r="CU215" s="95">
        <v>214</v>
      </c>
      <c r="CV215" s="95">
        <f si="181" t="shared"/>
        <v>11</v>
      </c>
      <c r="CW215" s="95">
        <f si="176" t="shared"/>
        <v>14</v>
      </c>
      <c r="CX215" s="58">
        <f si="177" t="shared"/>
        <v>373.06340804144611</v>
      </c>
      <c r="CY215" s="58">
        <f si="178" t="shared"/>
        <v>347.99999999999994</v>
      </c>
      <c r="CZ215" s="108">
        <f si="179" t="shared"/>
        <v>-25.063408041446166</v>
      </c>
      <c r="DA215" s="78">
        <f si="180" t="shared"/>
        <v>-6.7182702728812535E-2</v>
      </c>
    </row>
    <row r="216" spans="99:105" x14ac:dyDescent="0.25">
      <c r="CU216" s="95">
        <v>215</v>
      </c>
      <c r="CV216" s="95">
        <f si="181" t="shared"/>
        <v>11</v>
      </c>
      <c r="CW216" s="95">
        <f si="176" t="shared"/>
        <v>15</v>
      </c>
      <c r="CX216" s="58">
        <f si="177" t="shared"/>
        <v>752.90978713819129</v>
      </c>
      <c r="CY216" s="58">
        <f si="178" t="shared"/>
        <v>1497.9999999999998</v>
      </c>
      <c r="CZ216" s="108">
        <f si="179" t="shared"/>
        <v>745.09021286180848</v>
      </c>
      <c r="DA216" s="78">
        <f si="180" t="shared"/>
        <v>0.98961419494079761</v>
      </c>
    </row>
    <row r="217" spans="99:105" x14ac:dyDescent="0.25">
      <c r="CU217" s="95">
        <v>216</v>
      </c>
      <c r="CV217" s="95">
        <f si="181" t="shared"/>
        <v>11</v>
      </c>
      <c r="CW217" s="95">
        <f si="176" t="shared"/>
        <v>16</v>
      </c>
      <c r="CX217" s="58">
        <f si="177" t="shared"/>
        <v>23.74039869354657</v>
      </c>
      <c r="CY217" s="58">
        <f si="178" t="shared"/>
        <v>44.999999999999993</v>
      </c>
      <c r="CZ217" s="108">
        <f si="179" t="shared"/>
        <v>21.259601306453423</v>
      </c>
      <c r="DA217" s="78">
        <f si="180" t="shared"/>
        <v>0.89550312869145243</v>
      </c>
    </row>
    <row r="218" spans="99:105" x14ac:dyDescent="0.25">
      <c r="CU218" s="95">
        <v>217</v>
      </c>
      <c r="CV218" s="95">
        <f si="181" t="shared"/>
        <v>11</v>
      </c>
      <c r="CW218" s="95">
        <f si="176" t="shared"/>
        <v>17</v>
      </c>
      <c r="CX218" s="58">
        <f si="177" t="shared"/>
        <v>1109.0157675413898</v>
      </c>
      <c r="CY218" s="58">
        <f si="178" t="shared"/>
        <v>5871.9999999999991</v>
      </c>
      <c r="CZ218" s="108">
        <f si="179" t="shared"/>
        <v>4762.9842324586098</v>
      </c>
      <c r="DA218" s="78">
        <f si="180" t="shared"/>
        <v>4.2947849542462428</v>
      </c>
    </row>
    <row r="219" spans="99:105" x14ac:dyDescent="0.25">
      <c r="CU219" s="95">
        <v>218</v>
      </c>
      <c r="CV219" s="95">
        <f si="181" t="shared"/>
        <v>11</v>
      </c>
      <c r="CW219" s="95">
        <f si="176" t="shared"/>
        <v>18</v>
      </c>
      <c r="CX219" s="58">
        <f si="177" t="shared"/>
        <v>101.7445658294853</v>
      </c>
      <c r="CY219" s="58">
        <f si="178" t="shared"/>
        <v>489.99999999999994</v>
      </c>
      <c r="CZ219" s="108">
        <f si="179" t="shared"/>
        <v>388.25543417051466</v>
      </c>
      <c r="DA219" s="78">
        <f si="180" t="shared"/>
        <v>3.8159820232679129</v>
      </c>
    </row>
    <row r="220" spans="99:105" x14ac:dyDescent="0.25">
      <c r="CU220" s="95">
        <v>219</v>
      </c>
      <c r="CV220" s="95">
        <f si="181" t="shared"/>
        <v>11</v>
      </c>
      <c r="CW220" s="95">
        <f si="176" t="shared"/>
        <v>19</v>
      </c>
      <c r="CX220" s="58">
        <f si="177" t="shared"/>
        <v>4890.5221308705932</v>
      </c>
      <c r="CY220" s="58">
        <f si="178" t="shared"/>
        <v>5247.9999999999991</v>
      </c>
      <c r="CZ220" s="108">
        <f si="179" t="shared"/>
        <v>357.47786912940592</v>
      </c>
      <c r="DA220" s="78">
        <f si="180" t="shared"/>
        <v>7.309605386976728E-2</v>
      </c>
    </row>
    <row r="221" spans="99:105" x14ac:dyDescent="0.25">
      <c r="CU221" s="95">
        <v>220</v>
      </c>
      <c r="CV221" s="95">
        <f si="181" t="shared"/>
        <v>11</v>
      </c>
      <c r="CW221" s="95">
        <f si="176" t="shared"/>
        <v>20</v>
      </c>
      <c r="CX221" s="58">
        <f si="177" t="shared"/>
        <v>78.004167135938729</v>
      </c>
      <c r="CY221" s="58">
        <f si="178" t="shared"/>
        <v>8.9999999999999982</v>
      </c>
      <c r="CZ221" s="108">
        <f si="179" t="shared"/>
        <v>-69.004167135938729</v>
      </c>
      <c r="DA221" s="78">
        <f si="180" t="shared"/>
        <v>-0.8846215486883463</v>
      </c>
    </row>
    <row r="222" spans="99:105" x14ac:dyDescent="0.25">
      <c r="CU222" s="95">
        <v>221</v>
      </c>
      <c r="CV222" s="95">
        <f si="181" t="shared"/>
        <v>12</v>
      </c>
      <c r="CW222" s="95">
        <f si="176" t="shared"/>
        <v>1</v>
      </c>
      <c r="CX222" s="58">
        <f si="177" t="shared"/>
        <v>6973.0545397142787</v>
      </c>
      <c r="CY222" s="58">
        <f si="178" t="shared"/>
        <v>9891</v>
      </c>
      <c r="CZ222" s="108">
        <f si="179" t="shared"/>
        <v>2917.9454602857213</v>
      </c>
      <c r="DA222" s="78">
        <f si="180" t="shared"/>
        <v>0.41846015166909684</v>
      </c>
    </row>
    <row r="223" spans="99:105" x14ac:dyDescent="0.25">
      <c r="CU223" s="95">
        <v>222</v>
      </c>
      <c r="CV223" s="95">
        <f si="181" t="shared"/>
        <v>12</v>
      </c>
      <c r="CW223" s="95">
        <f si="176" t="shared"/>
        <v>2</v>
      </c>
      <c r="CX223" s="58">
        <f si="177" t="shared"/>
        <v>4386.4978557710019</v>
      </c>
      <c r="CY223" s="58">
        <f si="178" t="shared"/>
        <v>6034</v>
      </c>
      <c r="CZ223" s="108">
        <f si="179" t="shared"/>
        <v>1647.5021442289981</v>
      </c>
      <c r="DA223" s="78">
        <f si="180" t="shared"/>
        <v>0.37558485114987511</v>
      </c>
    </row>
    <row r="224" spans="99:105" x14ac:dyDescent="0.25">
      <c r="CU224" s="95">
        <v>223</v>
      </c>
      <c r="CV224" s="95">
        <f si="181" t="shared"/>
        <v>12</v>
      </c>
      <c r="CW224" s="95">
        <f si="176" t="shared"/>
        <v>3</v>
      </c>
      <c r="CX224" s="58">
        <f si="177" t="shared"/>
        <v>1817.1161830092874</v>
      </c>
      <c r="CY224" s="58">
        <f si="178" t="shared"/>
        <v>2482</v>
      </c>
      <c r="CZ224" s="108">
        <f si="179" t="shared"/>
        <v>664.8838169907126</v>
      </c>
      <c r="DA224" s="78">
        <f si="180" t="shared"/>
        <v>0.36590055341954675</v>
      </c>
    </row>
    <row r="225" spans="99:105" x14ac:dyDescent="0.25">
      <c r="CU225" s="95">
        <v>224</v>
      </c>
      <c r="CV225" s="95">
        <f si="181" t="shared"/>
        <v>12</v>
      </c>
      <c r="CW225" s="95">
        <f si="176" t="shared"/>
        <v>4</v>
      </c>
      <c r="CX225" s="58">
        <f si="177" t="shared"/>
        <v>1635.0610644847272</v>
      </c>
      <c r="CY225" s="58">
        <f si="178" t="shared"/>
        <v>669</v>
      </c>
      <c r="CZ225" s="108">
        <f si="179" t="shared"/>
        <v>-966.06106448472724</v>
      </c>
      <c r="DA225" s="78">
        <f si="180" t="shared"/>
        <v>-0.59084096947117482</v>
      </c>
    </row>
    <row r="226" spans="99:105" x14ac:dyDescent="0.25">
      <c r="CU226" s="95">
        <v>225</v>
      </c>
      <c r="CV226" s="95">
        <f si="181" t="shared"/>
        <v>12</v>
      </c>
      <c r="CW226" s="95">
        <f si="176" t="shared"/>
        <v>5</v>
      </c>
      <c r="CX226" s="58">
        <f si="177" t="shared"/>
        <v>2967.8419321739584</v>
      </c>
      <c r="CY226" s="58">
        <f si="178" t="shared"/>
        <v>3192</v>
      </c>
      <c r="CZ226" s="108">
        <f si="179" t="shared"/>
        <v>224.15806782604159</v>
      </c>
      <c r="DA226" s="78">
        <f si="180" t="shared"/>
        <v>7.552897794049454E-2</v>
      </c>
    </row>
    <row r="227" spans="99:105" x14ac:dyDescent="0.25">
      <c r="CU227" s="95">
        <v>226</v>
      </c>
      <c r="CV227" s="95">
        <f si="181" t="shared"/>
        <v>12</v>
      </c>
      <c r="CW227" s="95">
        <f si="176" t="shared"/>
        <v>6</v>
      </c>
      <c r="CX227" s="58">
        <f si="177" t="shared"/>
        <v>17669.651503591253</v>
      </c>
      <c r="CY227" s="58">
        <f si="178" t="shared"/>
        <v>22461</v>
      </c>
      <c r="CZ227" s="108">
        <f si="179" t="shared"/>
        <v>4791.3484964087475</v>
      </c>
      <c r="DA227" s="78">
        <f si="180" t="shared"/>
        <v>0.27116259171466589</v>
      </c>
    </row>
    <row r="228" spans="99:105" x14ac:dyDescent="0.25">
      <c r="CU228" s="95">
        <v>227</v>
      </c>
      <c r="CV228" s="95">
        <f si="181" t="shared"/>
        <v>12</v>
      </c>
      <c r="CW228" s="95">
        <f si="176" t="shared"/>
        <v>7</v>
      </c>
      <c r="CX228" s="58">
        <f si="177" t="shared"/>
        <v>8154.6953090057614</v>
      </c>
      <c r="CY228" s="58">
        <f si="178" t="shared"/>
        <v>20857</v>
      </c>
      <c r="CZ228" s="108">
        <f si="179" t="shared"/>
        <v>12702.304690994239</v>
      </c>
      <c r="DA228" s="78">
        <f si="180" t="shared"/>
        <v>1.5576676024873983</v>
      </c>
    </row>
    <row r="229" spans="99:105" x14ac:dyDescent="0.25">
      <c r="CU229" s="95">
        <v>228</v>
      </c>
      <c r="CV229" s="95">
        <f si="181" t="shared"/>
        <v>12</v>
      </c>
      <c r="CW229" s="95">
        <f si="176" t="shared"/>
        <v>8</v>
      </c>
      <c r="CX229" s="58">
        <f si="177" t="shared"/>
        <v>120.22507827093582</v>
      </c>
      <c r="CY229" s="58">
        <f si="178" t="shared"/>
        <v>42</v>
      </c>
      <c r="CZ229" s="108">
        <f si="179" t="shared"/>
        <v>-78.225078270935825</v>
      </c>
      <c r="DA229" s="78">
        <f si="180" t="shared"/>
        <v>-0.65065524927045593</v>
      </c>
    </row>
    <row r="230" spans="99:105" x14ac:dyDescent="0.25">
      <c r="CU230" s="95">
        <v>229</v>
      </c>
      <c r="CV230" s="95">
        <f si="181" t="shared"/>
        <v>12</v>
      </c>
      <c r="CW230" s="95">
        <f si="176" t="shared"/>
        <v>9</v>
      </c>
      <c r="CX230" s="58">
        <f si="177" t="shared"/>
        <v>2936.9269120471467</v>
      </c>
      <c r="CY230" s="58">
        <f si="178" t="shared"/>
        <v>4576</v>
      </c>
      <c r="CZ230" s="108">
        <f si="179" t="shared"/>
        <v>1639.0730879528533</v>
      </c>
      <c r="DA230" s="78">
        <f si="180" t="shared"/>
        <v>0.5580912079321575</v>
      </c>
    </row>
    <row r="231" spans="99:105" x14ac:dyDescent="0.25">
      <c r="CU231" s="95">
        <v>230</v>
      </c>
      <c r="CV231" s="95">
        <f si="181" t="shared"/>
        <v>12</v>
      </c>
      <c r="CW231" s="95">
        <f si="176" t="shared"/>
        <v>10</v>
      </c>
      <c r="CX231" s="58">
        <f si="177" t="shared"/>
        <v>2115.9613775684707</v>
      </c>
      <c r="CY231" s="58">
        <f si="178" t="shared"/>
        <v>3579</v>
      </c>
      <c r="CZ231" s="108">
        <f si="179" t="shared"/>
        <v>1463.0386224315293</v>
      </c>
      <c r="DA231" s="78">
        <f si="180" t="shared"/>
        <v>0.69142973871893687</v>
      </c>
    </row>
    <row r="232" spans="99:105" x14ac:dyDescent="0.25">
      <c r="CU232" s="95">
        <v>231</v>
      </c>
      <c r="CV232" s="95">
        <f si="181" t="shared"/>
        <v>12</v>
      </c>
      <c r="CW232" s="95">
        <f si="176" t="shared"/>
        <v>11</v>
      </c>
      <c r="CX232" s="58">
        <f si="177" t="shared"/>
        <v>2212.1414401852194</v>
      </c>
      <c r="CY232" s="58">
        <f si="178" t="shared"/>
        <v>948</v>
      </c>
      <c r="CZ232" s="108">
        <f si="179" t="shared"/>
        <v>-1264.1414401852194</v>
      </c>
      <c r="DA232" s="78">
        <f si="180" t="shared"/>
        <v>-0.57145597348394439</v>
      </c>
    </row>
    <row r="233" spans="99:105" x14ac:dyDescent="0.25">
      <c r="CU233" s="95">
        <v>232</v>
      </c>
      <c r="CV233" s="95">
        <f si="181" t="shared"/>
        <v>12</v>
      </c>
      <c r="CW233" s="95">
        <f si="176" t="shared"/>
        <v>12</v>
      </c>
      <c r="CX233" s="58">
        <f si="177" t="shared"/>
        <v>70891.576153016387</v>
      </c>
      <c r="CY233" s="58">
        <f si="178" t="shared"/>
        <v>33882</v>
      </c>
      <c r="CZ233" s="108">
        <f si="179" t="shared"/>
        <v>-37009.576153016387</v>
      </c>
      <c r="DA233" s="78">
        <f si="180" t="shared"/>
        <v>-0.52205887019824226</v>
      </c>
    </row>
    <row r="234" spans="99:105" x14ac:dyDescent="0.25">
      <c r="CU234" s="95">
        <v>233</v>
      </c>
      <c r="CV234" s="95">
        <f si="181" t="shared"/>
        <v>12</v>
      </c>
      <c r="CW234" s="95">
        <f si="176" t="shared"/>
        <v>13</v>
      </c>
      <c r="CX234" s="58">
        <f si="177" t="shared"/>
        <v>3276.9921334420796</v>
      </c>
      <c r="CY234" s="58">
        <f si="178" t="shared"/>
        <v>7880</v>
      </c>
      <c r="CZ234" s="108">
        <f si="179" t="shared"/>
        <v>4603.0078665579204</v>
      </c>
      <c r="DA234" s="78">
        <f si="180" t="shared"/>
        <v>1.4046441612061555</v>
      </c>
    </row>
    <row r="235" spans="99:105" x14ac:dyDescent="0.25">
      <c r="CU235" s="95">
        <v>234</v>
      </c>
      <c r="CV235" s="95">
        <f si="181" t="shared"/>
        <v>12</v>
      </c>
      <c r="CW235" s="95">
        <f si="176" t="shared"/>
        <v>14</v>
      </c>
      <c r="CX235" s="58">
        <f si="177" t="shared"/>
        <v>72.135046962561503</v>
      </c>
      <c r="CY235" s="58">
        <f si="178" t="shared"/>
        <v>103</v>
      </c>
      <c r="CZ235" s="108">
        <f si="179" t="shared"/>
        <v>30.864953037438497</v>
      </c>
      <c r="DA235" s="78">
        <f si="180" t="shared"/>
        <v>0.42787735417234263</v>
      </c>
    </row>
    <row r="236" spans="99:105" x14ac:dyDescent="0.25">
      <c r="CU236" s="95">
        <v>235</v>
      </c>
      <c r="CV236" s="95">
        <f si="181" t="shared"/>
        <v>12</v>
      </c>
      <c r="CW236" s="95">
        <f si="176" t="shared"/>
        <v>15</v>
      </c>
      <c r="CX236" s="58">
        <f si="177" t="shared"/>
        <v>419.07027283011917</v>
      </c>
      <c r="CY236" s="58">
        <f si="178" t="shared"/>
        <v>1034</v>
      </c>
      <c r="CZ236" s="108">
        <f si="179" t="shared"/>
        <v>614.92972716988083</v>
      </c>
      <c r="DA236" s="78">
        <f si="180" t="shared"/>
        <v>1.4673666137592114</v>
      </c>
    </row>
    <row r="237" spans="99:105" x14ac:dyDescent="0.25">
      <c r="CU237" s="95">
        <v>236</v>
      </c>
      <c r="CV237" s="95">
        <f si="181" t="shared"/>
        <v>12</v>
      </c>
      <c r="CW237" s="95">
        <f si="176" t="shared"/>
        <v>16</v>
      </c>
      <c r="CX237" s="58">
        <f si="177" t="shared"/>
        <v>676.69544055355311</v>
      </c>
      <c r="CY237" s="58">
        <f si="178" t="shared"/>
        <v>281</v>
      </c>
      <c r="CZ237" s="108">
        <f si="179" t="shared"/>
        <v>-395.69544055355311</v>
      </c>
      <c r="DA237" s="78">
        <f si="180" t="shared"/>
        <v>-0.58474672184855381</v>
      </c>
    </row>
    <row r="238" spans="99:105" x14ac:dyDescent="0.25">
      <c r="CU238" s="95">
        <v>237</v>
      </c>
      <c r="CV238" s="95">
        <f si="181" t="shared"/>
        <v>12</v>
      </c>
      <c r="CW238" s="95">
        <f si="176" t="shared"/>
        <v>17</v>
      </c>
      <c r="CX238" s="58">
        <f si="177" t="shared"/>
        <v>116.79007603462337</v>
      </c>
      <c r="CY238" s="58">
        <f si="178" t="shared"/>
        <v>1363</v>
      </c>
      <c r="CZ238" s="108">
        <f si="179" t="shared"/>
        <v>1246.2099239653767</v>
      </c>
      <c r="DA238" s="78">
        <f si="180" t="shared"/>
        <v>10.670512138342367</v>
      </c>
    </row>
    <row r="239" spans="99:105" x14ac:dyDescent="0.25">
      <c r="CU239" s="95">
        <v>238</v>
      </c>
      <c r="CV239" s="95">
        <f si="181" t="shared"/>
        <v>12</v>
      </c>
      <c r="CW239" s="95">
        <f si="176" t="shared"/>
        <v>18</v>
      </c>
      <c r="CX239" s="58">
        <f si="177" t="shared"/>
        <v>2840.746849430398</v>
      </c>
      <c r="CY239" s="58">
        <f si="178" t="shared"/>
        <v>10190</v>
      </c>
      <c r="CZ239" s="108">
        <f si="179" t="shared"/>
        <v>7349.2531505696024</v>
      </c>
      <c r="DA239" s="78">
        <f si="180" t="shared"/>
        <v>2.5870848548307679</v>
      </c>
    </row>
    <row r="240" spans="99:105" x14ac:dyDescent="0.25">
      <c r="CU240" s="95">
        <v>239</v>
      </c>
      <c r="CV240" s="95">
        <f si="181" t="shared"/>
        <v>12</v>
      </c>
      <c r="CW240" s="95">
        <f si="176" t="shared"/>
        <v>19</v>
      </c>
      <c r="CX240" s="58">
        <f si="177" t="shared"/>
        <v>140.83509168881056</v>
      </c>
      <c r="CY240" s="58">
        <f si="178" t="shared"/>
        <v>656</v>
      </c>
      <c r="CZ240" s="108">
        <f si="179" t="shared"/>
        <v>515.16490831118949</v>
      </c>
      <c r="DA240" s="78">
        <f si="180" t="shared"/>
        <v>3.6579300097272536</v>
      </c>
    </row>
    <row r="241" spans="99:105" x14ac:dyDescent="0.25">
      <c r="CU241" s="95">
        <v>240</v>
      </c>
      <c r="CV241" s="95">
        <f si="181" t="shared"/>
        <v>12</v>
      </c>
      <c r="CW241" s="95">
        <f si="176" t="shared"/>
        <v>20</v>
      </c>
      <c r="CX241" s="58">
        <f si="177" t="shared"/>
        <v>1136.9857402194216</v>
      </c>
      <c r="CY241" s="58">
        <f si="178" t="shared"/>
        <v>441</v>
      </c>
      <c r="CZ241" s="108">
        <f si="179" t="shared"/>
        <v>-695.98574021942159</v>
      </c>
      <c r="DA241" s="78">
        <f si="180" t="shared"/>
        <v>-0.61213233869151829</v>
      </c>
    </row>
    <row r="242" spans="99:105" x14ac:dyDescent="0.25">
      <c r="CU242" s="95">
        <v>241</v>
      </c>
      <c r="CV242" s="95">
        <f si="181" t="shared"/>
        <v>13</v>
      </c>
      <c r="CW242" s="95">
        <f si="176" t="shared"/>
        <v>1</v>
      </c>
      <c r="CX242" s="58">
        <f si="177" t="shared"/>
        <v>1258.0401538526567</v>
      </c>
      <c r="CY242" s="58">
        <f si="178" t="shared"/>
        <v>2279.9999999999995</v>
      </c>
      <c r="CZ242" s="108">
        <f si="179" t="shared"/>
        <v>1021.9598461473429</v>
      </c>
      <c r="DA242" s="78">
        <f si="180" t="shared"/>
        <v>0.81234278811981087</v>
      </c>
    </row>
    <row r="243" spans="99:105" x14ac:dyDescent="0.25">
      <c r="CU243" s="95">
        <v>242</v>
      </c>
      <c r="CV243" s="95">
        <f si="181" t="shared"/>
        <v>13</v>
      </c>
      <c r="CW243" s="95">
        <f si="176" t="shared"/>
        <v>2</v>
      </c>
      <c r="CX243" s="58">
        <f si="177" t="shared"/>
        <v>1685.944968088254</v>
      </c>
      <c r="CY243" s="58">
        <f si="178" t="shared"/>
        <v>1666.9999999999998</v>
      </c>
      <c r="CZ243" s="108">
        <f si="179" t="shared"/>
        <v>-18.9449680882542</v>
      </c>
      <c r="DA243" s="78">
        <f si="180" t="shared"/>
        <v>-1.1237002658358709E-2</v>
      </c>
    </row>
    <row r="244" spans="99:105" x14ac:dyDescent="0.25">
      <c r="CU244" s="95">
        <v>243</v>
      </c>
      <c r="CV244" s="95">
        <f si="181" t="shared"/>
        <v>13</v>
      </c>
      <c r="CW244" s="95">
        <f si="176" t="shared"/>
        <v>3</v>
      </c>
      <c r="CX244" s="58">
        <f si="177" t="shared"/>
        <v>449.30005494737736</v>
      </c>
      <c r="CY244" s="58">
        <f si="178" t="shared"/>
        <v>568.99999999999989</v>
      </c>
      <c r="CZ244" s="108">
        <f si="179" t="shared"/>
        <v>119.69994505262252</v>
      </c>
      <c r="DA244" s="78">
        <f si="180" t="shared"/>
        <v>0.26641426755810643</v>
      </c>
    </row>
    <row r="245" spans="99:105" x14ac:dyDescent="0.25">
      <c r="CU245" s="95">
        <v>244</v>
      </c>
      <c r="CV245" s="95">
        <f si="181" t="shared"/>
        <v>13</v>
      </c>
      <c r="CW245" s="95">
        <f si="176" t="shared"/>
        <v>4</v>
      </c>
      <c r="CX245" s="58">
        <f si="177" t="shared"/>
        <v>393.67242909674962</v>
      </c>
      <c r="CY245" s="58">
        <f si="178" t="shared"/>
        <v>145.99999999999997</v>
      </c>
      <c r="CZ245" s="108">
        <f si="179" t="shared"/>
        <v>-247.67242909674965</v>
      </c>
      <c r="DA245" s="78">
        <f si="180" t="shared"/>
        <v>-0.62913328643566568</v>
      </c>
    </row>
    <row r="246" spans="99:105" x14ac:dyDescent="0.25">
      <c r="CU246" s="95">
        <v>245</v>
      </c>
      <c r="CV246" s="95">
        <f si="181" t="shared"/>
        <v>13</v>
      </c>
      <c r="CW246" s="95">
        <f si="176" t="shared"/>
        <v>5</v>
      </c>
      <c r="CX246" s="58">
        <f si="177" t="shared"/>
        <v>265.30098482607042</v>
      </c>
      <c r="CY246" s="58">
        <f si="178" t="shared"/>
        <v>601.99999999999989</v>
      </c>
      <c r="CZ246" s="108">
        <f si="179" t="shared"/>
        <v>336.69901517392947</v>
      </c>
      <c r="DA246" s="78">
        <f si="180" t="shared"/>
        <v>1.2691208643445751</v>
      </c>
    </row>
    <row r="247" spans="99:105" x14ac:dyDescent="0.25">
      <c r="CU247" s="95">
        <v>246</v>
      </c>
      <c r="CV247" s="95">
        <f si="181" t="shared"/>
        <v>13</v>
      </c>
      <c r="CW247" s="95">
        <f si="176" t="shared"/>
        <v>6</v>
      </c>
      <c r="CX247" s="58">
        <f si="177" t="shared"/>
        <v>3110.8679994927934</v>
      </c>
      <c r="CY247" s="58">
        <f si="178" t="shared"/>
        <v>4387.9999999999991</v>
      </c>
      <c r="CZ247" s="108">
        <f si="179" t="shared"/>
        <v>1277.1320005072057</v>
      </c>
      <c r="DA247" s="78">
        <f si="180" t="shared"/>
        <v>0.41053879519009928</v>
      </c>
    </row>
    <row r="248" spans="99:105" x14ac:dyDescent="0.25">
      <c r="CU248" s="95">
        <v>247</v>
      </c>
      <c r="CV248" s="95">
        <f si="181" t="shared"/>
        <v>13</v>
      </c>
      <c r="CW248" s="95">
        <f si="176" t="shared"/>
        <v>7</v>
      </c>
      <c r="CX248" s="58">
        <f si="177" t="shared"/>
        <v>13568.861659410793</v>
      </c>
      <c r="CY248" s="58">
        <f si="178" t="shared"/>
        <v>17658.999999999996</v>
      </c>
      <c r="CZ248" s="108">
        <f si="179" t="shared"/>
        <v>4090.1383405892029</v>
      </c>
      <c r="DA248" s="78">
        <f si="180" t="shared"/>
        <v>0.30143562837140836</v>
      </c>
    </row>
    <row r="249" spans="99:105" x14ac:dyDescent="0.25">
      <c r="CU249" s="95">
        <v>248</v>
      </c>
      <c r="CV249" s="95">
        <f si="181" t="shared"/>
        <v>13</v>
      </c>
      <c r="CW249" s="95">
        <f si="176" t="shared"/>
        <v>8</v>
      </c>
      <c r="CX249" s="58">
        <f si="177" t="shared"/>
        <v>4.2790481423559745</v>
      </c>
      <c r="CY249" s="58">
        <f si="178" t="shared"/>
        <v>9.9999999999999982</v>
      </c>
      <c r="CZ249" s="108">
        <f si="179" t="shared"/>
        <v>5.7209518576440237</v>
      </c>
      <c r="DA249" s="78">
        <f si="180" t="shared"/>
        <v>1.33696833204923</v>
      </c>
    </row>
    <row r="250" spans="99:105" x14ac:dyDescent="0.25">
      <c r="CU250" s="95">
        <v>249</v>
      </c>
      <c r="CV250" s="95">
        <f si="181" t="shared"/>
        <v>13</v>
      </c>
      <c r="CW250" s="95">
        <f si="176" t="shared"/>
        <v>9</v>
      </c>
      <c r="CX250" s="58">
        <f si="177" t="shared"/>
        <v>1703.0611606576779</v>
      </c>
      <c r="CY250" s="58">
        <f si="178" t="shared"/>
        <v>2683.9999999999995</v>
      </c>
      <c r="CZ250" s="108">
        <f si="179" t="shared"/>
        <v>980.93883934232167</v>
      </c>
      <c r="DA250" s="78">
        <f si="180" t="shared"/>
        <v>0.5759856792010386</v>
      </c>
    </row>
    <row r="251" spans="99:105" x14ac:dyDescent="0.25">
      <c r="CU251" s="95">
        <v>250</v>
      </c>
      <c r="CV251" s="95">
        <f si="181" t="shared"/>
        <v>13</v>
      </c>
      <c r="CW251" s="95">
        <f si="176" t="shared"/>
        <v>10</v>
      </c>
      <c r="CX251" s="58">
        <f si="177" t="shared"/>
        <v>290.97527368020627</v>
      </c>
      <c r="CY251" s="58">
        <f si="178" t="shared"/>
        <v>411.99999999999994</v>
      </c>
      <c r="CZ251" s="108">
        <f si="179" t="shared"/>
        <v>121.02472631979367</v>
      </c>
      <c r="DA251" s="78">
        <f si="180" t="shared"/>
        <v>0.41592787177100415</v>
      </c>
    </row>
    <row r="252" spans="99:105" x14ac:dyDescent="0.25">
      <c r="CU252" s="95">
        <v>251</v>
      </c>
      <c r="CV252" s="95">
        <f si="181" t="shared"/>
        <v>13</v>
      </c>
      <c r="CW252" s="95">
        <f si="176" t="shared"/>
        <v>11</v>
      </c>
      <c r="CX252" s="58">
        <f si="177" t="shared"/>
        <v>393.67242909674962</v>
      </c>
      <c r="CY252" s="58">
        <f si="178" t="shared"/>
        <v>306.99999999999994</v>
      </c>
      <c r="CZ252" s="108">
        <f si="179" t="shared"/>
        <v>-86.672429096749681</v>
      </c>
      <c r="DA252" s="78">
        <f si="180" t="shared"/>
        <v>-0.22016382832705034</v>
      </c>
    </row>
    <row r="253" spans="99:105" x14ac:dyDescent="0.25">
      <c r="CU253" s="95">
        <v>252</v>
      </c>
      <c r="CV253" s="95">
        <f si="181" t="shared"/>
        <v>13</v>
      </c>
      <c r="CW253" s="95">
        <f si="176" t="shared"/>
        <v>12</v>
      </c>
      <c r="CX253" s="58">
        <f si="177" t="shared"/>
        <v>5866.5750031700409</v>
      </c>
      <c r="CY253" s="58">
        <f si="178" t="shared"/>
        <v>6374.9999999999991</v>
      </c>
      <c r="CZ253" s="108">
        <f si="179" t="shared"/>
        <v>508.42499682995822</v>
      </c>
      <c r="DA253" s="78">
        <f si="180" t="shared"/>
        <v>8.6664705821578619E-2</v>
      </c>
    </row>
    <row r="254" spans="99:105" x14ac:dyDescent="0.25">
      <c r="CU254" s="95">
        <v>253</v>
      </c>
      <c r="CV254" s="95">
        <f si="181" t="shared"/>
        <v>13</v>
      </c>
      <c r="CW254" s="95">
        <f si="176" t="shared"/>
        <v>13</v>
      </c>
      <c r="CX254" s="58">
        <f si="177" t="shared"/>
        <v>67549.053975231407</v>
      </c>
      <c r="CY254" s="58">
        <f si="178" t="shared"/>
        <v>53443.999999999993</v>
      </c>
      <c r="CZ254" s="108">
        <f si="179" t="shared"/>
        <v>-14105.053975231414</v>
      </c>
      <c r="DA254" s="78">
        <f si="180" t="shared"/>
        <v>-0.20881201356873769</v>
      </c>
    </row>
    <row r="255" spans="99:105" x14ac:dyDescent="0.25">
      <c r="CU255" s="95">
        <v>254</v>
      </c>
      <c r="CV255" s="95">
        <f si="181" t="shared"/>
        <v>13</v>
      </c>
      <c r="CW255" s="95">
        <f si="176" t="shared"/>
        <v>14</v>
      </c>
      <c r="CX255" s="58">
        <f si="177" t="shared"/>
        <v>12.837144427067924</v>
      </c>
      <c r="CY255" s="58">
        <f si="178" t="shared"/>
        <v>16.999999999999996</v>
      </c>
      <c r="CZ255" s="108">
        <f si="179" t="shared"/>
        <v>4.162855572932072</v>
      </c>
      <c r="DA255" s="78">
        <f si="180" t="shared"/>
        <v>0.3242820548278969</v>
      </c>
    </row>
    <row r="256" spans="99:105" x14ac:dyDescent="0.25">
      <c r="CU256" s="95">
        <v>255</v>
      </c>
      <c r="CV256" s="95">
        <f si="181" t="shared"/>
        <v>13</v>
      </c>
      <c r="CW256" s="95">
        <f si="176" t="shared"/>
        <v>15</v>
      </c>
      <c r="CX256" s="58">
        <f si="177" t="shared"/>
        <v>2267.8955154486666</v>
      </c>
      <c r="CY256" s="58">
        <f si="178" t="shared"/>
        <v>3554.9999999999995</v>
      </c>
      <c r="CZ256" s="108">
        <f si="179" t="shared"/>
        <v>1287.1044845513329</v>
      </c>
      <c r="DA256" s="78">
        <f si="180" t="shared"/>
        <v>0.56753253215754962</v>
      </c>
    </row>
    <row r="257" spans="99:105" x14ac:dyDescent="0.25">
      <c r="CU257" s="95">
        <v>256</v>
      </c>
      <c r="CV257" s="95">
        <f si="181" t="shared"/>
        <v>13</v>
      </c>
      <c r="CW257" s="95">
        <f si="176" t="shared"/>
        <v>16</v>
      </c>
      <c r="CX257" s="58">
        <f si="177" t="shared"/>
        <v>119.81334798596727</v>
      </c>
      <c r="CY257" s="58">
        <f si="178" t="shared"/>
        <v>14.999999999999998</v>
      </c>
      <c r="CZ257" s="108">
        <f si="179" t="shared"/>
        <v>-104.81334798596727</v>
      </c>
      <c r="DA257" s="78">
        <f si="180" t="shared"/>
        <v>-0.87480526792593405</v>
      </c>
    </row>
    <row r="258" spans="99:105" x14ac:dyDescent="0.25">
      <c r="CU258" s="95">
        <v>257</v>
      </c>
      <c r="CV258" s="95">
        <f si="181" t="shared"/>
        <v>13</v>
      </c>
      <c r="CW258" s="95">
        <f si="176" t="shared"/>
        <v>17</v>
      </c>
      <c r="CX258" s="58">
        <f si="177" t="shared"/>
        <v>17.116192569423898</v>
      </c>
      <c r="CY258" s="58">
        <f si="178" t="shared"/>
        <v>522.99999999999989</v>
      </c>
      <c r="CZ258" s="108">
        <f si="179" t="shared"/>
        <v>505.88380743057598</v>
      </c>
      <c r="DA258" s="78">
        <f si="180" t="shared"/>
        <v>29.555860941543681</v>
      </c>
    </row>
    <row r="259" spans="99:105" x14ac:dyDescent="0.25">
      <c r="CU259" s="95">
        <v>258</v>
      </c>
      <c r="CV259" s="95">
        <f si="181" t="shared"/>
        <v>13</v>
      </c>
      <c r="CW259" s="95">
        <f ref="CW259:CW322" si="182" t="shared">MOD(ROW()-2,$CS$2)+1</f>
        <v>18</v>
      </c>
      <c r="CX259" s="58">
        <f ref="CX259:CX322" si="183" t="shared">VLOOKUP($CV259,$B$30:$V$49,MATCH($CW259,$B$29:$V$29,0),0)</f>
        <v>1822.8745086436452</v>
      </c>
      <c r="CY259" s="58">
        <f ref="CY259:CY322" si="184" t="shared">VLOOKUP($CV259,$AY$30:$BS$49,MATCH($CW259,$AY$29:$BS$29,0),0)</f>
        <v>5867.9999999999991</v>
      </c>
      <c r="CZ259" s="108">
        <f ref="CZ259:CZ322" si="185" t="shared">CY259-CX259</f>
        <v>4045.1254913563539</v>
      </c>
      <c r="DA259" s="78">
        <f ref="DA259:DA322" si="186" t="shared">CZ259/CX259</f>
        <v>2.2190915897804886</v>
      </c>
    </row>
    <row r="260" spans="99:105" x14ac:dyDescent="0.25">
      <c r="CU260" s="95">
        <v>259</v>
      </c>
      <c r="CV260" s="95">
        <f ref="CV260:CV323" si="187" t="shared">IF(CW259&lt;$CS$2,CV259,CV259+1)</f>
        <v>13</v>
      </c>
      <c r="CW260" s="95">
        <f si="182" t="shared"/>
        <v>19</v>
      </c>
      <c r="CX260" s="58">
        <f si="183" t="shared"/>
        <v>119.81334798596727</v>
      </c>
      <c r="CY260" s="58">
        <f si="184" t="shared"/>
        <v>559.99999999999989</v>
      </c>
      <c r="CZ260" s="108">
        <f si="185" t="shared"/>
        <v>440.18665201403263</v>
      </c>
      <c r="DA260" s="78">
        <f si="186" t="shared"/>
        <v>3.673936664098461</v>
      </c>
    </row>
    <row r="261" spans="99:105" x14ac:dyDescent="0.25">
      <c r="CU261" s="95">
        <v>260</v>
      </c>
      <c r="CV261" s="95">
        <f si="187" t="shared"/>
        <v>13</v>
      </c>
      <c r="CW261" s="95">
        <f si="182" t="shared"/>
        <v>20</v>
      </c>
      <c r="CX261" s="58">
        <f si="183" t="shared"/>
        <v>338.044803246122</v>
      </c>
      <c r="CY261" s="58">
        <f si="184" t="shared"/>
        <v>156.99999999999997</v>
      </c>
      <c r="CZ261" s="108">
        <f si="185" t="shared"/>
        <v>-181.04480324612203</v>
      </c>
      <c r="DA261" s="78">
        <f si="186" t="shared"/>
        <v>-0.53556452135224164</v>
      </c>
    </row>
    <row r="262" spans="99:105" x14ac:dyDescent="0.25">
      <c r="CU262" s="95">
        <v>261</v>
      </c>
      <c r="CV262" s="95">
        <f si="187" t="shared"/>
        <v>14</v>
      </c>
      <c r="CW262" s="95">
        <f si="182" t="shared"/>
        <v>1</v>
      </c>
      <c r="CX262" s="58">
        <f si="183" t="shared"/>
        <v>1682.7657512116316</v>
      </c>
      <c r="CY262" s="58">
        <f si="184" t="shared"/>
        <v>2109.9999999999995</v>
      </c>
      <c r="CZ262" s="108">
        <f si="185" t="shared"/>
        <v>427.23424878836795</v>
      </c>
      <c r="DA262" s="78">
        <f si="186" t="shared"/>
        <v>0.25388812939694611</v>
      </c>
    </row>
    <row r="263" spans="99:105" x14ac:dyDescent="0.25">
      <c r="CU263" s="95">
        <v>262</v>
      </c>
      <c r="CV263" s="95">
        <f si="187" t="shared"/>
        <v>14</v>
      </c>
      <c r="CW263" s="95">
        <f si="182" t="shared"/>
        <v>2</v>
      </c>
      <c r="CX263" s="58">
        <f si="183" t="shared"/>
        <v>3169.8610662358647</v>
      </c>
      <c r="CY263" s="58">
        <f si="184" t="shared"/>
        <v>996.99999999999966</v>
      </c>
      <c r="CZ263" s="108">
        <f si="185" t="shared"/>
        <v>-2172.8610662358651</v>
      </c>
      <c r="DA263" s="78">
        <f si="186" t="shared"/>
        <v>-0.68547517409527559</v>
      </c>
    </row>
    <row r="264" spans="99:105" x14ac:dyDescent="0.25">
      <c r="CU264" s="95">
        <v>263</v>
      </c>
      <c r="CV264" s="95">
        <f si="187" t="shared"/>
        <v>14</v>
      </c>
      <c r="CW264" s="95">
        <f si="182" t="shared"/>
        <v>3</v>
      </c>
      <c r="CX264" s="58">
        <f si="183" t="shared"/>
        <v>743.5476575121163</v>
      </c>
      <c r="CY264" s="58">
        <f si="184" t="shared"/>
        <v>889.99999999999966</v>
      </c>
      <c r="CZ264" s="108">
        <f si="185" t="shared"/>
        <v>146.45234248788336</v>
      </c>
      <c r="DA264" s="78">
        <f si="186" t="shared"/>
        <v>0.19696429812973607</v>
      </c>
    </row>
    <row r="265" spans="99:105" x14ac:dyDescent="0.25">
      <c r="CU265" s="95">
        <v>264</v>
      </c>
      <c r="CV265" s="95">
        <f si="187" t="shared"/>
        <v>14</v>
      </c>
      <c r="CW265" s="95">
        <f si="182" t="shared"/>
        <v>4</v>
      </c>
      <c r="CX265" s="58">
        <f si="183" t="shared"/>
        <v>939.21809369951529</v>
      </c>
      <c r="CY265" s="58">
        <f si="184" t="shared"/>
        <v>287.99999999999994</v>
      </c>
      <c r="CZ265" s="108">
        <f si="185" t="shared"/>
        <v>-651.21809369951529</v>
      </c>
      <c r="DA265" s="78">
        <f si="186" t="shared"/>
        <v>-0.69336195508586529</v>
      </c>
    </row>
    <row r="266" spans="99:105" x14ac:dyDescent="0.25">
      <c r="CU266" s="95">
        <v>265</v>
      </c>
      <c r="CV266" s="95">
        <f si="187" t="shared"/>
        <v>14</v>
      </c>
      <c r="CW266" s="95">
        <f si="182" t="shared"/>
        <v>5</v>
      </c>
      <c r="CX266" s="58">
        <f si="183" t="shared"/>
        <v>860.94991922455586</v>
      </c>
      <c r="CY266" s="58">
        <f si="184" t="shared"/>
        <v>811.99999999999966</v>
      </c>
      <c r="CZ266" s="108">
        <f si="185" t="shared"/>
        <v>-48.949919224556197</v>
      </c>
      <c r="DA266" s="78">
        <f si="186" t="shared"/>
        <v>-5.6855710339858818E-2</v>
      </c>
    </row>
    <row r="267" spans="99:105" x14ac:dyDescent="0.25">
      <c r="CU267" s="95">
        <v>266</v>
      </c>
      <c r="CV267" s="95">
        <f si="187" t="shared"/>
        <v>14</v>
      </c>
      <c r="CW267" s="95">
        <f si="182" t="shared"/>
        <v>6</v>
      </c>
      <c r="CX267" s="58">
        <f si="183" t="shared"/>
        <v>3052.458804523425</v>
      </c>
      <c r="CY267" s="58">
        <f si="184" t="shared"/>
        <v>3409.9999999999986</v>
      </c>
      <c r="CZ267" s="108">
        <f si="185" t="shared"/>
        <v>357.54119547657365</v>
      </c>
      <c r="DA267" s="78">
        <f si="186" t="shared"/>
        <v>0.11713219354401604</v>
      </c>
    </row>
    <row r="268" spans="99:105" x14ac:dyDescent="0.25">
      <c r="CU268" s="95">
        <v>267</v>
      </c>
      <c r="CV268" s="95">
        <f si="187" t="shared"/>
        <v>14</v>
      </c>
      <c r="CW268" s="95">
        <f si="182" t="shared"/>
        <v>7</v>
      </c>
      <c r="CX268" s="58">
        <f si="183" t="shared"/>
        <v>1291.4248788368336</v>
      </c>
      <c r="CY268" s="58">
        <f si="184" t="shared"/>
        <v>1640.9999999999993</v>
      </c>
      <c r="CZ268" s="108">
        <f si="185" t="shared"/>
        <v>349.5751211631657</v>
      </c>
      <c r="DA268" s="78">
        <f si="186" t="shared"/>
        <v>0.27068947400023963</v>
      </c>
    </row>
    <row r="269" spans="99:105" x14ac:dyDescent="0.25">
      <c r="CU269" s="95">
        <v>268</v>
      </c>
      <c r="CV269" s="95">
        <f si="187" t="shared"/>
        <v>14</v>
      </c>
      <c r="CW269" s="95">
        <f si="182" t="shared"/>
        <v>8</v>
      </c>
      <c r="CX269" s="58">
        <f si="183" t="shared"/>
        <v>1095.7544426494346</v>
      </c>
      <c r="CY269" s="58">
        <f si="184" t="shared"/>
        <v>47.999999999999979</v>
      </c>
      <c r="CZ269" s="108">
        <f si="185" t="shared"/>
        <v>-1047.7544426494346</v>
      </c>
      <c r="DA269" s="78">
        <f si="186" t="shared"/>
        <v>-0.95619456501226652</v>
      </c>
    </row>
    <row r="270" spans="99:105" x14ac:dyDescent="0.25">
      <c r="CU270" s="95">
        <v>269</v>
      </c>
      <c r="CV270" s="95">
        <f si="187" t="shared"/>
        <v>14</v>
      </c>
      <c r="CW270" s="95">
        <f si="182" t="shared"/>
        <v>9</v>
      </c>
      <c r="CX270" s="58">
        <f si="183" t="shared"/>
        <v>900.08400646203552</v>
      </c>
      <c r="CY270" s="58">
        <f si="184" t="shared"/>
        <v>883.99999999999966</v>
      </c>
      <c r="CZ270" s="108">
        <f si="185" t="shared"/>
        <v>-16.084006462035859</v>
      </c>
      <c r="DA270" s="78">
        <f si="186" t="shared"/>
        <v>-1.786945034748183E-2</v>
      </c>
    </row>
    <row r="271" spans="99:105" x14ac:dyDescent="0.25">
      <c r="CU271" s="95">
        <v>270</v>
      </c>
      <c r="CV271" s="95">
        <f si="187" t="shared"/>
        <v>14</v>
      </c>
      <c r="CW271" s="95">
        <f si="182" t="shared"/>
        <v>10</v>
      </c>
      <c r="CX271" s="58">
        <f si="183" t="shared"/>
        <v>469.60904684975765</v>
      </c>
      <c r="CY271" s="58">
        <f si="184" t="shared"/>
        <v>277.99999999999994</v>
      </c>
      <c r="CZ271" s="108">
        <f si="185" t="shared"/>
        <v>-191.6090468497577</v>
      </c>
      <c r="DA271" s="78">
        <f si="186" t="shared"/>
        <v>-0.40801821884632328</v>
      </c>
    </row>
    <row r="272" spans="99:105" x14ac:dyDescent="0.25">
      <c r="CU272" s="95">
        <v>271</v>
      </c>
      <c r="CV272" s="95">
        <f si="187" t="shared"/>
        <v>14</v>
      </c>
      <c r="CW272" s="95">
        <f si="182" t="shared"/>
        <v>11</v>
      </c>
      <c r="CX272" s="58">
        <f si="183" t="shared"/>
        <v>2661.1179321486266</v>
      </c>
      <c r="CY272" s="58">
        <f si="184" t="shared"/>
        <v>1468.9999999999998</v>
      </c>
      <c r="CZ272" s="108">
        <f si="185" t="shared"/>
        <v>-1192.1179321486268</v>
      </c>
      <c r="DA272" s="78">
        <f si="186" t="shared"/>
        <v>-0.44797636277100011</v>
      </c>
    </row>
    <row r="273" spans="99:105" x14ac:dyDescent="0.25">
      <c r="CU273" s="95">
        <v>272</v>
      </c>
      <c r="CV273" s="95">
        <f si="187" t="shared"/>
        <v>14</v>
      </c>
      <c r="CW273" s="95">
        <f si="182" t="shared"/>
        <v>12</v>
      </c>
      <c r="CX273" s="58">
        <f si="183" t="shared"/>
        <v>2387.1793214862682</v>
      </c>
      <c r="CY273" s="58">
        <f si="184" t="shared"/>
        <v>1236.9999999999998</v>
      </c>
      <c r="CZ273" s="108">
        <f si="185" t="shared"/>
        <v>-1150.1793214862685</v>
      </c>
      <c r="DA273" s="78">
        <f si="186" t="shared"/>
        <v>-0.48181521644974784</v>
      </c>
    </row>
    <row r="274" spans="99:105" x14ac:dyDescent="0.25">
      <c r="CU274" s="95">
        <v>273</v>
      </c>
      <c r="CV274" s="95">
        <f si="187" t="shared"/>
        <v>14</v>
      </c>
      <c r="CW274" s="95">
        <f si="182" t="shared"/>
        <v>13</v>
      </c>
      <c r="CX274" s="58">
        <f si="183" t="shared"/>
        <v>156.53634894991924</v>
      </c>
      <c r="CY274" s="58">
        <f si="184" t="shared"/>
        <v>302.99999999999994</v>
      </c>
      <c r="CZ274" s="108">
        <f si="185" t="shared"/>
        <v>146.4636510500807</v>
      </c>
      <c r="DA274" s="78">
        <f si="186" t="shared"/>
        <v>0.93565265852047497</v>
      </c>
    </row>
    <row r="275" spans="99:105" x14ac:dyDescent="0.25">
      <c r="CU275" s="95">
        <v>274</v>
      </c>
      <c r="CV275" s="95">
        <f si="187" t="shared"/>
        <v>14</v>
      </c>
      <c r="CW275" s="95">
        <f si="182" t="shared"/>
        <v>14</v>
      </c>
      <c r="CX275" s="58">
        <f si="183" t="shared"/>
        <v>3052.458804523425</v>
      </c>
      <c r="CY275" s="58">
        <f si="184" t="shared"/>
        <v>3739.9999999999986</v>
      </c>
      <c r="CZ275" s="108">
        <f si="185" t="shared"/>
        <v>687.54119547657365</v>
      </c>
      <c r="DA275" s="78">
        <f si="186" t="shared"/>
        <v>0.22524176066117893</v>
      </c>
    </row>
    <row r="276" spans="99:105" x14ac:dyDescent="0.25">
      <c r="CU276" s="95">
        <v>275</v>
      </c>
      <c r="CV276" s="95">
        <f si="187" t="shared"/>
        <v>14</v>
      </c>
      <c r="CW276" s="95">
        <f si="182" t="shared"/>
        <v>15</v>
      </c>
      <c r="CX276" s="58">
        <f si="183" t="shared"/>
        <v>430.47495961227793</v>
      </c>
      <c r="CY276" s="58">
        <f si="184" t="shared"/>
        <v>196.99999999999991</v>
      </c>
      <c r="CZ276" s="108">
        <f si="185" t="shared"/>
        <v>-233.47495961227801</v>
      </c>
      <c r="DA276" s="78">
        <f si="186" t="shared"/>
        <v>-0.54236594812057193</v>
      </c>
    </row>
    <row r="277" spans="99:105" x14ac:dyDescent="0.25">
      <c r="CU277" s="95">
        <v>276</v>
      </c>
      <c r="CV277" s="95">
        <f si="187" t="shared"/>
        <v>14</v>
      </c>
      <c r="CW277" s="95">
        <f si="182" t="shared"/>
        <v>16</v>
      </c>
      <c r="CX277" s="58">
        <f si="183" t="shared"/>
        <v>39.134087237479811</v>
      </c>
      <c r="CY277" s="58">
        <f si="184" t="shared"/>
        <v>17.999999999999996</v>
      </c>
      <c r="CZ277" s="108">
        <f si="185" t="shared"/>
        <v>-21.134087237479815</v>
      </c>
      <c r="DA277" s="78">
        <f si="186" t="shared"/>
        <v>-0.54004293262879799</v>
      </c>
    </row>
    <row r="278" spans="99:105" x14ac:dyDescent="0.25">
      <c r="CU278" s="95">
        <v>277</v>
      </c>
      <c r="CV278" s="95">
        <f si="187" t="shared"/>
        <v>14</v>
      </c>
      <c r="CW278" s="95">
        <f si="182" t="shared"/>
        <v>17</v>
      </c>
      <c r="CX278" s="58">
        <f si="183" t="shared"/>
        <v>626.14539579967698</v>
      </c>
      <c r="CY278" s="58">
        <f si="184" t="shared"/>
        <v>4610.9999999999991</v>
      </c>
      <c r="CZ278" s="108">
        <f si="185" t="shared"/>
        <v>3984.8546042003222</v>
      </c>
      <c r="DA278" s="78">
        <f si="186" t="shared"/>
        <v>6.3641042973910151</v>
      </c>
    </row>
    <row r="279" spans="99:105" x14ac:dyDescent="0.25">
      <c r="CU279" s="95">
        <v>278</v>
      </c>
      <c r="CV279" s="95">
        <f si="187" t="shared"/>
        <v>14</v>
      </c>
      <c r="CW279" s="95">
        <f si="182" t="shared"/>
        <v>18</v>
      </c>
      <c r="CX279" s="58">
        <f si="183" t="shared"/>
        <v>117.40226171243941</v>
      </c>
      <c r="CY279" s="58">
        <f si="184" t="shared"/>
        <v>186.99999999999997</v>
      </c>
      <c r="CZ279" s="108">
        <f si="185" t="shared"/>
        <v>69.59773828756056</v>
      </c>
      <c r="DA279" s="78">
        <f si="186" t="shared"/>
        <v>0.59281428885953313</v>
      </c>
    </row>
    <row r="280" spans="99:105" x14ac:dyDescent="0.25">
      <c r="CU280" s="95">
        <v>279</v>
      </c>
      <c r="CV280" s="95">
        <f si="187" t="shared"/>
        <v>14</v>
      </c>
      <c r="CW280" s="95">
        <f si="182" t="shared"/>
        <v>19</v>
      </c>
      <c r="CX280" s="58">
        <f si="183" t="shared"/>
        <v>469.60904684975765</v>
      </c>
      <c r="CY280" s="58">
        <f si="184" t="shared"/>
        <v>1098.9999999999998</v>
      </c>
      <c r="CZ280" s="108">
        <f si="185" t="shared"/>
        <v>629.39095315024213</v>
      </c>
      <c r="DA280" s="78">
        <f si="186" t="shared"/>
        <v>1.3402445233377362</v>
      </c>
    </row>
    <row r="281" spans="99:105" x14ac:dyDescent="0.25">
      <c r="CU281" s="95">
        <v>280</v>
      </c>
      <c r="CV281" s="95">
        <f si="187" t="shared"/>
        <v>14</v>
      </c>
      <c r="CW281" s="95">
        <f si="182" t="shared"/>
        <v>20</v>
      </c>
      <c r="CX281" s="58">
        <f si="183" t="shared"/>
        <v>78.268174474959622</v>
      </c>
      <c r="CY281" s="58">
        <f si="184" t="shared"/>
        <v>4.9999999999999991</v>
      </c>
      <c r="CZ281" s="108">
        <f si="185" t="shared"/>
        <v>-73.268174474959622</v>
      </c>
      <c r="DA281" s="78">
        <f si="186" t="shared"/>
        <v>-0.9361170739762219</v>
      </c>
    </row>
    <row r="282" spans="99:105" x14ac:dyDescent="0.25">
      <c r="CU282" s="95">
        <v>281</v>
      </c>
      <c r="CV282" s="95">
        <f si="187" t="shared"/>
        <v>15</v>
      </c>
      <c r="CW282" s="95">
        <f si="182" t="shared"/>
        <v>1</v>
      </c>
      <c r="CX282" s="58">
        <f si="183" t="shared"/>
        <v>953.37663482733285</v>
      </c>
      <c r="CY282" s="58">
        <f si="184" t="shared"/>
        <v>1169</v>
      </c>
      <c r="CZ282" s="108">
        <f si="185" t="shared"/>
        <v>215.62336517266715</v>
      </c>
      <c r="DA282" s="78">
        <f si="186" t="shared"/>
        <v>0.2261680822623883</v>
      </c>
    </row>
    <row r="283" spans="99:105" x14ac:dyDescent="0.25">
      <c r="CU283" s="95">
        <v>282</v>
      </c>
      <c r="CV283" s="95">
        <f si="187" t="shared"/>
        <v>15</v>
      </c>
      <c r="CW283" s="95">
        <f si="182" t="shared"/>
        <v>2</v>
      </c>
      <c r="CX283" s="58">
        <f si="183" t="shared"/>
        <v>1922.0317413666423</v>
      </c>
      <c r="CY283" s="58">
        <f si="184" t="shared"/>
        <v>1038</v>
      </c>
      <c r="CZ283" s="108">
        <f si="185" t="shared"/>
        <v>-884.03174136664234</v>
      </c>
      <c r="DA283" s="78">
        <f si="186" t="shared"/>
        <v>-0.45994648389004233</v>
      </c>
    </row>
    <row r="284" spans="99:105" x14ac:dyDescent="0.25">
      <c r="CU284" s="95">
        <v>283</v>
      </c>
      <c r="CV284" s="95">
        <f si="187" t="shared"/>
        <v>15</v>
      </c>
      <c r="CW284" s="95">
        <f si="182" t="shared"/>
        <v>3</v>
      </c>
      <c r="CX284" s="58">
        <f si="183" t="shared"/>
        <v>357.5162380602498</v>
      </c>
      <c r="CY284" s="58">
        <f si="184" t="shared"/>
        <v>344</v>
      </c>
      <c r="CZ284" s="108">
        <f si="185" t="shared"/>
        <v>-13.516238060249805</v>
      </c>
      <c r="DA284" s="78">
        <f si="186" t="shared"/>
        <v>-3.7805941720532435E-2</v>
      </c>
    </row>
    <row r="285" spans="99:105" x14ac:dyDescent="0.25">
      <c r="CU285" s="95">
        <v>284</v>
      </c>
      <c r="CV285" s="95">
        <f si="187" t="shared"/>
        <v>15</v>
      </c>
      <c r="CW285" s="95">
        <f si="182" t="shared"/>
        <v>4</v>
      </c>
      <c r="CX285" s="58">
        <f si="183" t="shared"/>
        <v>345.29346069066861</v>
      </c>
      <c r="CY285" s="58">
        <f si="184" t="shared"/>
        <v>101</v>
      </c>
      <c r="CZ285" s="108">
        <f si="185" t="shared"/>
        <v>-244.29346069066861</v>
      </c>
      <c r="DA285" s="78">
        <f si="186" t="shared"/>
        <v>-0.70749518453672389</v>
      </c>
    </row>
    <row r="286" spans="99:105" x14ac:dyDescent="0.25">
      <c r="CU286" s="95">
        <v>285</v>
      </c>
      <c r="CV286" s="95">
        <f si="187" t="shared"/>
        <v>15</v>
      </c>
      <c r="CW286" s="95">
        <f si="182" t="shared"/>
        <v>5</v>
      </c>
      <c r="CX286" s="58">
        <f si="183" t="shared"/>
        <v>455.29845701689936</v>
      </c>
      <c r="CY286" s="58">
        <f si="184" t="shared"/>
        <v>369</v>
      </c>
      <c r="CZ286" s="108">
        <f si="185" t="shared"/>
        <v>-86.298457016899363</v>
      </c>
      <c r="DA286" s="78">
        <f si="186" t="shared"/>
        <v>-0.1895426081219867</v>
      </c>
    </row>
    <row r="287" spans="99:105" x14ac:dyDescent="0.25">
      <c r="CU287" s="95">
        <v>286</v>
      </c>
      <c r="CV287" s="95">
        <f si="187" t="shared"/>
        <v>15</v>
      </c>
      <c r="CW287" s="95">
        <f si="182" t="shared"/>
        <v>6</v>
      </c>
      <c r="CX287" s="58">
        <f si="183" t="shared"/>
        <v>2028.9810433504774</v>
      </c>
      <c r="CY287" s="58">
        <f si="184" t="shared"/>
        <v>2382</v>
      </c>
      <c r="CZ287" s="108">
        <f si="185" t="shared"/>
        <v>353.01895664952258</v>
      </c>
      <c r="DA287" s="78">
        <f si="186" t="shared"/>
        <v>0.17398829713390457</v>
      </c>
    </row>
    <row r="288" spans="99:105" x14ac:dyDescent="0.25">
      <c r="CU288" s="95">
        <v>287</v>
      </c>
      <c r="CV288" s="95">
        <f si="187" t="shared"/>
        <v>15</v>
      </c>
      <c r="CW288" s="95">
        <f si="182" t="shared"/>
        <v>7</v>
      </c>
      <c r="CX288" s="58">
        <f si="183" t="shared"/>
        <v>1592.01675238795</v>
      </c>
      <c r="CY288" s="58">
        <f si="184" t="shared"/>
        <v>3825</v>
      </c>
      <c r="CZ288" s="108">
        <f si="185" t="shared"/>
        <v>2232.98324761205</v>
      </c>
      <c r="DA288" s="78">
        <f si="186" t="shared"/>
        <v>1.402612908603305</v>
      </c>
    </row>
    <row r="289" spans="99:105" x14ac:dyDescent="0.25">
      <c r="CU289" s="95">
        <v>288</v>
      </c>
      <c r="CV289" s="95">
        <f si="187" t="shared"/>
        <v>15</v>
      </c>
      <c r="CW289" s="95">
        <f si="182" t="shared"/>
        <v>8</v>
      </c>
      <c r="CX289" s="58">
        <f si="183" t="shared"/>
        <v>30.556943423952973</v>
      </c>
      <c r="CY289" s="58">
        <f si="184" t="shared"/>
        <v>7</v>
      </c>
      <c r="CZ289" s="108">
        <f si="185" t="shared"/>
        <v>-23.556943423952973</v>
      </c>
      <c r="DA289" s="78">
        <f si="186" t="shared"/>
        <v>-0.77091949600846399</v>
      </c>
    </row>
    <row r="290" spans="99:105" x14ac:dyDescent="0.25">
      <c r="CU290" s="95">
        <v>289</v>
      </c>
      <c r="CV290" s="95">
        <f si="187" t="shared"/>
        <v>15</v>
      </c>
      <c r="CW290" s="95">
        <f si="182" t="shared"/>
        <v>9</v>
      </c>
      <c r="CX290" s="58">
        <f si="183" t="shared"/>
        <v>5011.3387215282883</v>
      </c>
      <c r="CY290" s="58">
        <f si="184" t="shared"/>
        <v>2930</v>
      </c>
      <c r="CZ290" s="108">
        <f si="185" t="shared"/>
        <v>-2081.3387215282883</v>
      </c>
      <c r="DA290" s="78">
        <f si="186" t="shared"/>
        <v>-0.41532589138048737</v>
      </c>
    </row>
    <row r="291" spans="99:105" x14ac:dyDescent="0.25">
      <c r="CU291" s="95">
        <v>290</v>
      </c>
      <c r="CV291" s="95">
        <f si="187" t="shared"/>
        <v>15</v>
      </c>
      <c r="CW291" s="95">
        <f si="182" t="shared"/>
        <v>10</v>
      </c>
      <c r="CX291" s="58">
        <f si="183" t="shared"/>
        <v>220.00999265246142</v>
      </c>
      <c r="CY291" s="58">
        <f si="184" t="shared"/>
        <v>197</v>
      </c>
      <c r="CZ291" s="108">
        <f si="185" t="shared"/>
        <v>-23.00999265246142</v>
      </c>
      <c r="DA291" s="78">
        <f si="186" t="shared"/>
        <v>-0.10458612527117864</v>
      </c>
    </row>
    <row r="292" spans="99:105" x14ac:dyDescent="0.25">
      <c r="CU292" s="95">
        <v>291</v>
      </c>
      <c r="CV292" s="95">
        <f si="187" t="shared"/>
        <v>15</v>
      </c>
      <c r="CW292" s="95">
        <f si="182" t="shared"/>
        <v>11</v>
      </c>
      <c r="CX292" s="58">
        <f si="183" t="shared"/>
        <v>690.58692138133722</v>
      </c>
      <c r="CY292" s="58">
        <f si="184" t="shared"/>
        <v>329</v>
      </c>
      <c r="CZ292" s="108">
        <f si="185" t="shared"/>
        <v>-361.58692138133722</v>
      </c>
      <c r="DA292" s="78">
        <f si="186" t="shared"/>
        <v>-0.52359364214149584</v>
      </c>
    </row>
    <row r="293" spans="99:105" x14ac:dyDescent="0.25">
      <c r="CU293" s="95">
        <v>292</v>
      </c>
      <c r="CV293" s="95">
        <f si="187" t="shared"/>
        <v>15</v>
      </c>
      <c r="CW293" s="95">
        <f si="182" t="shared"/>
        <v>12</v>
      </c>
      <c r="CX293" s="58">
        <f si="183" t="shared"/>
        <v>1323.1156502571639</v>
      </c>
      <c r="CY293" s="58">
        <f si="184" t="shared"/>
        <v>1625</v>
      </c>
      <c r="CZ293" s="108">
        <f si="185" t="shared"/>
        <v>301.88434974283609</v>
      </c>
      <c r="DA293" s="78">
        <f si="186" t="shared"/>
        <v>0.22816172545775656</v>
      </c>
    </row>
    <row r="294" spans="99:105" x14ac:dyDescent="0.25">
      <c r="CU294" s="95">
        <v>293</v>
      </c>
      <c r="CV294" s="95">
        <f si="187" t="shared"/>
        <v>15</v>
      </c>
      <c r="CW294" s="95">
        <f si="182" t="shared"/>
        <v>13</v>
      </c>
      <c r="CX294" s="58">
        <f si="183" t="shared"/>
        <v>1595.0724467303455</v>
      </c>
      <c r="CY294" s="58">
        <f si="184" t="shared"/>
        <v>8280</v>
      </c>
      <c r="CZ294" s="108">
        <f si="185" t="shared"/>
        <v>6684.9275532696547</v>
      </c>
      <c r="DA294" s="78">
        <f si="186" t="shared"/>
        <v>4.1909867899559883</v>
      </c>
    </row>
    <row r="295" spans="99:105" x14ac:dyDescent="0.25">
      <c r="CU295" s="95">
        <v>294</v>
      </c>
      <c r="CV295" s="95">
        <f si="187" t="shared"/>
        <v>15</v>
      </c>
      <c r="CW295" s="95">
        <f si="182" t="shared"/>
        <v>14</v>
      </c>
      <c r="CX295" s="58">
        <f si="183" t="shared"/>
        <v>3.0556943423952974</v>
      </c>
      <c r="CY295" s="58">
        <f si="184" t="shared"/>
        <v>34</v>
      </c>
      <c r="CZ295" s="108">
        <f si="185" t="shared"/>
        <v>30.944305657604701</v>
      </c>
      <c r="DA295" s="78">
        <f si="186" t="shared"/>
        <v>10.126767336731749</v>
      </c>
    </row>
    <row r="296" spans="99:105" x14ac:dyDescent="0.25">
      <c r="CU296" s="95">
        <v>295</v>
      </c>
      <c r="CV296" s="95">
        <f si="187" t="shared"/>
        <v>15</v>
      </c>
      <c r="CW296" s="95">
        <f si="182" t="shared"/>
        <v>15</v>
      </c>
      <c r="CX296" s="58">
        <f si="183" t="shared"/>
        <v>23852.750036737692</v>
      </c>
      <c r="CY296" s="58">
        <f si="184" t="shared"/>
        <v>15153</v>
      </c>
      <c r="CZ296" s="108">
        <f si="185" t="shared"/>
        <v>-8699.7500367376924</v>
      </c>
      <c r="DA296" s="78">
        <f si="186" t="shared"/>
        <v>-0.36472733849717337</v>
      </c>
    </row>
    <row r="297" spans="99:105" x14ac:dyDescent="0.25">
      <c r="CU297" s="95">
        <v>296</v>
      </c>
      <c r="CV297" s="95">
        <f si="187" t="shared"/>
        <v>15</v>
      </c>
      <c r="CW297" s="95">
        <f si="182" t="shared"/>
        <v>16</v>
      </c>
      <c r="CX297" s="58">
        <f si="183" t="shared"/>
        <v>42.779720793534167</v>
      </c>
      <c r="CY297" s="58">
        <f si="184" t="shared"/>
        <v>9</v>
      </c>
      <c r="CZ297" s="108">
        <f si="185" t="shared"/>
        <v>-33.779720793534167</v>
      </c>
      <c r="DA297" s="78">
        <f si="186" t="shared"/>
        <v>-0.78961994531389545</v>
      </c>
    </row>
    <row r="298" spans="99:105" x14ac:dyDescent="0.25">
      <c r="CU298" s="95">
        <v>297</v>
      </c>
      <c r="CV298" s="95">
        <f si="187" t="shared"/>
        <v>15</v>
      </c>
      <c r="CW298" s="95">
        <f si="182" t="shared"/>
        <v>17</v>
      </c>
      <c r="CX298" s="58">
        <f si="183" t="shared"/>
        <v>119.17207935341661</v>
      </c>
      <c r="CY298" s="58">
        <f si="184" t="shared"/>
        <v>449</v>
      </c>
      <c r="CZ298" s="108">
        <f si="185" t="shared"/>
        <v>329.82792064658338</v>
      </c>
      <c r="DA298" s="78">
        <f si="186" t="shared"/>
        <v>2.7676610363443102</v>
      </c>
    </row>
    <row r="299" spans="99:105" x14ac:dyDescent="0.25">
      <c r="CU299" s="95">
        <v>298</v>
      </c>
      <c r="CV299" s="95">
        <f si="187" t="shared"/>
        <v>15</v>
      </c>
      <c r="CW299" s="95">
        <f si="182" t="shared"/>
        <v>18</v>
      </c>
      <c r="CX299" s="58">
        <f si="183" t="shared"/>
        <v>48.891109478324758</v>
      </c>
      <c r="CY299" s="58">
        <f si="184" t="shared"/>
        <v>465</v>
      </c>
      <c r="CZ299" s="108">
        <f si="185" t="shared"/>
        <v>416.10889052167522</v>
      </c>
      <c r="DA299" s="78">
        <f si="186" t="shared"/>
        <v>8.5109316389343075</v>
      </c>
    </row>
    <row r="300" spans="99:105" x14ac:dyDescent="0.25">
      <c r="CU300" s="95">
        <v>299</v>
      </c>
      <c r="CV300" s="95">
        <f si="187" t="shared"/>
        <v>15</v>
      </c>
      <c r="CW300" s="95">
        <f si="182" t="shared"/>
        <v>19</v>
      </c>
      <c r="CX300" s="58">
        <f si="183" t="shared"/>
        <v>983.93357825128578</v>
      </c>
      <c r="CY300" s="58">
        <f si="184" t="shared"/>
        <v>2872</v>
      </c>
      <c r="CZ300" s="108">
        <f si="185" t="shared"/>
        <v>1888.0664217487142</v>
      </c>
      <c r="DA300" s="78">
        <f si="186" t="shared"/>
        <v>1.9188962176738753</v>
      </c>
    </row>
    <row r="301" spans="99:105" x14ac:dyDescent="0.25">
      <c r="CU301" s="95">
        <v>300</v>
      </c>
      <c r="CV301" s="95">
        <f si="187" t="shared"/>
        <v>15</v>
      </c>
      <c r="CW301" s="95">
        <f si="182" t="shared"/>
        <v>20</v>
      </c>
      <c r="CX301" s="58">
        <f si="183" t="shared"/>
        <v>12.222777369581189</v>
      </c>
      <c r="CY301" s="58">
        <f si="184" t="shared"/>
        <v>10</v>
      </c>
      <c r="CZ301" s="108">
        <f si="185" t="shared"/>
        <v>-2.2227773695811894</v>
      </c>
      <c r="DA301" s="78">
        <f si="186" t="shared"/>
        <v>-0.18185534288737129</v>
      </c>
    </row>
    <row r="302" spans="99:105" x14ac:dyDescent="0.25">
      <c r="CU302" s="95">
        <v>301</v>
      </c>
      <c r="CV302" s="95">
        <f si="187" t="shared"/>
        <v>16</v>
      </c>
      <c r="CW302" s="95">
        <f si="182" t="shared"/>
        <v>1</v>
      </c>
      <c r="CX302" s="58">
        <f si="183" t="shared"/>
        <v>1908.2711426726921</v>
      </c>
      <c r="CY302" s="58">
        <f si="184" t="shared"/>
        <v>1635</v>
      </c>
      <c r="CZ302" s="108">
        <f si="185" t="shared"/>
        <v>-273.27114267269212</v>
      </c>
      <c r="DA302" s="78">
        <f si="186" t="shared"/>
        <v>-0.14320351891395958</v>
      </c>
    </row>
    <row r="303" spans="99:105" x14ac:dyDescent="0.25">
      <c r="CU303" s="95">
        <v>302</v>
      </c>
      <c r="CV303" s="95">
        <f si="187" t="shared"/>
        <v>16</v>
      </c>
      <c r="CW303" s="95">
        <f si="182" t="shared"/>
        <v>2</v>
      </c>
      <c r="CX303" s="58">
        <f si="183" t="shared"/>
        <v>597.70561652679146</v>
      </c>
      <c r="CY303" s="58">
        <f si="184" t="shared"/>
        <v>787</v>
      </c>
      <c r="CZ303" s="108">
        <f si="185" t="shared"/>
        <v>189.29438347320854</v>
      </c>
      <c r="DA303" s="78">
        <f si="186" t="shared"/>
        <v>0.31670169769054468</v>
      </c>
    </row>
    <row r="304" spans="99:105" x14ac:dyDescent="0.25">
      <c r="CU304" s="95">
        <v>303</v>
      </c>
      <c r="CV304" s="95">
        <f si="187" t="shared"/>
        <v>16</v>
      </c>
      <c r="CW304" s="95">
        <f si="182" t="shared"/>
        <v>3</v>
      </c>
      <c r="CX304" s="58">
        <f si="183" t="shared"/>
        <v>367.3970303421562</v>
      </c>
      <c r="CY304" s="58">
        <f si="184" t="shared"/>
        <v>429</v>
      </c>
      <c r="CZ304" s="108">
        <f si="185" t="shared"/>
        <v>61.602969657843801</v>
      </c>
      <c r="DA304" s="78">
        <f si="186" t="shared"/>
        <v>0.16767410885295689</v>
      </c>
    </row>
    <row r="305" spans="99:105" x14ac:dyDescent="0.25">
      <c r="CU305" s="95">
        <v>304</v>
      </c>
      <c r="CV305" s="95">
        <f si="187" t="shared"/>
        <v>16</v>
      </c>
      <c r="CW305" s="95">
        <f si="182" t="shared"/>
        <v>4</v>
      </c>
      <c r="CX305" s="58">
        <f si="183" t="shared"/>
        <v>460.61717236927052</v>
      </c>
      <c r="CY305" s="58">
        <f si="184" t="shared"/>
        <v>136</v>
      </c>
      <c r="CZ305" s="108">
        <f si="185" t="shared"/>
        <v>-324.61717236927052</v>
      </c>
      <c r="DA305" s="78">
        <f si="186" t="shared"/>
        <v>-0.70474396492762403</v>
      </c>
    </row>
    <row r="306" spans="99:105" x14ac:dyDescent="0.25">
      <c r="CU306" s="95">
        <v>305</v>
      </c>
      <c r="CV306" s="95">
        <f si="187" t="shared"/>
        <v>16</v>
      </c>
      <c r="CW306" s="95">
        <f si="182" t="shared"/>
        <v>5</v>
      </c>
      <c r="CX306" s="58">
        <f si="183" t="shared"/>
        <v>537.38670109748227</v>
      </c>
      <c r="CY306" s="58">
        <f si="184" t="shared"/>
        <v>815</v>
      </c>
      <c r="CZ306" s="108">
        <f si="185" t="shared"/>
        <v>277.61329890251773</v>
      </c>
      <c r="DA306" s="78">
        <f si="186" t="shared"/>
        <v>0.51659875157974644</v>
      </c>
    </row>
    <row r="307" spans="99:105" x14ac:dyDescent="0.25">
      <c r="CU307" s="95">
        <v>306</v>
      </c>
      <c r="CV307" s="95">
        <f si="187" t="shared"/>
        <v>16</v>
      </c>
      <c r="CW307" s="95">
        <f si="182" t="shared"/>
        <v>6</v>
      </c>
      <c r="CX307" s="58">
        <f si="183" t="shared"/>
        <v>3476.5629438347323</v>
      </c>
      <c r="CY307" s="58">
        <f si="184" t="shared"/>
        <v>3760</v>
      </c>
      <c r="CZ307" s="108">
        <f si="185" t="shared"/>
        <v>283.43705616526768</v>
      </c>
      <c r="DA307" s="78">
        <f si="186" t="shared"/>
        <v>8.1527951814567123E-2</v>
      </c>
    </row>
    <row r="308" spans="99:105" x14ac:dyDescent="0.25">
      <c r="CU308" s="95">
        <v>307</v>
      </c>
      <c r="CV308" s="95">
        <f si="187" t="shared"/>
        <v>16</v>
      </c>
      <c r="CW308" s="95">
        <f si="182" t="shared"/>
        <v>7</v>
      </c>
      <c r="CX308" s="58">
        <f si="183" t="shared"/>
        <v>570.28792769528729</v>
      </c>
      <c r="CY308" s="58">
        <f si="184" t="shared"/>
        <v>1288</v>
      </c>
      <c r="CZ308" s="108">
        <f si="185" t="shared"/>
        <v>717.71207230471271</v>
      </c>
      <c r="DA308" s="78">
        <f si="186" t="shared"/>
        <v>1.2585082682798716</v>
      </c>
    </row>
    <row r="309" spans="99:105" x14ac:dyDescent="0.25">
      <c r="CU309" s="95">
        <v>308</v>
      </c>
      <c r="CV309" s="95">
        <f si="187" t="shared"/>
        <v>16</v>
      </c>
      <c r="CW309" s="95">
        <f si="182" t="shared"/>
        <v>8</v>
      </c>
      <c r="CX309" s="58">
        <f si="183" t="shared"/>
        <v>76.769528728211753</v>
      </c>
      <c r="CY309" s="58">
        <f si="184" t="shared"/>
        <v>4</v>
      </c>
      <c r="CZ309" s="108">
        <f si="185" t="shared"/>
        <v>-72.769528728211753</v>
      </c>
      <c r="DA309" s="78">
        <f si="186" t="shared"/>
        <v>-0.94789599381075718</v>
      </c>
    </row>
    <row r="310" spans="99:105" x14ac:dyDescent="0.25">
      <c r="CU310" s="95">
        <v>309</v>
      </c>
      <c r="CV310" s="95">
        <f si="187" t="shared"/>
        <v>16</v>
      </c>
      <c r="CW310" s="95">
        <f si="182" t="shared"/>
        <v>9</v>
      </c>
      <c r="CX310" s="58">
        <f si="183" t="shared"/>
        <v>740.27759845061337</v>
      </c>
      <c r="CY310" s="58">
        <f si="184" t="shared"/>
        <v>401</v>
      </c>
      <c r="CZ310" s="108">
        <f si="185" t="shared"/>
        <v>-339.27759845061337</v>
      </c>
      <c r="DA310" s="78">
        <f si="186" t="shared"/>
        <v>-0.45831131343257553</v>
      </c>
    </row>
    <row r="311" spans="99:105" x14ac:dyDescent="0.25">
      <c r="CU311" s="95">
        <v>310</v>
      </c>
      <c r="CV311" s="95">
        <f si="187" t="shared"/>
        <v>16</v>
      </c>
      <c r="CW311" s="95">
        <f si="182" t="shared"/>
        <v>10</v>
      </c>
      <c r="CX311" s="58">
        <f si="183" t="shared"/>
        <v>2703.3841187863136</v>
      </c>
      <c r="CY311" s="58">
        <f si="184" t="shared"/>
        <v>1256</v>
      </c>
      <c r="CZ311" s="108">
        <f si="185" t="shared"/>
        <v>-1447.3841187863136</v>
      </c>
      <c r="DA311" s="78">
        <f si="186" t="shared"/>
        <v>-0.5353971375093074</v>
      </c>
    </row>
    <row r="312" spans="99:105" x14ac:dyDescent="0.25">
      <c r="CU312" s="95">
        <v>311</v>
      </c>
      <c r="CV312" s="95">
        <f si="187" t="shared"/>
        <v>16</v>
      </c>
      <c r="CW312" s="95">
        <f si="182" t="shared"/>
        <v>11</v>
      </c>
      <c r="CX312" s="58">
        <f si="183" t="shared"/>
        <v>466.10071013557132</v>
      </c>
      <c r="CY312" s="58">
        <f si="184" t="shared"/>
        <v>152</v>
      </c>
      <c r="CZ312" s="108">
        <f si="185" t="shared"/>
        <v>-314.10071013557132</v>
      </c>
      <c r="DA312" s="78">
        <f si="186" t="shared"/>
        <v>-0.67389022008615074</v>
      </c>
    </row>
    <row r="313" spans="99:105" x14ac:dyDescent="0.25">
      <c r="CU313" s="95">
        <v>312</v>
      </c>
      <c r="CV313" s="95">
        <f si="187" t="shared"/>
        <v>16</v>
      </c>
      <c r="CW313" s="95">
        <f si="182" t="shared"/>
        <v>12</v>
      </c>
      <c r="CX313" s="58">
        <f si="183" t="shared"/>
        <v>3750.739832149774</v>
      </c>
      <c r="CY313" s="58">
        <f si="184" t="shared"/>
        <v>3358</v>
      </c>
      <c r="CZ313" s="108">
        <f si="185" t="shared"/>
        <v>-392.73983214977397</v>
      </c>
      <c r="DA313" s="78">
        <f si="186" t="shared"/>
        <v>-0.10470996382723545</v>
      </c>
    </row>
    <row r="314" spans="99:105" x14ac:dyDescent="0.25">
      <c r="CU314" s="95">
        <v>313</v>
      </c>
      <c r="CV314" s="95">
        <f si="187" t="shared"/>
        <v>16</v>
      </c>
      <c r="CW314" s="95">
        <f si="182" t="shared"/>
        <v>13</v>
      </c>
      <c r="CX314" s="58">
        <f si="183" t="shared"/>
        <v>43.868302130406711</v>
      </c>
      <c r="CY314" s="58">
        <f si="184" t="shared"/>
        <v>443</v>
      </c>
      <c r="CZ314" s="108">
        <f si="185" t="shared"/>
        <v>399.13169786959327</v>
      </c>
      <c r="DA314" s="78">
        <f si="186" t="shared"/>
        <v>9.0984076995526255</v>
      </c>
    </row>
    <row r="315" spans="99:105" x14ac:dyDescent="0.25">
      <c r="CU315" s="95">
        <v>314</v>
      </c>
      <c r="CV315" s="95">
        <f si="187" t="shared"/>
        <v>16</v>
      </c>
      <c r="CW315" s="95">
        <f si="182" t="shared"/>
        <v>14</v>
      </c>
      <c r="CX315" s="58">
        <f si="183" t="shared"/>
        <v>5.4835377663008389</v>
      </c>
      <c r="CY315" s="58">
        <f si="184" t="shared"/>
        <v>25</v>
      </c>
      <c r="CZ315" s="108">
        <f si="185" t="shared"/>
        <v>19.516462233699162</v>
      </c>
      <c r="DA315" s="78">
        <f si="186" t="shared"/>
        <v>3.559100541558748</v>
      </c>
    </row>
    <row r="316" spans="99:105" x14ac:dyDescent="0.25">
      <c r="CU316" s="95">
        <v>315</v>
      </c>
      <c r="CV316" s="95">
        <f si="187" t="shared"/>
        <v>16</v>
      </c>
      <c r="CW316" s="95">
        <f si="182" t="shared"/>
        <v>15</v>
      </c>
      <c r="CX316" s="58">
        <f si="183" t="shared"/>
        <v>16.450613298902518</v>
      </c>
      <c r="CY316" s="58">
        <f si="184" t="shared"/>
        <v>95</v>
      </c>
      <c r="CZ316" s="108">
        <f si="185" t="shared"/>
        <v>78.54938670109749</v>
      </c>
      <c r="DA316" s="78">
        <f si="186" t="shared"/>
        <v>4.7748606859744136</v>
      </c>
    </row>
    <row r="317" spans="99:105" x14ac:dyDescent="0.25">
      <c r="CU317" s="95">
        <v>316</v>
      </c>
      <c r="CV317" s="95">
        <f si="187" t="shared"/>
        <v>16</v>
      </c>
      <c r="CW317" s="95">
        <f si="182" t="shared"/>
        <v>16</v>
      </c>
      <c r="CX317" s="58">
        <f si="183" t="shared"/>
        <v>1107.6746287927695</v>
      </c>
      <c r="CY317" s="58">
        <f si="184" t="shared"/>
        <v>396</v>
      </c>
      <c r="CZ317" s="108">
        <f si="185" t="shared"/>
        <v>-711.67462879276945</v>
      </c>
      <c r="DA317" s="78">
        <f si="186" t="shared"/>
        <v>-0.64249429416687842</v>
      </c>
    </row>
    <row r="318" spans="99:105" x14ac:dyDescent="0.25">
      <c r="CU318" s="95">
        <v>317</v>
      </c>
      <c r="CV318" s="95">
        <f si="187" t="shared"/>
        <v>16</v>
      </c>
      <c r="CW318" s="95">
        <f si="182" t="shared"/>
        <v>17</v>
      </c>
      <c r="CX318" s="58">
        <f si="183" t="shared"/>
        <v>60.318915429309236</v>
      </c>
      <c r="CY318" s="58">
        <f si="184" t="shared"/>
        <v>287</v>
      </c>
      <c r="CZ318" s="108">
        <f si="185" t="shared"/>
        <v>226.68108457069076</v>
      </c>
      <c r="DA318" s="78">
        <f si="186" t="shared"/>
        <v>3.7580431106449468</v>
      </c>
    </row>
    <row r="319" spans="99:105" x14ac:dyDescent="0.25">
      <c r="CU319" s="95">
        <v>318</v>
      </c>
      <c r="CV319" s="95">
        <f si="187" t="shared"/>
        <v>16</v>
      </c>
      <c r="CW319" s="95">
        <f si="182" t="shared"/>
        <v>18</v>
      </c>
      <c r="CX319" s="58">
        <f si="183" t="shared"/>
        <v>43.868302130406711</v>
      </c>
      <c r="CY319" s="58">
        <f si="184" t="shared"/>
        <v>1442</v>
      </c>
      <c r="CZ319" s="108">
        <f si="185" t="shared"/>
        <v>1398.1316978695934</v>
      </c>
      <c r="DA319" s="78">
        <f si="186" t="shared"/>
        <v>31.871114904638574</v>
      </c>
    </row>
    <row r="320" spans="99:105" x14ac:dyDescent="0.25">
      <c r="CU320" s="95">
        <v>319</v>
      </c>
      <c r="CV320" s="95">
        <f si="187" t="shared"/>
        <v>16</v>
      </c>
      <c r="CW320" s="95">
        <f si="182" t="shared"/>
        <v>19</v>
      </c>
      <c r="CX320" s="58">
        <f si="183" t="shared"/>
        <v>49.351839896707553</v>
      </c>
      <c r="CY320" s="58">
        <f si="184" t="shared"/>
        <v>108</v>
      </c>
      <c r="CZ320" s="108">
        <f si="185" t="shared"/>
        <v>58.648160103292447</v>
      </c>
      <c r="DA320" s="78">
        <f si="186" t="shared"/>
        <v>1.1883682599481988</v>
      </c>
    </row>
    <row r="321" spans="99:105" x14ac:dyDescent="0.25">
      <c r="CU321" s="95">
        <v>320</v>
      </c>
      <c r="CV321" s="95">
        <f si="187" t="shared"/>
        <v>16</v>
      </c>
      <c r="CW321" s="95">
        <f si="182" t="shared"/>
        <v>20</v>
      </c>
      <c r="CX321" s="58">
        <f si="183" t="shared"/>
        <v>5.4835377663008389</v>
      </c>
      <c r="CY321" s="58">
        <f si="184" t="shared"/>
        <v>171</v>
      </c>
      <c r="CZ321" s="108">
        <f si="185" t="shared"/>
        <v>165.51646223369917</v>
      </c>
      <c r="DA321" s="78">
        <f si="186" t="shared"/>
        <v>30.184247704261836</v>
      </c>
    </row>
    <row r="322" spans="99:105" x14ac:dyDescent="0.25">
      <c r="CU322" s="95">
        <v>321</v>
      </c>
      <c r="CV322" s="95">
        <f si="187" t="shared"/>
        <v>17</v>
      </c>
      <c r="CW322" s="95">
        <f si="182" t="shared"/>
        <v>1</v>
      </c>
      <c r="CX322" s="58">
        <f si="183" t="shared"/>
        <v>1663.5507246376812</v>
      </c>
      <c r="CY322" s="58">
        <f si="184" t="shared"/>
        <v>1781</v>
      </c>
      <c r="CZ322" s="108">
        <f si="185" t="shared"/>
        <v>117.44927536231876</v>
      </c>
      <c r="DA322" s="78">
        <f si="186" t="shared"/>
        <v>7.0601559437208639E-2</v>
      </c>
    </row>
    <row r="323" spans="99:105" x14ac:dyDescent="0.25">
      <c r="CU323" s="95">
        <v>322</v>
      </c>
      <c r="CV323" s="95">
        <f si="187" t="shared"/>
        <v>17</v>
      </c>
      <c r="CW323" s="95">
        <f ref="CW323:CW386" si="188" t="shared">MOD(ROW()-2,$CS$2)+1</f>
        <v>2</v>
      </c>
      <c r="CX323" s="58">
        <f ref="CX323:CX386" si="189" t="shared">VLOOKUP($CV323,$B$30:$V$49,MATCH($CW323,$B$29:$V$29,0),0)</f>
        <v>591.4847020933978</v>
      </c>
      <c r="CY323" s="58">
        <f ref="CY323:CY386" si="190" t="shared">VLOOKUP($CV323,$AY$30:$BS$49,MATCH($CW323,$AY$29:$BS$29,0),0)</f>
        <v>831</v>
      </c>
      <c r="CZ323" s="108">
        <f ref="CZ323:CZ386" si="191" t="shared">CY323-CX323</f>
        <v>239.5152979066022</v>
      </c>
      <c r="DA323" s="78">
        <f ref="DA323:DA386" si="192" t="shared">CZ323/CX323</f>
        <v>0.40493912532125265</v>
      </c>
    </row>
    <row r="324" spans="99:105" x14ac:dyDescent="0.25">
      <c r="CU324" s="95">
        <v>323</v>
      </c>
      <c r="CV324" s="95">
        <f ref="CV324:CV387" si="193" t="shared">IF(CW323&lt;$CS$2,CV323,CV323+1)</f>
        <v>17</v>
      </c>
      <c r="CW324" s="95">
        <f si="188" t="shared"/>
        <v>3</v>
      </c>
      <c r="CX324" s="58">
        <f si="189" t="shared"/>
        <v>628.45249597423515</v>
      </c>
      <c r="CY324" s="58">
        <f si="190" t="shared"/>
        <v>802</v>
      </c>
      <c r="CZ324" s="108">
        <f si="191" t="shared"/>
        <v>173.54750402576485</v>
      </c>
      <c r="DA324" s="78">
        <f si="192" t="shared"/>
        <v>0.27615055256758791</v>
      </c>
    </row>
    <row r="325" spans="99:105" x14ac:dyDescent="0.25">
      <c r="CU325" s="95">
        <v>324</v>
      </c>
      <c r="CV325" s="95">
        <f si="193" t="shared"/>
        <v>17</v>
      </c>
      <c r="CW325" s="95">
        <f si="188" t="shared"/>
        <v>4</v>
      </c>
      <c r="CX325" s="58">
        <f si="189" t="shared"/>
        <v>702.38808373590985</v>
      </c>
      <c r="CY325" s="58">
        <f si="190" t="shared"/>
        <v>213</v>
      </c>
      <c r="CZ325" s="108">
        <f si="191" t="shared"/>
        <v>-489.38808373590985</v>
      </c>
      <c r="DA325" s="78">
        <f si="192" t="shared"/>
        <v>-0.69674884165591044</v>
      </c>
    </row>
    <row r="326" spans="99:105" x14ac:dyDescent="0.25">
      <c r="CU326" s="95">
        <v>325</v>
      </c>
      <c r="CV326" s="95">
        <f si="193" t="shared"/>
        <v>17</v>
      </c>
      <c r="CW326" s="95">
        <f si="188" t="shared"/>
        <v>5</v>
      </c>
      <c r="CX326" s="58">
        <f si="189" t="shared"/>
        <v>665.4202898550725</v>
      </c>
      <c r="CY326" s="58">
        <f si="190" t="shared"/>
        <v>602</v>
      </c>
      <c r="CZ326" s="108">
        <f si="191" t="shared"/>
        <v>-63.420289855072497</v>
      </c>
      <c r="DA326" s="78">
        <f si="192" t="shared"/>
        <v>-9.5308620464346433E-2</v>
      </c>
    </row>
    <row r="327" spans="99:105" x14ac:dyDescent="0.25">
      <c r="CU327" s="95">
        <v>326</v>
      </c>
      <c r="CV327" s="95">
        <f si="193" t="shared"/>
        <v>17</v>
      </c>
      <c r="CW327" s="95">
        <f si="188" t="shared"/>
        <v>6</v>
      </c>
      <c r="CX327" s="58">
        <f si="189" t="shared"/>
        <v>2292.0032206119163</v>
      </c>
      <c r="CY327" s="58">
        <f si="190" t="shared"/>
        <v>2873</v>
      </c>
      <c r="CZ327" s="108">
        <f si="191" t="shared"/>
        <v>580.99677938808372</v>
      </c>
      <c r="DA327" s="78">
        <f si="192" t="shared"/>
        <v>0.25348864005215921</v>
      </c>
    </row>
    <row r="328" spans="99:105" x14ac:dyDescent="0.25">
      <c r="CU328" s="95">
        <v>327</v>
      </c>
      <c r="CV328" s="95">
        <f si="193" t="shared"/>
        <v>17</v>
      </c>
      <c r="CW328" s="95">
        <f si="188" t="shared"/>
        <v>7</v>
      </c>
      <c r="CX328" s="58">
        <f si="189" t="shared"/>
        <v>1219.9371980676328</v>
      </c>
      <c r="CY328" s="58">
        <f si="190" t="shared"/>
        <v>1420</v>
      </c>
      <c r="CZ328" s="108">
        <f si="191" t="shared"/>
        <v>200.06280193236717</v>
      </c>
      <c r="DA328" s="78">
        <f si="192" t="shared"/>
        <v>0.16399434515913153</v>
      </c>
    </row>
    <row r="329" spans="99:105" x14ac:dyDescent="0.25">
      <c r="CU329" s="95">
        <v>328</v>
      </c>
      <c r="CV329" s="95">
        <f si="193" t="shared"/>
        <v>17</v>
      </c>
      <c r="CW329" s="95">
        <f si="188" t="shared"/>
        <v>8</v>
      </c>
      <c r="CX329" s="58">
        <f si="189" t="shared"/>
        <v>628.45249597423515</v>
      </c>
      <c r="CY329" s="58">
        <f si="190" t="shared"/>
        <v>31</v>
      </c>
      <c r="CZ329" s="108">
        <f si="191" t="shared"/>
        <v>-597.45249597423515</v>
      </c>
      <c r="DA329" s="78">
        <f si="192" t="shared"/>
        <v>-0.95067248487581646</v>
      </c>
    </row>
    <row r="330" spans="99:105" x14ac:dyDescent="0.25">
      <c r="CU330" s="95">
        <v>329</v>
      </c>
      <c r="CV330" s="95">
        <f si="193" t="shared"/>
        <v>17</v>
      </c>
      <c r="CW330" s="95">
        <f si="188" t="shared"/>
        <v>9</v>
      </c>
      <c r="CX330" s="58">
        <f si="189" t="shared"/>
        <v>924.19484702093393</v>
      </c>
      <c r="CY330" s="58">
        <f si="190" t="shared"/>
        <v>978</v>
      </c>
      <c r="CZ330" s="108">
        <f si="191" t="shared"/>
        <v>53.805152979066065</v>
      </c>
      <c r="DA330" s="78">
        <f si="192" t="shared"/>
        <v>5.8218408328614413E-2</v>
      </c>
    </row>
    <row r="331" spans="99:105" x14ac:dyDescent="0.25">
      <c r="CU331" s="95">
        <v>330</v>
      </c>
      <c r="CV331" s="95">
        <f si="193" t="shared"/>
        <v>17</v>
      </c>
      <c r="CW331" s="95">
        <f si="188" t="shared"/>
        <v>10</v>
      </c>
      <c r="CX331" s="58">
        <f si="189" t="shared"/>
        <v>628.45249597423515</v>
      </c>
      <c r="CY331" s="58">
        <f si="190" t="shared"/>
        <v>213</v>
      </c>
      <c r="CZ331" s="108">
        <f si="191" t="shared"/>
        <v>-415.45249597423515</v>
      </c>
      <c r="DA331" s="78">
        <f si="192" t="shared"/>
        <v>-0.66107223479189992</v>
      </c>
    </row>
    <row r="332" spans="99:105" x14ac:dyDescent="0.25">
      <c r="CU332" s="95">
        <v>331</v>
      </c>
      <c r="CV332" s="95">
        <f si="193" t="shared"/>
        <v>17</v>
      </c>
      <c r="CW332" s="95">
        <f si="188" t="shared"/>
        <v>11</v>
      </c>
      <c r="CX332" s="58">
        <f si="189" t="shared"/>
        <v>5877.8792270531403</v>
      </c>
      <c r="CY332" s="58">
        <f si="190" t="shared"/>
        <v>1676</v>
      </c>
      <c r="CZ332" s="108">
        <f si="191" t="shared"/>
        <v>-4201.8792270531403</v>
      </c>
      <c r="DA332" s="78">
        <f si="192" t="shared"/>
        <v>-0.71486314446779498</v>
      </c>
    </row>
    <row r="333" spans="99:105" x14ac:dyDescent="0.25">
      <c r="CU333" s="95">
        <v>332</v>
      </c>
      <c r="CV333" s="95">
        <f si="193" t="shared"/>
        <v>17</v>
      </c>
      <c r="CW333" s="95">
        <f si="188" t="shared"/>
        <v>12</v>
      </c>
      <c r="CX333" s="58">
        <f si="189" t="shared"/>
        <v>850.25925925925924</v>
      </c>
      <c r="CY333" s="58">
        <f si="190" t="shared"/>
        <v>1053</v>
      </c>
      <c r="CZ333" s="108">
        <f si="191" t="shared"/>
        <v>202.74074074074076</v>
      </c>
      <c r="DA333" s="78">
        <f si="192" t="shared"/>
        <v>0.23844578995513355</v>
      </c>
    </row>
    <row r="334" spans="99:105" x14ac:dyDescent="0.25">
      <c r="CU334" s="95">
        <v>333</v>
      </c>
      <c r="CV334" s="95">
        <f si="193" t="shared"/>
        <v>17</v>
      </c>
      <c r="CW334" s="95">
        <f si="188" t="shared"/>
        <v>13</v>
      </c>
      <c r="CX334" s="58">
        <f si="189" t="shared"/>
        <v>184.83896940418677</v>
      </c>
      <c r="CY334" s="58">
        <f si="190" t="shared"/>
        <v>324</v>
      </c>
      <c r="CZ334" s="108">
        <f si="191" t="shared"/>
        <v>139.16103059581323</v>
      </c>
      <c r="DA334" s="78">
        <f si="192" t="shared"/>
        <v>0.75287711809034308</v>
      </c>
    </row>
    <row r="335" spans="99:105" x14ac:dyDescent="0.25">
      <c r="CU335" s="95">
        <v>334</v>
      </c>
      <c r="CV335" s="95">
        <f si="193" t="shared"/>
        <v>17</v>
      </c>
      <c r="CW335" s="95">
        <f si="188" t="shared"/>
        <v>14</v>
      </c>
      <c r="CX335" s="58">
        <f si="189" t="shared"/>
        <v>517.54911433172299</v>
      </c>
      <c r="CY335" s="58">
        <f si="190" t="shared"/>
        <v>843</v>
      </c>
      <c r="CZ335" s="108">
        <f si="191" t="shared"/>
        <v>325.45088566827701</v>
      </c>
      <c r="DA335" s="78">
        <f si="192" t="shared"/>
        <v>0.62883091991860574</v>
      </c>
    </row>
    <row r="336" spans="99:105" x14ac:dyDescent="0.25">
      <c r="CU336" s="95">
        <v>335</v>
      </c>
      <c r="CV336" s="95">
        <f si="193" t="shared"/>
        <v>17</v>
      </c>
      <c r="CW336" s="95">
        <f si="188" t="shared"/>
        <v>15</v>
      </c>
      <c r="CX336" s="58">
        <f si="189" t="shared"/>
        <v>628.45249597423515</v>
      </c>
      <c r="CY336" s="58">
        <f si="190" t="shared"/>
        <v>407</v>
      </c>
      <c r="CZ336" s="108">
        <f si="191" t="shared"/>
        <v>-221.45249597423515</v>
      </c>
      <c r="DA336" s="78">
        <f si="192" t="shared"/>
        <v>-0.3523774627244286</v>
      </c>
    </row>
    <row r="337" spans="99:105" x14ac:dyDescent="0.25">
      <c r="CU337" s="95">
        <v>336</v>
      </c>
      <c r="CV337" s="95">
        <f si="193" t="shared"/>
        <v>17</v>
      </c>
      <c r="CW337" s="95">
        <f si="188" t="shared"/>
        <v>16</v>
      </c>
      <c r="CX337" s="58">
        <f si="189" t="shared"/>
        <v>110.90338164251207</v>
      </c>
      <c r="CY337" s="58">
        <f si="190" t="shared"/>
        <v>17</v>
      </c>
      <c r="CZ337" s="108">
        <f si="191" t="shared"/>
        <v>-93.903381642512073</v>
      </c>
      <c r="DA337" s="78">
        <f si="192" t="shared"/>
        <v>-0.8467134207431285</v>
      </c>
    </row>
    <row r="338" spans="99:105" x14ac:dyDescent="0.25">
      <c r="CU338" s="95">
        <v>337</v>
      </c>
      <c r="CV338" s="95">
        <f si="193" t="shared"/>
        <v>17</v>
      </c>
      <c r="CW338" s="95">
        <f si="188" t="shared"/>
        <v>17</v>
      </c>
      <c r="CX338" s="58">
        <f si="189" t="shared"/>
        <v>2994.391304347826</v>
      </c>
      <c r="CY338" s="58">
        <f si="190" t="shared"/>
        <v>4811</v>
      </c>
      <c r="CZ338" s="108">
        <f si="191" t="shared"/>
        <v>1816.608695652174</v>
      </c>
      <c r="DA338" s="78">
        <f si="192" t="shared"/>
        <v>0.60667044184054253</v>
      </c>
    </row>
    <row r="339" spans="99:105" x14ac:dyDescent="0.25">
      <c r="CU339" s="95">
        <v>338</v>
      </c>
      <c r="CV339" s="95">
        <f si="193" t="shared"/>
        <v>17</v>
      </c>
      <c r="CW339" s="95">
        <f si="188" t="shared"/>
        <v>18</v>
      </c>
      <c r="CX339" s="58">
        <f si="189" t="shared"/>
        <v>73.935587761674725</v>
      </c>
      <c r="CY339" s="58">
        <f si="190" t="shared"/>
        <v>164</v>
      </c>
      <c r="CZ339" s="108">
        <f si="191" t="shared"/>
        <v>90.064412238325275</v>
      </c>
      <c r="DA339" s="78">
        <f si="192" t="shared"/>
        <v>1.2181469704229644</v>
      </c>
    </row>
    <row r="340" spans="99:105" x14ac:dyDescent="0.25">
      <c r="CU340" s="95">
        <v>339</v>
      </c>
      <c r="CV340" s="95">
        <f si="193" t="shared"/>
        <v>17</v>
      </c>
      <c r="CW340" s="95">
        <f si="188" t="shared"/>
        <v>19</v>
      </c>
      <c r="CX340" s="58">
        <f si="189" t="shared"/>
        <v>1737.4863123993559</v>
      </c>
      <c r="CY340" s="58">
        <f si="190" t="shared"/>
        <v>3916</v>
      </c>
      <c r="CZ340" s="108">
        <f si="191" t="shared"/>
        <v>2178.5136876006441</v>
      </c>
      <c r="DA340" s="78">
        <f si="192" t="shared"/>
        <v>1.2538307047681188</v>
      </c>
    </row>
    <row r="341" spans="99:105" x14ac:dyDescent="0.25">
      <c r="CU341" s="95">
        <v>340</v>
      </c>
      <c r="CV341" s="95">
        <f si="193" t="shared"/>
        <v>17</v>
      </c>
      <c r="CW341" s="95">
        <f si="188" t="shared"/>
        <v>20</v>
      </c>
      <c r="CX341" s="58">
        <f si="189" t="shared"/>
        <v>36.967793880837363</v>
      </c>
      <c r="CY341" s="58">
        <f si="190" t="shared"/>
        <v>2</v>
      </c>
      <c r="CZ341" s="108">
        <f si="191" t="shared"/>
        <v>-34.967793880837363</v>
      </c>
      <c r="DA341" s="78">
        <f si="192" t="shared"/>
        <v>-0.94589885437992771</v>
      </c>
    </row>
    <row r="342" spans="99:105" x14ac:dyDescent="0.25">
      <c r="CU342" s="95">
        <v>341</v>
      </c>
      <c r="CV342" s="95">
        <f si="193" t="shared"/>
        <v>18</v>
      </c>
      <c r="CW342" s="95">
        <f si="188" t="shared"/>
        <v>1</v>
      </c>
      <c r="CX342" s="58">
        <f si="189" t="shared"/>
        <v>916.51768279453245</v>
      </c>
      <c r="CY342" s="58">
        <f si="190" t="shared"/>
        <v>1702</v>
      </c>
      <c r="CZ342" s="108">
        <f si="191" t="shared"/>
        <v>785.48231720546755</v>
      </c>
      <c r="DA342" s="78">
        <f si="192" t="shared"/>
        <v>0.85702909169245045</v>
      </c>
    </row>
    <row r="343" spans="99:105" x14ac:dyDescent="0.25">
      <c r="CU343" s="95">
        <v>342</v>
      </c>
      <c r="CV343" s="95">
        <f si="193" t="shared"/>
        <v>18</v>
      </c>
      <c r="CW343" s="95">
        <f si="188" t="shared"/>
        <v>2</v>
      </c>
      <c r="CX343" s="58">
        <f si="189" t="shared"/>
        <v>1497.7240182252117</v>
      </c>
      <c r="CY343" s="58">
        <f si="190" t="shared"/>
        <v>1052</v>
      </c>
      <c r="CZ343" s="108">
        <f si="191" t="shared"/>
        <v>-445.72401822521169</v>
      </c>
      <c r="DA343" s="78">
        <f si="192" t="shared"/>
        <v>-0.29760090163566333</v>
      </c>
    </row>
    <row r="344" spans="99:105" x14ac:dyDescent="0.25">
      <c r="CU344" s="95">
        <v>343</v>
      </c>
      <c r="CV344" s="95">
        <f si="193" t="shared"/>
        <v>18</v>
      </c>
      <c r="CW344" s="95">
        <f si="188" t="shared"/>
        <v>3</v>
      </c>
      <c r="CX344" s="58">
        <f si="189" t="shared"/>
        <v>324.13430245172486</v>
      </c>
      <c r="CY344" s="58">
        <f si="190" t="shared"/>
        <v>427</v>
      </c>
      <c r="CZ344" s="108">
        <f si="191" t="shared"/>
        <v>102.86569754827514</v>
      </c>
      <c r="DA344" s="78">
        <f si="192" t="shared"/>
        <v>0.3173551727484798</v>
      </c>
    </row>
    <row r="345" spans="99:105" x14ac:dyDescent="0.25">
      <c r="CU345" s="95">
        <v>344</v>
      </c>
      <c r="CV345" s="95">
        <f si="193" t="shared"/>
        <v>18</v>
      </c>
      <c r="CW345" s="95">
        <f si="188" t="shared"/>
        <v>4</v>
      </c>
      <c r="CX345" s="58">
        <f si="189" t="shared"/>
        <v>279.42612280321111</v>
      </c>
      <c r="CY345" s="58">
        <f si="190" t="shared"/>
        <v>104</v>
      </c>
      <c r="CZ345" s="108">
        <f si="191" t="shared"/>
        <v>-175.42612280321111</v>
      </c>
      <c r="DA345" s="78">
        <f si="192" t="shared"/>
        <v>-0.62780859943705714</v>
      </c>
    </row>
    <row r="346" spans="99:105" x14ac:dyDescent="0.25">
      <c r="CU346" s="95">
        <v>345</v>
      </c>
      <c r="CV346" s="95">
        <f si="193" t="shared"/>
        <v>18</v>
      </c>
      <c r="CW346" s="95">
        <f si="188" t="shared"/>
        <v>5</v>
      </c>
      <c r="CX346" s="58">
        <f si="189" t="shared"/>
        <v>659.44564981557824</v>
      </c>
      <c r="CY346" s="58">
        <f si="190" t="shared"/>
        <v>533</v>
      </c>
      <c r="CZ346" s="108">
        <f si="191" t="shared"/>
        <v>-126.44564981557824</v>
      </c>
      <c r="DA346" s="78">
        <f si="192" t="shared"/>
        <v>-0.19174536954021951</v>
      </c>
    </row>
    <row r="347" spans="99:105" x14ac:dyDescent="0.25">
      <c r="CU347" s="95">
        <v>346</v>
      </c>
      <c r="CV347" s="95">
        <f si="193" t="shared"/>
        <v>18</v>
      </c>
      <c r="CW347" s="95">
        <f si="188" t="shared"/>
        <v>6</v>
      </c>
      <c r="CX347" s="58">
        <f si="189" t="shared"/>
        <v>2671.3137339986984</v>
      </c>
      <c r="CY347" s="58">
        <f si="190" t="shared"/>
        <v>3678</v>
      </c>
      <c r="CZ347" s="108">
        <f si="191" t="shared"/>
        <v>1006.6862660013016</v>
      </c>
      <c r="DA347" s="78">
        <f si="192" t="shared"/>
        <v>0.37685063090451365</v>
      </c>
    </row>
    <row r="348" spans="99:105" x14ac:dyDescent="0.25">
      <c r="CU348" s="95">
        <v>347</v>
      </c>
      <c r="CV348" s="95">
        <f si="193" t="shared"/>
        <v>18</v>
      </c>
      <c r="CW348" s="95">
        <f si="188" t="shared"/>
        <v>7</v>
      </c>
      <c r="CX348" s="58">
        <f si="189" t="shared"/>
        <v>2078.9303536558909</v>
      </c>
      <c r="CY348" s="58">
        <f si="190" t="shared"/>
        <v>3897</v>
      </c>
      <c r="CZ348" s="108">
        <f si="191" t="shared"/>
        <v>1818.0696463441091</v>
      </c>
      <c r="DA348" s="78">
        <f si="192" t="shared"/>
        <v>0.87452167079428766</v>
      </c>
    </row>
    <row r="349" spans="99:105" x14ac:dyDescent="0.25">
      <c r="CU349" s="95">
        <v>348</v>
      </c>
      <c r="CV349" s="95">
        <f si="193" t="shared"/>
        <v>18</v>
      </c>
      <c r="CW349" s="95">
        <f si="188" t="shared"/>
        <v>8</v>
      </c>
      <c r="CX349" s="58">
        <f si="189" t="shared"/>
        <v>212.36385333044043</v>
      </c>
      <c r="CY349" s="58">
        <f si="190" t="shared"/>
        <v>3</v>
      </c>
      <c r="CZ349" s="108">
        <f si="191" t="shared"/>
        <v>-209.36385333044043</v>
      </c>
      <c r="DA349" s="78">
        <f si="192" t="shared"/>
        <v>-0.98587330210413926</v>
      </c>
    </row>
    <row r="350" spans="99:105" x14ac:dyDescent="0.25">
      <c r="CU350" s="95">
        <v>349</v>
      </c>
      <c r="CV350" s="95">
        <f si="193" t="shared"/>
        <v>18</v>
      </c>
      <c r="CW350" s="95">
        <f si="188" t="shared"/>
        <v>9</v>
      </c>
      <c r="CX350" s="58">
        <f si="189" t="shared"/>
        <v>860.63245823389025</v>
      </c>
      <c r="CY350" s="58">
        <f si="190" t="shared"/>
        <v>847</v>
      </c>
      <c r="CZ350" s="108">
        <f si="191" t="shared"/>
        <v>-13.632458233890247</v>
      </c>
      <c r="DA350" s="78">
        <f si="192" t="shared"/>
        <v>-1.5840046588372354E-2</v>
      </c>
    </row>
    <row r="351" spans="99:105" x14ac:dyDescent="0.25">
      <c r="CU351" s="95">
        <v>350</v>
      </c>
      <c r="CV351" s="95">
        <f si="193" t="shared"/>
        <v>18</v>
      </c>
      <c r="CW351" s="95">
        <f si="188" t="shared"/>
        <v>10</v>
      </c>
      <c r="CX351" s="58">
        <f si="189" t="shared"/>
        <v>245.89498806682579</v>
      </c>
      <c r="CY351" s="58">
        <f si="190" t="shared"/>
        <v>775</v>
      </c>
      <c r="CZ351" s="108">
        <f si="191" t="shared"/>
        <v>529.10501193317418</v>
      </c>
      <c r="DA351" s="78">
        <f si="192" t="shared"/>
        <v>2.1517519169174024</v>
      </c>
    </row>
    <row r="352" spans="99:105" x14ac:dyDescent="0.25">
      <c r="CU352" s="95">
        <v>351</v>
      </c>
      <c r="CV352" s="95">
        <f si="193" t="shared"/>
        <v>18</v>
      </c>
      <c r="CW352" s="95">
        <f si="188" t="shared"/>
        <v>11</v>
      </c>
      <c r="CX352" s="58">
        <f si="189" t="shared"/>
        <v>134.12453894554133</v>
      </c>
      <c r="CY352" s="58">
        <f si="190" t="shared"/>
        <v>161</v>
      </c>
      <c r="CZ352" s="108">
        <f si="191" t="shared"/>
        <v>26.875461054458668</v>
      </c>
      <c r="DA352" s="78">
        <f si="192" t="shared"/>
        <v>0.20037691287327317</v>
      </c>
    </row>
    <row r="353" spans="99:105" x14ac:dyDescent="0.25">
      <c r="CU353" s="95">
        <v>352</v>
      </c>
      <c r="CV353" s="95">
        <f si="193" t="shared"/>
        <v>18</v>
      </c>
      <c r="CW353" s="95">
        <f si="188" t="shared"/>
        <v>12</v>
      </c>
      <c r="CX353" s="58">
        <f si="189" t="shared"/>
        <v>15189.604035582555</v>
      </c>
      <c r="CY353" s="58">
        <f si="190" t="shared"/>
        <v>11191</v>
      </c>
      <c r="CZ353" s="108">
        <f si="191" t="shared"/>
        <v>-3998.6040355825553</v>
      </c>
      <c r="DA353" s="78">
        <f si="192" t="shared"/>
        <v>-0.26324610083420125</v>
      </c>
    </row>
    <row r="354" spans="99:105" x14ac:dyDescent="0.25">
      <c r="CU354" s="95">
        <v>353</v>
      </c>
      <c r="CV354" s="95">
        <f si="193" t="shared"/>
        <v>18</v>
      </c>
      <c r="CW354" s="95">
        <f si="188" t="shared"/>
        <v>13</v>
      </c>
      <c r="CX354" s="58">
        <f si="189" t="shared"/>
        <v>2961.916901714038</v>
      </c>
      <c r="CY354" s="58">
        <f si="190" t="shared"/>
        <v>8543</v>
      </c>
      <c r="CZ354" s="108">
        <f si="191" t="shared"/>
        <v>5581.0830982859625</v>
      </c>
      <c r="DA354" s="78">
        <f si="192" t="shared"/>
        <v>1.8842807828458097</v>
      </c>
    </row>
    <row r="355" spans="99:105" x14ac:dyDescent="0.25">
      <c r="CU355" s="95">
        <v>354</v>
      </c>
      <c r="CV355" s="95">
        <f si="193" t="shared"/>
        <v>18</v>
      </c>
      <c r="CW355" s="95">
        <f si="188" t="shared"/>
        <v>14</v>
      </c>
      <c r="CX355" s="58">
        <f si="189" t="shared"/>
        <v>11.177044912128444</v>
      </c>
      <c r="CY355" s="58">
        <f si="190" t="shared"/>
        <v>21</v>
      </c>
      <c r="CZ355" s="108">
        <f si="191" t="shared"/>
        <v>9.8229550878715557</v>
      </c>
      <c r="DA355" s="78">
        <f si="192" t="shared"/>
        <v>0.87885082014947102</v>
      </c>
    </row>
    <row r="356" spans="99:105" x14ac:dyDescent="0.25">
      <c r="CU356" s="95">
        <v>355</v>
      </c>
      <c r="CV356" s="95">
        <f si="193" t="shared"/>
        <v>18</v>
      </c>
      <c r="CW356" s="95">
        <f si="188" t="shared"/>
        <v>15</v>
      </c>
      <c r="CX356" s="58">
        <f si="189" t="shared"/>
        <v>78.239314384899103</v>
      </c>
      <c r="CY356" s="58">
        <f si="190" t="shared"/>
        <v>459</v>
      </c>
      <c r="CZ356" s="108">
        <f si="191" t="shared"/>
        <v>380.7606856151009</v>
      </c>
      <c r="DA356" s="78">
        <f si="192" t="shared"/>
        <v>4.8666158261810022</v>
      </c>
    </row>
    <row r="357" spans="99:105" x14ac:dyDescent="0.25">
      <c r="CU357" s="95">
        <v>356</v>
      </c>
      <c r="CV357" s="95">
        <f si="193" t="shared"/>
        <v>18</v>
      </c>
      <c r="CW357" s="95">
        <f si="188" t="shared"/>
        <v>16</v>
      </c>
      <c r="CX357" s="58">
        <f si="189" t="shared"/>
        <v>190.00976350618356</v>
      </c>
      <c r="CY357" s="58">
        <f si="190" t="shared"/>
        <v>66</v>
      </c>
      <c r="CZ357" s="108">
        <f si="191" t="shared"/>
        <v>-124.00976350618356</v>
      </c>
      <c r="DA357" s="78">
        <f si="192" t="shared"/>
        <v>-0.65264942820766081</v>
      </c>
    </row>
    <row r="358" spans="99:105" x14ac:dyDescent="0.25">
      <c r="CU358" s="95">
        <v>357</v>
      </c>
      <c r="CV358" s="95">
        <f si="193" t="shared"/>
        <v>18</v>
      </c>
      <c r="CW358" s="95">
        <f si="188" t="shared"/>
        <v>17</v>
      </c>
      <c r="CX358" s="58">
        <f si="189" t="shared"/>
        <v>11.177044912128444</v>
      </c>
      <c r="CY358" s="58">
        <f si="190" t="shared"/>
        <v>336</v>
      </c>
      <c r="CZ358" s="108">
        <f si="191" t="shared"/>
        <v>324.82295508787155</v>
      </c>
      <c r="DA358" s="78">
        <f si="192" t="shared"/>
        <v>29.061613122391535</v>
      </c>
    </row>
    <row r="359" spans="99:105" x14ac:dyDescent="0.25">
      <c r="CU359" s="95">
        <v>358</v>
      </c>
      <c r="CV359" s="95">
        <f si="193" t="shared"/>
        <v>18</v>
      </c>
      <c r="CW359" s="95">
        <f si="188" t="shared"/>
        <v>18</v>
      </c>
      <c r="CX359" s="58">
        <f si="189" t="shared"/>
        <v>16262.600347146885</v>
      </c>
      <c r="CY359" s="58">
        <f si="190" t="shared"/>
        <v>16168</v>
      </c>
      <c r="CZ359" s="108">
        <f si="191" t="shared"/>
        <v>-94.600347146884815</v>
      </c>
      <c r="DA359" s="78">
        <f si="192" t="shared"/>
        <v>-5.817049249659605E-3</v>
      </c>
    </row>
    <row r="360" spans="99:105" x14ac:dyDescent="0.25">
      <c r="CU360" s="95">
        <v>359</v>
      </c>
      <c r="CV360" s="95">
        <f si="193" t="shared"/>
        <v>18</v>
      </c>
      <c r="CW360" s="95">
        <f si="188" t="shared"/>
        <v>19</v>
      </c>
      <c r="CX360" s="58">
        <f si="189" t="shared"/>
        <v>67.062269472770666</v>
      </c>
      <c r="CY360" s="58">
        <f si="190" t="shared"/>
        <v>138</v>
      </c>
      <c r="CZ360" s="108">
        <f si="191" t="shared"/>
        <v>70.937730527229334</v>
      </c>
      <c r="DA360" s="78">
        <f si="192" t="shared"/>
        <v>1.0577889934970397</v>
      </c>
    </row>
    <row r="361" spans="99:105" x14ac:dyDescent="0.25">
      <c r="CU361" s="95">
        <v>360</v>
      </c>
      <c r="CV361" s="95">
        <f si="193" t="shared"/>
        <v>18</v>
      </c>
      <c r="CW361" s="95">
        <f si="188" t="shared"/>
        <v>20</v>
      </c>
      <c r="CX361" s="58">
        <f si="189" t="shared"/>
        <v>6862.7055760468656</v>
      </c>
      <c r="CY361" s="58">
        <f si="190" t="shared"/>
        <v>1414</v>
      </c>
      <c r="CZ361" s="108">
        <f si="191" t="shared"/>
        <v>-5448.7055760468656</v>
      </c>
      <c r="DA361" s="78">
        <f si="192" t="shared"/>
        <v>-0.79395881342551944</v>
      </c>
    </row>
    <row r="362" spans="99:105" x14ac:dyDescent="0.25">
      <c r="CU362" s="95">
        <v>361</v>
      </c>
      <c r="CV362" s="95">
        <f si="193" t="shared"/>
        <v>19</v>
      </c>
      <c r="CW362" s="95">
        <f si="188" t="shared"/>
        <v>1</v>
      </c>
      <c r="CX362" s="58">
        <f si="189" t="shared"/>
        <v>1651.9514843479267</v>
      </c>
      <c r="CY362" s="58">
        <f si="190" t="shared"/>
        <v>2623</v>
      </c>
      <c r="CZ362" s="108">
        <f si="191" t="shared"/>
        <v>971.04851565207332</v>
      </c>
      <c r="DA362" s="78">
        <f si="192" t="shared"/>
        <v>0.58781902789074614</v>
      </c>
    </row>
    <row r="363" spans="99:105" x14ac:dyDescent="0.25">
      <c r="CU363" s="95">
        <v>362</v>
      </c>
      <c r="CV363" s="95">
        <f si="193" t="shared"/>
        <v>19</v>
      </c>
      <c r="CW363" s="95">
        <f si="188" t="shared"/>
        <v>2</v>
      </c>
      <c r="CX363" s="58">
        <f si="189" t="shared"/>
        <v>1322.6773709137115</v>
      </c>
      <c r="CY363" s="58">
        <f si="190" t="shared"/>
        <v>1099</v>
      </c>
      <c r="CZ363" s="108">
        <f si="191" t="shared"/>
        <v>-223.67737091371146</v>
      </c>
      <c r="DA363" s="78">
        <f si="192" t="shared"/>
        <v>-0.16910954691785052</v>
      </c>
    </row>
    <row r="364" spans="99:105" x14ac:dyDescent="0.25">
      <c r="CU364" s="95">
        <v>363</v>
      </c>
      <c r="CV364" s="95">
        <f si="193" t="shared"/>
        <v>19</v>
      </c>
      <c r="CW364" s="95">
        <f si="188" t="shared"/>
        <v>3</v>
      </c>
      <c r="CX364" s="58">
        <f si="189" t="shared"/>
        <v>580.41538639251473</v>
      </c>
      <c r="CY364" s="58">
        <f si="190" t="shared"/>
        <v>971</v>
      </c>
      <c r="CZ364" s="108">
        <f si="191" t="shared"/>
        <v>390.58461360748527</v>
      </c>
      <c r="DA364" s="78">
        <f si="192" t="shared"/>
        <v>0.67293979926187986</v>
      </c>
    </row>
    <row r="365" spans="99:105" x14ac:dyDescent="0.25">
      <c r="CU365" s="95">
        <v>364</v>
      </c>
      <c r="CV365" s="95">
        <f si="193" t="shared"/>
        <v>19</v>
      </c>
      <c r="CW365" s="95">
        <f si="188" t="shared"/>
        <v>4</v>
      </c>
      <c r="CX365" s="58">
        <f si="189" t="shared"/>
        <v>284.62677601940629</v>
      </c>
      <c r="CY365" s="58">
        <f si="190" t="shared"/>
        <v>211</v>
      </c>
      <c r="CZ365" s="108">
        <f si="191" t="shared"/>
        <v>-73.626776019406293</v>
      </c>
      <c r="DA365" s="78">
        <f si="192" t="shared"/>
        <v>-0.25867831919786177</v>
      </c>
    </row>
    <row r="366" spans="99:105" x14ac:dyDescent="0.25">
      <c r="CU366" s="95">
        <v>365</v>
      </c>
      <c r="CV366" s="95">
        <f si="193" t="shared"/>
        <v>19</v>
      </c>
      <c r="CW366" s="95">
        <f si="188" t="shared"/>
        <v>5</v>
      </c>
      <c r="CX366" s="58">
        <f si="189" t="shared"/>
        <v>301.36952754995957</v>
      </c>
      <c r="CY366" s="58">
        <f si="190" t="shared"/>
        <v>754</v>
      </c>
      <c r="CZ366" s="108">
        <f si="191" t="shared"/>
        <v>452.63047245004043</v>
      </c>
      <c r="DA366" s="78">
        <f si="192" t="shared"/>
        <v>1.5019118758614556</v>
      </c>
    </row>
    <row r="367" spans="99:105" x14ac:dyDescent="0.25">
      <c r="CU367" s="95">
        <v>366</v>
      </c>
      <c r="CV367" s="95">
        <f si="193" t="shared"/>
        <v>19</v>
      </c>
      <c r="CW367" s="95">
        <f si="188" t="shared"/>
        <v>6</v>
      </c>
      <c r="CX367" s="58">
        <f si="189" t="shared"/>
        <v>2048.196603904355</v>
      </c>
      <c r="CY367" s="58">
        <f si="190" t="shared"/>
        <v>3571</v>
      </c>
      <c r="CZ367" s="108">
        <f si="191" t="shared"/>
        <v>1522.803396095645</v>
      </c>
      <c r="DA367" s="78">
        <f si="192" t="shared"/>
        <v>0.74348497267929048</v>
      </c>
    </row>
    <row r="368" spans="99:105" x14ac:dyDescent="0.25">
      <c r="CU368" s="95">
        <v>367</v>
      </c>
      <c r="CV368" s="95">
        <f si="193" t="shared"/>
        <v>19</v>
      </c>
      <c r="CW368" s="95">
        <f si="188" t="shared"/>
        <v>7</v>
      </c>
      <c r="CX368" s="58">
        <f si="189" t="shared"/>
        <v>1021.3078433637519</v>
      </c>
      <c r="CY368" s="58">
        <f si="190" t="shared"/>
        <v>2216</v>
      </c>
      <c r="CZ368" s="108">
        <f si="191" t="shared"/>
        <v>1194.692156636248</v>
      </c>
      <c r="DA368" s="78">
        <f si="192" t="shared"/>
        <v>1.1697669457834008</v>
      </c>
    </row>
    <row r="369" spans="99:105" x14ac:dyDescent="0.25">
      <c r="CU369" s="95">
        <v>368</v>
      </c>
      <c r="CV369" s="95">
        <f si="193" t="shared"/>
        <v>19</v>
      </c>
      <c r="CW369" s="95">
        <f si="188" t="shared"/>
        <v>8</v>
      </c>
      <c r="CX369" s="58">
        <f si="189" t="shared"/>
        <v>284.62677601940629</v>
      </c>
      <c r="CY369" s="58">
        <f si="190" t="shared"/>
        <v>34</v>
      </c>
      <c r="CZ369" s="108">
        <f si="191" t="shared"/>
        <v>-250.62677601940629</v>
      </c>
      <c r="DA369" s="78">
        <f si="192" t="shared"/>
        <v>-0.88054532157690668</v>
      </c>
    </row>
    <row r="370" spans="99:105" x14ac:dyDescent="0.25">
      <c r="CU370" s="95">
        <v>369</v>
      </c>
      <c r="CV370" s="95">
        <f si="193" t="shared"/>
        <v>19</v>
      </c>
      <c r="CW370" s="95">
        <f si="188" t="shared"/>
        <v>9</v>
      </c>
      <c r="CX370" s="58">
        <f si="189" t="shared"/>
        <v>1155.2498556081784</v>
      </c>
      <c r="CY370" s="58">
        <f si="190" t="shared"/>
        <v>1781</v>
      </c>
      <c r="CZ370" s="108">
        <f si="191" t="shared"/>
        <v>625.75014439182155</v>
      </c>
      <c r="DA370" s="78">
        <f si="192" t="shared"/>
        <v>0.54165784254731364</v>
      </c>
    </row>
    <row r="371" spans="99:105" x14ac:dyDescent="0.25">
      <c r="CU371" s="95">
        <v>370</v>
      </c>
      <c r="CV371" s="95">
        <f si="193" t="shared"/>
        <v>19</v>
      </c>
      <c r="CW371" s="95">
        <f si="188" t="shared"/>
        <v>10</v>
      </c>
      <c r="CX371" s="58">
        <f si="189" t="shared"/>
        <v>111.61834353702206</v>
      </c>
      <c r="CY371" s="58">
        <f si="190" t="shared"/>
        <v>262</v>
      </c>
      <c r="CZ371" s="108">
        <f si="191" t="shared"/>
        <v>150.38165646297796</v>
      </c>
      <c r="DA371" s="78">
        <f si="192" t="shared"/>
        <v>1.347284431013785</v>
      </c>
    </row>
    <row r="372" spans="99:105" x14ac:dyDescent="0.25">
      <c r="CU372" s="95">
        <v>371</v>
      </c>
      <c r="CV372" s="95">
        <f si="193" t="shared"/>
        <v>19</v>
      </c>
      <c r="CW372" s="95">
        <f si="188" t="shared"/>
        <v>11</v>
      </c>
      <c r="CX372" s="58">
        <f si="189" t="shared"/>
        <v>10458.638789418967</v>
      </c>
      <c r="CY372" s="58">
        <f si="190" t="shared"/>
        <v>2582</v>
      </c>
      <c r="CZ372" s="108">
        <f si="191" t="shared"/>
        <v>-7876.6387894189666</v>
      </c>
      <c r="DA372" s="78">
        <f si="192" t="shared"/>
        <v>-0.75312274838172855</v>
      </c>
    </row>
    <row r="373" spans="99:105" x14ac:dyDescent="0.25">
      <c r="CU373" s="95">
        <v>372</v>
      </c>
      <c r="CV373" s="95">
        <f si="193" t="shared"/>
        <v>19</v>
      </c>
      <c r="CW373" s="95">
        <f si="188" t="shared"/>
        <v>12</v>
      </c>
      <c r="CX373" s="58">
        <f si="189" t="shared"/>
        <v>1780.3125794155017</v>
      </c>
      <c r="CY373" s="58">
        <f si="190" t="shared"/>
        <v>1374</v>
      </c>
      <c r="CZ373" s="108">
        <f si="191" t="shared"/>
        <v>-406.31257941550166</v>
      </c>
      <c r="DA373" s="78">
        <f si="192" t="shared"/>
        <v>-0.22822541620691073</v>
      </c>
    </row>
    <row r="374" spans="99:105" x14ac:dyDescent="0.25">
      <c r="CU374" s="95">
        <v>373</v>
      </c>
      <c r="CV374" s="95">
        <f si="193" t="shared"/>
        <v>19</v>
      </c>
      <c r="CW374" s="95">
        <f si="188" t="shared"/>
        <v>13</v>
      </c>
      <c r="CX374" s="58">
        <f si="189" t="shared"/>
        <v>373.92145084902387</v>
      </c>
      <c r="CY374" s="58">
        <f si="190" t="shared"/>
        <v>1208</v>
      </c>
      <c r="CZ374" s="108">
        <f si="191" t="shared"/>
        <v>834.07854915097619</v>
      </c>
      <c r="DA374" s="78">
        <f si="192" t="shared"/>
        <v>2.2306250343678391</v>
      </c>
    </row>
    <row r="375" spans="99:105" x14ac:dyDescent="0.25">
      <c r="CU375" s="95">
        <v>374</v>
      </c>
      <c r="CV375" s="95">
        <f si="193" t="shared"/>
        <v>19</v>
      </c>
      <c r="CW375" s="95">
        <f si="188" t="shared"/>
        <v>14</v>
      </c>
      <c r="CX375" s="58">
        <f si="189" t="shared"/>
        <v>234.39852142774632</v>
      </c>
      <c r="CY375" s="58">
        <f si="190" t="shared"/>
        <v>338</v>
      </c>
      <c r="CZ375" s="108">
        <f si="191" t="shared"/>
        <v>103.60147857225368</v>
      </c>
      <c r="DA375" s="78">
        <f si="192" t="shared"/>
        <v>0.44198861810734158</v>
      </c>
    </row>
    <row r="376" spans="99:105" x14ac:dyDescent="0.25">
      <c r="CU376" s="95">
        <v>375</v>
      </c>
      <c r="CV376" s="95">
        <f si="193" t="shared"/>
        <v>19</v>
      </c>
      <c r="CW376" s="95">
        <f si="188" t="shared"/>
        <v>15</v>
      </c>
      <c r="CX376" s="58">
        <f si="189" t="shared"/>
        <v>2450.0226406376341</v>
      </c>
      <c r="CY376" s="58">
        <f si="190" t="shared"/>
        <v>3367</v>
      </c>
      <c r="CZ376" s="108">
        <f si="191" t="shared"/>
        <v>916.97735936236586</v>
      </c>
      <c r="DA376" s="78">
        <f si="192" t="shared"/>
        <v>0.37427301452353789</v>
      </c>
    </row>
    <row r="377" spans="99:105" x14ac:dyDescent="0.25">
      <c r="CU377" s="95">
        <v>376</v>
      </c>
      <c r="CV377" s="95">
        <f si="193" t="shared"/>
        <v>19</v>
      </c>
      <c r="CW377" s="95">
        <f si="188" t="shared"/>
        <v>16</v>
      </c>
      <c r="CX377" s="58">
        <f si="189" t="shared"/>
        <v>22.323668707404412</v>
      </c>
      <c r="CY377" s="58">
        <f si="190" t="shared"/>
        <v>28</v>
      </c>
      <c r="CZ377" s="108">
        <f si="191" t="shared"/>
        <v>5.676331292595588</v>
      </c>
      <c r="DA377" s="78">
        <f si="192" t="shared"/>
        <v>0.25427412344248046</v>
      </c>
    </row>
    <row r="378" spans="99:105" x14ac:dyDescent="0.25">
      <c r="CU378" s="95">
        <v>377</v>
      </c>
      <c r="CV378" s="95">
        <f si="193" t="shared"/>
        <v>19</v>
      </c>
      <c r="CW378" s="95">
        <f si="188" t="shared"/>
        <v>17</v>
      </c>
      <c r="CX378" s="58">
        <f si="189" t="shared"/>
        <v>1333.8392052674137</v>
      </c>
      <c r="CY378" s="58">
        <f si="190" t="shared"/>
        <v>4306</v>
      </c>
      <c r="CZ378" s="108">
        <f si="191" t="shared"/>
        <v>2972.1607947325865</v>
      </c>
      <c r="DA378" s="78">
        <f si="192" t="shared"/>
        <v>2.2282751796433478</v>
      </c>
    </row>
    <row r="379" spans="99:105" x14ac:dyDescent="0.25">
      <c r="CU379" s="95">
        <v>378</v>
      </c>
      <c r="CV379" s="95">
        <f si="193" t="shared"/>
        <v>19</v>
      </c>
      <c r="CW379" s="95">
        <f si="188" t="shared"/>
        <v>18</v>
      </c>
      <c r="CX379" s="58">
        <f si="189" t="shared"/>
        <v>16.74275153055331</v>
      </c>
      <c r="CY379" s="58">
        <f si="190" t="shared"/>
        <v>244</v>
      </c>
      <c r="CZ379" s="108">
        <f si="191" t="shared"/>
        <v>227.25724846944669</v>
      </c>
      <c r="DA379" s="78">
        <f si="192" t="shared"/>
        <v>13.573470767617392</v>
      </c>
    </row>
    <row r="380" spans="99:105" x14ac:dyDescent="0.25">
      <c r="CU380" s="95">
        <v>379</v>
      </c>
      <c r="CV380" s="95">
        <f si="193" t="shared"/>
        <v>19</v>
      </c>
      <c r="CW380" s="95">
        <f si="188" t="shared"/>
        <v>19</v>
      </c>
      <c r="CX380" s="58">
        <f si="189" t="shared"/>
        <v>22876.179507912671</v>
      </c>
      <c r="CY380" s="58">
        <f si="190" t="shared"/>
        <v>21341</v>
      </c>
      <c r="CZ380" s="108">
        <f si="191" t="shared"/>
        <v>-1535.1795079126714</v>
      </c>
      <c r="DA380" s="78">
        <f si="192" t="shared"/>
        <v>-6.7108212163734166E-2</v>
      </c>
    </row>
    <row r="381" spans="99:105" x14ac:dyDescent="0.25">
      <c r="CU381" s="95">
        <v>380</v>
      </c>
      <c r="CV381" s="95">
        <f si="193" t="shared"/>
        <v>19</v>
      </c>
      <c r="CW381" s="95">
        <f si="188" t="shared"/>
        <v>20</v>
      </c>
      <c r="CX381" s="58">
        <f si="189" t="shared"/>
        <v>5.580917176851103</v>
      </c>
      <c r="CY381" s="58">
        <f si="190" t="shared"/>
        <v>4</v>
      </c>
      <c r="CZ381" s="108">
        <f si="191" t="shared"/>
        <v>-1.580917176851103</v>
      </c>
      <c r="DA381" s="78">
        <f si="192" t="shared"/>
        <v>-0.28327192946143975</v>
      </c>
    </row>
    <row r="382" spans="99:105" x14ac:dyDescent="0.25">
      <c r="CU382" s="95">
        <v>381</v>
      </c>
      <c r="CV382" s="95">
        <f si="193" t="shared"/>
        <v>20</v>
      </c>
      <c r="CW382" s="95">
        <f si="188" t="shared"/>
        <v>1</v>
      </c>
      <c r="CX382" s="58">
        <f si="189" t="shared"/>
        <v>172.67421874999999</v>
      </c>
      <c r="CY382" s="58">
        <f si="190" t="shared"/>
        <v>640</v>
      </c>
      <c r="CZ382" s="108">
        <f si="191" t="shared"/>
        <v>467.32578124999998</v>
      </c>
      <c r="DA382" s="78">
        <f si="192" t="shared"/>
        <v>2.7064015962139685</v>
      </c>
    </row>
    <row r="383" spans="99:105" x14ac:dyDescent="0.25">
      <c r="CU383" s="95">
        <v>382</v>
      </c>
      <c r="CV383" s="95">
        <f si="193" t="shared"/>
        <v>20</v>
      </c>
      <c r="CW383" s="95">
        <f si="188" t="shared"/>
        <v>2</v>
      </c>
      <c r="CX383" s="58">
        <f si="189" t="shared"/>
        <v>428.03750000000002</v>
      </c>
      <c r="CY383" s="58">
        <f si="190" t="shared"/>
        <v>383</v>
      </c>
      <c r="CZ383" s="108">
        <f si="191" t="shared"/>
        <v>-45.037500000000023</v>
      </c>
      <c r="DA383" s="78">
        <f si="192" t="shared"/>
        <v>-0.10521858482025528</v>
      </c>
    </row>
    <row r="384" spans="99:105" x14ac:dyDescent="0.25">
      <c r="CU384" s="95">
        <v>383</v>
      </c>
      <c r="CV384" s="95">
        <f si="193" t="shared"/>
        <v>20</v>
      </c>
      <c r="CW384" s="95">
        <f si="188" t="shared"/>
        <v>3</v>
      </c>
      <c r="CX384" s="58">
        <f si="189" t="shared"/>
        <v>19.456250000000001</v>
      </c>
      <c r="CY384" s="58">
        <f si="190" t="shared"/>
        <v>167</v>
      </c>
      <c r="CZ384" s="108">
        <f si="191" t="shared"/>
        <v>147.54374999999999</v>
      </c>
      <c r="DA384" s="78">
        <f si="192" t="shared"/>
        <v>7.5833601027947308</v>
      </c>
    </row>
    <row r="385" spans="99:105" x14ac:dyDescent="0.25">
      <c r="CU385" s="95">
        <v>384</v>
      </c>
      <c r="CV385" s="95">
        <f si="193" t="shared"/>
        <v>20</v>
      </c>
      <c r="CW385" s="95">
        <f si="188" t="shared"/>
        <v>4</v>
      </c>
      <c r="CX385" s="58">
        <f si="189" t="shared"/>
        <v>53.504687500000003</v>
      </c>
      <c r="CY385" s="58">
        <f si="190" t="shared"/>
        <v>50</v>
      </c>
      <c r="CZ385" s="108">
        <f si="191" t="shared"/>
        <v>-3.5046875000000028</v>
      </c>
      <c r="DA385" s="78">
        <f si="192" t="shared"/>
        <v>-6.5502438454574707E-2</v>
      </c>
    </row>
    <row r="386" spans="99:105" x14ac:dyDescent="0.25">
      <c r="CU386" s="95">
        <v>385</v>
      </c>
      <c r="CV386" s="95">
        <f si="193" t="shared"/>
        <v>20</v>
      </c>
      <c r="CW386" s="95">
        <f si="188" t="shared"/>
        <v>5</v>
      </c>
      <c r="CX386" s="58">
        <f si="189" t="shared"/>
        <v>143.48984375000001</v>
      </c>
      <c r="CY386" s="58">
        <f si="190" t="shared"/>
        <v>187</v>
      </c>
      <c r="CZ386" s="108">
        <f si="191" t="shared"/>
        <v>43.510156249999994</v>
      </c>
      <c r="DA386" s="78">
        <f si="192" t="shared"/>
        <v>0.30322812481284056</v>
      </c>
    </row>
    <row r="387" spans="99:105" x14ac:dyDescent="0.25">
      <c r="CU387" s="95">
        <v>386</v>
      </c>
      <c r="CV387" s="95">
        <f si="193" t="shared"/>
        <v>20</v>
      </c>
      <c r="CW387" s="95">
        <f ref="CW387:CW401" si="194" t="shared">MOD(ROW()-2,$CS$2)+1</f>
        <v>6</v>
      </c>
      <c r="CX387" s="58">
        <f ref="CX387:CX401" si="195" t="shared">VLOOKUP($CV387,$B$30:$V$49,MATCH($CW387,$B$29:$V$29,0),0)</f>
        <v>340.484375</v>
      </c>
      <c r="CY387" s="58">
        <f ref="CY387:CY401" si="196" t="shared">VLOOKUP($CV387,$AY$30:$BS$49,MATCH($CW387,$AY$29:$BS$29,0),0)</f>
        <v>1461</v>
      </c>
      <c r="CZ387" s="108">
        <f ref="CZ387:CZ401" si="197" t="shared">CY387-CX387</f>
        <v>1120.515625</v>
      </c>
      <c r="DA387" s="78">
        <f ref="DA387:DA401" si="198" t="shared">CZ387/CX387</f>
        <v>3.2909458033132943</v>
      </c>
    </row>
    <row r="388" spans="99:105" x14ac:dyDescent="0.25">
      <c r="CU388" s="95">
        <v>387</v>
      </c>
      <c r="CV388" s="95">
        <f ref="CV388:CV401" si="199" t="shared">IF(CW387&lt;$CS$2,CV387,CV387+1)</f>
        <v>20</v>
      </c>
      <c r="CW388" s="95">
        <f si="194" t="shared"/>
        <v>7</v>
      </c>
      <c r="CX388" s="58">
        <f si="195" t="shared"/>
        <v>342.91640624999997</v>
      </c>
      <c r="CY388" s="58">
        <f si="196" t="shared"/>
        <v>900</v>
      </c>
      <c r="CZ388" s="108">
        <f si="197" t="shared"/>
        <v>557.08359375000009</v>
      </c>
      <c r="DA388" s="78">
        <f si="198" t="shared"/>
        <v>1.6245463430637481</v>
      </c>
    </row>
    <row r="389" spans="99:105" x14ac:dyDescent="0.25">
      <c r="CU389" s="95">
        <v>388</v>
      </c>
      <c r="CV389" s="95">
        <f si="199" t="shared"/>
        <v>20</v>
      </c>
      <c r="CW389" s="95">
        <f si="194" t="shared"/>
        <v>8</v>
      </c>
      <c r="CX389" s="58">
        <f si="195" t="shared"/>
        <v>4.8640625000000002</v>
      </c>
      <c r="CY389" s="58">
        <f si="196" t="shared"/>
        <v>4</v>
      </c>
      <c r="CZ389" s="108">
        <f si="197" t="shared"/>
        <v>-0.86406250000000018</v>
      </c>
      <c r="DA389" s="78">
        <f si="198" t="shared"/>
        <v>-0.17764214584002572</v>
      </c>
    </row>
    <row r="390" spans="99:105" x14ac:dyDescent="0.25">
      <c r="CU390" s="95">
        <v>389</v>
      </c>
      <c r="CV390" s="95">
        <f si="199" t="shared"/>
        <v>20</v>
      </c>
      <c r="CW390" s="95">
        <f si="194" t="shared"/>
        <v>9</v>
      </c>
      <c r="CX390" s="58">
        <f si="195" t="shared"/>
        <v>141.05781249999998</v>
      </c>
      <c r="CY390" s="58">
        <f si="196" t="shared"/>
        <v>262</v>
      </c>
      <c r="CZ390" s="108">
        <f si="197" t="shared"/>
        <v>120.94218750000002</v>
      </c>
      <c r="DA390" s="78">
        <f si="198" t="shared"/>
        <v>0.85739446370614902</v>
      </c>
    </row>
    <row r="391" spans="99:105" x14ac:dyDescent="0.25">
      <c r="CU391" s="95">
        <v>390</v>
      </c>
      <c r="CV391" s="95">
        <f si="199" t="shared"/>
        <v>20</v>
      </c>
      <c r="CW391" s="95">
        <f si="194" t="shared"/>
        <v>10</v>
      </c>
      <c r="CX391" s="58">
        <f si="195" t="shared"/>
        <v>158.08203125</v>
      </c>
      <c r="CY391" s="58">
        <f si="196" t="shared"/>
        <v>271</v>
      </c>
      <c r="CZ391" s="108">
        <f si="197" t="shared"/>
        <v>112.91796875</v>
      </c>
      <c r="DA391" s="78">
        <f si="198" t="shared"/>
        <v>0.71429983444117717</v>
      </c>
    </row>
    <row r="392" spans="99:105" x14ac:dyDescent="0.25">
      <c r="CU392" s="95">
        <v>391</v>
      </c>
      <c r="CV392" s="95">
        <f si="199" t="shared"/>
        <v>20</v>
      </c>
      <c r="CW392" s="95">
        <f si="194" t="shared"/>
        <v>11</v>
      </c>
      <c r="CX392" s="58">
        <f si="195" t="shared"/>
        <v>36.48046875</v>
      </c>
      <c r="CY392" s="58">
        <f si="196" t="shared"/>
        <v>66</v>
      </c>
      <c r="CZ392" s="108">
        <f si="197" t="shared"/>
        <v>29.51953125</v>
      </c>
      <c r="DA392" s="78">
        <f si="198" t="shared"/>
        <v>0.80918727915194344</v>
      </c>
    </row>
    <row r="393" spans="99:105" x14ac:dyDescent="0.25">
      <c r="CU393" s="95">
        <v>392</v>
      </c>
      <c r="CV393" s="95">
        <f si="199" t="shared"/>
        <v>20</v>
      </c>
      <c r="CW393" s="95">
        <f si="194" t="shared"/>
        <v>12</v>
      </c>
      <c r="CX393" s="58">
        <f si="195" t="shared"/>
        <v>4460.3453124999996</v>
      </c>
      <c r="CY393" s="58">
        <f si="196" t="shared"/>
        <v>4310</v>
      </c>
      <c r="CZ393" s="108">
        <f si="197" t="shared"/>
        <v>-150.34531249999964</v>
      </c>
      <c r="DA393" s="78">
        <f si="198" t="shared"/>
        <v>-3.3707101573203509E-2</v>
      </c>
    </row>
    <row r="394" spans="99:105" x14ac:dyDescent="0.25">
      <c r="CU394" s="95">
        <v>393</v>
      </c>
      <c r="CV394" s="95">
        <f si="199" t="shared"/>
        <v>20</v>
      </c>
      <c r="CW394" s="95">
        <f si="194" t="shared"/>
        <v>13</v>
      </c>
      <c r="CX394" s="58">
        <f si="195" t="shared"/>
        <v>437.765625</v>
      </c>
      <c r="CY394" s="58">
        <f si="196" t="shared"/>
        <v>1461</v>
      </c>
      <c r="CZ394" s="108">
        <f si="197" t="shared"/>
        <v>1023.234375</v>
      </c>
      <c r="DA394" s="78">
        <f si="198" t="shared"/>
        <v>2.3374022914658958</v>
      </c>
    </row>
    <row r="395" spans="99:105" x14ac:dyDescent="0.25">
      <c r="CU395" s="95">
        <v>394</v>
      </c>
      <c r="CV395" s="95">
        <f si="199" t="shared"/>
        <v>20</v>
      </c>
      <c r="CW395" s="95">
        <f si="194" t="shared"/>
        <v>14</v>
      </c>
      <c r="CX395" s="58">
        <f si="195" t="shared"/>
        <v>2.4320312500000001</v>
      </c>
      <c r="CY395" s="58">
        <f si="196" t="shared"/>
        <v>8</v>
      </c>
      <c r="CZ395" s="108">
        <f si="197" t="shared"/>
        <v>5.5679687500000004</v>
      </c>
      <c r="DA395" s="78">
        <f si="198" t="shared"/>
        <v>2.2894314166398972</v>
      </c>
    </row>
    <row r="396" spans="99:105" x14ac:dyDescent="0.25">
      <c r="CU396" s="95">
        <v>395</v>
      </c>
      <c r="CV396" s="95">
        <f si="199" t="shared"/>
        <v>20</v>
      </c>
      <c r="CW396" s="95">
        <f si="194" t="shared"/>
        <v>15</v>
      </c>
      <c r="CX396" s="58">
        <f si="195" t="shared"/>
        <v>24.3203125</v>
      </c>
      <c r="CY396" s="58">
        <f si="196" t="shared"/>
        <v>80</v>
      </c>
      <c r="CZ396" s="108">
        <f si="197" t="shared"/>
        <v>55.6796875</v>
      </c>
      <c r="DA396" s="78">
        <f si="198" t="shared"/>
        <v>2.2894314166398972</v>
      </c>
    </row>
    <row r="397" spans="99:105" x14ac:dyDescent="0.25">
      <c r="CU397" s="95">
        <v>396</v>
      </c>
      <c r="CV397" s="95">
        <f si="199" t="shared"/>
        <v>20</v>
      </c>
      <c r="CW397" s="95">
        <f si="194" t="shared"/>
        <v>16</v>
      </c>
      <c r="CX397" s="58">
        <f si="195" t="shared"/>
        <v>53.504687500000003</v>
      </c>
      <c r="CY397" s="58">
        <f si="196" t="shared"/>
        <v>69</v>
      </c>
      <c r="CZ397" s="108">
        <f si="197" t="shared"/>
        <v>15.495312499999997</v>
      </c>
      <c r="DA397" s="78">
        <f si="198" t="shared"/>
        <v>0.2896066349326869</v>
      </c>
    </row>
    <row r="398" spans="99:105" x14ac:dyDescent="0.25">
      <c r="CU398" s="95">
        <v>397</v>
      </c>
      <c r="CV398" s="95">
        <f si="199" t="shared"/>
        <v>20</v>
      </c>
      <c r="CW398" s="95">
        <f si="194" t="shared"/>
        <v>17</v>
      </c>
      <c r="CX398" s="58">
        <f si="195" t="shared"/>
        <v>12.16015625</v>
      </c>
      <c r="CY398" s="58">
        <f si="196" t="shared"/>
        <v>106</v>
      </c>
      <c r="CZ398" s="108">
        <f si="197" t="shared"/>
        <v>93.83984375</v>
      </c>
      <c r="DA398" s="78">
        <f si="198" t="shared"/>
        <v>7.716993254095728</v>
      </c>
    </row>
    <row r="399" spans="99:105" x14ac:dyDescent="0.25">
      <c r="CU399" s="95">
        <v>398</v>
      </c>
      <c r="CV399" s="95">
        <f si="199" t="shared"/>
        <v>20</v>
      </c>
      <c r="CW399" s="95">
        <f si="194" t="shared"/>
        <v>18</v>
      </c>
      <c r="CX399" s="58">
        <f si="195" t="shared"/>
        <v>3779.3765624999996</v>
      </c>
      <c r="CY399" s="58">
        <f si="196" t="shared"/>
        <v>7910</v>
      </c>
      <c r="CZ399" s="108">
        <f si="197" t="shared"/>
        <v>4130.6234375000004</v>
      </c>
      <c r="DA399" s="78">
        <f si="198" t="shared"/>
        <v>1.0929377819837185</v>
      </c>
    </row>
    <row r="400" spans="99:105" x14ac:dyDescent="0.25">
      <c r="CU400" s="95">
        <v>399</v>
      </c>
      <c r="CV400" s="95">
        <f si="199" t="shared"/>
        <v>20</v>
      </c>
      <c r="CW400" s="95">
        <f si="194" t="shared"/>
        <v>19</v>
      </c>
      <c r="CX400" s="58">
        <f si="195" t="shared"/>
        <v>2.4320312500000001</v>
      </c>
      <c r="CY400" s="58">
        <f si="196" t="shared"/>
        <v>34</v>
      </c>
      <c r="CZ400" s="108">
        <f si="197" t="shared"/>
        <v>31.567968749999999</v>
      </c>
      <c r="DA400" s="78">
        <f si="198" t="shared"/>
        <v>12.980083520719562</v>
      </c>
    </row>
    <row r="401" spans="99:105" x14ac:dyDescent="0.25">
      <c r="CU401" s="95">
        <v>400</v>
      </c>
      <c r="CV401" s="95">
        <f si="199" t="shared"/>
        <v>20</v>
      </c>
      <c r="CW401" s="95">
        <f si="194" t="shared"/>
        <v>20</v>
      </c>
      <c r="CX401" s="58">
        <f si="195" t="shared"/>
        <v>20516.615624999999</v>
      </c>
      <c r="CY401" s="58">
        <f si="196" t="shared"/>
        <v>12761</v>
      </c>
      <c r="CZ401" s="108">
        <f si="197" t="shared"/>
        <v>-7755.6156249999985</v>
      </c>
      <c r="DA401" s="78">
        <f si="198" t="shared"/>
        <v>-0.37801632426888143</v>
      </c>
    </row>
    <row r="402" spans="99:105" x14ac:dyDescent="0.25">
      <c r="CU402" s="95"/>
      <c r="CV402" s="95"/>
      <c r="CW402" s="95"/>
    </row>
    <row r="403" spans="99:105" x14ac:dyDescent="0.25">
      <c r="CU403" s="95"/>
      <c r="CV403" s="95"/>
      <c r="CW403" s="95"/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F127"/>
  <sheetViews>
    <sheetView topLeftCell="A6" workbookViewId="0">
      <selection activeCell="I26" sqref="I26"/>
    </sheetView>
  </sheetViews>
  <sheetFormatPr defaultRowHeight="15" x14ac:dyDescent="0.25"/>
  <cols>
    <col min="1" max="1" bestFit="true" customWidth="true" width="12.7109375" collapsed="true"/>
    <col min="2" max="2" bestFit="true" customWidth="true" width="11.5703125" collapsed="true"/>
    <col min="3" max="4" bestFit="true" customWidth="true" width="10.5703125" collapsed="true"/>
    <col min="5" max="5" bestFit="true" customWidth="true" width="11.5703125" collapsed="true"/>
    <col min="7" max="7" bestFit="true" customWidth="true" width="12.7109375" collapsed="true"/>
    <col min="8" max="8" bestFit="true" customWidth="true" width="11.5703125" collapsed="true"/>
    <col min="9" max="10" bestFit="true" customWidth="true" width="10.5703125" collapsed="true"/>
    <col min="11" max="11" bestFit="true" customWidth="true" width="11.5703125" collapsed="true"/>
    <col min="13" max="13" bestFit="true" customWidth="true" width="10.85546875" collapsed="true"/>
    <col min="14" max="14" bestFit="true" customWidth="true" width="16.42578125" collapsed="true"/>
    <col min="15" max="15" bestFit="true" customWidth="true" width="9.42578125" collapsed="true"/>
    <col min="16" max="16" bestFit="true" customWidth="true" width="13.42578125" collapsed="true"/>
    <col min="17" max="17" bestFit="true" customWidth="true" width="16.42578125" collapsed="true"/>
    <col min="21" max="21" bestFit="true" customWidth="true" width="10.0" collapsed="true"/>
    <col min="22" max="23" bestFit="true" customWidth="true" width="17.5703125" collapsed="true"/>
    <col min="24" max="24" bestFit="true" customWidth="true" width="11.5703125" collapsed="true"/>
  </cols>
  <sheetData>
    <row r="1" spans="1:31" x14ac:dyDescent="0.25">
      <c r="M1" s="36"/>
      <c r="T1" s="36" t="s">
        <v>267</v>
      </c>
      <c r="Z1" s="36" t="s">
        <v>266</v>
      </c>
    </row>
    <row r="2" spans="1:31" x14ac:dyDescent="0.25">
      <c r="V2" s="41" t="s">
        <v>238</v>
      </c>
      <c r="W2" s="41" t="s">
        <v>239</v>
      </c>
      <c r="X2" s="41" t="s">
        <v>396</v>
      </c>
      <c r="Z2" s="75"/>
      <c r="AA2" s="36" t="s">
        <v>254</v>
      </c>
      <c r="AC2" s="75"/>
      <c r="AD2" s="75"/>
      <c r="AE2" s="75"/>
    </row>
    <row r="3" spans="1:31" x14ac:dyDescent="0.25">
      <c r="T3">
        <f>WorkLocationCoefficients!B11</f>
        <v>1</v>
      </c>
      <c r="U3" t="str">
        <f>WorkLocationCoefficients!C11</f>
        <v>Beta00001</v>
      </c>
      <c r="V3" s="40">
        <f>WorkLocationCoefficients!E11</f>
        <v>1</v>
      </c>
      <c r="W3" s="162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31" t="s">
        <v>309</v>
      </c>
      <c r="AC3" s="75"/>
      <c r="AD3" s="75"/>
      <c r="AE3" s="75"/>
    </row>
    <row r="4" spans="1:31" x14ac:dyDescent="0.25">
      <c r="C4" s="10" t="s">
        <v>298</v>
      </c>
      <c r="I4" s="10" t="s">
        <v>219</v>
      </c>
      <c r="T4">
        <f>WorkLocationCoefficients!B12</f>
        <v>2</v>
      </c>
      <c r="U4" t="str">
        <f>WorkLocationCoefficients!C12</f>
        <v>Beta00002</v>
      </c>
      <c r="V4" s="40">
        <f>WorkLocationCoefficients!E12</f>
        <v>0.7</v>
      </c>
      <c r="W4" s="162">
        <f>_xlfn.IFNA(VLOOKUP(T4,$M$13:$Q$39,5,FALSE),_xlfn.IFNA(VLOOKUP(T4,calibration_flow!$AD$3:$AH$25,5,FALSE),V4))</f>
        <v>0.7</v>
      </c>
      <c r="X4" s="95">
        <f ref="X4:X67" si="0" t="shared">IF(W4=V4,0,1)</f>
        <v>0</v>
      </c>
      <c r="Z4">
        <v>2</v>
      </c>
      <c r="AA4" s="31" t="s">
        <v>261</v>
      </c>
      <c r="AC4" s="75"/>
      <c r="AD4" s="75"/>
      <c r="AE4" s="75"/>
    </row>
    <row ht="15.75" r="5" spans="1:31" thickBot="1" x14ac:dyDescent="0.3">
      <c r="A5" s="36" t="s">
        <v>220</v>
      </c>
      <c r="M5" s="53"/>
      <c r="N5" s="32"/>
      <c r="O5" s="32"/>
      <c r="P5" s="32"/>
      <c r="Q5" s="32"/>
      <c r="T5">
        <f>WorkLocationCoefficients!B13</f>
        <v>3</v>
      </c>
      <c r="U5" t="str">
        <f>WorkLocationCoefficients!C13</f>
        <v>Beta00003</v>
      </c>
      <c r="V5" s="40">
        <f>WorkLocationCoefficients!E13</f>
        <v>1</v>
      </c>
      <c r="W5" s="162">
        <f>_xlfn.IFNA(VLOOKUP(T5,$M$13:$Q$39,5,FALSE),_xlfn.IFNA(VLOOKUP(T5,calibration_flow!$AD$3:$AH$25,5,FALSE),V5))</f>
        <v>1</v>
      </c>
      <c r="X5" s="95">
        <f si="0" t="shared"/>
        <v>0</v>
      </c>
      <c r="Z5">
        <v>3</v>
      </c>
      <c r="AA5" s="75" t="s">
        <v>263</v>
      </c>
      <c r="AB5" s="75"/>
      <c r="AC5" s="75"/>
      <c r="AD5" s="75"/>
      <c r="AE5" s="75"/>
    </row>
    <row r="6" spans="1:31" x14ac:dyDescent="0.2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54"/>
      <c r="N6" s="54"/>
      <c r="O6" s="54"/>
      <c r="P6" s="54"/>
      <c r="Q6" s="54"/>
      <c r="T6">
        <f>WorkLocationCoefficients!B14</f>
        <v>4</v>
      </c>
      <c r="U6" t="str">
        <f>WorkLocationCoefficients!C14</f>
        <v>Beta00004</v>
      </c>
      <c r="V6" s="40">
        <f>WorkLocationCoefficients!E14</f>
        <v>0.5</v>
      </c>
      <c r="W6" s="162">
        <f>_xlfn.IFNA(VLOOKUP(T6,$M$13:$Q$39,5,FALSE),_xlfn.IFNA(VLOOKUP(T6,calibration_flow!$AD$3:$AH$25,5,FALSE),V6))</f>
        <v>0.5</v>
      </c>
      <c r="X6" s="95">
        <f si="0" t="shared"/>
        <v>0</v>
      </c>
      <c r="Z6">
        <v>4</v>
      </c>
      <c r="AA6" s="75" t="s">
        <v>265</v>
      </c>
      <c r="AB6" s="75"/>
      <c r="AC6" s="75"/>
      <c r="AD6" s="75"/>
      <c r="AE6" s="75"/>
    </row>
    <row r="7" spans="1:31" x14ac:dyDescent="0.25">
      <c r="A7" s="35" t="s">
        <v>214</v>
      </c>
      <c r="B7" s="58">
        <f>SUM(TLFD!B11:B13)+0.5*(TLFD!B14)</f>
        <v>89313.477538268387</v>
      </c>
      <c r="C7" s="58">
        <f>SUM(TLFD!C11:C13)+0.5*(TLFD!C14)</f>
        <v>17566.65643216532</v>
      </c>
      <c r="D7" s="58">
        <f>SUM(TLFD!D11:D13)+0.5*(TLFD!D14)</f>
        <v>7916.5196974582977</v>
      </c>
      <c r="E7" s="58">
        <f>SUM(B7:D7)</f>
        <v>114796.65366789199</v>
      </c>
      <c r="G7" s="35" t="s">
        <v>214</v>
      </c>
      <c r="H7" s="58">
        <f>SUM(TLFD!H11:H13)+0.5*(TLFD!H14)</f>
        <v>82169.5</v>
      </c>
      <c r="I7" s="58">
        <f>SUM(TLFD!I11:I13)+0.5*(TLFD!I14)</f>
        <v>12959.5</v>
      </c>
      <c r="J7" s="58">
        <f>SUM(TLFD!J11:J13)+0.5*(TLFD!J14)</f>
        <v>7686</v>
      </c>
      <c r="K7" s="58">
        <f>SUM(H7:J7)</f>
        <v>102815</v>
      </c>
      <c r="M7" s="32"/>
      <c r="N7" s="45"/>
      <c r="O7" s="46"/>
      <c r="P7" s="46"/>
      <c r="Q7" s="45"/>
      <c r="T7">
        <f>WorkLocationCoefficients!B15</f>
        <v>5</v>
      </c>
      <c r="U7" t="str">
        <f>WorkLocationCoefficients!C15</f>
        <v>Beta00005</v>
      </c>
      <c r="V7" s="40">
        <f>WorkLocationCoefficients!E15</f>
        <v>0</v>
      </c>
      <c r="W7" s="162">
        <f>_xlfn.IFNA(VLOOKUP(T7,$M$13:$Q$39,5,FALSE),_xlfn.IFNA(VLOOKUP(T7,calibration_flow!$AD$3:$AH$25,5,FALSE),V7))</f>
        <v>0</v>
      </c>
      <c r="X7" s="95">
        <f si="0" t="shared"/>
        <v>0</v>
      </c>
      <c r="Z7" s="75">
        <v>5</v>
      </c>
      <c r="AA7" s="75" t="s">
        <v>255</v>
      </c>
      <c r="AB7" s="75"/>
      <c r="AC7" s="75"/>
      <c r="AD7" s="75"/>
      <c r="AE7" s="75"/>
    </row>
    <row r="8" spans="1:31" x14ac:dyDescent="0.25">
      <c r="A8" s="35" t="s">
        <v>215</v>
      </c>
      <c r="B8" s="58">
        <f>0.5*(TLFD!B14)+SUM(TLFD!B15:B20)</f>
        <v>204498.43636364708</v>
      </c>
      <c r="C8" s="58">
        <f>0.5*(TLFD!C14)+SUM(TLFD!C15:C20)</f>
        <v>26810.091521985887</v>
      </c>
      <c r="D8" s="58">
        <f>0.5*(TLFD!D14)+SUM(TLFD!D15:D20)</f>
        <v>12363.163493639498</v>
      </c>
      <c r="E8" s="58">
        <f>SUM(B8:D8)</f>
        <v>243671.69137927247</v>
      </c>
      <c r="G8" s="35" t="s">
        <v>215</v>
      </c>
      <c r="H8" s="58">
        <f>0.5*(TLFD!H14)+SUM(TLFD!H15:H20)</f>
        <v>197097.5</v>
      </c>
      <c r="I8" s="58">
        <f>0.5*(TLFD!I14)+SUM(TLFD!I15:I20)</f>
        <v>28887.5</v>
      </c>
      <c r="J8" s="58">
        <f>0.5*(TLFD!J14)+SUM(TLFD!J15:J20)</f>
        <v>12460</v>
      </c>
      <c r="K8" s="58">
        <f>SUM(H8:J8)</f>
        <v>238445</v>
      </c>
      <c r="M8" s="74" t="s">
        <v>244</v>
      </c>
      <c r="N8" s="45"/>
      <c r="O8" s="46"/>
      <c r="P8" s="46"/>
      <c r="Q8" s="45"/>
      <c r="T8" s="72">
        <f>WorkLocationCoefficients!B16</f>
        <v>6</v>
      </c>
      <c r="U8" s="72" t="str">
        <f>WorkLocationCoefficients!C16</f>
        <v>Beta00006</v>
      </c>
      <c r="V8" s="73">
        <f>WorkLocationCoefficients!E16</f>
        <v>-4.1530549264700003</v>
      </c>
      <c r="W8" s="162">
        <f>_xlfn.IFNA(VLOOKUP(T8,$M$13:$Q$39,5,FALSE),_xlfn.IFNA(VLOOKUP(T8,calibration_flow!$AD$3:$AH$25,5,FALSE),V8))</f>
        <v>-4.1530549264700003</v>
      </c>
      <c r="X8" s="95">
        <f si="0" t="shared"/>
        <v>0</v>
      </c>
      <c r="Z8" s="75"/>
      <c r="AA8" s="75"/>
      <c r="AB8" s="75"/>
      <c r="AC8" s="75"/>
      <c r="AD8" s="75"/>
      <c r="AE8" s="75"/>
    </row>
    <row r="9" spans="1:31" x14ac:dyDescent="0.25">
      <c r="A9" s="47" t="s">
        <v>216</v>
      </c>
      <c r="B9" s="60">
        <f>SUM(TLFD!B21:B101)</f>
        <v>366063.93824060744</v>
      </c>
      <c r="C9" s="60">
        <f>SUM(TLFD!C21:C101)</f>
        <v>26927.467434798538</v>
      </c>
      <c r="D9" s="60">
        <f>SUM(TLFD!D21:D101)</f>
        <v>8787.7601082764359</v>
      </c>
      <c r="E9" s="60">
        <f>SUM(B9:D9)</f>
        <v>401779.16578368243</v>
      </c>
      <c r="G9" s="47" t="s">
        <v>216</v>
      </c>
      <c r="H9" s="60">
        <f>SUM(TLFD!H21:H101)</f>
        <v>433517</v>
      </c>
      <c r="I9" s="60">
        <f>SUM(TLFD!I21:I101)</f>
        <v>46554</v>
      </c>
      <c r="J9" s="60">
        <f>SUM(TLFD!J21:J101)</f>
        <v>15533</v>
      </c>
      <c r="K9" s="60">
        <f>SUM(H9:J9)</f>
        <v>495604</v>
      </c>
      <c r="M9" s="32" t="s">
        <v>245</v>
      </c>
      <c r="N9" s="45"/>
      <c r="O9" s="46"/>
      <c r="P9" s="46"/>
      <c r="Q9" s="45"/>
      <c r="T9" s="72">
        <f>WorkLocationCoefficients!B17</f>
        <v>7</v>
      </c>
      <c r="U9" s="72" t="str">
        <f>WorkLocationCoefficients!C17</f>
        <v>Beta00007</v>
      </c>
      <c r="V9" s="73">
        <f>WorkLocationCoefficients!E17</f>
        <v>0.16304005993109999</v>
      </c>
      <c r="W9" s="162">
        <f>_xlfn.IFNA(VLOOKUP(T9,$M$13:$Q$39,5,FALSE),_xlfn.IFNA(VLOOKUP(T9,calibration_flow!$AD$3:$AH$25,5,FALSE),V9))</f>
        <v>0.16304005993109999</v>
      </c>
      <c r="X9" s="95">
        <f si="0" t="shared"/>
        <v>0</v>
      </c>
      <c r="Z9" s="75"/>
      <c r="AA9" s="76" t="s">
        <v>256</v>
      </c>
      <c r="AB9" s="75"/>
      <c r="AC9" s="75"/>
      <c r="AD9" s="75"/>
      <c r="AE9" s="75"/>
    </row>
    <row ht="15.75" r="10" spans="1:31" thickBot="1" x14ac:dyDescent="0.3">
      <c r="A10" s="49" t="s">
        <v>3</v>
      </c>
      <c r="B10" s="61">
        <f>SUM(B7:B9)</f>
        <v>659875.85214252293</v>
      </c>
      <c r="C10" s="61">
        <f>SUM(C7:C9)</f>
        <v>71304.215388949742</v>
      </c>
      <c r="D10" s="61">
        <f>SUM(D7:D9)</f>
        <v>29067.44329937423</v>
      </c>
      <c r="E10" s="61">
        <f>SUM(E7:E9)</f>
        <v>760247.51083084685</v>
      </c>
      <c r="F10" s="32"/>
      <c r="G10" s="49" t="s">
        <v>3</v>
      </c>
      <c r="H10" s="61">
        <f>SUM(H7:H9)</f>
        <v>712784</v>
      </c>
      <c r="I10" s="61">
        <f>SUM(I7:I9)</f>
        <v>88401</v>
      </c>
      <c r="J10" s="61">
        <f>SUM(J7:J9)</f>
        <v>35679</v>
      </c>
      <c r="K10" s="61">
        <f>SUM(K7:K9)</f>
        <v>836864</v>
      </c>
      <c r="L10" s="32"/>
      <c r="M10" s="32" t="s">
        <v>246</v>
      </c>
      <c r="N10" s="32"/>
      <c r="O10" s="32"/>
      <c r="P10" s="32"/>
      <c r="Q10" s="32"/>
      <c r="T10" s="72">
        <f>WorkLocationCoefficients!B18</f>
        <v>8</v>
      </c>
      <c r="U10" s="72" t="str">
        <f>WorkLocationCoefficients!C18</f>
        <v>Beta00008</v>
      </c>
      <c r="V10" s="73">
        <f>WorkLocationCoefficients!E18</f>
        <v>-0.66484078944180003</v>
      </c>
      <c r="W10" s="162">
        <f>_xlfn.IFNA(VLOOKUP(T10,$M$13:$Q$39,5,FALSE),_xlfn.IFNA(VLOOKUP(T10,calibration_flow!$AD$3:$AH$25,5,FALSE),V10))</f>
        <v>-0.66484078944180003</v>
      </c>
      <c r="X10" s="95">
        <f si="0" t="shared"/>
        <v>0</v>
      </c>
      <c r="Z10" s="75">
        <v>1</v>
      </c>
      <c r="AA10" s="31" t="s">
        <v>309</v>
      </c>
      <c r="AB10" s="75"/>
      <c r="AC10" s="75"/>
      <c r="AD10" s="75"/>
      <c r="AE10" s="75"/>
    </row>
    <row r="11" spans="1:31" x14ac:dyDescent="0.25">
      <c r="T11" s="72">
        <f>WorkLocationCoefficients!B19</f>
        <v>9</v>
      </c>
      <c r="U11" s="72" t="str">
        <f>WorkLocationCoefficients!C19</f>
        <v>Beta00009</v>
      </c>
      <c r="V11" s="73">
        <f>WorkLocationCoefficients!E19</f>
        <v>-2.1673496431996999</v>
      </c>
      <c r="W11" s="162">
        <f>_xlfn.IFNA(VLOOKUP(T11,$M$13:$Q$39,5,FALSE),_xlfn.IFNA(VLOOKUP(T11,calibration_flow!$AD$3:$AH$25,5,FALSE),V11))</f>
        <v>-2.1673496431996999</v>
      </c>
      <c r="X11" s="95">
        <f si="0" t="shared"/>
        <v>0</v>
      </c>
      <c r="Z11" s="75">
        <v>2</v>
      </c>
      <c r="AA11" s="75" t="s">
        <v>257</v>
      </c>
      <c r="AB11" s="75"/>
      <c r="AC11" s="75"/>
      <c r="AD11" s="75"/>
      <c r="AE11" s="75"/>
    </row>
    <row ht="15.75" r="12" spans="1:31" thickBot="1" x14ac:dyDescent="0.3">
      <c r="A12" s="42" t="s">
        <v>243</v>
      </c>
      <c r="M12" s="10" t="s">
        <v>394</v>
      </c>
      <c r="T12" s="72">
        <f>WorkLocationCoefficients!B20</f>
        <v>10</v>
      </c>
      <c r="U12" s="72" t="str">
        <f>WorkLocationCoefficients!C20</f>
        <v>Beta00010</v>
      </c>
      <c r="V12" s="73">
        <f>WorkLocationCoefficients!E20</f>
        <v>-3.3544504276017002</v>
      </c>
      <c r="W12" s="162">
        <f>_xlfn.IFNA(VLOOKUP(T12,$M$13:$Q$39,5,FALSE),_xlfn.IFNA(VLOOKUP(T12,calibration_flow!$AD$3:$AH$25,5,FALSE),V12))</f>
        <v>-3.3544504276017002</v>
      </c>
      <c r="X12" s="95">
        <f si="0" t="shared"/>
        <v>0</v>
      </c>
      <c r="Z12" s="75">
        <v>3</v>
      </c>
      <c r="AA12" s="75" t="s">
        <v>258</v>
      </c>
      <c r="AB12" s="75"/>
      <c r="AC12" s="75"/>
      <c r="AD12" s="75"/>
      <c r="AE12" s="75"/>
    </row>
    <row r="13" spans="1:31" x14ac:dyDescent="0.2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54" t="s">
        <v>268</v>
      </c>
      <c r="T13">
        <f>WorkLocationCoefficients!B21</f>
        <v>11</v>
      </c>
      <c r="U13" t="str">
        <f>WorkLocationCoefficients!C21</f>
        <v>Beta00011</v>
      </c>
      <c r="V13" s="40">
        <f>WorkLocationCoefficients!E21</f>
        <v>-0.22974879339000001</v>
      </c>
      <c r="W13" s="162">
        <f>_xlfn.IFNA(VLOOKUP(T13,$M$13:$Q$39,5,FALSE),_xlfn.IFNA(VLOOKUP(T13,calibration_flow!$AD$3:$AH$25,5,FALSE),V13))</f>
        <v>-0.22974879339000001</v>
      </c>
      <c r="X13" s="95">
        <f si="0" t="shared"/>
        <v>0</v>
      </c>
      <c r="Z13" s="75">
        <v>4</v>
      </c>
      <c r="AA13" s="75" t="s">
        <v>259</v>
      </c>
      <c r="AB13" s="75"/>
      <c r="AC13" s="75"/>
      <c r="AD13" s="75"/>
      <c r="AE13" s="75"/>
    </row>
    <row r="14" spans="1:31" x14ac:dyDescent="0.25">
      <c r="A14" s="35" t="s">
        <v>214</v>
      </c>
      <c r="B14" s="50">
        <f ref="B14:E16" si="1" t="shared">B7/B$10</f>
        <v>0.13534891032651103</v>
      </c>
      <c r="C14" s="50">
        <f si="1" t="shared"/>
        <v>0.24636210266592015</v>
      </c>
      <c r="D14" s="50">
        <f si="1" t="shared"/>
        <v>0.27235005211582286</v>
      </c>
      <c r="E14" s="21">
        <f si="1" t="shared"/>
        <v>0.15099905232499203</v>
      </c>
      <c r="G14" s="35" t="s">
        <v>214</v>
      </c>
      <c r="H14" s="50">
        <f ref="H14:K16" si="2" t="shared">H7/H$10</f>
        <v>0.11527966396552111</v>
      </c>
      <c r="I14" s="50">
        <f si="2" t="shared"/>
        <v>0.14659902037307271</v>
      </c>
      <c r="J14" s="50">
        <f si="2" t="shared"/>
        <v>0.21542083578575633</v>
      </c>
      <c r="K14" s="21">
        <f si="2" t="shared"/>
        <v>0.12285747743958397</v>
      </c>
      <c r="M14">
        <v>6</v>
      </c>
      <c r="N14" s="157">
        <f>V8</f>
        <v>-4.1530549264700003</v>
      </c>
      <c r="O14" s="8">
        <f>B14/H14</f>
        <v>1.1740918187182816</v>
      </c>
      <c r="P14" s="141">
        <f>R14*(LN(O14)-LN(O14))</f>
        <v>0</v>
      </c>
      <c r="Q14" s="155">
        <f>N14+P14</f>
        <v>-4.1530549264700003</v>
      </c>
      <c r="R14" s="91">
        <v>0</v>
      </c>
      <c r="T14">
        <f>WorkLocationCoefficients!B22</f>
        <v>12</v>
      </c>
      <c r="U14" t="str">
        <f>WorkLocationCoefficients!C22</f>
        <v>Beta00012</v>
      </c>
      <c r="V14" s="40">
        <f>WorkLocationCoefficients!E22</f>
        <v>-0.93478838755000004</v>
      </c>
      <c r="W14" s="162">
        <f>_xlfn.IFNA(VLOOKUP(T14,$M$13:$Q$39,5,FALSE),_xlfn.IFNA(VLOOKUP(T14,calibration_flow!$AD$3:$AH$25,5,FALSE),V14))</f>
        <v>-0.93478838755000004</v>
      </c>
      <c r="X14" s="95">
        <f si="0" t="shared"/>
        <v>0</v>
      </c>
      <c r="Z14" s="75">
        <v>5</v>
      </c>
      <c r="AA14" s="75" t="s">
        <v>262</v>
      </c>
      <c r="AB14" s="75"/>
      <c r="AC14" s="75"/>
      <c r="AD14" s="75"/>
      <c r="AE14" s="75"/>
    </row>
    <row r="15" spans="1:31" x14ac:dyDescent="0.25">
      <c r="A15" s="35" t="s">
        <v>215</v>
      </c>
      <c r="B15" s="50">
        <f si="1" t="shared"/>
        <v>0.30990440959412258</v>
      </c>
      <c r="C15" s="50">
        <f si="1" t="shared"/>
        <v>0.37599588433506187</v>
      </c>
      <c r="D15" s="50">
        <f si="1" t="shared"/>
        <v>0.42532682927451193</v>
      </c>
      <c r="E15" s="50">
        <f si="1" t="shared"/>
        <v>0.32051626333241467</v>
      </c>
      <c r="G15" s="35" t="s">
        <v>215</v>
      </c>
      <c r="H15" s="50">
        <f si="2" t="shared"/>
        <v>0.27651785113021615</v>
      </c>
      <c r="I15" s="50">
        <f si="2" t="shared"/>
        <v>0.32677797762468752</v>
      </c>
      <c r="J15" s="50">
        <f si="2" t="shared"/>
        <v>0.34922503433392194</v>
      </c>
      <c r="K15" s="21">
        <f si="2" t="shared"/>
        <v>0.28492682204037934</v>
      </c>
      <c r="M15">
        <v>7</v>
      </c>
      <c r="N15" s="157">
        <f>V9</f>
        <v>0.16304005993109999</v>
      </c>
      <c r="O15" s="8">
        <f>B15/H15</f>
        <v>1.1207392518329105</v>
      </c>
      <c r="P15" s="141">
        <f>R15*(LN(O15)-LN(O14))</f>
        <v>0</v>
      </c>
      <c r="Q15" s="155">
        <f>N15+P15</f>
        <v>0.16304005993109999</v>
      </c>
      <c r="R15" s="91">
        <v>0</v>
      </c>
      <c r="T15">
        <f>WorkLocationCoefficients!B23</f>
        <v>13</v>
      </c>
      <c r="U15" t="str">
        <f>WorkLocationCoefficients!C23</f>
        <v>Beta00013</v>
      </c>
      <c r="V15" s="40">
        <f>WorkLocationCoefficients!E23</f>
        <v>0.40796503771199999</v>
      </c>
      <c r="W15" s="162">
        <f>_xlfn.IFNA(VLOOKUP(T15,$M$13:$Q$39,5,FALSE),_xlfn.IFNA(VLOOKUP(T15,calibration_flow!$AD$3:$AH$25,5,FALSE),V15))</f>
        <v>0.40796503771199999</v>
      </c>
      <c r="X15" s="95">
        <f si="0" t="shared"/>
        <v>0</v>
      </c>
      <c r="Z15" s="75">
        <v>6</v>
      </c>
      <c r="AA15" s="75" t="s">
        <v>264</v>
      </c>
      <c r="AB15" s="75"/>
      <c r="AC15" s="75"/>
      <c r="AD15" s="75"/>
      <c r="AE15" s="75"/>
    </row>
    <row r="16" spans="1:31" x14ac:dyDescent="0.25">
      <c r="A16" s="47" t="s">
        <v>216</v>
      </c>
      <c r="B16" s="50">
        <f si="1" t="shared"/>
        <v>0.55474668007936634</v>
      </c>
      <c r="C16" s="50">
        <f si="1" t="shared"/>
        <v>0.37764201299901801</v>
      </c>
      <c r="D16" s="50">
        <f si="1" t="shared"/>
        <v>0.30232311860966526</v>
      </c>
      <c r="E16" s="50">
        <f si="1" t="shared"/>
        <v>0.52848468434259332</v>
      </c>
      <c r="G16" s="47" t="s">
        <v>216</v>
      </c>
      <c r="H16" s="50">
        <f si="2" t="shared"/>
        <v>0.60820248490426276</v>
      </c>
      <c r="I16" s="50">
        <f si="2" t="shared"/>
        <v>0.52662300200223977</v>
      </c>
      <c r="J16" s="50">
        <f si="2" t="shared"/>
        <v>0.43535412988032174</v>
      </c>
      <c r="K16" s="21">
        <f si="2" t="shared"/>
        <v>0.59221570052003669</v>
      </c>
      <c r="L16" s="32"/>
      <c r="M16" s="6">
        <v>8</v>
      </c>
      <c r="N16" s="158">
        <f>V10</f>
        <v>-0.66484078944180003</v>
      </c>
      <c r="O16" s="13">
        <f>B16/H16</f>
        <v>0.91210853925841673</v>
      </c>
      <c r="P16" s="159">
        <f>R16*(LN(O16)-LN(O14)-LN(O15))</f>
        <v>0</v>
      </c>
      <c r="Q16" s="156">
        <f>N16+P16</f>
        <v>-0.66484078944180003</v>
      </c>
      <c r="R16" s="91">
        <v>0</v>
      </c>
      <c r="T16">
        <f>WorkLocationCoefficients!B24</f>
        <v>14</v>
      </c>
      <c r="U16" t="str">
        <f>WorkLocationCoefficients!C24</f>
        <v>Beta00014</v>
      </c>
      <c r="V16" s="40">
        <f>WorkLocationCoefficients!E24</f>
        <v>-0.50293651045300003</v>
      </c>
      <c r="W16" s="162">
        <f>_xlfn.IFNA(VLOOKUP(T16,$M$13:$Q$39,5,FALSE),_xlfn.IFNA(VLOOKUP(T16,calibration_flow!$AD$3:$AH$25,5,FALSE),V16))</f>
        <v>-0.50293651045300003</v>
      </c>
      <c r="X16" s="95">
        <f si="0" t="shared"/>
        <v>0</v>
      </c>
      <c r="Z16" s="75">
        <v>7</v>
      </c>
      <c r="AA16" s="75" t="s">
        <v>265</v>
      </c>
      <c r="AB16" s="75"/>
      <c r="AC16" s="75"/>
      <c r="AD16" s="75"/>
      <c r="AE16" s="75"/>
    </row>
    <row ht="15.75" r="17" spans="1:31" thickBot="1" x14ac:dyDescent="0.3">
      <c r="A17" s="49" t="s">
        <v>3</v>
      </c>
      <c r="B17" s="51">
        <f>SUM(B14:B16)</f>
        <v>1</v>
      </c>
      <c r="C17" s="51">
        <f>SUM(C14:C16)</f>
        <v>1</v>
      </c>
      <c r="D17" s="51">
        <f>SUM(D14:D16)</f>
        <v>1</v>
      </c>
      <c r="E17" s="51">
        <f>SUM(E14:E16)</f>
        <v>1</v>
      </c>
      <c r="F17" s="32"/>
      <c r="G17" s="49" t="s">
        <v>3</v>
      </c>
      <c r="H17" s="51">
        <f>SUM(H14:H16)</f>
        <v>1</v>
      </c>
      <c r="I17" s="51">
        <f>SUM(I14:I16)</f>
        <v>1</v>
      </c>
      <c r="J17" s="51">
        <f>SUM(J14:J16)</f>
        <v>1</v>
      </c>
      <c r="K17" s="51">
        <f>SUM(K14:K16)</f>
        <v>1</v>
      </c>
      <c r="L17" s="32"/>
      <c r="M17" s="32"/>
      <c r="N17" s="45"/>
      <c r="O17" s="46"/>
      <c r="P17" s="46"/>
      <c r="Q17" s="45"/>
      <c r="T17">
        <f>WorkLocationCoefficients!B25</f>
        <v>15</v>
      </c>
      <c r="U17" t="str">
        <f>WorkLocationCoefficients!C25</f>
        <v>Beta00015</v>
      </c>
      <c r="V17" s="40">
        <f>WorkLocationCoefficients!E25</f>
        <v>-1.61322160644</v>
      </c>
      <c r="W17" s="162">
        <f>_xlfn.IFNA(VLOOKUP(T17,$M$13:$Q$39,5,FALSE),_xlfn.IFNA(VLOOKUP(T17,calibration_flow!$AD$3:$AH$25,5,FALSE),V17))</f>
        <v>-1.61322160644</v>
      </c>
      <c r="X17" s="95">
        <f si="0" t="shared"/>
        <v>0</v>
      </c>
      <c r="Z17" s="75">
        <v>8</v>
      </c>
      <c r="AA17" s="75" t="s">
        <v>260</v>
      </c>
      <c r="AB17" s="75"/>
      <c r="AC17" s="75"/>
      <c r="AD17" s="75"/>
      <c r="AE17" s="75"/>
    </row>
    <row r="18" spans="1:31" x14ac:dyDescent="0.25">
      <c r="A18" s="43"/>
      <c r="B18" s="44"/>
      <c r="C18" s="44"/>
      <c r="D18" s="44"/>
      <c r="E18" s="44"/>
      <c r="F18" s="32"/>
      <c r="G18" s="43"/>
      <c r="H18" s="44"/>
      <c r="I18" s="44"/>
      <c r="J18" s="44"/>
      <c r="K18" s="44"/>
      <c r="L18" s="32"/>
      <c r="M18" s="32"/>
      <c r="N18" s="45"/>
      <c r="O18" s="46"/>
      <c r="P18" s="46"/>
      <c r="Q18" s="45"/>
      <c r="T18">
        <f>WorkLocationCoefficients!B26</f>
        <v>16</v>
      </c>
      <c r="U18" t="str">
        <f>WorkLocationCoefficients!C26</f>
        <v>Beta00016</v>
      </c>
      <c r="V18" s="40">
        <f>WorkLocationCoefficients!E26</f>
        <v>0.130749629122</v>
      </c>
      <c r="W18" s="162">
        <f>_xlfn.IFNA(VLOOKUP(T18,$M$13:$Q$39,5,FALSE),_xlfn.IFNA(VLOOKUP(T18,calibration_flow!$AD$3:$AH$25,5,FALSE),V18))</f>
        <v>0.130749629122</v>
      </c>
      <c r="X18" s="95">
        <f si="0" t="shared"/>
        <v>0</v>
      </c>
    </row>
    <row r="19" spans="1:31" x14ac:dyDescent="0.25">
      <c r="A19" s="43"/>
      <c r="B19" s="44"/>
      <c r="C19" s="44"/>
      <c r="D19" s="44"/>
      <c r="E19" s="44"/>
      <c r="F19" s="32"/>
      <c r="G19" s="43"/>
      <c r="H19" s="44"/>
      <c r="I19" s="44"/>
      <c r="J19" s="44"/>
      <c r="K19" s="44"/>
      <c r="L19" s="32"/>
      <c r="M19" s="32"/>
      <c r="N19" s="45"/>
      <c r="O19" s="46"/>
      <c r="P19" s="46"/>
      <c r="Q19" s="45"/>
      <c r="R19" s="7"/>
      <c r="T19">
        <f>WorkLocationCoefficients!B27</f>
        <v>17</v>
      </c>
      <c r="U19" t="str">
        <f>WorkLocationCoefficients!C27</f>
        <v>Beta00017</v>
      </c>
      <c r="V19" s="40">
        <f>WorkLocationCoefficients!E27</f>
        <v>8.4077289836199998E-2</v>
      </c>
      <c r="W19" s="162">
        <f>_xlfn.IFNA(VLOOKUP(T19,$M$13:$Q$39,5,FALSE),_xlfn.IFNA(VLOOKUP(T19,calibration_flow!$AD$3:$AH$25,5,FALSE),V19))</f>
        <v>8.4077289836199998E-2</v>
      </c>
      <c r="X19" s="95">
        <f si="0" t="shared"/>
        <v>0</v>
      </c>
    </row>
    <row r="20" spans="1:31" x14ac:dyDescent="0.25">
      <c r="A20" s="32"/>
      <c r="B20" s="44"/>
      <c r="C20" s="44"/>
      <c r="D20" s="44"/>
      <c r="E20" s="44"/>
      <c r="F20" s="32"/>
      <c r="G20" s="32"/>
      <c r="H20" s="44"/>
      <c r="I20" s="44"/>
      <c r="J20" s="44"/>
      <c r="K20" s="44"/>
      <c r="L20" s="32"/>
      <c r="M20" s="32"/>
      <c r="N20" s="32"/>
      <c r="O20" s="32"/>
      <c r="P20" s="46"/>
      <c r="Q20" s="32"/>
      <c r="T20">
        <f>WorkLocationCoefficients!B28</f>
        <v>18</v>
      </c>
      <c r="U20" t="str">
        <f>WorkLocationCoefficients!C28</f>
        <v>Beta00018</v>
      </c>
      <c r="V20" s="40">
        <f>WorkLocationCoefficients!E28</f>
        <v>0</v>
      </c>
      <c r="W20" s="162">
        <f>_xlfn.IFNA(VLOOKUP(T20,$M$13:$Q$39,5,FALSE),_xlfn.IFNA(VLOOKUP(T20,calibration_flow!$AD$3:$AH$25,5,FALSE),V20))</f>
        <v>0</v>
      </c>
      <c r="X20" s="95">
        <f si="0" t="shared"/>
        <v>0</v>
      </c>
    </row>
    <row r="21" spans="1:31" x14ac:dyDescent="0.25">
      <c r="T21">
        <f>WorkLocationCoefficients!B29</f>
        <v>19</v>
      </c>
      <c r="U21" t="str">
        <f>WorkLocationCoefficients!C29</f>
        <v>Beta00019</v>
      </c>
      <c r="V21" s="40">
        <f>WorkLocationCoefficients!E29</f>
        <v>0.106386053639</v>
      </c>
      <c r="W21" s="162">
        <f>_xlfn.IFNA(VLOOKUP(T21,$M$13:$Q$39,5,FALSE),_xlfn.IFNA(VLOOKUP(T21,calibration_flow!$AD$3:$AH$25,5,FALSE),V21))</f>
        <v>0.106386053639</v>
      </c>
      <c r="X21" s="95">
        <f si="0" t="shared"/>
        <v>0</v>
      </c>
    </row>
    <row r="22" spans="1:31" x14ac:dyDescent="0.25">
      <c r="N22" s="37"/>
      <c r="Q22" s="38"/>
      <c r="T22">
        <f>WorkLocationCoefficients!B30</f>
        <v>20</v>
      </c>
      <c r="U22" t="str">
        <f>WorkLocationCoefficients!C30</f>
        <v>Beta00020</v>
      </c>
      <c r="V22" s="40">
        <f>WorkLocationCoefficients!E30</f>
        <v>0.88087687792799996</v>
      </c>
      <c r="W22" s="162">
        <f>_xlfn.IFNA(VLOOKUP(T22,$M$13:$Q$39,5,FALSE),_xlfn.IFNA(VLOOKUP(T22,calibration_flow!$AD$3:$AH$25,5,FALSE),V22))</f>
        <v>0.88087687792799996</v>
      </c>
      <c r="X22" s="95">
        <f si="0" t="shared"/>
        <v>0</v>
      </c>
    </row>
    <row r="23" spans="1:31" x14ac:dyDescent="0.25">
      <c r="A23" s="42" t="s">
        <v>242</v>
      </c>
      <c r="B23" s="32"/>
      <c r="C23" s="32"/>
      <c r="D23" s="32"/>
      <c r="E23" s="32"/>
      <c r="F23" s="32"/>
      <c r="G23" s="220" t="s">
        <v>426</v>
      </c>
      <c r="H23" s="98"/>
      <c r="I23" s="98"/>
      <c r="J23" s="32"/>
      <c r="K23" s="32"/>
      <c r="L23" s="32"/>
      <c r="M23" s="32"/>
      <c r="N23" s="32"/>
      <c r="O23" s="32"/>
      <c r="P23" s="32"/>
      <c r="Q23" s="32"/>
      <c r="T23">
        <f>WorkLocationCoefficients!B31</f>
        <v>21</v>
      </c>
      <c r="U23" t="str">
        <f>WorkLocationCoefficients!C31</f>
        <v>Beta00021</v>
      </c>
      <c r="V23" s="40">
        <f>WorkLocationCoefficients!E31</f>
        <v>-0.16458061134300001</v>
      </c>
      <c r="W23" s="162">
        <f>_xlfn.IFNA(VLOOKUP(T23,$M$13:$Q$39,5,FALSE),_xlfn.IFNA(VLOOKUP(T23,calibration_flow!$AD$3:$AH$25,5,FALSE),V23))</f>
        <v>-0.16458061134300001</v>
      </c>
      <c r="X23" s="95">
        <f si="0" t="shared"/>
        <v>0</v>
      </c>
    </row>
    <row ht="15.75" r="24" spans="1:31" thickBot="1" x14ac:dyDescent="0.3">
      <c r="A24" s="32"/>
      <c r="B24" s="32"/>
      <c r="C24" s="32"/>
      <c r="D24" s="32"/>
      <c r="E24" s="32"/>
      <c r="F24" s="32"/>
      <c r="G24" s="98"/>
      <c r="H24" s="98"/>
      <c r="I24" s="98"/>
      <c r="J24" s="32"/>
      <c r="K24" s="32"/>
      <c r="L24" s="32"/>
      <c r="M24" s="32"/>
      <c r="N24" s="32"/>
      <c r="O24" s="32"/>
      <c r="P24" s="32"/>
      <c r="Q24" s="32"/>
      <c r="T24">
        <f>WorkLocationCoefficients!B32</f>
        <v>22</v>
      </c>
      <c r="U24" t="str">
        <f>WorkLocationCoefficients!C32</f>
        <v>Beta00022</v>
      </c>
      <c r="V24" s="40">
        <f>WorkLocationCoefficients!E32</f>
        <v>0.154182014038</v>
      </c>
      <c r="W24" s="162">
        <f>_xlfn.IFNA(VLOOKUP(T24,$M$13:$Q$39,5,FALSE),_xlfn.IFNA(VLOOKUP(T24,calibration_flow!$AD$3:$AH$25,5,FALSE),V24))</f>
        <v>0.154182014038</v>
      </c>
      <c r="X24" s="95">
        <f si="0" t="shared"/>
        <v>0</v>
      </c>
    </row>
    <row r="25" spans="1:31" x14ac:dyDescent="0.25">
      <c r="A25" s="5"/>
      <c r="B25" s="5" t="s">
        <v>203</v>
      </c>
      <c r="C25" s="5" t="s">
        <v>253</v>
      </c>
      <c r="D25" s="52"/>
      <c r="E25" s="52"/>
      <c r="G25" s="221"/>
      <c r="H25" s="221" t="s">
        <v>203</v>
      </c>
      <c r="I25" s="221" t="s">
        <v>253</v>
      </c>
      <c r="J25" s="52"/>
      <c r="K25" s="52"/>
      <c r="M25" s="54"/>
      <c r="N25" s="54"/>
      <c r="O25" s="54"/>
      <c r="P25" s="54"/>
      <c r="Q25" s="54"/>
      <c r="T25">
        <f>WorkLocationCoefficients!B33</f>
        <v>23</v>
      </c>
      <c r="U25" t="str">
        <f>WorkLocationCoefficients!C33</f>
        <v>Beta00023</v>
      </c>
      <c r="V25" s="40">
        <f>WorkLocationCoefficients!E33</f>
        <v>4.79448884421E-2</v>
      </c>
      <c r="W25" s="162">
        <f>_xlfn.IFNA(VLOOKUP(T25,$M$13:$Q$39,5,FALSE),_xlfn.IFNA(VLOOKUP(T25,calibration_flow!$AD$3:$AH$25,5,FALSE),V25))</f>
        <v>4.79448884421E-2</v>
      </c>
      <c r="X25" s="95">
        <f si="0" t="shared"/>
        <v>0</v>
      </c>
    </row>
    <row r="26" spans="1:31" x14ac:dyDescent="0.25">
      <c r="A26" s="48" t="s">
        <v>217</v>
      </c>
      <c r="B26" s="70">
        <f>WorkAtHome!E14</f>
        <v>26509.154316311771</v>
      </c>
      <c r="C26" s="70">
        <f>WorkAtHome!L14</f>
        <v>23080</v>
      </c>
      <c r="D26" s="55"/>
      <c r="E26" s="55"/>
      <c r="G26" s="222" t="s">
        <v>426</v>
      </c>
      <c r="H26" s="223">
        <f>Telecommute!E18</f>
        <v>26320.20201155094</v>
      </c>
      <c r="I26" s="223">
        <f>Telecommute!L18</f>
        <v>85513</v>
      </c>
      <c r="J26" s="55"/>
      <c r="K26" s="55"/>
      <c r="L26" s="32"/>
      <c r="M26" s="32"/>
      <c r="N26" s="45"/>
      <c r="O26" s="46"/>
      <c r="P26" s="46"/>
      <c r="Q26" s="45"/>
      <c r="T26">
        <f>WorkLocationCoefficients!B34</f>
        <v>24</v>
      </c>
      <c r="U26" t="str">
        <f>WorkLocationCoefficients!C34</f>
        <v>Beta00024</v>
      </c>
      <c r="V26" s="40">
        <f>WorkLocationCoefficients!E34</f>
        <v>6.4843520043099998E-2</v>
      </c>
      <c r="W26" s="162">
        <f>_xlfn.IFNA(VLOOKUP(T26,$M$13:$Q$39,5,FALSE),_xlfn.IFNA(VLOOKUP(T26,calibration_flow!$AD$3:$AH$25,5,FALSE),V26))</f>
        <v>6.4843520043099998E-2</v>
      </c>
      <c r="X26" s="95">
        <f si="0" t="shared"/>
        <v>0</v>
      </c>
    </row>
    <row ht="15.75" r="27" spans="1:31" thickBot="1" x14ac:dyDescent="0.3">
      <c r="A27" s="49" t="s">
        <v>3</v>
      </c>
      <c r="B27" s="61">
        <f>WorkAtHome!E25</f>
        <v>815157.57560629898</v>
      </c>
      <c r="C27" s="61">
        <f>WorkAtHome!L25</f>
        <v>965909</v>
      </c>
      <c r="D27" s="7"/>
      <c r="G27" s="224" t="s">
        <v>3</v>
      </c>
      <c r="H27" s="225">
        <f>Telecommute!E33</f>
        <v>379545.8901991556</v>
      </c>
      <c r="I27" s="225">
        <f>Telecommute!L33</f>
        <v>965909</v>
      </c>
      <c r="J27" s="7"/>
      <c r="K27" s="7"/>
      <c r="M27" s="32"/>
      <c r="N27" s="32"/>
      <c r="O27" s="32"/>
      <c r="P27" s="32"/>
      <c r="Q27" s="32"/>
      <c r="T27">
        <f>WorkLocationCoefficients!B35</f>
        <v>25</v>
      </c>
      <c r="U27" t="str">
        <f>WorkLocationCoefficients!C35</f>
        <v>Beta00025</v>
      </c>
      <c r="V27" s="40">
        <f>WorkLocationCoefficients!E35</f>
        <v>0.15272053169499999</v>
      </c>
      <c r="W27" s="162">
        <f>_xlfn.IFNA(VLOOKUP(T27,$M$13:$Q$39,5,FALSE),_xlfn.IFNA(VLOOKUP(T27,calibration_flow!$AD$3:$AH$25,5,FALSE),V27))</f>
        <v>0.15272053169499999</v>
      </c>
      <c r="X27" s="95">
        <f si="0" t="shared"/>
        <v>0</v>
      </c>
    </row>
    <row r="28" spans="1:31" x14ac:dyDescent="0.25">
      <c r="G28" s="98"/>
      <c r="H28" s="98"/>
      <c r="I28" s="98"/>
      <c r="T28">
        <f>WorkLocationCoefficients!B36</f>
        <v>26</v>
      </c>
      <c r="U28" t="str">
        <f>WorkLocationCoefficients!C36</f>
        <v>Beta00026</v>
      </c>
      <c r="V28" s="40">
        <f>WorkLocationCoefficients!E36</f>
        <v>7.2028590735099998E-2</v>
      </c>
      <c r="W28" s="162">
        <f>_xlfn.IFNA(VLOOKUP(T28,$M$13:$Q$39,5,FALSE),_xlfn.IFNA(VLOOKUP(T28,calibration_flow!$AD$3:$AH$25,5,FALSE),V28))</f>
        <v>7.2028590735099998E-2</v>
      </c>
      <c r="X28" s="95">
        <f si="0" t="shared"/>
        <v>0</v>
      </c>
    </row>
    <row ht="15.75" r="29" spans="1:31" thickBot="1" x14ac:dyDescent="0.3">
      <c r="A29" t="s">
        <v>243</v>
      </c>
      <c r="G29" s="98" t="s">
        <v>243</v>
      </c>
      <c r="H29" s="98"/>
      <c r="I29" s="98"/>
      <c r="M29" s="10" t="s">
        <v>393</v>
      </c>
      <c r="T29">
        <f>WorkLocationCoefficients!B37</f>
        <v>27</v>
      </c>
      <c r="U29" t="str">
        <f>WorkLocationCoefficients!C37</f>
        <v>Beta00027</v>
      </c>
      <c r="V29" s="40">
        <f>WorkLocationCoefficients!E37</f>
        <v>-0.27934224041799999</v>
      </c>
      <c r="W29" s="162">
        <f>_xlfn.IFNA(VLOOKUP(T29,$M$13:$Q$39,5,FALSE),_xlfn.IFNA(VLOOKUP(T29,calibration_flow!$AD$3:$AH$25,5,FALSE),V29))</f>
        <v>-0.27934224041799999</v>
      </c>
      <c r="X29" s="95">
        <f si="0" t="shared"/>
        <v>0</v>
      </c>
    </row>
    <row r="30" spans="1:31" x14ac:dyDescent="0.25">
      <c r="A30" s="5"/>
      <c r="B30" s="5" t="s">
        <v>203</v>
      </c>
      <c r="C30" s="5" t="s">
        <v>253</v>
      </c>
      <c r="D30" s="52" t="s">
        <v>405</v>
      </c>
      <c r="E30" s="52"/>
      <c r="G30" s="221"/>
      <c r="H30" s="221" t="str">
        <f>H25</f>
        <v>Survey</v>
      </c>
      <c r="I30" s="221" t="str">
        <f>I25</f>
        <v>DaySim</v>
      </c>
      <c r="J30" s="52"/>
      <c r="K30" s="52"/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54" t="s">
        <v>268</v>
      </c>
      <c r="T30">
        <f>WorkLocationCoefficients!B38</f>
        <v>28</v>
      </c>
      <c r="U30" t="str">
        <f>WorkLocationCoefficients!C38</f>
        <v>Beta00028</v>
      </c>
      <c r="V30" s="40">
        <f>WorkLocationCoefficients!E38</f>
        <v>4.3626229225700003E-2</v>
      </c>
      <c r="W30" s="162">
        <f>_xlfn.IFNA(VLOOKUP(T30,$M$13:$Q$39,5,FALSE),_xlfn.IFNA(VLOOKUP(T30,calibration_flow!$AD$3:$AH$25,5,FALSE),V30))</f>
        <v>4.3626229225700003E-2</v>
      </c>
      <c r="X30" s="95">
        <f si="0" t="shared"/>
        <v>0</v>
      </c>
    </row>
    <row r="31" spans="1:31" x14ac:dyDescent="0.25">
      <c r="A31" s="48" t="s">
        <v>217</v>
      </c>
      <c r="B31" s="57">
        <f>B26/B27</f>
        <v>3.252028210201538E-2</v>
      </c>
      <c r="C31" s="57">
        <f>C26/C27</f>
        <v>2.3894590484196752E-2</v>
      </c>
      <c r="D31" s="104">
        <f>C26/(K10+C26)</f>
        <v>2.6838956955336626E-2</v>
      </c>
      <c r="E31" s="55"/>
      <c r="G31" s="222" t="s">
        <v>426</v>
      </c>
      <c r="H31" s="226">
        <f>IFERROR(H26/H27,0)</f>
        <v>6.934656043236348E-2</v>
      </c>
      <c r="I31" s="226">
        <f>IFERROR(I26/I27,0)</f>
        <v>8.8531114214693105E-2</v>
      </c>
      <c r="J31" s="55"/>
      <c r="K31" s="55"/>
      <c r="M31" s="6">
        <v>41</v>
      </c>
      <c r="N31" s="158">
        <f>V39</f>
        <v>-1.2033803293631999</v>
      </c>
      <c r="O31" s="13">
        <f>B31/C31</f>
        <v>1.3609893052372433</v>
      </c>
      <c r="P31" s="159">
        <f>R31*LN(O31)</f>
        <v>0</v>
      </c>
      <c r="Q31" s="160">
        <f>N31+P31</f>
        <v>-1.2033803293631999</v>
      </c>
      <c r="R31" s="91">
        <v>0</v>
      </c>
      <c r="T31">
        <f>WorkLocationCoefficients!B39</f>
        <v>29</v>
      </c>
      <c r="U31" t="str">
        <f>WorkLocationCoefficients!C39</f>
        <v>Beta00029</v>
      </c>
      <c r="V31" s="40">
        <f>WorkLocationCoefficients!E39</f>
        <v>-8.7886819411100006E-2</v>
      </c>
      <c r="W31" s="162">
        <f>_xlfn.IFNA(VLOOKUP(T31,$M$13:$Q$39,5,FALSE),_xlfn.IFNA(VLOOKUP(T31,calibration_flow!$AD$3:$AH$25,5,FALSE),V31))</f>
        <v>-8.7886819411100006E-2</v>
      </c>
      <c r="X31" s="95">
        <f si="0" t="shared"/>
        <v>0</v>
      </c>
    </row>
    <row ht="15.75" r="32" spans="1:31" thickBot="1" x14ac:dyDescent="0.3">
      <c r="A32" s="49" t="s">
        <v>3</v>
      </c>
      <c r="B32" s="56">
        <f>B27/B27</f>
        <v>1</v>
      </c>
      <c r="C32" s="56">
        <f>C27/C27</f>
        <v>1</v>
      </c>
      <c r="G32" s="224" t="s">
        <v>3</v>
      </c>
      <c r="H32" s="227">
        <f>IFERROR(H27/H27,0)</f>
        <v>1</v>
      </c>
      <c r="I32" s="227">
        <f>IFERROR(I27/I27,0)</f>
        <v>1</v>
      </c>
      <c r="T32">
        <f>WorkLocationCoefficients!B40</f>
        <v>30</v>
      </c>
      <c r="U32" t="str">
        <f>WorkLocationCoefficients!C40</f>
        <v>Beta00030</v>
      </c>
      <c r="V32" s="40">
        <f>WorkLocationCoefficients!E40</f>
        <v>-4.2894941477000001E-2</v>
      </c>
      <c r="W32" s="162">
        <f>_xlfn.IFNA(VLOOKUP(T32,$M$13:$Q$39,5,FALSE),_xlfn.IFNA(VLOOKUP(T32,calibration_flow!$AD$3:$AH$25,5,FALSE),V32))</f>
        <v>-4.2894941477000001E-2</v>
      </c>
      <c r="X32" s="95">
        <f si="0" t="shared"/>
        <v>0</v>
      </c>
    </row>
    <row r="33" spans="1:24" x14ac:dyDescent="0.25">
      <c r="T33">
        <f>WorkLocationCoefficients!B41</f>
        <v>31</v>
      </c>
      <c r="U33" t="str">
        <f>WorkLocationCoefficients!C41</f>
        <v>Beta00031</v>
      </c>
      <c r="V33" s="40">
        <f>WorkLocationCoefficients!E41</f>
        <v>-0.13045579928000001</v>
      </c>
      <c r="W33" s="162">
        <f>_xlfn.IFNA(VLOOKUP(T33,$M$13:$Q$39,5,FALSE),_xlfn.IFNA(VLOOKUP(T33,calibration_flow!$AD$3:$AH$25,5,FALSE),V33))</f>
        <v>-0.13045579928000001</v>
      </c>
      <c r="X33" s="95">
        <f si="0" t="shared"/>
        <v>0</v>
      </c>
    </row>
    <row ht="15.75" r="34" spans="1:24" thickBot="1" x14ac:dyDescent="0.3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40">
        <f>WorkLocationCoefficients!E42</f>
        <v>0.18945088644899999</v>
      </c>
      <c r="W34" s="162">
        <f>_xlfn.IFNA(VLOOKUP(T34,$M$13:$Q$39,5,FALSE),_xlfn.IFNA(VLOOKUP(T34,calibration_flow!$AD$3:$AH$25,5,FALSE),V34))</f>
        <v>0.18945088644899999</v>
      </c>
      <c r="X34" s="95">
        <f si="0" t="shared"/>
        <v>0</v>
      </c>
    </row>
    <row r="35" spans="1:24" x14ac:dyDescent="0.25">
      <c r="A35" s="7"/>
      <c r="B35" s="7"/>
      <c r="C35" s="5" t="s">
        <v>9</v>
      </c>
      <c r="D35" s="5"/>
      <c r="E35" s="5" t="s">
        <v>10</v>
      </c>
      <c r="F35" s="5"/>
      <c r="G35" s="3" t="s">
        <v>269</v>
      </c>
      <c r="H35" s="3"/>
      <c r="M35" s="36"/>
      <c r="T35">
        <f>WorkLocationCoefficients!B43</f>
        <v>33</v>
      </c>
      <c r="U35" t="str">
        <f>WorkLocationCoefficients!C43</f>
        <v>Beta00033</v>
      </c>
      <c r="V35" s="40">
        <f>WorkLocationCoefficients!E43</f>
        <v>-0.179523169776</v>
      </c>
      <c r="W35" s="162">
        <f>_xlfn.IFNA(VLOOKUP(T35,$M$13:$Q$39,5,FALSE),_xlfn.IFNA(VLOOKUP(T35,calibration_flow!$AD$3:$AH$25,5,FALSE),V35))</f>
        <v>-0.179523169776</v>
      </c>
      <c r="X35" s="95">
        <f si="0" t="shared"/>
        <v>0</v>
      </c>
    </row>
    <row ht="15.75" r="36" spans="1:24" thickBot="1" x14ac:dyDescent="0.3">
      <c r="A36" s="6" t="s">
        <v>270</v>
      </c>
      <c r="B36" s="6" t="s">
        <v>271</v>
      </c>
      <c r="C36" s="6" t="s">
        <v>203</v>
      </c>
      <c r="D36" s="6" t="s">
        <v>219</v>
      </c>
      <c r="E36" s="6" t="s">
        <v>203</v>
      </c>
      <c r="F36" s="6" t="s">
        <v>219</v>
      </c>
      <c r="G36" s="80" t="s">
        <v>9</v>
      </c>
      <c r="H36" s="80" t="s">
        <v>10</v>
      </c>
      <c r="M36" s="10" t="s">
        <v>395</v>
      </c>
      <c r="T36">
        <f>WorkLocationCoefficients!B44</f>
        <v>34</v>
      </c>
      <c r="U36" t="str">
        <f>WorkLocationCoefficients!C44</f>
        <v>Beta00034</v>
      </c>
      <c r="V36" s="40">
        <f>WorkLocationCoefficients!E44</f>
        <v>0.17233347539499999</v>
      </c>
      <c r="W36" s="162">
        <f>_xlfn.IFNA(VLOOKUP(T36,$M$13:$Q$39,5,FALSE),_xlfn.IFNA(VLOOKUP(T36,calibration_flow!$AD$3:$AH$25,5,FALSE),V36))</f>
        <v>0.17233347539499999</v>
      </c>
      <c r="X36" s="95">
        <f si="0" t="shared"/>
        <v>0</v>
      </c>
    </row>
    <row r="37" spans="1:24" x14ac:dyDescent="0.25">
      <c r="A37">
        <f>TLFD!A11+0.5</f>
        <v>0.5</v>
      </c>
      <c r="B37" s="81">
        <f>LN(1+A37)</f>
        <v>0.40546510810816438</v>
      </c>
      <c r="C37" s="78">
        <f>TLFD!C11/SUM(TLFD!$C$11:$C$100)</f>
        <v>3.8425502231926506E-2</v>
      </c>
      <c r="D37" s="78">
        <f>TLFD!I11/SUM(TLFD!$I$11:$I$100)</f>
        <v>1.6312032669313695E-2</v>
      </c>
      <c r="E37" s="78">
        <f>TLFD!D11/SUM(TLFD!$D$11:$D$101)</f>
        <v>2.5338165650903553E-2</v>
      </c>
      <c r="F37" s="78">
        <f>TLFD!J11/SUM(TLFD!$J$11:$J$100)</f>
        <v>2.5953642198492111E-2</v>
      </c>
      <c r="G37" s="141">
        <f ref="G37:G100" si="3" t="shared">IF(AND(C37&gt;0, D37&gt;0),LN(C37/D37),0)</f>
        <v>0.85681832373817113</v>
      </c>
      <c r="H37" s="141">
        <f>IF(AND(E37&gt;0, F37&gt;0),LN(E37/F37),0)</f>
        <v>-2.4000171427317658E-2</v>
      </c>
      <c r="M37" s="82" t="s">
        <v>272</v>
      </c>
      <c r="N37" s="82" t="s">
        <v>273</v>
      </c>
      <c r="O37" s="82" t="s">
        <v>222</v>
      </c>
      <c r="P37" s="82" t="s">
        <v>223</v>
      </c>
      <c r="Q37" s="82" t="s">
        <v>224</v>
      </c>
      <c r="R37" s="54" t="s">
        <v>268</v>
      </c>
      <c r="T37">
        <f>WorkLocationCoefficients!B45</f>
        <v>35</v>
      </c>
      <c r="U37" t="str">
        <f>WorkLocationCoefficients!C45</f>
        <v>Beta00035</v>
      </c>
      <c r="V37" s="40">
        <f>WorkLocationCoefficients!E45</f>
        <v>-0.194698386872</v>
      </c>
      <c r="W37" s="162">
        <f>_xlfn.IFNA(VLOOKUP(T37,$M$13:$Q$39,5,FALSE),_xlfn.IFNA(VLOOKUP(T37,calibration_flow!$AD$3:$AH$25,5,FALSE),V37))</f>
        <v>-0.194698386872</v>
      </c>
      <c r="X37" s="95">
        <f si="0" t="shared"/>
        <v>0</v>
      </c>
    </row>
    <row r="38" spans="1:24" x14ac:dyDescent="0.25">
      <c r="A38">
        <f>TLFD!A12+0.5</f>
        <v>1.5</v>
      </c>
      <c r="B38" s="81">
        <f ref="B38:B101" si="4" t="shared">LN(1+A38)</f>
        <v>0.91629073187415511</v>
      </c>
      <c r="C38" s="78">
        <f>TLFD!C12/SUM(TLFD!$C$11:$C$100)</f>
        <v>9.547787660496404E-2</v>
      </c>
      <c r="D38" s="78">
        <f>TLFD!I12/SUM(TLFD!$I$11:$I$100)</f>
        <v>4.4026651282225313E-2</v>
      </c>
      <c r="E38" s="78">
        <f>TLFD!D12/SUM(TLFD!$D$11:$D$101)</f>
        <v>0.15365888581763631</v>
      </c>
      <c r="F38" s="78">
        <f>TLFD!J12/SUM(TLFD!$J$11:$J$100)</f>
        <v>6.5865074693797473E-2</v>
      </c>
      <c r="G38" s="141">
        <f si="3" t="shared"/>
        <v>0.77409940055383941</v>
      </c>
      <c r="H38" s="141">
        <f ref="H38:H101" si="5" t="shared">IF(AND(E38&gt;0, F38&gt;0),LN(E38/F38),0)</f>
        <v>0.84712679172918959</v>
      </c>
      <c r="M38" s="92">
        <v>9</v>
      </c>
      <c r="N38" s="83"/>
      <c r="O38" s="161">
        <f>K64</f>
        <v>-2.3769499067547318E-2</v>
      </c>
      <c r="P38" s="161">
        <f>VLOOKUP(M38,$T:$W,3,FALSE)</f>
        <v>-2.1673496431996999</v>
      </c>
      <c r="Q38" s="161">
        <f>P38+O38*R38</f>
        <v>-2.1673496431996999</v>
      </c>
      <c r="R38" s="91">
        <v>0</v>
      </c>
      <c r="T38">
        <f>WorkLocationCoefficients!B46</f>
        <v>36</v>
      </c>
      <c r="U38" t="str">
        <f>WorkLocationCoefficients!C46</f>
        <v>Beta00036</v>
      </c>
      <c r="V38" s="40">
        <f>WorkLocationCoefficients!E46</f>
        <v>0.38785322122799998</v>
      </c>
      <c r="W38" s="162">
        <f>_xlfn.IFNA(VLOOKUP(T38,$M$13:$Q$39,5,FALSE),_xlfn.IFNA(VLOOKUP(T38,calibration_flow!$AD$3:$AH$25,5,FALSE),V38))</f>
        <v>0.38785322122799998</v>
      </c>
      <c r="X38" s="95">
        <f si="0" t="shared"/>
        <v>0</v>
      </c>
    </row>
    <row r="39" spans="1:24" x14ac:dyDescent="0.25">
      <c r="A39">
        <f>TLFD!A13+0.5</f>
        <v>2.5</v>
      </c>
      <c r="B39" s="81">
        <f si="4" t="shared"/>
        <v>1.2527629684953681</v>
      </c>
      <c r="C39" s="78">
        <f>TLFD!C13/SUM(TLFD!$C$11:$C$100)</f>
        <v>7.2711846603527752E-2</v>
      </c>
      <c r="D39" s="78">
        <f>TLFD!I13/SUM(TLFD!$I$11:$I$100)</f>
        <v>5.730704403796337E-2</v>
      </c>
      <c r="E39" s="78">
        <f>TLFD!D13/SUM(TLFD!$D$11:$D$101)</f>
        <v>3.3268272597057363E-2</v>
      </c>
      <c r="F39" s="78">
        <f>TLFD!J13/SUM(TLFD!$J$11:$J$100)</f>
        <v>8.4531517138933268E-2</v>
      </c>
      <c r="G39" s="141">
        <f si="3" t="shared"/>
        <v>0.23808077440491432</v>
      </c>
      <c r="H39" s="141">
        <f si="5" t="shared"/>
        <v>-0.93252028076985227</v>
      </c>
      <c r="M39" s="93">
        <v>10</v>
      </c>
      <c r="N39" s="6"/>
      <c r="O39" s="159">
        <f>K90</f>
        <v>3.2297982090088391E-2</v>
      </c>
      <c r="P39" s="159">
        <f>VLOOKUP(M39,$T:$W,3,FALSE)</f>
        <v>-3.3544504276017002</v>
      </c>
      <c r="Q39" s="159">
        <f>P39+O39*R39</f>
        <v>-3.3544504276017002</v>
      </c>
      <c r="R39" s="91">
        <v>0</v>
      </c>
      <c r="T39" s="72">
        <f>WorkLocationCoefficients!B47</f>
        <v>41</v>
      </c>
      <c r="U39" s="72" t="str">
        <f>WorkLocationCoefficients!C47</f>
        <v>Beta00041</v>
      </c>
      <c r="V39" s="73">
        <f>WorkLocationCoefficients!E47</f>
        <v>-1.2033803293631999</v>
      </c>
      <c r="W39" s="162">
        <f>_xlfn.IFNA(VLOOKUP(T39,$M$13:$Q$39,5,FALSE),_xlfn.IFNA(VLOOKUP(T39,calibration_flow!$AD$3:$AH$25,5,FALSE),V39))</f>
        <v>-1.2033803293631999</v>
      </c>
      <c r="X39" s="95">
        <f si="0" t="shared"/>
        <v>0</v>
      </c>
    </row>
    <row r="40" spans="1:24" x14ac:dyDescent="0.25">
      <c r="A40">
        <f>TLFD!A14+0.5</f>
        <v>3.5</v>
      </c>
      <c r="B40" s="81">
        <f si="4" t="shared"/>
        <v>1.5040773967762742</v>
      </c>
      <c r="C40" s="78">
        <f>TLFD!C14/SUM(TLFD!$C$11:$C$100)</f>
        <v>7.9493754451003693E-2</v>
      </c>
      <c r="D40" s="78">
        <f>TLFD!I14/SUM(TLFD!$I$11:$I$100)</f>
        <v>5.790658476714064E-2</v>
      </c>
      <c r="E40" s="78">
        <f>TLFD!D14/SUM(TLFD!$D$11:$D$101)</f>
        <v>0.1201694561004512</v>
      </c>
      <c r="F40" s="78">
        <f>TLFD!J14/SUM(TLFD!$J$11:$J$100)</f>
        <v>7.8141203509066962E-2</v>
      </c>
      <c r="G40" s="141">
        <f si="3" t="shared"/>
        <v>0.31684735354875226</v>
      </c>
      <c r="H40" s="141">
        <f si="5" t="shared"/>
        <v>0.4303853893614818</v>
      </c>
      <c r="T40">
        <f>WorkLocationCoefficients!B48</f>
        <v>42</v>
      </c>
      <c r="U40" t="str">
        <f>WorkLocationCoefficients!C48</f>
        <v>Beta00042</v>
      </c>
      <c r="V40" s="40">
        <f>WorkLocationCoefficients!E48</f>
        <v>5.07828619993</v>
      </c>
      <c r="W40" s="162">
        <f>_xlfn.IFNA(VLOOKUP(T40,$M$13:$Q$39,5,FALSE),_xlfn.IFNA(VLOOKUP(T40,calibration_flow!$AD$3:$AH$25,5,FALSE),V40))</f>
        <v>5.07828619993</v>
      </c>
      <c r="X40" s="95">
        <f si="0" t="shared"/>
        <v>0</v>
      </c>
    </row>
    <row r="41" spans="1:24" x14ac:dyDescent="0.25">
      <c r="A41">
        <f>TLFD!A15+0.5</f>
        <v>4.5</v>
      </c>
      <c r="B41" s="81">
        <f si="4" t="shared"/>
        <v>1.7047480922384253</v>
      </c>
      <c r="C41" s="78">
        <f>TLFD!C15/SUM(TLFD!$C$11:$C$100)</f>
        <v>5.77278105897083E-2</v>
      </c>
      <c r="D41" s="78">
        <f>TLFD!I15/SUM(TLFD!$I$11:$I$100)</f>
        <v>5.6515197791880183E-2</v>
      </c>
      <c r="E41" s="78">
        <f>TLFD!D15/SUM(TLFD!$D$11:$D$101)</f>
        <v>7.9703578125685182E-2</v>
      </c>
      <c r="F41" s="78">
        <f>TLFD!J15/SUM(TLFD!$J$11:$J$100)</f>
        <v>6.8583760755626555E-2</v>
      </c>
      <c r="G41" s="141">
        <f si="3" t="shared"/>
        <v>2.1229453904290142E-2</v>
      </c>
      <c r="H41" s="141">
        <f si="5" t="shared"/>
        <v>0.15025869668600983</v>
      </c>
      <c r="I41" s="7"/>
      <c r="J41" s="7"/>
      <c r="K41" s="7"/>
      <c r="L41" s="7"/>
      <c r="M41" s="7"/>
      <c r="N41" s="7"/>
      <c r="O41" s="7"/>
      <c r="P41" s="7"/>
      <c r="Q41" s="7"/>
      <c r="T41">
        <f>WorkLocationCoefficients!B49</f>
        <v>43</v>
      </c>
      <c r="U41" t="str">
        <f>WorkLocationCoefficients!C49</f>
        <v>Beta00043</v>
      </c>
      <c r="V41" s="40">
        <f>WorkLocationCoefficients!E49</f>
        <v>-3.0390882271000002</v>
      </c>
      <c r="W41" s="162">
        <f>_xlfn.IFNA(VLOOKUP(T41,$M$13:$Q$39,5,FALSE),_xlfn.IFNA(VLOOKUP(T41,calibration_flow!$AD$3:$AH$25,5,FALSE),V41))</f>
        <v>-3.0390882271000002</v>
      </c>
      <c r="X41" s="95">
        <f si="0" t="shared"/>
        <v>0</v>
      </c>
    </row>
    <row r="42" spans="1:24" x14ac:dyDescent="0.25">
      <c r="A42">
        <f>TLFD!A16+0.5</f>
        <v>5.5</v>
      </c>
      <c r="B42" s="81">
        <f si="4" t="shared"/>
        <v>1.8718021769015913</v>
      </c>
      <c r="C42" s="78">
        <f>TLFD!C16/SUM(TLFD!$C$11:$C$100)</f>
        <v>5.0939086066836115E-2</v>
      </c>
      <c r="D42" s="78">
        <f>TLFD!I16/SUM(TLFD!$I$11:$I$100)</f>
        <v>5.593828124116243E-2</v>
      </c>
      <c r="E42" s="78">
        <f>TLFD!D16/SUM(TLFD!$D$11:$D$101)</f>
        <v>0.12495131959647257</v>
      </c>
      <c r="F42" s="78">
        <f>TLFD!J16/SUM(TLFD!$J$11:$J$100)</f>
        <v>5.849379186636397E-2</v>
      </c>
      <c r="G42" s="141">
        <f si="3" t="shared"/>
        <v>-9.3618434235244463E-2</v>
      </c>
      <c r="H42" s="141">
        <f si="5" t="shared"/>
        <v>0.75900359155739072</v>
      </c>
      <c r="I42" s="7"/>
      <c r="J42" s="7" t="s">
        <v>274</v>
      </c>
      <c r="K42" s="7"/>
      <c r="L42" s="7"/>
      <c r="M42" s="7"/>
      <c r="N42" s="7"/>
      <c r="O42" s="7"/>
      <c r="P42" s="7"/>
      <c r="Q42" s="7"/>
      <c r="T42">
        <f>WorkLocationCoefficients!B50</f>
        <v>44</v>
      </c>
      <c r="U42" t="str">
        <f>WorkLocationCoefficients!C50</f>
        <v>Beta00044</v>
      </c>
      <c r="V42" s="40">
        <f>WorkLocationCoefficients!E50</f>
        <v>-2.3320026601800001</v>
      </c>
      <c r="W42" s="162">
        <f>_xlfn.IFNA(VLOOKUP(T42,$M$13:$Q$39,5,FALSE),_xlfn.IFNA(VLOOKUP(T42,calibration_flow!$AD$3:$AH$25,5,FALSE),V42))</f>
        <v>-2.3320026601800001</v>
      </c>
      <c r="X42" s="95">
        <f si="0" t="shared"/>
        <v>0</v>
      </c>
    </row>
    <row r="43" spans="1:24" x14ac:dyDescent="0.25">
      <c r="A43">
        <f>TLFD!A17+0.5</f>
        <v>6.5</v>
      </c>
      <c r="B43" s="81">
        <f si="4" t="shared"/>
        <v>2.0149030205422647</v>
      </c>
      <c r="C43" s="78">
        <f>TLFD!C17/SUM(TLFD!$C$11:$C$100)</f>
        <v>6.3530423374444617E-2</v>
      </c>
      <c r="D43" s="78">
        <f>TLFD!I17/SUM(TLFD!$I$11:$I$100)</f>
        <v>5.304238639834391E-2</v>
      </c>
      <c r="E43" s="78">
        <f>TLFD!D17/SUM(TLFD!$D$11:$D$101)</f>
        <v>3.8205732052422649E-2</v>
      </c>
      <c r="F43" s="78">
        <f>TLFD!J17/SUM(TLFD!$J$11:$J$100)</f>
        <v>5.5102441211917375E-2</v>
      </c>
      <c r="G43" s="141">
        <f si="3" t="shared"/>
        <v>0.18042756212912356</v>
      </c>
      <c r="H43" s="141">
        <f si="5" t="shared"/>
        <v>-0.36620846220995745</v>
      </c>
      <c r="I43" s="87"/>
      <c r="J43" s="7"/>
      <c r="K43" s="7"/>
      <c r="L43" s="7"/>
      <c r="M43" s="7"/>
      <c r="N43" s="7"/>
      <c r="O43" s="7"/>
      <c r="P43" s="7"/>
      <c r="Q43" s="7"/>
      <c r="T43">
        <f>WorkLocationCoefficients!B51</f>
        <v>50</v>
      </c>
      <c r="U43" t="str">
        <f>WorkLocationCoefficients!C51</f>
        <v>LSM_050</v>
      </c>
      <c r="V43" s="40">
        <f>WorkLocationCoefficients!E51</f>
        <v>0.33566647407</v>
      </c>
      <c r="W43" s="162">
        <f>_xlfn.IFNA(VLOOKUP(T43,$M$13:$Q$39,5,FALSE),_xlfn.IFNA(VLOOKUP(T43,calibration_flow!$AD$3:$AH$25,5,FALSE),V43))</f>
        <v>0.33566647407</v>
      </c>
      <c r="X43" s="95">
        <f si="0" t="shared"/>
        <v>0</v>
      </c>
    </row>
    <row r="44" spans="1:24" x14ac:dyDescent="0.25">
      <c r="A44">
        <f>TLFD!A18+0.5</f>
        <v>7.5</v>
      </c>
      <c r="B44" s="81">
        <f si="4" t="shared"/>
        <v>2.1400661634962708</v>
      </c>
      <c r="C44" s="78">
        <f>TLFD!C18/SUM(TLFD!$C$11:$C$100)</f>
        <v>8.0875563174289913E-2</v>
      </c>
      <c r="D44" s="78">
        <f>TLFD!I18/SUM(TLFD!$I$11:$I$100)</f>
        <v>4.6956482392733111E-2</v>
      </c>
      <c r="E44" s="78">
        <f>TLFD!D18/SUM(TLFD!$D$11:$D$101)</f>
        <v>3.1656804034850855E-2</v>
      </c>
      <c r="F44" s="78">
        <f>TLFD!J18/SUM(TLFD!$J$11:$J$100)</f>
        <v>5.2215589001933911E-2</v>
      </c>
      <c r="G44" s="141">
        <f si="3" t="shared"/>
        <v>0.5436904500557671</v>
      </c>
      <c r="H44" s="141">
        <f si="5" t="shared"/>
        <v>-0.50042798729806592</v>
      </c>
      <c r="I44" s="84"/>
      <c r="J44" s="7"/>
      <c r="K44" s="7"/>
      <c r="L44" s="7"/>
      <c r="M44" s="7"/>
      <c r="N44" s="7"/>
      <c r="O44" s="7"/>
      <c r="P44" s="7"/>
      <c r="Q44" s="7"/>
      <c r="T44">
        <f>WorkLocationCoefficients!B52</f>
        <v>51</v>
      </c>
      <c r="U44" t="str">
        <f>WorkLocationCoefficients!C52</f>
        <v>Gamma51</v>
      </c>
      <c r="V44" s="40">
        <f>WorkLocationCoefficients!E52</f>
        <v>-0.78911507665199998</v>
      </c>
      <c r="W44" s="162">
        <f>_xlfn.IFNA(VLOOKUP(T44,$M$13:$Q$39,5,FALSE),_xlfn.IFNA(VLOOKUP(T44,calibration_flow!$AD$3:$AH$25,5,FALSE),V44))</f>
        <v>-0.78911507665199998</v>
      </c>
      <c r="X44" s="95">
        <f si="0" t="shared"/>
        <v>0</v>
      </c>
    </row>
    <row r="45" spans="1:24" x14ac:dyDescent="0.25">
      <c r="A45">
        <f>TLFD!A19+0.5</f>
        <v>8.5</v>
      </c>
      <c r="B45" s="81">
        <f si="4" t="shared"/>
        <v>2.2512917986064953</v>
      </c>
      <c r="C45" s="78">
        <f>TLFD!C19/SUM(TLFD!$C$11:$C$100)</f>
        <v>5.1093867687405647E-2</v>
      </c>
      <c r="D45" s="78">
        <f>TLFD!I19/SUM(TLFD!$I$11:$I$100)</f>
        <v>4.3868282033008674E-2</v>
      </c>
      <c r="E45" s="78">
        <f>TLFD!D19/SUM(TLFD!$D$11:$D$101)</f>
        <v>5.579659553121951E-2</v>
      </c>
      <c r="F45" s="78">
        <f>TLFD!J19/SUM(TLFD!$J$11:$J$100)</f>
        <v>3.8510047927352221E-2</v>
      </c>
      <c r="G45" s="141">
        <f si="3" t="shared"/>
        <v>0.15247292988525488</v>
      </c>
      <c r="H45" s="141">
        <f si="5" t="shared"/>
        <v>0.37079366317156826</v>
      </c>
      <c r="I45" s="84"/>
      <c r="J45" s="85" t="s">
        <v>9</v>
      </c>
      <c r="K45" s="7" t="s">
        <v>299</v>
      </c>
      <c r="L45" s="7"/>
      <c r="M45" s="7"/>
      <c r="N45" s="7"/>
      <c r="O45" s="7"/>
      <c r="P45" s="7"/>
      <c r="Q45" s="7"/>
      <c r="T45">
        <f>WorkLocationCoefficients!B53</f>
        <v>52</v>
      </c>
      <c r="U45" t="str">
        <f>WorkLocationCoefficients!C53</f>
        <v>Gamma52</v>
      </c>
      <c r="V45" s="40">
        <f>WorkLocationCoefficients!E53</f>
        <v>0.56564055394500001</v>
      </c>
      <c r="W45" s="162">
        <f>_xlfn.IFNA(VLOOKUP(T45,$M$13:$Q$39,5,FALSE),_xlfn.IFNA(VLOOKUP(T45,calibration_flow!$AD$3:$AH$25,5,FALSE),V45))</f>
        <v>0.56564055394500001</v>
      </c>
      <c r="X45" s="95">
        <f si="0" t="shared"/>
        <v>0</v>
      </c>
    </row>
    <row r="46" spans="1:24" x14ac:dyDescent="0.25">
      <c r="A46">
        <f>TLFD!A20+0.5</f>
        <v>9.5</v>
      </c>
      <c r="B46" s="81">
        <f si="4" t="shared"/>
        <v>2.3513752571634776</v>
      </c>
      <c r="C46" s="78">
        <f>TLFD!C20/SUM(TLFD!$C$11:$C$100)</f>
        <v>3.2082256216875431E-2</v>
      </c>
      <c r="D46" s="78">
        <f>TLFD!I20/SUM(TLFD!$I$11:$I$100)</f>
        <v>4.1504055383988867E-2</v>
      </c>
      <c r="E46" s="78">
        <f>TLFD!D20/SUM(TLFD!$D$11:$D$101)</f>
        <v>3.4928071883635524E-2</v>
      </c>
      <c r="F46" s="78">
        <f>TLFD!J20/SUM(TLFD!$J$11:$J$100)</f>
        <v>3.7248801816194402E-2</v>
      </c>
      <c r="G46" s="141">
        <f si="3" t="shared"/>
        <v>-0.25748803108328161</v>
      </c>
      <c r="H46" s="141">
        <f si="5" t="shared"/>
        <v>-6.432892044269263E-2</v>
      </c>
      <c r="I46" s="84"/>
      <c r="J46" s="7"/>
      <c r="K46" s="7"/>
      <c r="L46" s="7"/>
      <c r="M46" s="7"/>
      <c r="N46" s="7"/>
      <c r="O46" s="7"/>
      <c r="P46" s="7"/>
      <c r="Q46" s="7"/>
      <c r="T46">
        <f>WorkLocationCoefficients!B54</f>
        <v>53</v>
      </c>
      <c r="U46" t="str">
        <f>WorkLocationCoefficients!C54</f>
        <v>Gamma53</v>
      </c>
      <c r="V46" s="40">
        <f>WorkLocationCoefficients!E54</f>
        <v>-1.85416848242</v>
      </c>
      <c r="W46" s="162">
        <f>_xlfn.IFNA(VLOOKUP(T46,$M$13:$Q$39,5,FALSE),_xlfn.IFNA(VLOOKUP(T46,calibration_flow!$AD$3:$AH$25,5,FALSE),V46))</f>
        <v>-1.85416848242</v>
      </c>
      <c r="X46" s="95">
        <f si="0" t="shared"/>
        <v>0</v>
      </c>
    </row>
    <row r="47" spans="1:24" x14ac:dyDescent="0.25">
      <c r="A47">
        <f>TLFD!A21+0.5</f>
        <v>10.5</v>
      </c>
      <c r="B47" s="81">
        <f si="4" t="shared"/>
        <v>2.4423470353692043</v>
      </c>
      <c r="C47" s="78">
        <f>TLFD!C21/SUM(TLFD!$C$11:$C$100)</f>
        <v>3.2599912643055694E-2</v>
      </c>
      <c r="D47" s="78">
        <f>TLFD!I21/SUM(TLFD!$I$11:$I$100)</f>
        <v>4.0995011368649678E-2</v>
      </c>
      <c r="E47" s="78">
        <f>TLFD!D21/SUM(TLFD!$D$11:$D$101)</f>
        <v>4.9171905314596594E-2</v>
      </c>
      <c r="F47" s="78">
        <f>TLFD!J21/SUM(TLFD!$J$11:$J$100)</f>
        <v>3.7641189495221279E-2</v>
      </c>
      <c r="G47" s="141">
        <f si="3" t="shared"/>
        <v>-0.22914077665785695</v>
      </c>
      <c r="H47" s="141">
        <f si="5" t="shared"/>
        <v>0.26722351409728423</v>
      </c>
      <c r="I47" s="84"/>
      <c r="J47" t="s">
        <v>275</v>
      </c>
      <c r="T47">
        <f>WorkLocationCoefficients!B55</f>
        <v>54</v>
      </c>
      <c r="U47" t="str">
        <f>WorkLocationCoefficients!C55</f>
        <v>Gamma54</v>
      </c>
      <c r="V47" s="40">
        <f>WorkLocationCoefficients!E55</f>
        <v>0</v>
      </c>
      <c r="W47" s="162">
        <f>_xlfn.IFNA(VLOOKUP(T47,$M$13:$Q$39,5,FALSE),_xlfn.IFNA(VLOOKUP(T47,calibration_flow!$AD$3:$AH$25,5,FALSE),V47))</f>
        <v>0</v>
      </c>
      <c r="X47" s="95">
        <f si="0" t="shared"/>
        <v>0</v>
      </c>
    </row>
    <row ht="15.75" r="48" spans="1:24" thickBot="1" x14ac:dyDescent="0.3">
      <c r="A48">
        <f>TLFD!A22+0.5</f>
        <v>11.5</v>
      </c>
      <c r="B48" s="81">
        <f si="4" t="shared"/>
        <v>2.5257286443082556</v>
      </c>
      <c r="C48" s="78">
        <f>TLFD!C22/SUM(TLFD!$C$11:$C$100)</f>
        <v>6.7154140489511849E-2</v>
      </c>
      <c r="D48" s="78">
        <f>TLFD!I22/SUM(TLFD!$I$11:$I$100)</f>
        <v>4.3178244589993323E-2</v>
      </c>
      <c r="E48" s="78">
        <f>TLFD!D22/SUM(TLFD!$D$11:$D$101)</f>
        <v>3.2457692997213156E-2</v>
      </c>
      <c r="F48" s="78">
        <f>TLFD!J22/SUM(TLFD!$J$11:$J$100)</f>
        <v>3.8397937161915974E-2</v>
      </c>
      <c r="G48" s="141">
        <f si="3" t="shared"/>
        <v>0.44165381042537122</v>
      </c>
      <c r="H48" s="141">
        <f si="5" t="shared"/>
        <v>-0.16806625102283343</v>
      </c>
      <c r="I48" s="84"/>
      <c r="T48">
        <f>WorkLocationCoefficients!B56</f>
        <v>55</v>
      </c>
      <c r="U48" t="str">
        <f>WorkLocationCoefficients!C56</f>
        <v>Gamma55</v>
      </c>
      <c r="V48" s="40">
        <f>WorkLocationCoefficients!E56</f>
        <v>-1.1156286956100001</v>
      </c>
      <c r="W48" s="162">
        <f>_xlfn.IFNA(VLOOKUP(T48,$M$13:$Q$39,5,FALSE),_xlfn.IFNA(VLOOKUP(T48,calibration_flow!$AD$3:$AH$25,5,FALSE),V48))</f>
        <v>-1.1156286956100001</v>
      </c>
      <c r="X48" s="95">
        <f si="0" t="shared"/>
        <v>0</v>
      </c>
    </row>
    <row r="49" spans="1:24" x14ac:dyDescent="0.25">
      <c r="A49">
        <f>TLFD!A23+0.5</f>
        <v>12.5</v>
      </c>
      <c r="B49" s="81">
        <f si="4" t="shared"/>
        <v>2.6026896854443837</v>
      </c>
      <c r="C49" s="78">
        <f>TLFD!C23/SUM(TLFD!$C$11:$C$100)</f>
        <v>3.4144620553733296E-2</v>
      </c>
      <c r="D49" s="78">
        <f>TLFD!I23/SUM(TLFD!$I$11:$I$100)</f>
        <v>4.1345686134772228E-2</v>
      </c>
      <c r="E49" s="78">
        <f>TLFD!D23/SUM(TLFD!$D$11:$D$101)</f>
        <v>4.7973274679865396E-2</v>
      </c>
      <c r="F49" s="78">
        <f>TLFD!J23/SUM(TLFD!$J$11:$J$100)</f>
        <v>4.1452955520053812E-2</v>
      </c>
      <c r="G49" s="141">
        <f si="3" t="shared"/>
        <v>-0.19136304082729144</v>
      </c>
      <c r="H49" s="141">
        <f si="5" t="shared"/>
        <v>0.14608489604935307</v>
      </c>
      <c r="I49" s="7"/>
      <c r="J49" s="86" t="s">
        <v>276</v>
      </c>
      <c r="K49" s="86"/>
      <c r="T49">
        <f>WorkLocationCoefficients!B57</f>
        <v>56</v>
      </c>
      <c r="U49" t="str">
        <f>WorkLocationCoefficients!C57</f>
        <v>Gamma56</v>
      </c>
      <c r="V49" s="40">
        <f>WorkLocationCoefficients!E57</f>
        <v>-0.81792869186600003</v>
      </c>
      <c r="W49" s="162">
        <f>_xlfn.IFNA(VLOOKUP(T49,$M$13:$Q$39,5,FALSE),_xlfn.IFNA(VLOOKUP(T49,calibration_flow!$AD$3:$AH$25,5,FALSE),V49))</f>
        <v>-0.81792869186600003</v>
      </c>
      <c r="X49" s="95">
        <f si="0" t="shared"/>
        <v>0</v>
      </c>
    </row>
    <row r="50" spans="1:24" x14ac:dyDescent="0.25">
      <c r="A50">
        <f>TLFD!A24+0.5</f>
        <v>13.5</v>
      </c>
      <c r="B50" s="81">
        <f si="4" t="shared"/>
        <v>2.6741486494265287</v>
      </c>
      <c r="C50" s="78">
        <f>TLFD!C24/SUM(TLFD!$C$11:$C$100)</f>
        <v>2.8550500019833235E-2</v>
      </c>
      <c r="D50" s="78">
        <f>TLFD!I24/SUM(TLFD!$I$11:$I$100)</f>
        <v>3.2884243390911866E-2</v>
      </c>
      <c r="E50" s="78">
        <f>TLFD!D24/SUM(TLFD!$D$11:$D$101)</f>
        <v>6.6382684968978685E-3</v>
      </c>
      <c r="F50" s="78">
        <f>TLFD!J24/SUM(TLFD!$J$11:$J$100)</f>
        <v>2.8840494408475574E-2</v>
      </c>
      <c r="G50" s="141">
        <f si="3" t="shared"/>
        <v>-0.14131916898387697</v>
      </c>
      <c r="H50" s="141">
        <f si="5" t="shared"/>
        <v>-1.4689292944779944</v>
      </c>
      <c r="I50" s="7"/>
      <c r="J50" s="84" t="s">
        <v>277</v>
      </c>
      <c r="K50" s="84">
        <v>0.12440194136462766</v>
      </c>
      <c r="T50">
        <f>WorkLocationCoefficients!B58</f>
        <v>57</v>
      </c>
      <c r="U50" t="str">
        <f>WorkLocationCoefficients!C58</f>
        <v>Gamma57</v>
      </c>
      <c r="V50" s="40">
        <f>WorkLocationCoefficients!E58</f>
        <v>-1.04729487823</v>
      </c>
      <c r="W50" s="162">
        <f>_xlfn.IFNA(VLOOKUP(T50,$M$13:$Q$39,5,FALSE),_xlfn.IFNA(VLOOKUP(T50,calibration_flow!$AD$3:$AH$25,5,FALSE),V50))</f>
        <v>-1.04729487823</v>
      </c>
      <c r="X50" s="95">
        <f si="0" t="shared"/>
        <v>0</v>
      </c>
    </row>
    <row r="51" spans="1:24" x14ac:dyDescent="0.25">
      <c r="A51">
        <f>TLFD!A25+0.5</f>
        <v>14.5</v>
      </c>
      <c r="B51" s="81">
        <f si="4" t="shared"/>
        <v>2.7408400239252009</v>
      </c>
      <c r="C51" s="78">
        <f>TLFD!C25/SUM(TLFD!$C$11:$C$100)</f>
        <v>1.4497123476090071E-2</v>
      </c>
      <c r="D51" s="78">
        <f>TLFD!I25/SUM(TLFD!$I$11:$I$100)</f>
        <v>3.290686756937139E-2</v>
      </c>
      <c r="E51" s="78">
        <f>TLFD!D25/SUM(TLFD!$D$11:$D$101)</f>
        <v>9.7283207578310361E-3</v>
      </c>
      <c r="F51" s="78">
        <f>TLFD!J25/SUM(TLFD!$J$11:$J$100)</f>
        <v>2.7747414445472126E-2</v>
      </c>
      <c r="G51" s="141">
        <f si="3" t="shared"/>
        <v>-0.81973112791127412</v>
      </c>
      <c r="H51" s="141">
        <f si="5" t="shared"/>
        <v>-1.0481013653963107</v>
      </c>
      <c r="I51" s="87"/>
      <c r="J51" s="84" t="s">
        <v>278</v>
      </c>
      <c r="K51" s="84">
        <v>1.547584301528826E-2</v>
      </c>
      <c r="T51">
        <f>WorkLocationCoefficients!B59</f>
        <v>58</v>
      </c>
      <c r="U51" t="str">
        <f>WorkLocationCoefficients!C59</f>
        <v>Gamma58</v>
      </c>
      <c r="V51" s="40">
        <f>WorkLocationCoefficients!E59</f>
        <v>-2.0228517391</v>
      </c>
      <c r="W51" s="162">
        <f>_xlfn.IFNA(VLOOKUP(T51,$M$13:$Q$39,5,FALSE),_xlfn.IFNA(VLOOKUP(T51,calibration_flow!$AD$3:$AH$25,5,FALSE),V51))</f>
        <v>-2.0228517391</v>
      </c>
      <c r="X51" s="95">
        <f si="0" t="shared"/>
        <v>0</v>
      </c>
    </row>
    <row r="52" spans="1:24" x14ac:dyDescent="0.25">
      <c r="A52">
        <f>TLFD!A26+0.5</f>
        <v>15.5</v>
      </c>
      <c r="B52" s="81">
        <f si="4" t="shared"/>
        <v>2.8033603809065348</v>
      </c>
      <c r="C52" s="78">
        <f>TLFD!C26/SUM(TLFD!$C$11:$C$100)</f>
        <v>1.9192860586890001E-2</v>
      </c>
      <c r="D52" s="78">
        <f>TLFD!I26/SUM(TLFD!$I$11:$I$100)</f>
        <v>2.903813305279352E-2</v>
      </c>
      <c r="E52" s="78">
        <f>TLFD!D26/SUM(TLFD!$D$11:$D$101)</f>
        <v>1.3956338133019752E-2</v>
      </c>
      <c r="F52" s="78">
        <f>TLFD!J26/SUM(TLFD!$J$11:$J$100)</f>
        <v>2.6065752963928362E-2</v>
      </c>
      <c r="G52" s="141">
        <f si="3" t="shared"/>
        <v>-0.41407153362469129</v>
      </c>
      <c r="H52" s="141">
        <f si="5" t="shared"/>
        <v>-0.6246885541977768</v>
      </c>
      <c r="I52" s="84"/>
      <c r="J52" s="84" t="s">
        <v>279</v>
      </c>
      <c r="K52" s="84">
        <v>4.2398879591084831E-3</v>
      </c>
      <c r="T52">
        <f>WorkLocationCoefficients!B60</f>
        <v>59</v>
      </c>
      <c r="U52" t="str">
        <f>WorkLocationCoefficients!C60</f>
        <v>Gamma59</v>
      </c>
      <c r="V52" s="40">
        <f>WorkLocationCoefficients!E60</f>
        <v>-1.2945321250099999</v>
      </c>
      <c r="W52" s="162">
        <f>_xlfn.IFNA(VLOOKUP(T52,$M$13:$Q$39,5,FALSE),_xlfn.IFNA(VLOOKUP(T52,calibration_flow!$AD$3:$AH$25,5,FALSE),V52))</f>
        <v>-1.2945321250099999</v>
      </c>
      <c r="X52" s="95">
        <f si="0" t="shared"/>
        <v>0</v>
      </c>
    </row>
    <row r="53" spans="1:24" x14ac:dyDescent="0.25">
      <c r="A53">
        <f>TLFD!A27+0.5</f>
        <v>16.5</v>
      </c>
      <c r="B53" s="81">
        <f si="4" t="shared"/>
        <v>2.8622008809294686</v>
      </c>
      <c r="C53" s="78">
        <f>TLFD!C27/SUM(TLFD!$C$11:$C$100)</f>
        <v>1.8502920288982958E-2</v>
      </c>
      <c r="D53" s="78">
        <f>TLFD!I27/SUM(TLFD!$I$11:$I$100)</f>
        <v>2.8913700071266164E-2</v>
      </c>
      <c r="E53" s="78">
        <f>TLFD!D27/SUM(TLFD!$D$11:$D$101)</f>
        <v>6.6421783043195941E-3</v>
      </c>
      <c r="F53" s="78">
        <f>TLFD!J27/SUM(TLFD!$J$11:$J$100)</f>
        <v>2.270243000084083E-2</v>
      </c>
      <c r="G53" s="141">
        <f si="3" t="shared"/>
        <v>-0.44638696061534455</v>
      </c>
      <c r="H53" s="141">
        <f si="5" t="shared"/>
        <v>-1.2290319996846872</v>
      </c>
      <c r="I53" s="84"/>
      <c r="J53" s="84" t="s">
        <v>280</v>
      </c>
      <c r="K53" s="84">
        <v>0.69923901473582173</v>
      </c>
      <c r="T53">
        <f>WorkLocationCoefficients!B61</f>
        <v>60</v>
      </c>
      <c r="U53" t="str">
        <f>WorkLocationCoefficients!C61</f>
        <v>Gamma60</v>
      </c>
      <c r="V53" s="40">
        <f>WorkLocationCoefficients!E61</f>
        <v>-0.66178028021599999</v>
      </c>
      <c r="W53" s="162">
        <f>_xlfn.IFNA(VLOOKUP(T53,$M$13:$Q$39,5,FALSE),_xlfn.IFNA(VLOOKUP(T53,calibration_flow!$AD$3:$AH$25,5,FALSE),V53))</f>
        <v>-0.66178028021599999</v>
      </c>
      <c r="X53" s="95">
        <f si="0" t="shared"/>
        <v>0</v>
      </c>
    </row>
    <row ht="15.75" r="54" spans="1:24" thickBot="1" x14ac:dyDescent="0.3">
      <c r="A54">
        <f>TLFD!A28+0.5</f>
        <v>17.5</v>
      </c>
      <c r="B54" s="81">
        <f si="4" t="shared"/>
        <v>2.917770732084279</v>
      </c>
      <c r="C54" s="78">
        <f>TLFD!C28/SUM(TLFD!$C$11:$C$100)</f>
        <v>1.3800290057777222E-2</v>
      </c>
      <c r="D54" s="78">
        <f>TLFD!I28/SUM(TLFD!$I$11:$I$100)</f>
        <v>2.6617345957624914E-2</v>
      </c>
      <c r="E54" s="78">
        <f>TLFD!D28/SUM(TLFD!$D$11:$D$101)</f>
        <v>1.7801960040650113E-3</v>
      </c>
      <c r="F54" s="78">
        <f>TLFD!J28/SUM(TLFD!$J$11:$J$100)</f>
        <v>1.8862636284649233E-2</v>
      </c>
      <c r="G54" s="141">
        <f si="3" t="shared"/>
        <v>-0.65687349630877434</v>
      </c>
      <c r="H54" s="141">
        <f si="5" t="shared"/>
        <v>-2.3604595763464236</v>
      </c>
      <c r="I54" s="84"/>
      <c r="J54" s="88" t="s">
        <v>281</v>
      </c>
      <c r="K54" s="88">
        <v>90</v>
      </c>
      <c r="T54">
        <f>WorkLocationCoefficients!B62</f>
        <v>61</v>
      </c>
      <c r="U54" t="str">
        <f>WorkLocationCoefficients!C62</f>
        <v>Gamma61</v>
      </c>
      <c r="V54" s="40">
        <f>WorkLocationCoefficients!E62</f>
        <v>-0.55504741134900004</v>
      </c>
      <c r="W54" s="162">
        <f>_xlfn.IFNA(VLOOKUP(T54,$M$13:$Q$39,5,FALSE),_xlfn.IFNA(VLOOKUP(T54,calibration_flow!$AD$3:$AH$25,5,FALSE),V54))</f>
        <v>-0.55504741134900004</v>
      </c>
      <c r="X54" s="95">
        <f si="0" t="shared"/>
        <v>0</v>
      </c>
    </row>
    <row r="55" spans="1:24" x14ac:dyDescent="0.25">
      <c r="A55">
        <f>TLFD!A29+0.5</f>
        <v>18.5</v>
      </c>
      <c r="B55" s="81">
        <f si="4" t="shared"/>
        <v>2.9704144655697009</v>
      </c>
      <c r="C55" s="78">
        <f>TLFD!C29/SUM(TLFD!$C$11:$C$100)</f>
        <v>1.2957972641993141E-2</v>
      </c>
      <c r="D55" s="78">
        <f>TLFD!I29/SUM(TLFD!$I$11:$I$100)</f>
        <v>2.3370776348683838E-2</v>
      </c>
      <c r="E55" s="78">
        <f>TLFD!D29/SUM(TLFD!$D$11:$D$101)</f>
        <v>1.7838260417141698E-2</v>
      </c>
      <c r="F55" s="78">
        <f>TLFD!J29/SUM(TLFD!$J$11:$J$100)</f>
        <v>1.9563328568625801E-2</v>
      </c>
      <c r="G55" s="141">
        <f si="3" t="shared"/>
        <v>-0.58977512114037212</v>
      </c>
      <c r="H55" s="141">
        <f si="5" t="shared"/>
        <v>-9.2311210201629468E-2</v>
      </c>
      <c r="I55" s="7"/>
      <c r="T55">
        <f>WorkLocationCoefficients!B63</f>
        <v>62</v>
      </c>
      <c r="U55" t="str">
        <f>WorkLocationCoefficients!C63</f>
        <v>Gamma62</v>
      </c>
      <c r="V55" s="40">
        <f>WorkLocationCoefficients!E63</f>
        <v>-1.7449233454799999</v>
      </c>
      <c r="W55" s="162">
        <f>_xlfn.IFNA(VLOOKUP(T55,$M$13:$Q$39,5,FALSE),_xlfn.IFNA(VLOOKUP(T55,calibration_flow!$AD$3:$AH$25,5,FALSE),V55))</f>
        <v>-1.7449233454799999</v>
      </c>
      <c r="X55" s="95">
        <f si="0" t="shared"/>
        <v>0</v>
      </c>
    </row>
    <row ht="15.75" r="56" spans="1:24" thickBot="1" x14ac:dyDescent="0.3">
      <c r="A56">
        <f>TLFD!A30+0.5</f>
        <v>19.5</v>
      </c>
      <c r="B56" s="81">
        <f si="4" t="shared"/>
        <v>3.0204248861443626</v>
      </c>
      <c r="C56" s="78">
        <f>TLFD!C30/SUM(TLFD!$C$11:$C$100)</f>
        <v>1.7072934547079741E-2</v>
      </c>
      <c r="D56" s="78">
        <f>TLFD!I30/SUM(TLFD!$I$11:$I$100)</f>
        <v>1.9558602278254771E-2</v>
      </c>
      <c r="E56" s="78">
        <f>TLFD!D30/SUM(TLFD!$D$11:$D$101)</f>
        <v>2.5526324853549213E-2</v>
      </c>
      <c r="F56" s="78">
        <f>TLFD!J30/SUM(TLFD!$J$11:$J$100)</f>
        <v>1.3957790296813252E-2</v>
      </c>
      <c r="G56" s="141">
        <f si="3" t="shared"/>
        <v>-0.13592076931411382</v>
      </c>
      <c r="H56" s="141">
        <f si="5" t="shared"/>
        <v>0.60367247024703963</v>
      </c>
      <c r="I56" s="7"/>
      <c r="J56" t="s">
        <v>282</v>
      </c>
      <c r="T56">
        <f>WorkLocationCoefficients!B64</f>
        <v>63</v>
      </c>
      <c r="U56" t="str">
        <f>WorkLocationCoefficients!C64</f>
        <v>Gamma63</v>
      </c>
      <c r="V56" s="40">
        <f>WorkLocationCoefficients!E64</f>
        <v>1.1995398853399999</v>
      </c>
      <c r="W56" s="162">
        <f>_xlfn.IFNA(VLOOKUP(T56,$M$13:$Q$39,5,FALSE),_xlfn.IFNA(VLOOKUP(T56,calibration_flow!$AD$3:$AH$25,5,FALSE),V56))</f>
        <v>1.1995398853399999</v>
      </c>
      <c r="X56" s="95">
        <f si="0" t="shared"/>
        <v>0</v>
      </c>
    </row>
    <row r="57" spans="1:24" x14ac:dyDescent="0.25">
      <c r="A57">
        <f>TLFD!A31+0.5</f>
        <v>20.5</v>
      </c>
      <c r="B57" s="81">
        <f si="4" t="shared"/>
        <v>3.068052935133617</v>
      </c>
      <c r="C57" s="78">
        <f>TLFD!C31/SUM(TLFD!$C$11:$C$100)</f>
        <v>2.3094733393761741E-2</v>
      </c>
      <c r="D57" s="78">
        <f>TLFD!I31/SUM(TLFD!$I$11:$I$100)</f>
        <v>1.8653635139873982E-2</v>
      </c>
      <c r="E57" s="78">
        <f>TLFD!D31/SUM(TLFD!$D$11:$D$101)</f>
        <v>0</v>
      </c>
      <c r="F57" s="78">
        <f>TLFD!J31/SUM(TLFD!$J$11:$J$100)</f>
        <v>1.3481319543709184E-2</v>
      </c>
      <c r="G57" s="141">
        <f si="3" t="shared"/>
        <v>0.21356355915887423</v>
      </c>
      <c r="H57" s="141">
        <f si="5" t="shared"/>
        <v>0</v>
      </c>
      <c r="I57" s="7"/>
      <c r="J57" s="89"/>
      <c r="K57" s="89" t="s">
        <v>283</v>
      </c>
      <c r="L57" s="89" t="s">
        <v>284</v>
      </c>
      <c r="M57" s="89" t="s">
        <v>285</v>
      </c>
      <c r="N57" s="89" t="s">
        <v>94</v>
      </c>
      <c r="O57" s="89" t="s">
        <v>286</v>
      </c>
      <c r="T57">
        <f>WorkLocationCoefficients!B65</f>
        <v>64</v>
      </c>
      <c r="U57" t="str">
        <f>WorkLocationCoefficients!C65</f>
        <v>Gamma64</v>
      </c>
      <c r="V57" s="40">
        <f>WorkLocationCoefficients!E65</f>
        <v>0.19542046398099999</v>
      </c>
      <c r="W57" s="162">
        <f>_xlfn.IFNA(VLOOKUP(T57,$M$13:$Q$39,5,FALSE),_xlfn.IFNA(VLOOKUP(T57,calibration_flow!$AD$3:$AH$25,5,FALSE),V57))</f>
        <v>0.19542046398099999</v>
      </c>
      <c r="X57" s="95">
        <f si="0" t="shared"/>
        <v>0</v>
      </c>
    </row>
    <row r="58" spans="1:24" x14ac:dyDescent="0.25">
      <c r="A58">
        <f>TLFD!A32+0.5</f>
        <v>21.5</v>
      </c>
      <c r="B58" s="81">
        <f si="4" t="shared"/>
        <v>3.1135153092103742</v>
      </c>
      <c r="C58" s="78">
        <f>TLFD!C32/SUM(TLFD!$C$11:$C$100)</f>
        <v>1.2512044081272199E-2</v>
      </c>
      <c r="D58" s="78">
        <f>TLFD!I32/SUM(TLFD!$I$11:$I$100)</f>
        <v>1.5746428207825704E-2</v>
      </c>
      <c r="E58" s="78">
        <f>TLFD!D32/SUM(TLFD!$D$11:$D$101)</f>
        <v>1.1610749003668775E-2</v>
      </c>
      <c r="F58" s="78">
        <f>TLFD!J32/SUM(TLFD!$J$11:$J$100)</f>
        <v>1.1547408839933855E-2</v>
      </c>
      <c r="G58" s="141">
        <f si="3" t="shared"/>
        <v>-0.22992185218122521</v>
      </c>
      <c r="H58" s="141">
        <f si="5" t="shared"/>
        <v>5.4702383591357755E-3</v>
      </c>
      <c r="I58" s="7"/>
      <c r="J58" s="84" t="s">
        <v>287</v>
      </c>
      <c r="K58" s="84">
        <v>1</v>
      </c>
      <c r="L58" s="84">
        <v>0.68402070831395179</v>
      </c>
      <c r="M58" s="84">
        <v>0.68402070831395179</v>
      </c>
      <c r="N58" s="84">
        <v>1.3990007442570487</v>
      </c>
      <c r="O58" s="84">
        <v>0.2400767404253939</v>
      </c>
      <c r="T58">
        <f>WorkLocationCoefficients!B66</f>
        <v>65</v>
      </c>
      <c r="U58" t="str">
        <f>WorkLocationCoefficients!C66</f>
        <v>Gamma65</v>
      </c>
      <c r="V58" s="40">
        <f>WorkLocationCoefficients!E66</f>
        <v>-0.90594458676599998</v>
      </c>
      <c r="W58" s="162">
        <f>_xlfn.IFNA(VLOOKUP(T58,$M$13:$Q$39,5,FALSE),_xlfn.IFNA(VLOOKUP(T58,calibration_flow!$AD$3:$AH$25,5,FALSE),V58))</f>
        <v>-0.90594458676599998</v>
      </c>
      <c r="X58" s="95">
        <f si="0" t="shared"/>
        <v>0</v>
      </c>
    </row>
    <row r="59" spans="1:24" x14ac:dyDescent="0.25">
      <c r="A59">
        <f>TLFD!A33+0.5</f>
        <v>22.5</v>
      </c>
      <c r="B59" s="81">
        <f si="4" t="shared"/>
        <v>3.1570004211501135</v>
      </c>
      <c r="C59" s="78">
        <f>TLFD!C33/SUM(TLFD!$C$11:$C$100)</f>
        <v>1.0628552357782229E-2</v>
      </c>
      <c r="D59" s="78">
        <f>TLFD!I33/SUM(TLFD!$I$11:$I$100)</f>
        <v>1.4230608251037884E-2</v>
      </c>
      <c r="E59" s="78">
        <f>TLFD!D33/SUM(TLFD!$D$11:$D$101)</f>
        <v>0</v>
      </c>
      <c r="F59" s="78">
        <f>TLFD!J33/SUM(TLFD!$J$11:$J$100)</f>
        <v>1.0398273494212282E-2</v>
      </c>
      <c r="G59" s="141">
        <f si="3" t="shared"/>
        <v>-0.29185115697613584</v>
      </c>
      <c r="H59" s="141">
        <f si="5" t="shared"/>
        <v>0</v>
      </c>
      <c r="I59" s="7"/>
      <c r="J59" s="84" t="s">
        <v>288</v>
      </c>
      <c r="K59" s="84">
        <v>89</v>
      </c>
      <c r="L59" s="84">
        <v>43.515232775856319</v>
      </c>
      <c r="M59" s="84">
        <v>0.48893519972872268</v>
      </c>
      <c r="N59" s="84"/>
      <c r="O59" s="84"/>
      <c r="T59">
        <f>WorkLocationCoefficients!B67</f>
        <v>66</v>
      </c>
      <c r="U59" t="str">
        <f>WorkLocationCoefficients!C67</f>
        <v>Gamma66</v>
      </c>
      <c r="V59" s="40">
        <f>WorkLocationCoefficients!E67</f>
        <v>-2.05104130438</v>
      </c>
      <c r="W59" s="162">
        <f>_xlfn.IFNA(VLOOKUP(T59,$M$13:$Q$39,5,FALSE),_xlfn.IFNA(VLOOKUP(T59,calibration_flow!$AD$3:$AH$25,5,FALSE),V59))</f>
        <v>-2.05104130438</v>
      </c>
      <c r="X59" s="95">
        <f si="0" t="shared"/>
        <v>0</v>
      </c>
    </row>
    <row ht="15.75" r="60" spans="1:24" thickBot="1" x14ac:dyDescent="0.3">
      <c r="A60">
        <f>TLFD!A34+0.5</f>
        <v>23.5</v>
      </c>
      <c r="B60" s="81">
        <f si="4" t="shared"/>
        <v>3.1986731175506815</v>
      </c>
      <c r="C60" s="78">
        <f>TLFD!C34/SUM(TLFD!$C$11:$C$100)</f>
        <v>1.0353512223711293E-2</v>
      </c>
      <c r="D60" s="78">
        <f>TLFD!I34/SUM(TLFD!$I$11:$I$100)</f>
        <v>1.4717028087917557E-2</v>
      </c>
      <c r="E60" s="78">
        <f>TLFD!D34/SUM(TLFD!$D$11:$D$101)</f>
        <v>2.0089713963248961E-3</v>
      </c>
      <c r="F60" s="78">
        <f>TLFD!J34/SUM(TLFD!$J$11:$J$100)</f>
        <v>9.2771658398497717E-3</v>
      </c>
      <c r="G60" s="141">
        <f si="3" t="shared"/>
        <v>-0.35167938928279124</v>
      </c>
      <c r="H60" s="141">
        <f si="5" t="shared"/>
        <v>-1.5299332470000033</v>
      </c>
      <c r="J60" s="88" t="s">
        <v>3</v>
      </c>
      <c r="K60" s="88">
        <v>90</v>
      </c>
      <c r="L60" s="88">
        <v>44.199253484170271</v>
      </c>
      <c r="M60" s="88"/>
      <c r="N60" s="88"/>
      <c r="O60" s="88"/>
      <c r="T60">
        <f>WorkLocationCoefficients!B68</f>
        <v>67</v>
      </c>
      <c r="U60" t="str">
        <f>WorkLocationCoefficients!C68</f>
        <v>Gamma67</v>
      </c>
      <c r="V60" s="40">
        <f>WorkLocationCoefficients!E68</f>
        <v>-2.2381608455899999</v>
      </c>
      <c r="W60" s="162">
        <f>_xlfn.IFNA(VLOOKUP(T60,$M$13:$Q$39,5,FALSE),_xlfn.IFNA(VLOOKUP(T60,calibration_flow!$AD$3:$AH$25,5,FALSE),V60))</f>
        <v>-2.2381608455899999</v>
      </c>
      <c r="X60" s="95">
        <f si="0" t="shared"/>
        <v>0</v>
      </c>
    </row>
    <row ht="15.75" r="61" spans="1:24" thickBot="1" x14ac:dyDescent="0.3">
      <c r="A61">
        <f>TLFD!A35+0.5</f>
        <v>24.5</v>
      </c>
      <c r="B61" s="81">
        <f si="4" t="shared"/>
        <v>3.2386784521643803</v>
      </c>
      <c r="C61" s="78">
        <f>TLFD!C35/SUM(TLFD!$C$11:$C$100)</f>
        <v>5.9955355147713937E-3</v>
      </c>
      <c r="D61" s="78">
        <f>TLFD!I35/SUM(TLFD!$I$11:$I$100)</f>
        <v>1.3155959774210699E-2</v>
      </c>
      <c r="E61" s="78">
        <f>TLFD!D35/SUM(TLFD!$D$11:$D$101)</f>
        <v>1.1609429117682592E-2</v>
      </c>
      <c r="F61" s="78">
        <f>TLFD!J35/SUM(TLFD!$J$11:$J$100)</f>
        <v>1.2248101123910423E-2</v>
      </c>
      <c r="G61" s="141">
        <f si="3" t="shared"/>
        <v>-0.7858597593308041</v>
      </c>
      <c r="H61" s="141">
        <f si="5" t="shared"/>
        <v>-5.3553291785101542E-2</v>
      </c>
      <c r="T61">
        <f>WorkLocationCoefficients!B69</f>
        <v>68</v>
      </c>
      <c r="U61" t="str">
        <f>WorkLocationCoefficients!C69</f>
        <v>Gamma68</v>
      </c>
      <c r="V61" s="40">
        <f>WorkLocationCoefficients!E69</f>
        <v>-0.40946320528300001</v>
      </c>
      <c r="W61" s="162">
        <f>_xlfn.IFNA(VLOOKUP(T61,$M$13:$Q$39,5,FALSE),_xlfn.IFNA(VLOOKUP(T61,calibration_flow!$AD$3:$AH$25,5,FALSE),V61))</f>
        <v>-0.40946320528300001</v>
      </c>
      <c r="X61" s="95">
        <f si="0" t="shared"/>
        <v>0</v>
      </c>
    </row>
    <row r="62" spans="1:24" x14ac:dyDescent="0.25">
      <c r="A62">
        <f>TLFD!A36+0.5</f>
        <v>25.5</v>
      </c>
      <c r="B62" s="81">
        <f si="4" t="shared"/>
        <v>3.2771447329921766</v>
      </c>
      <c r="C62" s="78">
        <f>TLFD!C36/SUM(TLFD!$C$11:$C$100)</f>
        <v>1.6338981512313731E-3</v>
      </c>
      <c r="D62" s="78">
        <f>TLFD!I36/SUM(TLFD!$I$11:$I$100)</f>
        <v>1.3506634540333254E-2</v>
      </c>
      <c r="E62" s="78">
        <f>TLFD!D36/SUM(TLFD!$D$11:$D$101)</f>
        <v>0</v>
      </c>
      <c r="F62" s="78">
        <f>TLFD!J36/SUM(TLFD!$J$11:$J$100)</f>
        <v>1.0258135037416969E-2</v>
      </c>
      <c r="G62" s="141">
        <f si="3" t="shared"/>
        <v>-2.1122123486083328</v>
      </c>
      <c r="H62" s="141">
        <f si="5" t="shared"/>
        <v>0</v>
      </c>
      <c r="J62" s="89"/>
      <c r="K62" s="89" t="s">
        <v>289</v>
      </c>
      <c r="L62" s="89" t="s">
        <v>280</v>
      </c>
      <c r="M62" s="89" t="s">
        <v>290</v>
      </c>
      <c r="N62" s="89" t="s">
        <v>291</v>
      </c>
      <c r="O62" s="89" t="s">
        <v>292</v>
      </c>
      <c r="P62" s="89" t="s">
        <v>293</v>
      </c>
      <c r="Q62" s="89" t="s">
        <v>294</v>
      </c>
      <c r="R62" s="89" t="s">
        <v>295</v>
      </c>
      <c r="T62">
        <f>WorkLocationCoefficients!B70</f>
        <v>69</v>
      </c>
      <c r="U62" t="str">
        <f>WorkLocationCoefficients!C70</f>
        <v>Gamma69</v>
      </c>
      <c r="V62" s="40">
        <f>WorkLocationCoefficients!E70</f>
        <v>-1.1700902309500001</v>
      </c>
      <c r="W62" s="162">
        <f>_xlfn.IFNA(VLOOKUP(T62,$M$13:$Q$39,5,FALSE),_xlfn.IFNA(VLOOKUP(T62,calibration_flow!$AD$3:$AH$25,5,FALSE),V62))</f>
        <v>-1.1700902309500001</v>
      </c>
      <c r="X62" s="95">
        <f si="0" t="shared"/>
        <v>0</v>
      </c>
    </row>
    <row r="63" spans="1:24" x14ac:dyDescent="0.25">
      <c r="A63">
        <f>TLFD!A37+0.5</f>
        <v>26.5</v>
      </c>
      <c r="B63" s="81">
        <f si="4" t="shared"/>
        <v>3.3141860046725258</v>
      </c>
      <c r="C63" s="78">
        <f>TLFD!C37/SUM(TLFD!$C$11:$C$100)</f>
        <v>1.4865236559937392E-2</v>
      </c>
      <c r="D63" s="78">
        <f>TLFD!I37/SUM(TLFD!$I$11:$I$100)</f>
        <v>1.2307553081978711E-2</v>
      </c>
      <c r="E63" s="78">
        <f>TLFD!D37/SUM(TLFD!$D$11:$D$101)</f>
        <v>0</v>
      </c>
      <c r="F63" s="78">
        <f>TLFD!J37/SUM(TLFD!$J$11:$J$100)</f>
        <v>9.529415062081336E-3</v>
      </c>
      <c r="G63" s="141">
        <f si="3" t="shared"/>
        <v>0.18881222459183822</v>
      </c>
      <c r="H63" s="141">
        <f si="5" t="shared"/>
        <v>0</v>
      </c>
      <c r="J63" s="84" t="s">
        <v>296</v>
      </c>
      <c r="K63" s="84">
        <v>0</v>
      </c>
      <c r="L63" s="84" t="e">
        <v>#N/A</v>
      </c>
      <c r="M63" s="84" t="e">
        <v>#N/A</v>
      </c>
      <c r="N63" s="84" t="e">
        <v>#N/A</v>
      </c>
      <c r="O63" s="84" t="e">
        <v>#N/A</v>
      </c>
      <c r="P63" s="84" t="e">
        <v>#N/A</v>
      </c>
      <c r="Q63" s="84" t="e">
        <v>#N/A</v>
      </c>
      <c r="R63" s="84" t="e">
        <v>#N/A</v>
      </c>
      <c r="T63">
        <f>WorkLocationCoefficients!B71</f>
        <v>70</v>
      </c>
      <c r="U63" t="str">
        <f>WorkLocationCoefficients!C71</f>
        <v>Gamma70</v>
      </c>
      <c r="V63" s="40">
        <f>WorkLocationCoefficients!E71</f>
        <v>1.8412445021999999</v>
      </c>
      <c r="W63" s="162">
        <f>_xlfn.IFNA(VLOOKUP(T63,$M$13:$Q$39,5,FALSE),_xlfn.IFNA(VLOOKUP(T63,calibration_flow!$AD$3:$AH$25,5,FALSE),V63))</f>
        <v>1.8412445021999999</v>
      </c>
      <c r="X63" s="95">
        <f si="0" t="shared"/>
        <v>0</v>
      </c>
    </row>
    <row ht="15.75" r="64" spans="1:24" thickBot="1" x14ac:dyDescent="0.3">
      <c r="A64">
        <f>TLFD!A38+0.5</f>
        <v>27.5</v>
      </c>
      <c r="B64" s="81">
        <f si="4" t="shared"/>
        <v>3.3499040872746049</v>
      </c>
      <c r="C64" s="78">
        <f>TLFD!C38/SUM(TLFD!$C$11:$C$100)</f>
        <v>7.6336530973390377E-3</v>
      </c>
      <c r="D64" s="78">
        <f>TLFD!I38/SUM(TLFD!$I$11:$I$100)</f>
        <v>1.1527018925125282E-2</v>
      </c>
      <c r="E64" s="78">
        <f>TLFD!D38/SUM(TLFD!$D$11:$D$101)</f>
        <v>0</v>
      </c>
      <c r="F64" s="78">
        <f>TLFD!J38/SUM(TLFD!$J$11:$J$100)</f>
        <v>8.5764735558732028E-3</v>
      </c>
      <c r="G64" s="141">
        <f si="3" t="shared"/>
        <v>-0.41212723993011596</v>
      </c>
      <c r="H64" s="141">
        <f si="5" t="shared"/>
        <v>0</v>
      </c>
      <c r="J64" s="88" t="s">
        <v>297</v>
      </c>
      <c r="K64" s="88">
        <v>-2.3769499067547318E-2</v>
      </c>
      <c r="L64" s="88">
        <v>2.0096066374795992E-2</v>
      </c>
      <c r="M64" s="88">
        <v>-1.1827936186237151</v>
      </c>
      <c r="N64" s="88">
        <v>0.24004105373670998</v>
      </c>
      <c r="O64" s="88">
        <v>-6.3699954898131447E-2</v>
      </c>
      <c r="P64" s="88">
        <v>1.6160956763036808E-2</v>
      </c>
      <c r="Q64" s="88">
        <v>-6.3699954898131447E-2</v>
      </c>
      <c r="R64" s="88">
        <v>1.6160956763036808E-2</v>
      </c>
      <c r="T64">
        <f>WorkLocationCoefficients!B72</f>
        <v>71</v>
      </c>
      <c r="U64" t="str">
        <f>WorkLocationCoefficients!C72</f>
        <v>Gamma71</v>
      </c>
      <c r="V64" s="40">
        <f>WorkLocationCoefficients!E72</f>
        <v>0.71619685052500004</v>
      </c>
      <c r="W64" s="162">
        <f>_xlfn.IFNA(VLOOKUP(T64,$M$13:$Q$39,5,FALSE),_xlfn.IFNA(VLOOKUP(T64,calibration_flow!$AD$3:$AH$25,5,FALSE),V64))</f>
        <v>0.71619685052500004</v>
      </c>
      <c r="X64" s="95">
        <f si="0" t="shared"/>
        <v>0</v>
      </c>
    </row>
    <row r="65" spans="1:24" x14ac:dyDescent="0.25">
      <c r="A65">
        <f>TLFD!A39+0.5</f>
        <v>28.5</v>
      </c>
      <c r="B65" s="81">
        <f si="4" t="shared"/>
        <v>3.3843902633457743</v>
      </c>
      <c r="C65" s="78">
        <f>TLFD!C39/SUM(TLFD!$C$11:$C$100)</f>
        <v>1.2332576155742682E-3</v>
      </c>
      <c r="D65" s="78">
        <f>TLFD!I39/SUM(TLFD!$I$11:$I$100)</f>
        <v>1.0735172679042093E-2</v>
      </c>
      <c r="E65" s="78">
        <f>TLFD!D39/SUM(TLFD!$D$11:$D$101)</f>
        <v>9.5115762950834983E-3</v>
      </c>
      <c r="F65" s="78">
        <f>TLFD!J39/SUM(TLFD!$J$11:$J$100)</f>
        <v>8.4643627904369516E-3</v>
      </c>
      <c r="G65" s="141">
        <f si="3" t="shared"/>
        <v>-2.1638663804932832</v>
      </c>
      <c r="H65" s="141">
        <f si="5" t="shared"/>
        <v>0.11664487718360042</v>
      </c>
      <c r="T65">
        <f>WorkLocationCoefficients!B73</f>
        <v>72</v>
      </c>
      <c r="U65" t="str">
        <f>WorkLocationCoefficients!C73</f>
        <v>Gamma72</v>
      </c>
      <c r="V65" s="40">
        <f>WorkLocationCoefficients!E73</f>
        <v>-0.101060642888</v>
      </c>
      <c r="W65" s="162">
        <f>_xlfn.IFNA(VLOOKUP(T65,$M$13:$Q$39,5,FALSE),_xlfn.IFNA(VLOOKUP(T65,calibration_flow!$AD$3:$AH$25,5,FALSE),V65))</f>
        <v>-0.101060642888</v>
      </c>
      <c r="X65" s="95">
        <f si="0" t="shared"/>
        <v>0</v>
      </c>
    </row>
    <row r="66" spans="1:24" x14ac:dyDescent="0.25">
      <c r="A66">
        <f>TLFD!A40+0.5</f>
        <v>29.5</v>
      </c>
      <c r="B66" s="81">
        <f si="4" t="shared"/>
        <v>3.417726683613366</v>
      </c>
      <c r="C66" s="78">
        <f>TLFD!C40/SUM(TLFD!$C$11:$C$100)</f>
        <v>2.8059508572499149E-3</v>
      </c>
      <c r="D66" s="78">
        <f>TLFD!I40/SUM(TLFD!$I$11:$I$100)</f>
        <v>1.0203504485243379E-2</v>
      </c>
      <c r="E66" s="78">
        <f>TLFD!D40/SUM(TLFD!$D$11:$D$101)</f>
        <v>0</v>
      </c>
      <c r="F66" s="78">
        <f>TLFD!J40/SUM(TLFD!$J$11:$J$100)</f>
        <v>9.809691975671964E-3</v>
      </c>
      <c r="G66" s="141">
        <f si="3" t="shared"/>
        <v>-1.2909887701922518</v>
      </c>
      <c r="H66" s="141">
        <f si="5" t="shared"/>
        <v>0</v>
      </c>
      <c r="T66">
        <f>WorkLocationCoefficients!B74</f>
        <v>73</v>
      </c>
      <c r="U66" t="str">
        <f>WorkLocationCoefficients!C74</f>
        <v>Gamma73</v>
      </c>
      <c r="V66" s="40">
        <f>WorkLocationCoefficients!E74</f>
        <v>-0.34132571646100002</v>
      </c>
      <c r="W66" s="162">
        <f>_xlfn.IFNA(VLOOKUP(T66,$M$13:$Q$39,5,FALSE),_xlfn.IFNA(VLOOKUP(T66,calibration_flow!$AD$3:$AH$25,5,FALSE),V66))</f>
        <v>-0.34132571646100002</v>
      </c>
      <c r="X66" s="95">
        <f si="0" t="shared"/>
        <v>0</v>
      </c>
    </row>
    <row r="67" spans="1:24" x14ac:dyDescent="0.25">
      <c r="A67">
        <f>TLFD!A41+0.5</f>
        <v>30.5</v>
      </c>
      <c r="B67" s="81">
        <f si="4" t="shared"/>
        <v>3.4499875458315872</v>
      </c>
      <c r="C67" s="78">
        <f>TLFD!C41/SUM(TLFD!$C$11:$C$100)</f>
        <v>5.7628098747697122E-3</v>
      </c>
      <c r="D67" s="78">
        <f>TLFD!I41/SUM(TLFD!$I$11:$I$100)</f>
        <v>9.1514801868757146E-3</v>
      </c>
      <c r="E67" s="78">
        <f>TLFD!D41/SUM(TLFD!$D$11:$D$101)</f>
        <v>1.7176655660681363E-3</v>
      </c>
      <c r="F67" s="78">
        <f>TLFD!J41/SUM(TLFD!$J$11:$J$100)</f>
        <v>7.8197258891785082E-3</v>
      </c>
      <c r="G67" s="141">
        <f si="3" t="shared"/>
        <v>-0.46249045402119682</v>
      </c>
      <c r="H67" s="141">
        <f si="5" t="shared"/>
        <v>-1.5156833614824792</v>
      </c>
      <c r="T67">
        <f>WorkLocationCoefficients!B75</f>
        <v>74</v>
      </c>
      <c r="U67" t="str">
        <f>WorkLocationCoefficients!C75</f>
        <v>Gamma74</v>
      </c>
      <c r="V67" s="40">
        <f>WorkLocationCoefficients!E75</f>
        <v>1.0486549950899999</v>
      </c>
      <c r="W67" s="162">
        <f>_xlfn.IFNA(VLOOKUP(T67,$M$13:$Q$39,5,FALSE),_xlfn.IFNA(VLOOKUP(T67,calibration_flow!$AD$3:$AH$25,5,FALSE),V67))</f>
        <v>1.0486549950899999</v>
      </c>
      <c r="X67" s="95">
        <f si="0" t="shared"/>
        <v>0</v>
      </c>
    </row>
    <row r="68" spans="1:24" x14ac:dyDescent="0.25">
      <c r="A68">
        <f>TLFD!A42+0.5</f>
        <v>31.5</v>
      </c>
      <c r="B68" s="81">
        <f si="4" t="shared"/>
        <v>3.4812400893356918</v>
      </c>
      <c r="C68" s="78">
        <f>TLFD!C42/SUM(TLFD!$C$11:$C$100)</f>
        <v>2.3634487578075842E-3</v>
      </c>
      <c r="D68" s="78">
        <f>TLFD!I42/SUM(TLFD!$I$11:$I$100)</f>
        <v>7.8053415685342929E-3</v>
      </c>
      <c r="E68" s="78">
        <f>TLFD!D42/SUM(TLFD!$D$11:$D$101)</f>
        <v>0</v>
      </c>
      <c r="F68" s="78">
        <f>TLFD!J42/SUM(TLFD!$J$11:$J$100)</f>
        <v>6.6425628520978726E-3</v>
      </c>
      <c r="G68" s="141">
        <f si="3" t="shared"/>
        <v>-1.194686425418275</v>
      </c>
      <c r="H68" s="141">
        <f si="5" t="shared"/>
        <v>0</v>
      </c>
      <c r="J68" s="7"/>
      <c r="K68" s="7"/>
      <c r="T68">
        <f>WorkLocationCoefficients!B76</f>
        <v>75</v>
      </c>
      <c r="U68" t="str">
        <f>WorkLocationCoefficients!C76</f>
        <v>Gamma75</v>
      </c>
      <c r="V68" s="40">
        <f>WorkLocationCoefficients!E76</f>
        <v>-30</v>
      </c>
      <c r="W68" s="162">
        <f>_xlfn.IFNA(VLOOKUP(T68,$M$13:$Q$39,5,FALSE),_xlfn.IFNA(VLOOKUP(T68,calibration_flow!$AD$3:$AH$25,5,FALSE),V68))</f>
        <v>-30</v>
      </c>
      <c r="X68" s="95">
        <f ref="X68:X93" si="6" t="shared">IF(W68=V68,0,1)</f>
        <v>0</v>
      </c>
    </row>
    <row r="69" spans="1:24" x14ac:dyDescent="0.25">
      <c r="A69">
        <f>TLFD!A43+0.5</f>
        <v>32.5</v>
      </c>
      <c r="B69" s="81">
        <f si="4" t="shared"/>
        <v>3.5115454388310208</v>
      </c>
      <c r="C69" s="78">
        <f>TLFD!C43/SUM(TLFD!$C$11:$C$100)</f>
        <v>2.7880297009629093E-3</v>
      </c>
      <c r="D69" s="78">
        <f>TLFD!I43/SUM(TLFD!$I$11:$I$100)</f>
        <v>6.8551260732344658E-3</v>
      </c>
      <c r="E69" s="78">
        <f>TLFD!D43/SUM(TLFD!$D$11:$D$101)</f>
        <v>0</v>
      </c>
      <c r="F69" s="78">
        <f>TLFD!J43/SUM(TLFD!$J$11:$J$100)</f>
        <v>6.446369012584433E-3</v>
      </c>
      <c r="G69" s="141">
        <f si="3" t="shared"/>
        <v>-0.89966155828789085</v>
      </c>
      <c r="H69" s="141">
        <f si="5" t="shared"/>
        <v>0</v>
      </c>
      <c r="J69" s="7"/>
      <c r="K69" s="7"/>
      <c r="T69">
        <f>WorkLocationCoefficients!B77</f>
        <v>76</v>
      </c>
      <c r="U69" t="str">
        <f>WorkLocationCoefficients!C77</f>
        <v>Gamma76</v>
      </c>
      <c r="V69" s="40">
        <f>WorkLocationCoefficients!E77</f>
        <v>0.91468797064200003</v>
      </c>
      <c r="W69" s="162">
        <f>_xlfn.IFNA(VLOOKUP(T69,$M$13:$Q$39,5,FALSE),_xlfn.IFNA(VLOOKUP(T69,calibration_flow!$AD$3:$AH$25,5,FALSE),V69))</f>
        <v>0.91468797064200003</v>
      </c>
      <c r="X69" s="95">
        <f si="6" t="shared"/>
        <v>0</v>
      </c>
    </row>
    <row r="70" spans="1:24" x14ac:dyDescent="0.25">
      <c r="A70">
        <f>TLFD!A44+0.5</f>
        <v>33.5</v>
      </c>
      <c r="B70" s="81">
        <f si="4" t="shared"/>
        <v>3.5409593240373143</v>
      </c>
      <c r="C70" s="78">
        <f>TLFD!C44/SUM(TLFD!$C$11:$C$100)</f>
        <v>8.2227941223746365E-4</v>
      </c>
      <c r="D70" s="78">
        <f>TLFD!I44/SUM(TLFD!$I$11:$I$100)</f>
        <v>6.5044513071119102E-3</v>
      </c>
      <c r="E70" s="78">
        <f>TLFD!D44/SUM(TLFD!$D$11:$D$101)</f>
        <v>5.1418886087821809E-2</v>
      </c>
      <c r="F70" s="78">
        <f>TLFD!J44/SUM(TLFD!$J$11:$J$100)</f>
        <v>5.3532890495809858E-3</v>
      </c>
      <c r="G70" s="141">
        <f si="3" t="shared"/>
        <v>-2.06816178312156</v>
      </c>
      <c r="H70" s="141">
        <f si="5" t="shared"/>
        <v>2.2622943909557178</v>
      </c>
      <c r="J70" s="90" t="s">
        <v>10</v>
      </c>
      <c r="K70" s="7" t="s">
        <v>300</v>
      </c>
      <c r="T70">
        <f>WorkLocationCoefficients!B78</f>
        <v>77</v>
      </c>
      <c r="U70" t="str">
        <f>WorkLocationCoefficients!C78</f>
        <v>Gamma77</v>
      </c>
      <c r="V70" s="40">
        <f>WorkLocationCoefficients!E78</f>
        <v>-1.1830909132</v>
      </c>
      <c r="W70" s="162">
        <f>_xlfn.IFNA(VLOOKUP(T70,$M$13:$Q$39,5,FALSE),_xlfn.IFNA(VLOOKUP(T70,calibration_flow!$AD$3:$AH$25,5,FALSE),V70))</f>
        <v>-1.1830909132</v>
      </c>
      <c r="X70" s="95">
        <f si="6" t="shared"/>
        <v>0</v>
      </c>
    </row>
    <row r="71" spans="1:24" x14ac:dyDescent="0.25">
      <c r="A71">
        <f>TLFD!A45+0.5</f>
        <v>34.5</v>
      </c>
      <c r="B71" s="81">
        <f si="4" t="shared"/>
        <v>3.5695326964813701</v>
      </c>
      <c r="C71" s="78">
        <f>TLFD!C45/SUM(TLFD!$C$11:$C$100)</f>
        <v>3.672369342393878E-3</v>
      </c>
      <c r="D71" s="78">
        <f>TLFD!I45/SUM(TLFD!$I$11:$I$100)</f>
        <v>5.1809368672300089E-3</v>
      </c>
      <c r="E71" s="78">
        <f>TLFD!D45/SUM(TLFD!$D$11:$D$101)</f>
        <v>1.3445746431842147E-3</v>
      </c>
      <c r="F71" s="78">
        <f>TLFD!J45/SUM(TLFD!$J$11:$J$100)</f>
        <v>4.1480983211412874E-3</v>
      </c>
      <c r="G71" s="141">
        <f si="3" t="shared"/>
        <v>-0.34414885117670785</v>
      </c>
      <c r="H71" s="141">
        <f si="5" t="shared"/>
        <v>-1.1265722807354628</v>
      </c>
      <c r="J71" s="84"/>
      <c r="K71" s="84"/>
      <c r="T71">
        <f>WorkLocationCoefficients!B79</f>
        <v>78</v>
      </c>
      <c r="U71" t="str">
        <f>WorkLocationCoefficients!C79</f>
        <v>Gamma78</v>
      </c>
      <c r="V71" s="40">
        <f>WorkLocationCoefficients!E79</f>
        <v>1.4576625009499999</v>
      </c>
      <c r="W71" s="162">
        <f>_xlfn.IFNA(VLOOKUP(T71,$M$13:$Q$39,5,FALSE),_xlfn.IFNA(VLOOKUP(T71,calibration_flow!$AD$3:$AH$25,5,FALSE),V71))</f>
        <v>1.4576625009499999</v>
      </c>
      <c r="X71" s="95">
        <f si="6" t="shared"/>
        <v>0</v>
      </c>
    </row>
    <row r="72" spans="1:24" x14ac:dyDescent="0.25">
      <c r="A72">
        <f>TLFD!A46+0.5</f>
        <v>35.5</v>
      </c>
      <c r="B72" s="81">
        <f si="4" t="shared"/>
        <v>3.597312260588446</v>
      </c>
      <c r="C72" s="78">
        <f>TLFD!C46/SUM(TLFD!$C$11:$C$100)</f>
        <v>2.1610057718587654E-3</v>
      </c>
      <c r="D72" s="78">
        <f>TLFD!I46/SUM(TLFD!$I$11:$I$100)</f>
        <v>4.7850137441884143E-3</v>
      </c>
      <c r="E72" s="78">
        <f>TLFD!D46/SUM(TLFD!$D$11:$D$101)</f>
        <v>0</v>
      </c>
      <c r="F72" s="78">
        <f>TLFD!J46/SUM(TLFD!$J$11:$J$100)</f>
        <v>4.764707531040668E-3</v>
      </c>
      <c r="G72" s="141">
        <f si="3" t="shared"/>
        <v>-0.79491514880798764</v>
      </c>
      <c r="H72" s="141">
        <f si="5" t="shared"/>
        <v>0</v>
      </c>
      <c r="J72" s="84"/>
      <c r="K72" s="84"/>
      <c r="T72">
        <f>WorkLocationCoefficients!B80</f>
        <v>79</v>
      </c>
      <c r="U72" t="str">
        <f>WorkLocationCoefficients!C80</f>
        <v>Gamma79</v>
      </c>
      <c r="V72" s="40">
        <f>WorkLocationCoefficients!E80</f>
        <v>-1.62636517084</v>
      </c>
      <c r="W72" s="162">
        <f>_xlfn.IFNA(VLOOKUP(T72,$M$13:$Q$39,5,FALSE),_xlfn.IFNA(VLOOKUP(T72,calibration_flow!$AD$3:$AH$25,5,FALSE),V72))</f>
        <v>-1.62636517084</v>
      </c>
      <c r="X72" s="95">
        <f si="6" t="shared"/>
        <v>0</v>
      </c>
    </row>
    <row r="73" spans="1:24" x14ac:dyDescent="0.25">
      <c r="A73">
        <f>TLFD!A47+0.5</f>
        <v>36.5</v>
      </c>
      <c r="B73" s="81">
        <f si="4" t="shared"/>
        <v>3.6243409329763652</v>
      </c>
      <c r="C73" s="78">
        <f>TLFD!C47/SUM(TLFD!$C$11:$C$100)</f>
        <v>5.3977402353883657E-3</v>
      </c>
      <c r="D73" s="78">
        <f>TLFD!I47/SUM(TLFD!$I$11:$I$100)</f>
        <v>4.1628488365516225E-3</v>
      </c>
      <c r="E73" s="78">
        <f>TLFD!D47/SUM(TLFD!$D$11:$D$101)</f>
        <v>0</v>
      </c>
      <c r="F73" s="78">
        <f>TLFD!J47/SUM(TLFD!$J$11:$J$100)</f>
        <v>3.1671291235740914E-3</v>
      </c>
      <c r="G73" s="141">
        <f si="3" t="shared"/>
        <v>0.25978073468495877</v>
      </c>
      <c r="H73" s="141">
        <f si="5" t="shared"/>
        <v>0</v>
      </c>
      <c r="J73" t="s">
        <v>275</v>
      </c>
      <c r="T73">
        <f>WorkLocationCoefficients!B81</f>
        <v>80</v>
      </c>
      <c r="U73" t="str">
        <f>WorkLocationCoefficients!C81</f>
        <v>Gamma80</v>
      </c>
      <c r="V73" s="40">
        <f>WorkLocationCoefficients!E81</f>
        <v>0</v>
      </c>
      <c r="W73" s="162">
        <f>_xlfn.IFNA(VLOOKUP(T73,$M$13:$Q$39,5,FALSE),_xlfn.IFNA(VLOOKUP(T73,calibration_flow!$AD$3:$AH$25,5,FALSE),V73))</f>
        <v>0</v>
      </c>
      <c r="X73" s="95">
        <f si="6" t="shared"/>
        <v>0</v>
      </c>
    </row>
    <row ht="15.75" r="74" spans="1:24" thickBot="1" x14ac:dyDescent="0.3">
      <c r="A74">
        <f>TLFD!A48+0.5</f>
        <v>37.5</v>
      </c>
      <c r="B74" s="81">
        <f si="4" t="shared"/>
        <v>3.6506582412937387</v>
      </c>
      <c r="C74" s="78">
        <f>TLFD!C48/SUM(TLFD!$C$11:$C$100)</f>
        <v>2.3637095337555119E-3</v>
      </c>
      <c r="D74" s="78">
        <f>TLFD!I48/SUM(TLFD!$I$11:$I$100)</f>
        <v>3.404938858157713E-3</v>
      </c>
      <c r="E74" s="78">
        <f>TLFD!D48/SUM(TLFD!$D$11:$D$101)</f>
        <v>0</v>
      </c>
      <c r="F74" s="78">
        <f>TLFD!J48/SUM(TLFD!$J$11:$J$100)</f>
        <v>2.4664368395975224E-3</v>
      </c>
      <c r="G74" s="141">
        <f si="3" t="shared"/>
        <v>-0.36499476161922945</v>
      </c>
      <c r="H74" s="141">
        <f si="5" t="shared"/>
        <v>0</v>
      </c>
      <c r="T74" s="72">
        <f>WorkLocationCoefficients!B82</f>
        <v>101</v>
      </c>
      <c r="U74" s="72" t="str">
        <f>WorkLocationCoefficients!C82</f>
        <v>DestD_1</v>
      </c>
      <c r="V74" s="73">
        <f>WorkLocationCoefficients!E82</f>
        <v>0</v>
      </c>
      <c r="W74" s="162">
        <f>_xlfn.IFNA(VLOOKUP(T74,$M$13:$Q$39,5,FALSE),_xlfn.IFNA(VLOOKUP(T74,calibration_flow!$AD$3:$AH$25,5,FALSE),V74))</f>
        <v>0</v>
      </c>
      <c r="X74" s="95">
        <f si="6" t="shared"/>
        <v>0</v>
      </c>
    </row>
    <row r="75" spans="1:24" x14ac:dyDescent="0.25">
      <c r="A75">
        <f>TLFD!A49+0.5</f>
        <v>38.5</v>
      </c>
      <c r="B75" s="81">
        <f si="4" t="shared"/>
        <v>3.6763006719070761</v>
      </c>
      <c r="C75" s="78">
        <f>TLFD!C49/SUM(TLFD!$C$11:$C$100)</f>
        <v>0</v>
      </c>
      <c r="D75" s="78">
        <f>TLFD!I49/SUM(TLFD!$I$11:$I$100)</f>
        <v>3.404938858157713E-3</v>
      </c>
      <c r="E75" s="78">
        <f>TLFD!D49/SUM(TLFD!$D$11:$D$101)</f>
        <v>1.3885065413320262E-3</v>
      </c>
      <c r="F75" s="78">
        <f>TLFD!J49/SUM(TLFD!$J$11:$J$100)</f>
        <v>2.7467137531881499E-3</v>
      </c>
      <c r="G75" s="141">
        <f si="3" t="shared"/>
        <v>0</v>
      </c>
      <c r="H75" s="141">
        <f si="5" t="shared"/>
        <v>-0.68217645942557326</v>
      </c>
      <c r="J75" s="86" t="s">
        <v>276</v>
      </c>
      <c r="K75" s="86"/>
      <c r="T75" s="72">
        <f>WorkLocationCoefficients!B83</f>
        <v>102</v>
      </c>
      <c r="U75" s="72" t="str">
        <f>WorkLocationCoefficients!C83</f>
        <v>DestD_2</v>
      </c>
      <c r="V75" s="73">
        <f>WorkLocationCoefficients!E83</f>
        <v>6.1585552388600001E-2</v>
      </c>
      <c r="W75" s="162">
        <f>_xlfn.IFNA(VLOOKUP(T75,$M$13:$Q$39,5,FALSE),_xlfn.IFNA(VLOOKUP(T75,calibration_flow!$AD$3:$AH$25,5,FALSE),V75))</f>
        <v>0.42465496713324447</v>
      </c>
      <c r="X75" s="95">
        <f si="6" t="shared"/>
        <v>1</v>
      </c>
    </row>
    <row r="76" spans="1:24" x14ac:dyDescent="0.25">
      <c r="A76">
        <f>TLFD!A50+0.5</f>
        <v>39.5</v>
      </c>
      <c r="B76" s="81">
        <f si="4" t="shared"/>
        <v>3.7013019741124933</v>
      </c>
      <c r="C76" s="78">
        <f>TLFD!C50/SUM(TLFD!$C$11:$C$100)</f>
        <v>0</v>
      </c>
      <c r="D76" s="78">
        <f>TLFD!I50/SUM(TLFD!$I$11:$I$100)</f>
        <v>2.5452200766959651E-3</v>
      </c>
      <c r="E76" s="78">
        <f>TLFD!D50/SUM(TLFD!$D$11:$D$101)</f>
        <v>0</v>
      </c>
      <c r="F76" s="78">
        <f>TLFD!J50/SUM(TLFD!$J$11:$J$100)</f>
        <v>1.6256060988256397E-3</v>
      </c>
      <c r="G76" s="141">
        <f si="3" t="shared"/>
        <v>0</v>
      </c>
      <c r="H76" s="141">
        <f si="5" t="shared"/>
        <v>0</v>
      </c>
      <c r="J76" s="84" t="s">
        <v>277</v>
      </c>
      <c r="K76" s="84">
        <v>0.15401022166034731</v>
      </c>
      <c r="T76" s="72">
        <f>WorkLocationCoefficients!B84</f>
        <v>103</v>
      </c>
      <c r="U76" s="72" t="str">
        <f>WorkLocationCoefficients!C84</f>
        <v>DestD_3</v>
      </c>
      <c r="V76" s="73">
        <f>WorkLocationCoefficients!E84</f>
        <v>-0.17738509358310001</v>
      </c>
      <c r="W76" s="162">
        <f>_xlfn.IFNA(VLOOKUP(T76,$M$13:$Q$39,5,FALSE),_xlfn.IFNA(VLOOKUP(T76,calibration_flow!$AD$3:$AH$25,5,FALSE),V76))</f>
        <v>0.42857456139487554</v>
      </c>
      <c r="X76" s="95">
        <f si="6" t="shared"/>
        <v>1</v>
      </c>
    </row>
    <row r="77" spans="1:24" x14ac:dyDescent="0.25">
      <c r="A77">
        <f>TLFD!A51+0.5</f>
        <v>40.5</v>
      </c>
      <c r="B77" s="81">
        <f si="4" t="shared"/>
        <v>3.7256934272366524</v>
      </c>
      <c r="C77" s="78">
        <f>TLFD!C51/SUM(TLFD!$C$11:$C$100)</f>
        <v>0</v>
      </c>
      <c r="D77" s="78">
        <f>TLFD!I51/SUM(TLFD!$I$11:$I$100)</f>
        <v>2.1832332213436501E-3</v>
      </c>
      <c r="E77" s="78">
        <f>TLFD!D51/SUM(TLFD!$D$11:$D$101)</f>
        <v>0</v>
      </c>
      <c r="F77" s="78">
        <f>TLFD!J51/SUM(TLFD!$J$11:$J$100)</f>
        <v>1.4854676420303259E-3</v>
      </c>
      <c r="G77" s="141">
        <f si="3" t="shared"/>
        <v>0</v>
      </c>
      <c r="H77" s="141">
        <f si="5" t="shared"/>
        <v>0</v>
      </c>
      <c r="J77" s="84" t="s">
        <v>278</v>
      </c>
      <c r="K77" s="84">
        <v>2.371914837586931E-2</v>
      </c>
      <c r="T77" s="72">
        <f>WorkLocationCoefficients!B85</f>
        <v>104</v>
      </c>
      <c r="U77" s="72" t="str">
        <f>WorkLocationCoefficients!C85</f>
        <v>DestD_4</v>
      </c>
      <c r="V77" s="73">
        <f>WorkLocationCoefficients!E85</f>
        <v>0.2419007637824</v>
      </c>
      <c r="W77" s="162">
        <f>_xlfn.IFNA(VLOOKUP(T77,$M$13:$Q$39,5,FALSE),_xlfn.IFNA(VLOOKUP(T77,calibration_flow!$AD$3:$AH$25,5,FALSE),V77))</f>
        <v>1.5467988742408982</v>
      </c>
      <c r="X77" s="95">
        <f si="6" t="shared"/>
        <v>1</v>
      </c>
    </row>
    <row r="78" spans="1:24" x14ac:dyDescent="0.25">
      <c r="A78">
        <f>TLFD!A52+0.5</f>
        <v>41.5</v>
      </c>
      <c r="B78" s="81">
        <f si="4" t="shared"/>
        <v>3.7495040759303713</v>
      </c>
      <c r="C78" s="78">
        <f>TLFD!C52/SUM(TLFD!$C$11:$C$100)</f>
        <v>0</v>
      </c>
      <c r="D78" s="78">
        <f>TLFD!I52/SUM(TLFD!$I$11:$I$100)</f>
        <v>2.0248639721270121E-3</v>
      </c>
      <c r="E78" s="78">
        <f>TLFD!D52/SUM(TLFD!$D$11:$D$101)</f>
        <v>0</v>
      </c>
      <c r="F78" s="78">
        <f>TLFD!J52/SUM(TLFD!$J$11:$J$100)</f>
        <v>1.2892738025168868E-3</v>
      </c>
      <c r="G78" s="141">
        <f si="3" t="shared"/>
        <v>0</v>
      </c>
      <c r="H78" s="141">
        <f si="5" t="shared"/>
        <v>0</v>
      </c>
      <c r="J78" s="84" t="s">
        <v>279</v>
      </c>
      <c r="K78" s="84">
        <v>1.2483193319689537E-2</v>
      </c>
      <c r="T78" s="72">
        <f>WorkLocationCoefficients!B86</f>
        <v>105</v>
      </c>
      <c r="U78" s="72" t="str">
        <f>WorkLocationCoefficients!C86</f>
        <v>DestD_5</v>
      </c>
      <c r="V78" s="73">
        <f>WorkLocationCoefficients!E86</f>
        <v>-3.3705109193499998E-2</v>
      </c>
      <c r="W78" s="162">
        <f>_xlfn.IFNA(VLOOKUP(T78,$M$13:$Q$39,5,FALSE),_xlfn.IFNA(VLOOKUP(T78,calibration_flow!$AD$3:$AH$25,5,FALSE),V78))</f>
        <v>0.45468552512236493</v>
      </c>
      <c r="X78" s="95">
        <f si="6" t="shared"/>
        <v>1</v>
      </c>
    </row>
    <row r="79" spans="1:24" x14ac:dyDescent="0.25">
      <c r="A79">
        <f>TLFD!A53+0.5</f>
        <v>42.5</v>
      </c>
      <c r="B79" s="81">
        <f si="4" t="shared"/>
        <v>3.7727609380946383</v>
      </c>
      <c r="C79" s="78">
        <f>TLFD!C53/SUM(TLFD!$C$11:$C$100)</f>
        <v>4.8210245781944825E-4</v>
      </c>
      <c r="D79" s="78">
        <f>TLFD!I53/SUM(TLFD!$I$11:$I$100)</f>
        <v>2.1153606859650909E-3</v>
      </c>
      <c r="E79" s="78">
        <f>TLFD!D53/SUM(TLFD!$D$11:$D$101)</f>
        <v>0</v>
      </c>
      <c r="F79" s="78">
        <f>TLFD!J53/SUM(TLFD!$J$11:$J$100)</f>
        <v>1.2332184197987612E-3</v>
      </c>
      <c r="G79" s="141">
        <f si="3" t="shared"/>
        <v>-1.4788239544885675</v>
      </c>
      <c r="H79" s="141">
        <f si="5" t="shared"/>
        <v>0</v>
      </c>
      <c r="J79" s="84" t="s">
        <v>280</v>
      </c>
      <c r="K79" s="84">
        <v>0.76424537909254264</v>
      </c>
      <c r="T79" s="72">
        <f>WorkLocationCoefficients!B87</f>
        <v>106</v>
      </c>
      <c r="U79" s="72" t="str">
        <f>WorkLocationCoefficients!C87</f>
        <v>DestD_6</v>
      </c>
      <c r="V79" s="73">
        <f>WorkLocationCoefficients!E87</f>
        <v>0.1143372177009</v>
      </c>
      <c r="W79" s="162">
        <f>_xlfn.IFNA(VLOOKUP(T79,$M$13:$Q$39,5,FALSE),_xlfn.IFNA(VLOOKUP(T79,calibration_flow!$AD$3:$AH$25,5,FALSE),V79))</f>
        <v>0.16781802913301455</v>
      </c>
      <c r="X79" s="95">
        <f si="6" t="shared"/>
        <v>1</v>
      </c>
    </row>
    <row ht="15.75" r="80" spans="1:24" thickBot="1" x14ac:dyDescent="0.3">
      <c r="A80">
        <f>TLFD!A54+0.5</f>
        <v>43.5</v>
      </c>
      <c r="B80" s="81">
        <f si="4" t="shared"/>
        <v>3.7954891891721947</v>
      </c>
      <c r="C80" s="78">
        <f>TLFD!C54/SUM(TLFD!$C$11:$C$100)</f>
        <v>1.2521201547592157E-3</v>
      </c>
      <c r="D80" s="78">
        <f>TLFD!I54/SUM(TLFD!$I$11:$I$100)</f>
        <v>1.7307496521532563E-3</v>
      </c>
      <c r="E80" s="78">
        <f>TLFD!D54/SUM(TLFD!$D$11:$D$101)</f>
        <v>0</v>
      </c>
      <c r="F80" s="78">
        <f>TLFD!J54/SUM(TLFD!$J$11:$J$100)</f>
        <v>1.1211076543625102E-3</v>
      </c>
      <c r="G80" s="141">
        <f si="3" t="shared"/>
        <v>-0.32371640126760481</v>
      </c>
      <c r="H80" s="141">
        <f si="5" t="shared"/>
        <v>0</v>
      </c>
      <c r="J80" s="88" t="s">
        <v>281</v>
      </c>
      <c r="K80" s="88">
        <v>90</v>
      </c>
      <c r="T80" s="72">
        <f>WorkLocationCoefficients!B88</f>
        <v>107</v>
      </c>
      <c r="U80" s="72" t="str">
        <f>WorkLocationCoefficients!C88</f>
        <v>DestD_7</v>
      </c>
      <c r="V80" s="73">
        <f>WorkLocationCoefficients!E88</f>
        <v>0.29549776405130002</v>
      </c>
      <c r="W80" s="162">
        <f>_xlfn.IFNA(VLOOKUP(T80,$M$13:$Q$39,5,FALSE),_xlfn.IFNA(VLOOKUP(T80,calibration_flow!$AD$3:$AH$25,5,FALSE),V80))</f>
        <v>0.25682490300143451</v>
      </c>
      <c r="X80" s="95">
        <f si="6" t="shared"/>
        <v>1</v>
      </c>
    </row>
    <row r="81" spans="1:24" x14ac:dyDescent="0.25">
      <c r="A81">
        <f>TLFD!A55+0.5</f>
        <v>44.5</v>
      </c>
      <c r="B81" s="81">
        <f si="4" t="shared"/>
        <v>3.8177123259569048</v>
      </c>
      <c r="C81" s="78">
        <f>TLFD!C55/SUM(TLFD!$C$11:$C$100)</f>
        <v>0</v>
      </c>
      <c r="D81" s="78">
        <f>TLFD!I55/SUM(TLFD!$I$11:$I$100)</f>
        <v>1.3800748860307011E-3</v>
      </c>
      <c r="E81" s="78">
        <f>TLFD!D55/SUM(TLFD!$D$11:$D$101)</f>
        <v>0</v>
      </c>
      <c r="F81" s="78">
        <f>TLFD!J55/SUM(TLFD!$J$11:$J$100)</f>
        <v>8.1280304941281983E-4</v>
      </c>
      <c r="G81" s="141">
        <f si="3" t="shared"/>
        <v>0</v>
      </c>
      <c r="H81" s="141">
        <f si="5" t="shared"/>
        <v>0</v>
      </c>
      <c r="T81" s="72">
        <f>WorkLocationCoefficients!B89</f>
        <v>108</v>
      </c>
      <c r="U81" s="72" t="str">
        <f>WorkLocationCoefficients!C89</f>
        <v>DestD_8</v>
      </c>
      <c r="V81" s="73">
        <f>WorkLocationCoefficients!E89</f>
        <v>-0.24958234591280001</v>
      </c>
      <c r="W81" s="162">
        <f>_xlfn.IFNA(VLOOKUP(T81,$M$13:$Q$39,5,FALSE),_xlfn.IFNA(VLOOKUP(T81,calibration_flow!$AD$3:$AH$25,5,FALSE),V81))</f>
        <v>2.1896417872655944</v>
      </c>
      <c r="X81" s="95">
        <f si="6" t="shared"/>
        <v>1</v>
      </c>
    </row>
    <row ht="15.75" r="82" spans="1:24" thickBot="1" x14ac:dyDescent="0.3">
      <c r="A82">
        <f>TLFD!A56+0.5</f>
        <v>45.5</v>
      </c>
      <c r="B82" s="81">
        <f si="4" t="shared"/>
        <v>3.8394523125933104</v>
      </c>
      <c r="C82" s="78">
        <f>TLFD!C56/SUM(TLFD!$C$11:$C$100)</f>
        <v>0</v>
      </c>
      <c r="D82" s="78">
        <f>TLFD!I56/SUM(TLFD!$I$11:$I$100)</f>
        <v>1.2782660829628624E-3</v>
      </c>
      <c r="E82" s="78">
        <f>TLFD!D56/SUM(TLFD!$D$11:$D$101)</f>
        <v>0</v>
      </c>
      <c r="F82" s="78">
        <f>TLFD!J56/SUM(TLFD!$J$11:$J$100)</f>
        <v>7.5674766669469435E-4</v>
      </c>
      <c r="G82" s="141">
        <f si="3" t="shared"/>
        <v>0</v>
      </c>
      <c r="H82" s="141">
        <f si="5" t="shared"/>
        <v>0</v>
      </c>
      <c r="J82" t="s">
        <v>282</v>
      </c>
      <c r="T82" s="72">
        <f>WorkLocationCoefficients!B90</f>
        <v>109</v>
      </c>
      <c r="U82" s="72" t="str">
        <f>WorkLocationCoefficients!C90</f>
        <v>DestD_9</v>
      </c>
      <c r="V82" s="73">
        <f>WorkLocationCoefficients!E90</f>
        <v>0.1613318461263</v>
      </c>
      <c r="W82" s="162">
        <f>_xlfn.IFNA(VLOOKUP(T82,$M$13:$Q$39,5,FALSE),_xlfn.IFNA(VLOOKUP(T82,calibration_flow!$AD$3:$AH$25,5,FALSE),V82))</f>
        <v>0.50957067647876952</v>
      </c>
      <c r="X82" s="95">
        <f si="6" t="shared"/>
        <v>1</v>
      </c>
    </row>
    <row r="83" spans="1:24" x14ac:dyDescent="0.25">
      <c r="A83">
        <f>TLFD!A57+0.5</f>
        <v>46.5</v>
      </c>
      <c r="B83" s="81">
        <f si="4" t="shared"/>
        <v>3.8607297110405954</v>
      </c>
      <c r="C83" s="78">
        <f>TLFD!C57/SUM(TLFD!$C$11:$C$100)</f>
        <v>0</v>
      </c>
      <c r="D83" s="78">
        <f>TLFD!I57/SUM(TLFD!$I$11:$I$100)</f>
        <v>1.3235144398819018E-3</v>
      </c>
      <c r="E83" s="78">
        <f>TLFD!D57/SUM(TLFD!$D$11:$D$101)</f>
        <v>0</v>
      </c>
      <c r="F83" s="78">
        <f>TLFD!J57/SUM(TLFD!$J$11:$J$100)</f>
        <v>7.5674766669469435E-4</v>
      </c>
      <c r="G83" s="141">
        <f si="3" t="shared"/>
        <v>0</v>
      </c>
      <c r="H83" s="141">
        <f si="5" t="shared"/>
        <v>0</v>
      </c>
      <c r="J83" s="89"/>
      <c r="K83" s="89" t="s">
        <v>283</v>
      </c>
      <c r="L83" s="89" t="s">
        <v>284</v>
      </c>
      <c r="M83" s="89" t="s">
        <v>285</v>
      </c>
      <c r="N83" s="89" t="s">
        <v>94</v>
      </c>
      <c r="O83" s="89" t="s">
        <v>286</v>
      </c>
      <c r="T83" s="72">
        <f>WorkLocationCoefficients!B91</f>
        <v>110</v>
      </c>
      <c r="U83" s="72" t="str">
        <f>WorkLocationCoefficients!C91</f>
        <v>DestD_10</v>
      </c>
      <c r="V83" s="73">
        <f>WorkLocationCoefficients!E91</f>
        <v>-4.5588844644699998E-2</v>
      </c>
      <c r="W83" s="162">
        <f>_xlfn.IFNA(VLOOKUP(T83,$M$13:$Q$39,5,FALSE),_xlfn.IFNA(VLOOKUP(T83,calibration_flow!$AD$3:$AH$25,5,FALSE),V83))</f>
        <v>0.58272141331605798</v>
      </c>
      <c r="X83" s="95">
        <f si="6" t="shared"/>
        <v>1</v>
      </c>
    </row>
    <row r="84" spans="1:24" x14ac:dyDescent="0.25">
      <c r="A84">
        <f>TLFD!A58+0.5</f>
        <v>47.5</v>
      </c>
      <c r="B84" s="81">
        <f si="4" t="shared"/>
        <v>3.8815637979434374</v>
      </c>
      <c r="C84" s="78">
        <f>TLFD!C58/SUM(TLFD!$C$11:$C$100)</f>
        <v>0</v>
      </c>
      <c r="D84" s="78">
        <f>TLFD!I58/SUM(TLFD!$I$11:$I$100)</f>
        <v>9.1627922761054737E-4</v>
      </c>
      <c r="E84" s="78">
        <f>TLFD!D58/SUM(TLFD!$D$11:$D$101)</f>
        <v>0</v>
      </c>
      <c r="F84" s="78">
        <f>TLFD!J58/SUM(TLFD!$J$11:$J$100)</f>
        <v>7.0069228397656887E-4</v>
      </c>
      <c r="G84" s="141">
        <f si="3" t="shared"/>
        <v>0</v>
      </c>
      <c r="H84" s="141">
        <f si="5" t="shared"/>
        <v>0</v>
      </c>
      <c r="J84" s="84" t="s">
        <v>287</v>
      </c>
      <c r="K84" s="84">
        <v>1</v>
      </c>
      <c r="L84" s="84">
        <v>1.2629320078343724</v>
      </c>
      <c r="M84" s="84">
        <v>1.2629320078343724</v>
      </c>
      <c r="N84" s="84">
        <v>2.1622919285372895</v>
      </c>
      <c r="O84" s="84">
        <v>0.14500021604772662</v>
      </c>
      <c r="T84" s="72">
        <f>WorkLocationCoefficients!B92</f>
        <v>111</v>
      </c>
      <c r="U84" s="72" t="str">
        <f>WorkLocationCoefficients!C92</f>
        <v>DestD_11</v>
      </c>
      <c r="V84" s="73">
        <f>WorkLocationCoefficients!E92</f>
        <v>-0.14910096747439999</v>
      </c>
      <c r="W84" s="162">
        <f>_xlfn.IFNA(VLOOKUP(T84,$M$13:$Q$39,5,FALSE),_xlfn.IFNA(VLOOKUP(T84,calibration_flow!$AD$3:$AH$25,5,FALSE),V84))</f>
        <v>1.1870234722888058</v>
      </c>
      <c r="X84" s="95">
        <f si="6" t="shared"/>
        <v>1</v>
      </c>
    </row>
    <row r="85" spans="1:24" x14ac:dyDescent="0.25">
      <c r="A85">
        <f>TLFD!A59+0.5</f>
        <v>48.5</v>
      </c>
      <c r="B85" s="81">
        <f si="4" t="shared"/>
        <v>3.9019726695746448</v>
      </c>
      <c r="C85" s="78">
        <f>TLFD!C59/SUM(TLFD!$C$11:$C$100)</f>
        <v>0</v>
      </c>
      <c r="D85" s="78">
        <f>TLFD!I59/SUM(TLFD!$I$11:$I$100)</f>
        <v>8.4840669223198832E-4</v>
      </c>
      <c r="E85" s="78">
        <f>TLFD!D59/SUM(TLFD!$D$11:$D$101)</f>
        <v>0</v>
      </c>
      <c r="F85" s="78">
        <f>TLFD!J59/SUM(TLFD!$J$11:$J$100)</f>
        <v>4.7647075310406684E-4</v>
      </c>
      <c r="G85" s="141">
        <f si="3" t="shared"/>
        <v>0</v>
      </c>
      <c r="H85" s="141">
        <f si="5" t="shared"/>
        <v>0</v>
      </c>
      <c r="J85" s="84" t="s">
        <v>288</v>
      </c>
      <c r="K85" s="84">
        <v>89</v>
      </c>
      <c r="L85" s="84">
        <v>51.982318952323077</v>
      </c>
      <c r="M85" s="84">
        <v>0.58407099946430419</v>
      </c>
      <c r="N85" s="84"/>
      <c r="O85" s="84"/>
      <c r="T85" s="72">
        <f>WorkLocationCoefficients!B93</f>
        <v>112</v>
      </c>
      <c r="U85" s="72" t="str">
        <f>WorkLocationCoefficients!C93</f>
        <v>DestD_12</v>
      </c>
      <c r="V85" s="73">
        <f>WorkLocationCoefficients!E93</f>
        <v>0.17468608903999999</v>
      </c>
      <c r="W85" s="162">
        <f>_xlfn.IFNA(VLOOKUP(T85,$M$13:$Q$39,5,FALSE),_xlfn.IFNA(VLOOKUP(T85,calibration_flow!$AD$3:$AH$25,5,FALSE),V85))</f>
        <v>0.87521451267732231</v>
      </c>
      <c r="X85" s="95">
        <f si="6" t="shared"/>
        <v>1</v>
      </c>
    </row>
    <row ht="15.75" r="86" spans="1:24" thickBot="1" x14ac:dyDescent="0.3">
      <c r="A86">
        <f>TLFD!A60+0.5</f>
        <v>49.5</v>
      </c>
      <c r="B86" s="81">
        <f si="4" t="shared"/>
        <v>3.9219733362813143</v>
      </c>
      <c r="C86" s="78">
        <f>TLFD!C60/SUM(TLFD!$C$11:$C$100)</f>
        <v>0</v>
      </c>
      <c r="D86" s="78">
        <f>TLFD!I60/SUM(TLFD!$I$11:$I$100)</f>
        <v>7.3528579993438991E-4</v>
      </c>
      <c r="E86" s="78">
        <f>TLFD!D60/SUM(TLFD!$D$11:$D$101)</f>
        <v>0</v>
      </c>
      <c r="F86" s="78">
        <f>TLFD!J60/SUM(TLFD!$J$11:$J$100)</f>
        <v>3.3633229630875304E-4</v>
      </c>
      <c r="G86" s="141">
        <f si="3" t="shared"/>
        <v>0</v>
      </c>
      <c r="H86" s="141">
        <f si="5" t="shared"/>
        <v>0</v>
      </c>
      <c r="J86" s="88" t="s">
        <v>3</v>
      </c>
      <c r="K86" s="88">
        <v>90</v>
      </c>
      <c r="L86" s="88">
        <v>53.245250960157449</v>
      </c>
      <c r="M86" s="88"/>
      <c r="N86" s="88"/>
      <c r="O86" s="88"/>
      <c r="T86" s="72">
        <f>WorkLocationCoefficients!B94</f>
        <v>113</v>
      </c>
      <c r="U86" s="72" t="str">
        <f>WorkLocationCoefficients!C94</f>
        <v>DestD_13</v>
      </c>
      <c r="V86" s="73">
        <f>WorkLocationCoefficients!E94</f>
        <v>1.3048994599762</v>
      </c>
      <c r="W86" s="162">
        <f>_xlfn.IFNA(VLOOKUP(T86,$M$13:$Q$39,5,FALSE),_xlfn.IFNA(VLOOKUP(T86,calibration_flow!$AD$3:$AH$25,5,FALSE),V86))</f>
        <v>1.5732075608388012</v>
      </c>
      <c r="X86" s="95">
        <f si="6" t="shared"/>
        <v>1</v>
      </c>
    </row>
    <row ht="15.75" r="87" spans="1:24" thickBot="1" x14ac:dyDescent="0.3">
      <c r="A87">
        <f>TLFD!A61+0.5</f>
        <v>50.5</v>
      </c>
      <c r="B87" s="81">
        <f si="4" t="shared"/>
        <v>3.9415818076696905</v>
      </c>
      <c r="C87" s="78">
        <f>TLFD!C61/SUM(TLFD!$C$11:$C$100)</f>
        <v>0</v>
      </c>
      <c r="D87" s="78">
        <f>TLFD!I61/SUM(TLFD!$I$11:$I$100)</f>
        <v>7.1266162147487022E-4</v>
      </c>
      <c r="E87" s="78">
        <f>TLFD!D61/SUM(TLFD!$D$11:$D$101)</f>
        <v>0</v>
      </c>
      <c r="F87" s="78">
        <f>TLFD!J61/SUM(TLFD!$J$11:$J$100)</f>
        <v>4.7647075310406684E-4</v>
      </c>
      <c r="G87" s="141">
        <f si="3" t="shared"/>
        <v>0</v>
      </c>
      <c r="H87" s="141">
        <f si="5" t="shared"/>
        <v>0</v>
      </c>
      <c r="T87" s="72">
        <f>WorkLocationCoefficients!B95</f>
        <v>114</v>
      </c>
      <c r="U87" s="72" t="str">
        <f>WorkLocationCoefficients!C95</f>
        <v>DestD_14</v>
      </c>
      <c r="V87" s="73">
        <f>WorkLocationCoefficients!E95</f>
        <v>4.9409553856600001E-2</v>
      </c>
      <c r="W87" s="162">
        <f>_xlfn.IFNA(VLOOKUP(T87,$M$13:$Q$39,5,FALSE),_xlfn.IFNA(VLOOKUP(T87,calibration_flow!$AD$3:$AH$25,5,FALSE),V87))</f>
        <v>-0.90782740244924076</v>
      </c>
      <c r="X87" s="95">
        <f si="6" t="shared"/>
        <v>1</v>
      </c>
    </row>
    <row r="88" spans="1:24" x14ac:dyDescent="0.25">
      <c r="A88">
        <f>TLFD!A62+0.5</f>
        <v>51.5</v>
      </c>
      <c r="B88" s="81">
        <f si="4" t="shared"/>
        <v>3.9608131695975781</v>
      </c>
      <c r="C88" s="78">
        <f>TLFD!C62/SUM(TLFD!$C$11:$C$100)</f>
        <v>7.3966194583789994E-4</v>
      </c>
      <c r="D88" s="78">
        <f>TLFD!I62/SUM(TLFD!$I$11:$I$100)</f>
        <v>6.787253537855907E-4</v>
      </c>
      <c r="E88" s="78">
        <f>TLFD!D62/SUM(TLFD!$D$11:$D$101)</f>
        <v>0</v>
      </c>
      <c r="F88" s="78">
        <f>TLFD!J62/SUM(TLFD!$J$11:$J$100)</f>
        <v>1.4013845679531378E-4</v>
      </c>
      <c r="G88" s="141">
        <f si="3" t="shared"/>
        <v>8.5976692463412246E-2</v>
      </c>
      <c r="H88" s="141">
        <f si="5" t="shared"/>
        <v>0</v>
      </c>
      <c r="J88" s="89"/>
      <c r="K88" s="89" t="s">
        <v>289</v>
      </c>
      <c r="L88" s="89" t="s">
        <v>280</v>
      </c>
      <c r="M88" s="89" t="s">
        <v>290</v>
      </c>
      <c r="N88" s="89" t="s">
        <v>291</v>
      </c>
      <c r="O88" s="89" t="s">
        <v>292</v>
      </c>
      <c r="P88" s="89" t="s">
        <v>293</v>
      </c>
      <c r="Q88" s="89" t="s">
        <v>294</v>
      </c>
      <c r="R88" s="89" t="s">
        <v>295</v>
      </c>
      <c r="T88" s="72">
        <f>WorkLocationCoefficients!B96</f>
        <v>115</v>
      </c>
      <c r="U88" s="72" t="str">
        <f>WorkLocationCoefficients!C96</f>
        <v>DestD_15</v>
      </c>
      <c r="V88" s="73">
        <f>WorkLocationCoefficients!E96</f>
        <v>0.21697886195819999</v>
      </c>
      <c r="W88" s="162">
        <f>_xlfn.IFNA(VLOOKUP(T88,$M$13:$Q$39,5,FALSE),_xlfn.IFNA(VLOOKUP(T88,calibration_flow!$AD$3:$AH$25,5,FALSE),V88))</f>
        <v>0.72415686563269599</v>
      </c>
      <c r="X88" s="95">
        <f si="6" t="shared"/>
        <v>1</v>
      </c>
    </row>
    <row r="89" spans="1:24" x14ac:dyDescent="0.25">
      <c r="A89">
        <f>TLFD!A63+0.5</f>
        <v>52.5</v>
      </c>
      <c r="B89" s="81">
        <f si="4" t="shared"/>
        <v>3.9796816539019608</v>
      </c>
      <c r="C89" s="78">
        <f>TLFD!C63/SUM(TLFD!$C$11:$C$100)</f>
        <v>0</v>
      </c>
      <c r="D89" s="78">
        <f>TLFD!I63/SUM(TLFD!$I$11:$I$100)</f>
        <v>5.5429237225823234E-4</v>
      </c>
      <c r="E89" s="78">
        <f>TLFD!D63/SUM(TLFD!$D$11:$D$101)</f>
        <v>0</v>
      </c>
      <c r="F89" s="78">
        <f>TLFD!J63/SUM(TLFD!$J$11:$J$100)</f>
        <v>3.3633229630875304E-4</v>
      </c>
      <c r="G89" s="141">
        <f si="3" t="shared"/>
        <v>0</v>
      </c>
      <c r="H89" s="141">
        <f si="5" t="shared"/>
        <v>0</v>
      </c>
      <c r="J89" s="84" t="s">
        <v>296</v>
      </c>
      <c r="K89" s="84">
        <v>0</v>
      </c>
      <c r="L89" s="84" t="e">
        <v>#N/A</v>
      </c>
      <c r="M89" s="84" t="e">
        <v>#N/A</v>
      </c>
      <c r="N89" s="84" t="e">
        <v>#N/A</v>
      </c>
      <c r="O89" s="84" t="e">
        <v>#N/A</v>
      </c>
      <c r="P89" s="84" t="e">
        <v>#N/A</v>
      </c>
      <c r="Q89" s="84" t="e">
        <v>#N/A</v>
      </c>
      <c r="R89" s="84" t="e">
        <v>#N/A</v>
      </c>
      <c r="T89" s="72">
        <f>WorkLocationCoefficients!B97</f>
        <v>116</v>
      </c>
      <c r="U89" s="72" t="str">
        <f>WorkLocationCoefficients!C97</f>
        <v>DestD_16</v>
      </c>
      <c r="V89" s="73">
        <f>WorkLocationCoefficients!E97</f>
        <v>-0.46096256471820002</v>
      </c>
      <c r="W89" s="162">
        <f>_xlfn.IFNA(VLOOKUP(T89,$M$13:$Q$39,5,FALSE),_xlfn.IFNA(VLOOKUP(T89,calibration_flow!$AD$3:$AH$25,5,FALSE),V89))</f>
        <v>0.70247450989655214</v>
      </c>
      <c r="X89" s="95">
        <f si="6" t="shared"/>
        <v>1</v>
      </c>
    </row>
    <row ht="15.75" r="90" spans="1:24" thickBot="1" x14ac:dyDescent="0.3">
      <c r="A90">
        <f>TLFD!A64+0.5</f>
        <v>53.5</v>
      </c>
      <c r="B90" s="81">
        <f si="4" t="shared"/>
        <v>3.9982007016691985</v>
      </c>
      <c r="C90" s="78">
        <f>TLFD!C64/SUM(TLFD!$C$11:$C$100)</f>
        <v>0</v>
      </c>
      <c r="D90" s="78">
        <f>TLFD!I64/SUM(TLFD!$I$11:$I$100)</f>
        <v>4.8641983687967329E-4</v>
      </c>
      <c r="E90" s="78">
        <f>TLFD!D64/SUM(TLFD!$D$11:$D$101)</f>
        <v>0</v>
      </c>
      <c r="F90" s="78">
        <f>TLFD!J64/SUM(TLFD!$J$11:$J$100)</f>
        <v>2.2422153087250203E-4</v>
      </c>
      <c r="G90" s="141">
        <f si="3" t="shared"/>
        <v>0</v>
      </c>
      <c r="H90" s="141">
        <f si="5" t="shared"/>
        <v>0</v>
      </c>
      <c r="J90" s="88" t="s">
        <v>297</v>
      </c>
      <c r="K90" s="88">
        <v>3.2297982090088391E-2</v>
      </c>
      <c r="L90" s="88">
        <v>2.1964343437954996E-2</v>
      </c>
      <c r="M90" s="88">
        <v>1.4704733688636729</v>
      </c>
      <c r="N90" s="88">
        <v>0.14496023952276038</v>
      </c>
      <c r="O90" s="88">
        <v>-1.1344700469768834E-2</v>
      </c>
      <c r="P90" s="88">
        <v>7.5940664649945616E-2</v>
      </c>
      <c r="Q90" s="88">
        <v>-1.1344700469768834E-2</v>
      </c>
      <c r="R90" s="88">
        <v>7.5940664649945616E-2</v>
      </c>
      <c r="T90" s="72">
        <f>WorkLocationCoefficients!B98</f>
        <v>117</v>
      </c>
      <c r="U90" s="72" t="str">
        <f>WorkLocationCoefficients!C98</f>
        <v>DestD_17</v>
      </c>
      <c r="V90" s="73">
        <f>WorkLocationCoefficients!E98</f>
        <v>-6.5598826231399995E-2</v>
      </c>
      <c r="W90" s="162">
        <f>_xlfn.IFNA(VLOOKUP(T90,$M$13:$Q$39,5,FALSE),_xlfn.IFNA(VLOOKUP(T90,calibration_flow!$AD$3:$AH$25,5,FALSE),V90))</f>
        <v>-1.8949788480423075</v>
      </c>
      <c r="X90" s="95">
        <f si="6" t="shared"/>
        <v>1</v>
      </c>
    </row>
    <row r="91" spans="1:24" x14ac:dyDescent="0.25">
      <c r="A91">
        <f>TLFD!A65+0.5</f>
        <v>54.5</v>
      </c>
      <c r="B91" s="81">
        <f si="4" t="shared"/>
        <v>4.0163830207523885</v>
      </c>
      <c r="C91" s="78">
        <f>TLFD!C65/SUM(TLFD!$C$11:$C$100)</f>
        <v>0</v>
      </c>
      <c r="D91" s="78">
        <f>TLFD!I65/SUM(TLFD!$I$11:$I$100)</f>
        <v>3.5067476612255519E-4</v>
      </c>
      <c r="E91" s="78">
        <f>TLFD!D65/SUM(TLFD!$D$11:$D$101)</f>
        <v>0</v>
      </c>
      <c r="F91" s="78">
        <f>TLFD!J65/SUM(TLFD!$J$11:$J$100)</f>
        <v>2.5224922223156476E-4</v>
      </c>
      <c r="G91" s="141">
        <f si="3" t="shared"/>
        <v>0</v>
      </c>
      <c r="H91" s="141">
        <f si="5" t="shared"/>
        <v>0</v>
      </c>
      <c r="T91" s="72">
        <f>WorkLocationCoefficients!B99</f>
        <v>118</v>
      </c>
      <c r="U91" s="72" t="str">
        <f>WorkLocationCoefficients!C99</f>
        <v>DestD_18</v>
      </c>
      <c r="V91" s="73">
        <f>WorkLocationCoefficients!E99</f>
        <v>0.30646725571720002</v>
      </c>
      <c r="W91" s="162">
        <f>_xlfn.IFNA(VLOOKUP(T91,$M$13:$Q$39,5,FALSE),_xlfn.IFNA(VLOOKUP(T91,calibration_flow!$AD$3:$AH$25,5,FALSE),V91))</f>
        <v>-0.32549474395445455</v>
      </c>
      <c r="X91" s="95">
        <f si="6" t="shared"/>
        <v>1</v>
      </c>
    </row>
    <row r="92" spans="1:24" x14ac:dyDescent="0.25">
      <c r="A92">
        <f>TLFD!A66+0.5</f>
        <v>55.5</v>
      </c>
      <c r="B92" s="81">
        <f si="4" t="shared"/>
        <v>4.0342406381523954</v>
      </c>
      <c r="C92" s="78">
        <f>TLFD!C66/SUM(TLFD!$C$11:$C$100)</f>
        <v>0</v>
      </c>
      <c r="D92" s="78">
        <f>TLFD!I66/SUM(TLFD!$I$11:$I$100)</f>
        <v>3.8461103381183471E-4</v>
      </c>
      <c r="E92" s="78">
        <f>TLFD!D66/SUM(TLFD!$D$11:$D$101)</f>
        <v>0</v>
      </c>
      <c r="F92" s="78">
        <f>TLFD!J66/SUM(TLFD!$J$11:$J$100)</f>
        <v>3.3633229630875304E-4</v>
      </c>
      <c r="G92" s="141">
        <f si="3" t="shared"/>
        <v>0</v>
      </c>
      <c r="H92" s="141">
        <f si="5" t="shared"/>
        <v>0</v>
      </c>
      <c r="T92" s="72">
        <f>WorkLocationCoefficients!B100</f>
        <v>119</v>
      </c>
      <c r="U92" s="72" t="str">
        <f>WorkLocationCoefficients!C100</f>
        <v>DestD_19</v>
      </c>
      <c r="V92" s="73">
        <f>WorkLocationCoefficients!E100</f>
        <v>0.1628137198364</v>
      </c>
      <c r="W92" s="162">
        <f>_xlfn.IFNA(VLOOKUP(T92,$M$13:$Q$39,5,FALSE),_xlfn.IFNA(VLOOKUP(T92,calibration_flow!$AD$3:$AH$25,5,FALSE),V92))</f>
        <v>4.3906606367548312E-2</v>
      </c>
      <c r="X92" s="95">
        <f si="6" t="shared"/>
        <v>1</v>
      </c>
    </row>
    <row r="93" spans="1:24" x14ac:dyDescent="0.25">
      <c r="A93">
        <f>TLFD!A67+0.5</f>
        <v>56.5</v>
      </c>
      <c r="B93" s="81">
        <f si="4" t="shared"/>
        <v>4.0517849478033048</v>
      </c>
      <c r="C93" s="78">
        <f>TLFD!C67/SUM(TLFD!$C$11:$C$100)</f>
        <v>0</v>
      </c>
      <c r="D93" s="78">
        <f>TLFD!I67/SUM(TLFD!$I$11:$I$100)</f>
        <v>3.2805058766303551E-4</v>
      </c>
      <c r="E93" s="78">
        <f>TLFD!D67/SUM(TLFD!$D$11:$D$101)</f>
        <v>0</v>
      </c>
      <c r="F93" s="78">
        <f>TLFD!J67/SUM(TLFD!$J$11:$J$100)</f>
        <v>1.1211076543625101E-4</v>
      </c>
      <c r="G93" s="141">
        <f si="3" t="shared"/>
        <v>0</v>
      </c>
      <c r="H93" s="141">
        <f si="5" t="shared"/>
        <v>0</v>
      </c>
      <c r="T93" s="72">
        <f>WorkLocationCoefficients!B101</f>
        <v>120</v>
      </c>
      <c r="U93" s="72" t="str">
        <f>WorkLocationCoefficients!C101</f>
        <v>DestD_20</v>
      </c>
      <c r="V93" s="73">
        <f>WorkLocationCoefficients!E101</f>
        <v>-0.40270863939919999</v>
      </c>
      <c r="W93" s="162">
        <f>_xlfn.IFNA(VLOOKUP(T93,$M$13:$Q$39,5,FALSE),_xlfn.IFNA(VLOOKUP(T93,calibration_flow!$AD$3:$AH$25,5,FALSE),V93))</f>
        <v>0.83046243899756289</v>
      </c>
      <c r="X93" s="95">
        <f si="6" t="shared"/>
        <v>1</v>
      </c>
    </row>
    <row r="94" spans="1:24" x14ac:dyDescent="0.25">
      <c r="A94">
        <f>TLFD!A68+0.5</f>
        <v>57.5</v>
      </c>
      <c r="B94" s="81">
        <f si="4" t="shared"/>
        <v>4.0690267542378109</v>
      </c>
      <c r="C94" s="78">
        <f>TLFD!C68/SUM(TLFD!$C$11:$C$100)</f>
        <v>0</v>
      </c>
      <c r="D94" s="78">
        <f>TLFD!I68/SUM(TLFD!$I$11:$I$100)</f>
        <v>2.2624178459519688E-4</v>
      </c>
      <c r="E94" s="78">
        <f>TLFD!D68/SUM(TLFD!$D$11:$D$101)</f>
        <v>0</v>
      </c>
      <c r="F94" s="78">
        <f>TLFD!J68/SUM(TLFD!$J$11:$J$100)</f>
        <v>1.1211076543625101E-4</v>
      </c>
      <c r="G94" s="141">
        <f si="3" t="shared"/>
        <v>0</v>
      </c>
      <c r="H94" s="141">
        <f si="5" t="shared"/>
        <v>0</v>
      </c>
      <c r="J94" s="84"/>
      <c r="K94" s="84"/>
      <c r="T94" s="72">
        <f>WorkLocationCoefficients!B102</f>
        <v>121</v>
      </c>
      <c r="U94" s="72" t="str">
        <f>WorkLocationCoefficients!C102</f>
        <v>O12_D12</v>
      </c>
      <c r="V94" s="73">
        <f>WorkLocationCoefficients!E102</f>
        <v>-0.47819038789149998</v>
      </c>
      <c r="W94" s="162">
        <f>_xlfn.IFNA(VLOOKUP(T94,$M$13:$Q$39,5,FALSE),_xlfn.IFNA(VLOOKUP(T94,calibration_flow!$AD$3:$AH$25,5,FALSE),V94))</f>
        <v>-0.47819038789149998</v>
      </c>
      <c r="X94" s="95">
        <f>IF(W94=V94,0,1)</f>
        <v>0</v>
      </c>
    </row>
    <row r="95" spans="1:24" x14ac:dyDescent="0.25">
      <c r="A95">
        <f>TLFD!A69+0.5</f>
        <v>58.5</v>
      </c>
      <c r="B95" s="81">
        <f si="4" t="shared"/>
        <v>4.0859763125515842</v>
      </c>
      <c r="C95" s="78">
        <f>TLFD!C69/SUM(TLFD!$C$11:$C$100)</f>
        <v>0</v>
      </c>
      <c r="D95" s="78">
        <f>TLFD!I69/SUM(TLFD!$I$11:$I$100)</f>
        <v>2.2624178459519688E-4</v>
      </c>
      <c r="E95" s="78">
        <f>TLFD!D69/SUM(TLFD!$D$11:$D$101)</f>
        <v>0</v>
      </c>
      <c r="F95" s="78">
        <f>TLFD!J69/SUM(TLFD!$J$11:$J$100)</f>
        <v>8.4083074077188259E-5</v>
      </c>
      <c r="G95" s="141">
        <f si="3" t="shared"/>
        <v>0</v>
      </c>
      <c r="H95" s="141">
        <f si="5" t="shared"/>
        <v>0</v>
      </c>
      <c r="J95" s="84"/>
      <c r="K95" s="84"/>
      <c r="T95" s="72">
        <f>WorkLocationCoefficients!B103</f>
        <v>122</v>
      </c>
      <c r="U95" s="72" t="str">
        <f>WorkLocationCoefficients!C103</f>
        <v>O13_D13</v>
      </c>
      <c r="V95" s="73">
        <f>WorkLocationCoefficients!E103</f>
        <v>-1.0119832457914</v>
      </c>
      <c r="W95" s="162">
        <f>_xlfn.IFNA(VLOOKUP(T95,$M$13:$Q$39,5,FALSE),_xlfn.IFNA(VLOOKUP(T95,calibration_flow!$AD$3:$AH$25,5,FALSE),V95))</f>
        <v>-1.0119832457914</v>
      </c>
      <c r="X95" s="95">
        <f>IF(W95=V95,0,1)</f>
        <v>0</v>
      </c>
    </row>
    <row r="96" spans="1:24" x14ac:dyDescent="0.25">
      <c r="A96">
        <f>TLFD!A70+0.5</f>
        <v>59.5</v>
      </c>
      <c r="B96" s="81">
        <f si="4" t="shared"/>
        <v>4.1026433650367959</v>
      </c>
      <c r="C96" s="78">
        <f>TLFD!C70/SUM(TLFD!$C$11:$C$100)</f>
        <v>6.0708665384916584E-4</v>
      </c>
      <c r="D96" s="78">
        <f>TLFD!I70/SUM(TLFD!$I$11:$I$100)</f>
        <v>9.0496713838078758E-5</v>
      </c>
      <c r="E96" s="78">
        <f>TLFD!D70/SUM(TLFD!$D$11:$D$101)</f>
        <v>0</v>
      </c>
      <c r="F96" s="78">
        <f>TLFD!J70/SUM(TLFD!$J$11:$J$100)</f>
        <v>0</v>
      </c>
      <c r="G96" s="141">
        <f si="3" t="shared"/>
        <v>1.9033579995823213</v>
      </c>
      <c r="H96" s="141">
        <f si="5" t="shared"/>
        <v>0</v>
      </c>
      <c r="J96" s="84"/>
      <c r="K96" s="84"/>
    </row>
    <row r="97" spans="1:11" x14ac:dyDescent="0.25">
      <c r="A97">
        <f>TLFD!A71+0.5</f>
        <v>60.5</v>
      </c>
      <c r="B97" s="81">
        <f si="4" t="shared"/>
        <v>4.1190371748124726</v>
      </c>
      <c r="C97" s="78">
        <f>TLFD!C71/SUM(TLFD!$C$11:$C$100)</f>
        <v>0</v>
      </c>
      <c r="D97" s="78">
        <f>TLFD!I71/SUM(TLFD!$I$11:$I$100)</f>
        <v>1.4705715998687796E-4</v>
      </c>
      <c r="E97" s="78">
        <f>TLFD!D71/SUM(TLFD!$D$11:$D$101)</f>
        <v>0</v>
      </c>
      <c r="F97" s="78">
        <f>TLFD!J71/SUM(TLFD!$J$11:$J$100)</f>
        <v>1.1211076543625101E-4</v>
      </c>
      <c r="G97" s="141">
        <f si="3" t="shared"/>
        <v>0</v>
      </c>
      <c r="H97" s="141">
        <f si="5" t="shared"/>
        <v>0</v>
      </c>
      <c r="J97" s="84"/>
      <c r="K97" s="84"/>
    </row>
    <row r="98" spans="1:11" x14ac:dyDescent="0.25">
      <c r="A98">
        <f>TLFD!A72+0.5</f>
        <v>61.5</v>
      </c>
      <c r="B98" s="81">
        <f si="4" t="shared"/>
        <v>4.1351665567423561</v>
      </c>
      <c r="C98" s="78">
        <f>TLFD!C72/SUM(TLFD!$C$11:$C$100)</f>
        <v>0</v>
      </c>
      <c r="D98" s="78">
        <f>TLFD!I72/SUM(TLFD!$I$11:$I$100)</f>
        <v>1.2443298152735828E-4</v>
      </c>
      <c r="E98" s="78">
        <f>TLFD!D72/SUM(TLFD!$D$11:$D$101)</f>
        <v>0</v>
      </c>
      <c r="F98" s="78">
        <f>TLFD!J72/SUM(TLFD!$J$11:$J$100)</f>
        <v>2.8027691359062753E-5</v>
      </c>
      <c r="G98" s="141">
        <f si="3" t="shared"/>
        <v>0</v>
      </c>
      <c r="H98" s="141">
        <f si="5" t="shared"/>
        <v>0</v>
      </c>
      <c r="J98" s="84"/>
      <c r="K98" s="84"/>
    </row>
    <row r="99" spans="1:11" x14ac:dyDescent="0.25">
      <c r="A99">
        <f>TLFD!A73+0.5</f>
        <v>62.5</v>
      </c>
      <c r="B99" s="81">
        <f si="4" t="shared"/>
        <v>4.1510399058986458</v>
      </c>
      <c r="C99" s="78">
        <f>TLFD!C73/SUM(TLFD!$C$11:$C$100)</f>
        <v>0</v>
      </c>
      <c r="D99" s="78">
        <f>TLFD!I73/SUM(TLFD!$I$11:$I$100)</f>
        <v>9.0496713838078758E-5</v>
      </c>
      <c r="E99" s="78">
        <f>TLFD!D73/SUM(TLFD!$D$11:$D$101)</f>
        <v>0</v>
      </c>
      <c r="F99" s="78">
        <f>TLFD!J73/SUM(TLFD!$J$11:$J$100)</f>
        <v>2.8027691359062753E-5</v>
      </c>
      <c r="G99" s="141">
        <f si="3" t="shared"/>
        <v>0</v>
      </c>
      <c r="H99" s="141">
        <f si="5" t="shared"/>
        <v>0</v>
      </c>
      <c r="J99" s="84"/>
      <c r="K99" s="84"/>
    </row>
    <row r="100" spans="1:11" x14ac:dyDescent="0.25">
      <c r="A100">
        <f>TLFD!A74+0.5</f>
        <v>63.5</v>
      </c>
      <c r="B100" s="81">
        <f si="4" t="shared"/>
        <v>4.1666652238017265</v>
      </c>
      <c r="C100" s="78">
        <f>TLFD!C74/SUM(TLFD!$C$11:$C$100)</f>
        <v>0</v>
      </c>
      <c r="D100" s="78">
        <f>TLFD!I74/SUM(TLFD!$I$11:$I$100)</f>
        <v>6.7872535378559062E-5</v>
      </c>
      <c r="E100" s="78">
        <f>TLFD!D74/SUM(TLFD!$D$11:$D$101)</f>
        <v>0</v>
      </c>
      <c r="F100" s="78">
        <f>TLFD!J74/SUM(TLFD!$J$11:$J$100)</f>
        <v>8.4083074077188259E-5</v>
      </c>
      <c r="G100" s="141">
        <f si="3" t="shared"/>
        <v>0</v>
      </c>
      <c r="H100" s="141">
        <f si="5" t="shared"/>
        <v>0</v>
      </c>
      <c r="J100" s="84"/>
      <c r="K100" s="84"/>
    </row>
    <row r="101" spans="1:11" x14ac:dyDescent="0.25">
      <c r="A101">
        <f>TLFD!A75+0.5</f>
        <v>64.5</v>
      </c>
      <c r="B101" s="81">
        <f si="4" t="shared"/>
        <v>4.1820501426412067</v>
      </c>
      <c r="C101" s="78">
        <f>TLFD!C75/SUM(TLFD!$C$11:$C$100)</f>
        <v>0</v>
      </c>
      <c r="D101" s="78">
        <f>TLFD!I75/SUM(TLFD!$I$11:$I$100)</f>
        <v>3.3936267689279531E-5</v>
      </c>
      <c r="E101" s="78">
        <f>TLFD!D75/SUM(TLFD!$D$11:$D$101)</f>
        <v>0</v>
      </c>
      <c r="F101" s="78">
        <f>TLFD!J75/SUM(TLFD!$J$11:$J$100)</f>
        <v>2.8027691359062753E-5</v>
      </c>
      <c r="G101" s="141">
        <f ref="G101:G126" si="7" t="shared">IF(AND(C101&gt;0, D101&gt;0),LN(C101/D101),0)</f>
        <v>0</v>
      </c>
      <c r="H101" s="141">
        <f si="5" t="shared"/>
        <v>0</v>
      </c>
      <c r="J101" s="84"/>
      <c r="K101" s="84"/>
    </row>
    <row r="102" spans="1:11" x14ac:dyDescent="0.25">
      <c r="A102">
        <f>TLFD!A76+0.5</f>
        <v>65.5</v>
      </c>
      <c r="B102" s="81">
        <f ref="B102:B126" si="8" t="shared">LN(1+A102)</f>
        <v>4.1972019476618083</v>
      </c>
      <c r="C102" s="78">
        <f>TLFD!C76/SUM(TLFD!$C$11:$C$100)</f>
        <v>0</v>
      </c>
      <c r="D102" s="78">
        <f>TLFD!I76/SUM(TLFD!$I$11:$I$100)</f>
        <v>0</v>
      </c>
      <c r="E102" s="78">
        <f>TLFD!D76/SUM(TLFD!$D$11:$D$101)</f>
        <v>0</v>
      </c>
      <c r="F102" s="78">
        <f>TLFD!J76/SUM(TLFD!$J$11:$J$100)</f>
        <v>0</v>
      </c>
      <c r="G102" s="141">
        <f si="7" t="shared"/>
        <v>0</v>
      </c>
      <c r="H102" s="141">
        <f ref="H102:H126" si="9" t="shared">IF(AND(E102&gt;0, F102&gt;0),LN(E102/F102),0)</f>
        <v>0</v>
      </c>
      <c r="J102" s="84"/>
      <c r="K102" s="84"/>
    </row>
    <row r="103" spans="1:11" x14ac:dyDescent="0.25">
      <c r="A103">
        <f>TLFD!A77+0.5</f>
        <v>66.5</v>
      </c>
      <c r="B103" s="81">
        <f si="8" t="shared"/>
        <v>4.2121275978784842</v>
      </c>
      <c r="C103" s="78">
        <f>TLFD!C77/SUM(TLFD!$C$11:$C$100)</f>
        <v>0</v>
      </c>
      <c r="D103" s="78">
        <f>TLFD!I77/SUM(TLFD!$I$11:$I$100)</f>
        <v>0</v>
      </c>
      <c r="E103" s="78">
        <f>TLFD!D77/SUM(TLFD!$D$11:$D$101)</f>
        <v>0</v>
      </c>
      <c r="F103" s="78">
        <f>TLFD!J77/SUM(TLFD!$J$11:$J$100)</f>
        <v>0</v>
      </c>
      <c r="G103" s="141">
        <f si="7" t="shared"/>
        <v>0</v>
      </c>
      <c r="H103" s="141">
        <f si="9" t="shared"/>
        <v>0</v>
      </c>
      <c r="J103" s="84"/>
      <c r="K103" s="84"/>
    </row>
    <row r="104" spans="1:11" x14ac:dyDescent="0.25">
      <c r="A104">
        <f>TLFD!A78+0.5</f>
        <v>67.5</v>
      </c>
      <c r="B104" s="81">
        <f si="8" t="shared"/>
        <v>4.2268337452681797</v>
      </c>
      <c r="C104" s="78">
        <f>TLFD!C78/SUM(TLFD!$C$11:$C$100)</f>
        <v>0</v>
      </c>
      <c r="D104" s="78">
        <f>TLFD!I78/SUM(TLFD!$I$11:$I$100)</f>
        <v>1.1312089229759845E-5</v>
      </c>
      <c r="E104" s="78">
        <f>TLFD!D78/SUM(TLFD!$D$11:$D$101)</f>
        <v>0</v>
      </c>
      <c r="F104" s="78">
        <f>TLFD!J78/SUM(TLFD!$J$11:$J$100)</f>
        <v>0</v>
      </c>
      <c r="G104" s="141">
        <f si="7" t="shared"/>
        <v>0</v>
      </c>
      <c r="H104" s="141">
        <f si="9" t="shared"/>
        <v>0</v>
      </c>
      <c r="J104" s="84"/>
      <c r="K104" s="84"/>
    </row>
    <row r="105" spans="1:11" x14ac:dyDescent="0.25">
      <c r="A105">
        <f>TLFD!A79+0.5</f>
        <v>68.5</v>
      </c>
      <c r="B105" s="81">
        <f si="8" t="shared"/>
        <v>4.2413267525707461</v>
      </c>
      <c r="C105" s="78">
        <f>TLFD!C79/SUM(TLFD!$C$11:$C$100)</f>
        <v>0</v>
      </c>
      <c r="D105" s="78">
        <f>TLFD!I79/SUM(TLFD!$I$11:$I$100)</f>
        <v>3.3936267689279531E-5</v>
      </c>
      <c r="E105" s="78">
        <f>TLFD!D79/SUM(TLFD!$D$11:$D$101)</f>
        <v>0</v>
      </c>
      <c r="F105" s="78">
        <f>TLFD!J79/SUM(TLFD!$J$11:$J$100)</f>
        <v>0</v>
      </c>
      <c r="G105" s="141">
        <f si="7" t="shared"/>
        <v>0</v>
      </c>
      <c r="H105" s="141">
        <f si="9" t="shared"/>
        <v>0</v>
      </c>
      <c r="J105" s="84"/>
      <c r="K105" s="84"/>
    </row>
    <row r="106" spans="1:11" x14ac:dyDescent="0.25">
      <c r="A106">
        <f>TLFD!A80+0.5</f>
        <v>69.5</v>
      </c>
      <c r="B106" s="81">
        <f si="8" t="shared"/>
        <v>4.255612709818223</v>
      </c>
      <c r="C106" s="78">
        <f>TLFD!C80/SUM(TLFD!$C$11:$C$100)</f>
        <v>0</v>
      </c>
      <c r="D106" s="78">
        <f>TLFD!I80/SUM(TLFD!$I$11:$I$100)</f>
        <v>2.2624178459519689E-5</v>
      </c>
      <c r="E106" s="78">
        <f>TLFD!D80/SUM(TLFD!$D$11:$D$101)</f>
        <v>0</v>
      </c>
      <c r="F106" s="78">
        <f>TLFD!J80/SUM(TLFD!$J$11:$J$100)</f>
        <v>2.8027691359062753E-5</v>
      </c>
      <c r="G106" s="141">
        <f si="7" t="shared"/>
        <v>0</v>
      </c>
      <c r="H106" s="141">
        <f si="9" t="shared"/>
        <v>0</v>
      </c>
      <c r="J106" s="84"/>
      <c r="K106" s="84"/>
    </row>
    <row r="107" spans="1:11" x14ac:dyDescent="0.25">
      <c r="A107">
        <f>TLFD!A81+0.5</f>
        <v>70.5</v>
      </c>
      <c r="B107" s="81">
        <f si="8" t="shared"/>
        <v>4.2696974496999616</v>
      </c>
      <c r="C107" s="78">
        <f>TLFD!C81/SUM(TLFD!$C$11:$C$100)</f>
        <v>0</v>
      </c>
      <c r="D107" s="78">
        <f>TLFD!I81/SUM(TLFD!$I$11:$I$100)</f>
        <v>2.2624178459519689E-5</v>
      </c>
      <c r="E107" s="78">
        <f>TLFD!D81/SUM(TLFD!$D$11:$D$101)</f>
        <v>0</v>
      </c>
      <c r="F107" s="78">
        <f>TLFD!J81/SUM(TLFD!$J$11:$J$100)</f>
        <v>0</v>
      </c>
      <c r="G107" s="141">
        <f si="7" t="shared"/>
        <v>0</v>
      </c>
      <c r="H107" s="141">
        <f si="9" t="shared"/>
        <v>0</v>
      </c>
      <c r="J107" s="84"/>
      <c r="K107" s="84"/>
    </row>
    <row r="108" spans="1:11" x14ac:dyDescent="0.25">
      <c r="A108">
        <f>TLFD!A82+0.5</f>
        <v>71.5</v>
      </c>
      <c r="B108" s="81">
        <f si="8" t="shared"/>
        <v>4.2835865618606288</v>
      </c>
      <c r="C108" s="78">
        <f>TLFD!C82/SUM(TLFD!$C$11:$C$100)</f>
        <v>0</v>
      </c>
      <c r="D108" s="78">
        <f>TLFD!I82/SUM(TLFD!$I$11:$I$100)</f>
        <v>1.1312089229759845E-5</v>
      </c>
      <c r="E108" s="78">
        <f>TLFD!D82/SUM(TLFD!$D$11:$D$101)</f>
        <v>0</v>
      </c>
      <c r="F108" s="78">
        <f>TLFD!J82/SUM(TLFD!$J$11:$J$100)</f>
        <v>0</v>
      </c>
      <c r="G108" s="141">
        <f si="7" t="shared"/>
        <v>0</v>
      </c>
      <c r="H108" s="141">
        <f si="9" t="shared"/>
        <v>0</v>
      </c>
      <c r="J108" s="84"/>
      <c r="K108" s="84"/>
    </row>
    <row r="109" spans="1:11" x14ac:dyDescent="0.25">
      <c r="A109">
        <f>TLFD!A83+0.5</f>
        <v>72.5</v>
      </c>
      <c r="B109" s="81">
        <f si="8" t="shared"/>
        <v>4.2972854062187906</v>
      </c>
      <c r="C109" s="78">
        <f>TLFD!C83/SUM(TLFD!$C$11:$C$100)</f>
        <v>0</v>
      </c>
      <c r="D109" s="78">
        <f>TLFD!I83/SUM(TLFD!$I$11:$I$100)</f>
        <v>0</v>
      </c>
      <c r="E109" s="78">
        <f>TLFD!D83/SUM(TLFD!$D$11:$D$101)</f>
        <v>0</v>
      </c>
      <c r="F109" s="78">
        <f>TLFD!J83/SUM(TLFD!$J$11:$J$100)</f>
        <v>0</v>
      </c>
      <c r="G109" s="141">
        <f si="7" t="shared"/>
        <v>0</v>
      </c>
      <c r="H109" s="141">
        <f si="9" t="shared"/>
        <v>0</v>
      </c>
      <c r="J109" s="84"/>
      <c r="K109" s="84"/>
    </row>
    <row r="110" spans="1:11" x14ac:dyDescent="0.25">
      <c r="A110">
        <f>TLFD!A84+0.5</f>
        <v>73.5</v>
      </c>
      <c r="B110" s="81">
        <f si="8" t="shared"/>
        <v>4.3107991253855138</v>
      </c>
      <c r="C110" s="78">
        <f>TLFD!C84/SUM(TLFD!$C$11:$C$100)</f>
        <v>0</v>
      </c>
      <c r="D110" s="78">
        <f>TLFD!I84/SUM(TLFD!$I$11:$I$100)</f>
        <v>2.2624178459519689E-5</v>
      </c>
      <c r="E110" s="78">
        <f>TLFD!D84/SUM(TLFD!$D$11:$D$101)</f>
        <v>0</v>
      </c>
      <c r="F110" s="78">
        <f>TLFD!J84/SUM(TLFD!$J$11:$J$100)</f>
        <v>0</v>
      </c>
      <c r="G110" s="141">
        <f si="7" t="shared"/>
        <v>0</v>
      </c>
      <c r="H110" s="141">
        <f si="9" t="shared"/>
        <v>0</v>
      </c>
      <c r="J110" s="84"/>
      <c r="K110" s="84"/>
    </row>
    <row r="111" spans="1:11" x14ac:dyDescent="0.25">
      <c r="A111">
        <f>TLFD!A85+0.5</f>
        <v>74.5</v>
      </c>
      <c r="B111" s="81">
        <f si="8" t="shared"/>
        <v>4.3241326562549789</v>
      </c>
      <c r="C111" s="78">
        <f>TLFD!C85/SUM(TLFD!$C$11:$C$100)</f>
        <v>0</v>
      </c>
      <c r="D111" s="78">
        <f>TLFD!I85/SUM(TLFD!$I$11:$I$100)</f>
        <v>1.1312089229759845E-5</v>
      </c>
      <c r="E111" s="78">
        <f>TLFD!D85/SUM(TLFD!$D$11:$D$101)</f>
        <v>0</v>
      </c>
      <c r="F111" s="78">
        <f>TLFD!J85/SUM(TLFD!$J$11:$J$100)</f>
        <v>0</v>
      </c>
      <c r="G111" s="141">
        <f si="7" t="shared"/>
        <v>0</v>
      </c>
      <c r="H111" s="141">
        <f si="9" t="shared"/>
        <v>0</v>
      </c>
      <c r="J111" s="84"/>
      <c r="K111" s="84"/>
    </row>
    <row r="112" spans="1:11" x14ac:dyDescent="0.25">
      <c r="A112">
        <f>TLFD!A86+0.5</f>
        <v>75.5</v>
      </c>
      <c r="B112" s="81">
        <f si="8" t="shared"/>
        <v>4.3372907408324899</v>
      </c>
      <c r="C112" s="78">
        <f>TLFD!C86/SUM(TLFD!$C$11:$C$100)</f>
        <v>0</v>
      </c>
      <c r="D112" s="78">
        <f>TLFD!I86/SUM(TLFD!$I$11:$I$100)</f>
        <v>1.1312089229759845E-5</v>
      </c>
      <c r="E112" s="78">
        <f>TLFD!D86/SUM(TLFD!$D$11:$D$101)</f>
        <v>0</v>
      </c>
      <c r="F112" s="78">
        <f>TLFD!J86/SUM(TLFD!$J$11:$J$100)</f>
        <v>0</v>
      </c>
      <c r="G112" s="141">
        <f si="7" t="shared"/>
        <v>0</v>
      </c>
      <c r="H112" s="141">
        <f si="9" t="shared"/>
        <v>0</v>
      </c>
      <c r="J112" s="84"/>
      <c r="K112" s="84"/>
    </row>
    <row r="113" spans="1:13" x14ac:dyDescent="0.25">
      <c r="A113">
        <f>TLFD!A87+0.5</f>
        <v>76.5</v>
      </c>
      <c r="B113" s="81">
        <f si="8" t="shared"/>
        <v>4.3502779363593014</v>
      </c>
      <c r="C113" s="78">
        <f>TLFD!C87/SUM(TLFD!$C$11:$C$100)</f>
        <v>0</v>
      </c>
      <c r="D113" s="78">
        <f>TLFD!I87/SUM(TLFD!$I$11:$I$100)</f>
        <v>1.1312089229759845E-5</v>
      </c>
      <c r="E113" s="78">
        <f>TLFD!D87/SUM(TLFD!$D$11:$D$101)</f>
        <v>0</v>
      </c>
      <c r="F113" s="78">
        <f>TLFD!J87/SUM(TLFD!$J$11:$J$100)</f>
        <v>0</v>
      </c>
      <c r="G113" s="141">
        <f si="7" t="shared"/>
        <v>0</v>
      </c>
      <c r="H113" s="141">
        <f si="9" t="shared"/>
        <v>0</v>
      </c>
      <c r="J113" s="84"/>
      <c r="K113" s="84"/>
    </row>
    <row r="114" spans="1:13" x14ac:dyDescent="0.25">
      <c r="A114">
        <f>TLFD!A88+0.5</f>
        <v>77.5</v>
      </c>
      <c r="B114" s="81">
        <f si="8" t="shared"/>
        <v>4.3630986247883632</v>
      </c>
      <c r="C114" s="78">
        <f>TLFD!C88/SUM(TLFD!$C$11:$C$100)</f>
        <v>0</v>
      </c>
      <c r="D114" s="78">
        <f>TLFD!I88/SUM(TLFD!$I$11:$I$100)</f>
        <v>2.2624178459519689E-5</v>
      </c>
      <c r="E114" s="78">
        <f>TLFD!D88/SUM(TLFD!$D$11:$D$101)</f>
        <v>0</v>
      </c>
      <c r="F114" s="78">
        <f>TLFD!J88/SUM(TLFD!$J$11:$J$100)</f>
        <v>0</v>
      </c>
      <c r="G114" s="141">
        <f si="7" t="shared"/>
        <v>0</v>
      </c>
      <c r="H114" s="141">
        <f si="9" t="shared"/>
        <v>0</v>
      </c>
      <c r="J114" s="84"/>
      <c r="K114" s="84"/>
    </row>
    <row r="115" spans="1:13" x14ac:dyDescent="0.25">
      <c r="A115">
        <f>TLFD!A89+0.5</f>
        <v>78.5</v>
      </c>
      <c r="B115" s="81">
        <f si="8" t="shared"/>
        <v>4.3757570216602861</v>
      </c>
      <c r="C115" s="78">
        <f>TLFD!C89/SUM(TLFD!$C$11:$C$100)</f>
        <v>0</v>
      </c>
      <c r="D115" s="78">
        <f>TLFD!I89/SUM(TLFD!$I$11:$I$100)</f>
        <v>0</v>
      </c>
      <c r="E115" s="78">
        <f>TLFD!D89/SUM(TLFD!$D$11:$D$101)</f>
        <v>0</v>
      </c>
      <c r="F115" s="78">
        <f>TLFD!J89/SUM(TLFD!$J$11:$J$100)</f>
        <v>0</v>
      </c>
      <c r="G115" s="141">
        <f si="7" t="shared"/>
        <v>0</v>
      </c>
      <c r="H115" s="141">
        <f si="9" t="shared"/>
        <v>0</v>
      </c>
      <c r="J115" s="84"/>
      <c r="K115" s="84"/>
    </row>
    <row r="116" spans="1:13" x14ac:dyDescent="0.25">
      <c r="A116">
        <f>TLFD!A90+0.5</f>
        <v>79.5</v>
      </c>
      <c r="B116" s="81">
        <f si="8" t="shared"/>
        <v>4.3882571844245177</v>
      </c>
      <c r="C116" s="78">
        <f>TLFD!C90/SUM(TLFD!$C$11:$C$100)</f>
        <v>0</v>
      </c>
      <c r="D116" s="78">
        <f>TLFD!I90/SUM(TLFD!$I$11:$I$100)</f>
        <v>1.1312089229759845E-5</v>
      </c>
      <c r="E116" s="78">
        <f>TLFD!D90/SUM(TLFD!$D$11:$D$101)</f>
        <v>0</v>
      </c>
      <c r="F116" s="78">
        <f>TLFD!J90/SUM(TLFD!$J$11:$J$100)</f>
        <v>0</v>
      </c>
      <c r="G116" s="141">
        <f si="7" t="shared"/>
        <v>0</v>
      </c>
      <c r="H116" s="141">
        <f si="9" t="shared"/>
        <v>0</v>
      </c>
      <c r="J116" s="84"/>
      <c r="K116" s="84"/>
    </row>
    <row r="117" spans="1:13" x14ac:dyDescent="0.25">
      <c r="A117">
        <f>TLFD!A91+0.5</f>
        <v>80.5</v>
      </c>
      <c r="B117" s="81">
        <f si="8" t="shared"/>
        <v>4.4006030202468169</v>
      </c>
      <c r="C117" s="78">
        <f>TLFD!C91/SUM(TLFD!$C$11:$C$100)</f>
        <v>0</v>
      </c>
      <c r="D117" s="78">
        <f>TLFD!I91/SUM(TLFD!$I$11:$I$100)</f>
        <v>0</v>
      </c>
      <c r="E117" s="78">
        <f>TLFD!D91/SUM(TLFD!$D$11:$D$101)</f>
        <v>0</v>
      </c>
      <c r="F117" s="78">
        <f>TLFD!J91/SUM(TLFD!$J$11:$J$100)</f>
        <v>0</v>
      </c>
      <c r="G117" s="141">
        <f si="7" t="shared"/>
        <v>0</v>
      </c>
      <c r="H117" s="141">
        <f si="9" t="shared"/>
        <v>0</v>
      </c>
      <c r="J117" s="84"/>
      <c r="K117" s="84"/>
    </row>
    <row r="118" spans="1:13" x14ac:dyDescent="0.25">
      <c r="A118">
        <f>TLFD!A92+0.5</f>
        <v>81.5</v>
      </c>
      <c r="B118" s="81">
        <f si="8" t="shared"/>
        <v>4.4127982933406349</v>
      </c>
      <c r="C118" s="78">
        <f>TLFD!C92/SUM(TLFD!$C$11:$C$100)</f>
        <v>0</v>
      </c>
      <c r="D118" s="78">
        <f>TLFD!I92/SUM(TLFD!$I$11:$I$100)</f>
        <v>0</v>
      </c>
      <c r="E118" s="78">
        <f>TLFD!D92/SUM(TLFD!$D$11:$D$101)</f>
        <v>0</v>
      </c>
      <c r="F118" s="78">
        <f>TLFD!J92/SUM(TLFD!$J$11:$J$100)</f>
        <v>0</v>
      </c>
      <c r="G118" s="141">
        <f si="7" t="shared"/>
        <v>0</v>
      </c>
      <c r="H118" s="141">
        <f si="9" t="shared"/>
        <v>0</v>
      </c>
      <c r="J118" s="84"/>
      <c r="K118" s="84"/>
    </row>
    <row r="119" spans="1:13" x14ac:dyDescent="0.25">
      <c r="A119">
        <f>TLFD!A93+0.5</f>
        <v>82.5</v>
      </c>
      <c r="B119" s="81">
        <f si="8" t="shared"/>
        <v>4.42484663185681</v>
      </c>
      <c r="C119" s="78">
        <f>TLFD!C93/SUM(TLFD!$C$11:$C$100)</f>
        <v>0</v>
      </c>
      <c r="D119" s="78">
        <f>TLFD!I93/SUM(TLFD!$I$11:$I$100)</f>
        <v>0</v>
      </c>
      <c r="E119" s="78">
        <f>TLFD!D93/SUM(TLFD!$D$11:$D$101)</f>
        <v>0</v>
      </c>
      <c r="F119" s="78">
        <f>TLFD!J93/SUM(TLFD!$J$11:$J$100)</f>
        <v>0</v>
      </c>
      <c r="G119" s="141">
        <f si="7" t="shared"/>
        <v>0</v>
      </c>
      <c r="H119" s="141">
        <f si="9" t="shared"/>
        <v>0</v>
      </c>
      <c r="J119" s="84"/>
      <c r="K119" s="84"/>
    </row>
    <row r="120" spans="1:13" x14ac:dyDescent="0.25">
      <c r="A120">
        <f>TLFD!A94+0.5</f>
        <v>83.5</v>
      </c>
      <c r="B120" s="81">
        <f si="8" t="shared"/>
        <v>4.4367515343631281</v>
      </c>
      <c r="C120" s="78">
        <f>TLFD!C94/SUM(TLFD!$C$11:$C$100)</f>
        <v>0</v>
      </c>
      <c r="D120" s="78">
        <f>TLFD!I94/SUM(TLFD!$I$11:$I$100)</f>
        <v>0</v>
      </c>
      <c r="E120" s="78">
        <f>TLFD!D94/SUM(TLFD!$D$11:$D$101)</f>
        <v>0</v>
      </c>
      <c r="F120" s="78">
        <f>TLFD!J94/SUM(TLFD!$J$11:$J$100)</f>
        <v>0</v>
      </c>
      <c r="G120" s="141">
        <f si="7" t="shared"/>
        <v>0</v>
      </c>
      <c r="H120" s="141">
        <f si="9" t="shared"/>
        <v>0</v>
      </c>
      <c r="J120" s="84"/>
      <c r="K120" s="84"/>
    </row>
    <row r="121" spans="1:13" x14ac:dyDescent="0.25">
      <c r="A121">
        <f>TLFD!A95+0.5</f>
        <v>84.5</v>
      </c>
      <c r="B121" s="81">
        <f si="8" t="shared"/>
        <v>4.4485163759427149</v>
      </c>
      <c r="C121" s="78">
        <f>TLFD!C95/SUM(TLFD!$C$11:$C$100)</f>
        <v>0</v>
      </c>
      <c r="D121" s="78">
        <f>TLFD!I95/SUM(TLFD!$I$11:$I$100)</f>
        <v>0</v>
      </c>
      <c r="E121" s="78">
        <f>TLFD!D95/SUM(TLFD!$D$11:$D$101)</f>
        <v>0</v>
      </c>
      <c r="F121" s="78">
        <f>TLFD!J95/SUM(TLFD!$J$11:$J$100)</f>
        <v>0</v>
      </c>
      <c r="G121" s="141">
        <f si="7" t="shared"/>
        <v>0</v>
      </c>
      <c r="H121" s="141">
        <f si="9" t="shared"/>
        <v>0</v>
      </c>
      <c r="J121" s="84"/>
      <c r="K121" s="84"/>
    </row>
    <row r="122" spans="1:13" x14ac:dyDescent="0.25">
      <c r="A122">
        <f>TLFD!A96+0.5</f>
        <v>85.5</v>
      </c>
      <c r="B122" s="81">
        <f si="8" t="shared"/>
        <v>4.4601444139378339</v>
      </c>
      <c r="C122" s="78">
        <f>TLFD!C96/SUM(TLFD!$C$11:$C$100)</f>
        <v>0</v>
      </c>
      <c r="D122" s="78">
        <f>TLFD!I96/SUM(TLFD!$I$11:$I$100)</f>
        <v>0</v>
      </c>
      <c r="E122" s="78">
        <f>TLFD!D96/SUM(TLFD!$D$11:$D$101)</f>
        <v>0</v>
      </c>
      <c r="F122" s="78">
        <f>TLFD!J96/SUM(TLFD!$J$11:$J$100)</f>
        <v>0</v>
      </c>
      <c r="G122" s="141">
        <f si="7" t="shared"/>
        <v>0</v>
      </c>
      <c r="H122" s="141">
        <f si="9" t="shared"/>
        <v>0</v>
      </c>
      <c r="J122" s="84"/>
      <c r="K122" s="84"/>
    </row>
    <row r="123" spans="1:13" x14ac:dyDescent="0.25">
      <c r="A123">
        <f>TLFD!A97+0.5</f>
        <v>86.5</v>
      </c>
      <c r="B123" s="81">
        <f si="8" t="shared"/>
        <v>4.4716387933635691</v>
      </c>
      <c r="C123" s="78">
        <f>TLFD!C97/SUM(TLFD!$C$11:$C$100)</f>
        <v>0</v>
      </c>
      <c r="D123" s="78">
        <f>TLFD!I97/SUM(TLFD!$I$11:$I$100)</f>
        <v>0</v>
      </c>
      <c r="E123" s="78">
        <f>TLFD!D97/SUM(TLFD!$D$11:$D$101)</f>
        <v>0</v>
      </c>
      <c r="F123" s="78">
        <f>TLFD!J97/SUM(TLFD!$J$11:$J$100)</f>
        <v>0</v>
      </c>
      <c r="G123" s="141">
        <f si="7" t="shared"/>
        <v>0</v>
      </c>
      <c r="H123" s="141">
        <f si="9" t="shared"/>
        <v>0</v>
      </c>
      <c r="J123" s="84"/>
      <c r="K123" s="84"/>
    </row>
    <row r="124" spans="1:13" x14ac:dyDescent="0.25">
      <c r="A124">
        <f>TLFD!A98+0.5</f>
        <v>87.5</v>
      </c>
      <c r="B124" s="81">
        <f si="8" t="shared"/>
        <v>4.4830025520138834</v>
      </c>
      <c r="C124" s="78">
        <f>TLFD!C98/SUM(TLFD!$C$11:$C$100)</f>
        <v>0</v>
      </c>
      <c r="D124" s="78">
        <f>TLFD!I98/SUM(TLFD!$I$11:$I$100)</f>
        <v>0</v>
      </c>
      <c r="E124" s="78">
        <f>TLFD!D98/SUM(TLFD!$D$11:$D$101)</f>
        <v>0</v>
      </c>
      <c r="F124" s="78">
        <f>TLFD!J98/SUM(TLFD!$J$11:$J$100)</f>
        <v>0</v>
      </c>
      <c r="G124" s="141">
        <f si="7" t="shared"/>
        <v>0</v>
      </c>
      <c r="H124" s="141">
        <f si="9" t="shared"/>
        <v>0</v>
      </c>
      <c r="J124" s="84"/>
      <c r="K124" s="84"/>
    </row>
    <row r="125" spans="1:13" x14ac:dyDescent="0.25">
      <c r="A125">
        <f>TLFD!A99+0.5</f>
        <v>88.5</v>
      </c>
      <c r="B125" s="81">
        <f si="8" t="shared"/>
        <v>4.4942386252808095</v>
      </c>
      <c r="C125" s="78">
        <f>TLFD!C99/SUM(TLFD!$C$11:$C$100)</f>
        <v>0</v>
      </c>
      <c r="D125" s="78">
        <f>TLFD!I99/SUM(TLFD!$I$11:$I$100)</f>
        <v>0</v>
      </c>
      <c r="E125" s="78">
        <f>TLFD!D99/SUM(TLFD!$D$11:$D$101)</f>
        <v>0</v>
      </c>
      <c r="F125" s="78">
        <f>TLFD!J99/SUM(TLFD!$J$11:$J$100)</f>
        <v>0</v>
      </c>
      <c r="G125" s="141">
        <f si="7" t="shared"/>
        <v>0</v>
      </c>
      <c r="H125" s="141">
        <f si="9" t="shared"/>
        <v>0</v>
      </c>
      <c r="J125" s="84"/>
      <c r="K125" s="84"/>
    </row>
    <row r="126" spans="1:13" x14ac:dyDescent="0.25">
      <c r="A126">
        <f>TLFD!A100+0.5</f>
        <v>89.5</v>
      </c>
      <c r="B126" s="81">
        <f si="8" t="shared"/>
        <v>4.5053498507058807</v>
      </c>
      <c r="C126" s="78">
        <f>TLFD!C100/SUM(TLFD!$C$11:$C$100)</f>
        <v>0</v>
      </c>
      <c r="D126" s="78">
        <f>TLFD!I100/SUM(TLFD!$I$11:$I$100)</f>
        <v>0</v>
      </c>
      <c r="E126" s="78">
        <f>TLFD!D100/SUM(TLFD!$D$11:$D$101)</f>
        <v>0</v>
      </c>
      <c r="F126" s="78">
        <f>TLFD!J100/SUM(TLFD!$J$11:$J$100)</f>
        <v>0</v>
      </c>
      <c r="G126" s="141">
        <f si="7" t="shared"/>
        <v>0</v>
      </c>
      <c r="H126" s="141">
        <f si="9" t="shared"/>
        <v>0</v>
      </c>
      <c r="J126" s="84"/>
      <c r="K126" s="84"/>
    </row>
    <row r="127" spans="1:13" x14ac:dyDescent="0.25">
      <c r="D127" s="81"/>
      <c r="E127" s="78"/>
      <c r="F127" s="78"/>
      <c r="G127" s="78"/>
      <c r="H127" s="78"/>
      <c r="L127" s="84"/>
      <c r="M127" s="84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13</vt:i4>
      </vt:variant>
      <vt:variant>
        <vt:lpstr>Named Ranges</vt:lpstr>
      </vt:variant>
      <vt:variant>
        <vt:i4>37</vt:i4>
      </vt:variant>
    </vt:vector>
  </HeadingPairs>
  <TitlesOfParts>
    <vt:vector baseType="lpstr" size="50">
      <vt:lpstr>TLFD</vt:lpstr>
      <vt:lpstr>TDFD</vt:lpstr>
      <vt:lpstr>TDFD_Agg</vt:lpstr>
      <vt:lpstr>County_Flow</vt:lpstr>
      <vt:lpstr>Flow_ODData</vt:lpstr>
      <vt:lpstr>WorkAtHome</vt:lpstr>
      <vt:lpstr>Telecommute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out_16</vt:lpstr>
      <vt:lpstr>out_18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Aditya Gore</cp:lastModifiedBy>
  <dcterms:modified xsi:type="dcterms:W3CDTF">2024-08-07T17:55:08Z</dcterms:modified>
</cp:coreProperties>
</file>