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</Types>
</file>

<file path=_rels/.rels><?xml version="1.0" encoding="UTF-8" standalone="no"?>
<Relationships xmlns="http://schemas.openxmlformats.org/package/2006/relationships">
    <Relationship Id="rId1" Target="xl/workbook.xml" Type="http://schemas.openxmlformats.org/officeDocument/2006/relationships/officeDocument"/>
    <Relationship Id="rId2" Target="docProps/core.xml" Type="http://schemas.openxmlformats.org/package/2006/relationships/metadata/core-properties"/>
    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NashvilleMPO\ModelUpdate2023\Tasks\Task5_Calibration\daysim_summary_setup\DaySimSummaries\output\"/>
    </mc:Choice>
  </mc:AlternateContent>
  <bookViews>
    <workbookView windowHeight="12570" windowWidth="23250" xWindow="-105" yWindow="-105"/>
  </bookViews>
  <sheets>
    <sheet name="AllPurposes" r:id="rId1" sheetId="11"/>
    <sheet name="Work" r:id="rId2" sheetId="1"/>
    <sheet name="School" r:id="rId3" sheetId="4"/>
    <sheet name="Escort" r:id="rId4" sheetId="5"/>
    <sheet name="Personal_Business" r:id="rId5" sheetId="10"/>
    <sheet name="Shop" r:id="rId6" sheetId="8"/>
    <sheet name="Meal" r:id="rId7" sheetId="6"/>
    <sheet name="SocRec" r:id="rId8" sheetId="9"/>
    <sheet name="Workbased" r:id="rId9" sheetId="7"/>
    <sheet name="Documentation" r:id="rId10" sheetId="12"/>
    <sheet name="CoeffDef" r:id="rId11" sheetId="13"/>
    <sheet name="WorkCoefficients" r:id="rId12" sheetId="14"/>
    <sheet name="SchoolCoeffcients" r:id="rId13" sheetId="16"/>
    <sheet name="EscortCoefficients" r:id="rId14" sheetId="17"/>
    <sheet name="OtherCoefficients" r:id="rId15" sheetId="18"/>
    <sheet name="WorkBasedCoefficients" r:id="rId16" sheetId="19"/>
    <sheet name="Calibration_Work" r:id="rId17" sheetId="20"/>
    <sheet name="Calibration_School" r:id="rId18" sheetId="21"/>
    <sheet name="Calibration_Escort" r:id="rId19" sheetId="23"/>
    <sheet name="Calibration_Other" r:id="rId20" sheetId="24"/>
    <sheet name="Calibration_WorkBased" r:id="rId21" sheetId="25"/>
  </sheets>
  <definedNames>
    <definedName name="out1">Work!$F$4:$G$11</definedName>
    <definedName name="out10">Shop!$O$4:$P$11</definedName>
    <definedName name="out11">Meal!$F$4:$G$11</definedName>
    <definedName name="out12">Meal!$O$4:$P$11</definedName>
    <definedName name="out13">SocRec!$F$4:$G$11</definedName>
    <definedName name="out14">SocRec!$O$4:$P$11</definedName>
    <definedName name="out15">Workbased!$B$5:$H$11</definedName>
    <definedName name="out16">Workbased!$L$5:$R$11</definedName>
    <definedName name="out2">Work!$O$4:$P$11</definedName>
    <definedName name="out3">School!$F$4:$G$11</definedName>
    <definedName name="out4">School!$O$4:$P$11</definedName>
    <definedName name="out5">Escort!$F$4:$G$11</definedName>
    <definedName name="out6">Escort!$O$4:$P$11</definedName>
    <definedName name="out7">Personal_Business!$F$4:$G$11</definedName>
    <definedName name="out8">Personal_Business!$O$4:$P$11</definedName>
    <definedName name="out9">Shop!$F$4:$G$11</definedName>
    <definedName name="purp1">Work!$K$4:$L$13</definedName>
    <definedName name="purp2">School!$K$4:$L$13</definedName>
    <definedName name="purp3">Escort!$K$4:$L$13</definedName>
    <definedName name="purp4">Personal_Business!$K$4:$L$13</definedName>
    <definedName name="purp5">Shop!$K$4:$L$13</definedName>
    <definedName name="purp6">Meal!$K$4:$L$13</definedName>
    <definedName name="purp7">SocRec!$K$4:$L$13</definedName>
    <definedName name="wb">Workbased!$L$5:$R$13</definedName>
    <definedName name="out_1">Work!$F$4:$G$12</definedName>
    <definedName name="out_3">School!$F$4:$G$12</definedName>
    <definedName name="out_5">Escort!$F$4:$G$12</definedName>
    <definedName name="out_7">Personal_Business!$F$4:$G$12</definedName>
    <definedName name="out_9">Shop!$F$4:$G$12</definedName>
    <definedName name="out_11">Meal!$F$4:$G$12</definedName>
    <definedName name="out_13">SocRec!$F$4:$G$12</definedName>
    <definedName name="out_15">Workbased!$B$5:$H$11</definedName>
    <definedName name="out_2">Work!$O$4:$P$12</definedName>
    <definedName name="out_4">School!$O$4:$P$12</definedName>
    <definedName name="out_6">Escort!$O$4:$P$12</definedName>
    <definedName name="out_8">Personal_Business!$O$4:$P$12</definedName>
    <definedName name="out_10">Shop!$O$4:$P$12</definedName>
    <definedName name="out_12">Meal!$O$4:$P$12</definedName>
    <definedName name="out_14">SocRec!$O$4:$P$12</definedName>
    <definedName name="out_16">Workbased!$L$5:$R$11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i="25" l="1" r="F26"/>
  <c i="23" r="E24"/>
  <c i="23" r="D24"/>
  <c i="23" r="C24"/>
  <c i="23" r="E23"/>
  <c i="23" r="D23"/>
  <c i="23" r="C23"/>
  <c i="23" r="E22"/>
  <c i="23" r="D22"/>
  <c i="23" r="C22"/>
  <c i="23" r="E20"/>
  <c i="23" r="D20"/>
  <c i="23" r="C20"/>
  <c i="23" r="E19"/>
  <c i="23" r="D19"/>
  <c i="23" r="C19"/>
  <c i="23" r="E18"/>
  <c i="23" r="D18"/>
  <c i="23" r="C18"/>
  <c i="21" r="E26"/>
  <c i="21" r="D26"/>
  <c i="21" r="C26"/>
  <c i="21" r="E25"/>
  <c i="21" r="D25"/>
  <c i="21" r="C25"/>
  <c i="21" r="E24"/>
  <c i="21" r="D24"/>
  <c i="21" r="C24"/>
  <c i="21" r="E23"/>
  <c i="21" r="D23"/>
  <c i="21" r="C23"/>
  <c i="21" r="E22"/>
  <c i="21" r="D22"/>
  <c i="21" r="C22"/>
  <c i="21" r="E20"/>
  <c i="21" r="D20"/>
  <c i="21" r="C20"/>
  <c i="21" r="E19"/>
  <c i="21" r="D19"/>
  <c i="21" r="C19"/>
  <c i="21" r="E18"/>
  <c i="21" r="D18"/>
  <c i="21" r="C18"/>
  <c i="24" r="E26"/>
  <c i="24" r="D26"/>
  <c i="24" r="C26"/>
  <c i="24" r="E24"/>
  <c i="24" r="D24"/>
  <c i="24" r="C24"/>
  <c i="24" r="E23"/>
  <c i="24" r="D23"/>
  <c i="24" r="C23"/>
  <c i="24" r="E22"/>
  <c i="24" r="D22"/>
  <c i="24" r="C22"/>
  <c i="24" r="E20"/>
  <c i="24" r="D20"/>
  <c i="24" r="C20"/>
  <c i="24" r="E19"/>
  <c i="24" r="D19"/>
  <c i="24" r="C19"/>
  <c i="24" r="E18"/>
  <c i="24" r="D18"/>
  <c i="20" r="E26"/>
  <c i="20" r="D26"/>
  <c i="20" r="C26"/>
  <c i="20" r="E24"/>
  <c i="20" r="D24"/>
  <c i="20" r="C24"/>
  <c i="20" r="E23"/>
  <c i="20" r="D23"/>
  <c i="20" r="C23"/>
  <c i="20" r="E22"/>
  <c i="20" r="D22"/>
  <c i="20" r="C22"/>
  <c i="20" r="E21"/>
  <c i="20" r="D21"/>
  <c i="20" r="C21"/>
  <c i="20" r="E20"/>
  <c i="20" r="D20"/>
  <c i="20" r="C20"/>
  <c i="20" r="E19"/>
  <c i="20" r="D19"/>
  <c i="20" r="C19"/>
  <c i="20" r="E18"/>
  <c i="20" r="D18"/>
  <c i="25" l="1" r="AA28"/>
  <c i="25" r="AB28"/>
  <c i="25" r="AC28"/>
  <c i="4" r="Q12"/>
  <c i="4" r="H12"/>
  <c i="21" r="F26" s="1"/>
  <c i="5" r="Q12"/>
  <c i="5" r="H12"/>
  <c i="10" r="Q12"/>
  <c i="10" r="H12"/>
  <c i="8" r="Q12"/>
  <c i="8" r="H12"/>
  <c i="6" r="Q12"/>
  <c i="6" r="H12"/>
  <c i="9" r="Q12"/>
  <c i="9" r="H12"/>
  <c i="24" l="1" r="F26"/>
  <c i="25" r="AD28"/>
  <c i="25" r="AE28" s="1"/>
  <c i="5" r="H6"/>
  <c i="23" r="F20" s="1"/>
  <c i="5" r="H5"/>
  <c i="23" r="F19" s="1"/>
  <c i="1" r="H5"/>
  <c i="20" r="F19" s="1"/>
  <c i="9" r="H4"/>
  <c i="6" r="H4"/>
  <c i="8" r="H4"/>
  <c i="10" r="H4"/>
  <c i="24" r="F18" s="1"/>
  <c i="5" r="H4"/>
  <c i="23" r="F18" s="1"/>
  <c i="4" r="H4"/>
  <c i="21" r="F18" s="1"/>
  <c i="1" r="H4"/>
  <c i="20" r="F18" s="1"/>
  <c i="4" r="H6"/>
  <c i="21" r="F20" s="1"/>
  <c i="4" r="H5"/>
  <c i="21" r="F19" s="1"/>
  <c i="9" r="H6"/>
  <c i="9" r="H5"/>
  <c i="6" r="H6"/>
  <c i="6" r="H5"/>
  <c i="8" r="H6"/>
  <c i="8" r="H5"/>
  <c i="10" r="H6"/>
  <c i="24" r="F20" s="1"/>
  <c i="10" r="H5"/>
  <c i="1" r="H6"/>
  <c i="20" r="F20" s="1"/>
  <c i="11" r="M11"/>
  <c i="24" l="1" r="F19"/>
  <c i="11" r="U12"/>
  <c i="11" r="M12"/>
  <c i="11" r="L12"/>
  <c i="11" r="J12"/>
  <c i="25" r="O90"/>
  <c i="25" r="P90"/>
  <c i="25" r="Q90"/>
  <c i="25" r="L90"/>
  <c i="25" r="L26"/>
  <c i="25" r="AA27"/>
  <c i="25" r="AB27"/>
  <c i="25" r="AC27"/>
  <c i="25" r="AA26"/>
  <c i="25" r="AB26"/>
  <c i="25" r="AC26"/>
  <c i="25" r="AA25"/>
  <c i="25" r="AB25"/>
  <c i="25" r="AC25"/>
  <c i="25" r="AA24"/>
  <c i="25" r="AB24"/>
  <c i="25" r="AC24"/>
  <c i="25" r="AA20"/>
  <c i="25" r="AB20"/>
  <c i="25" r="AC20"/>
  <c i="25" r="AA21"/>
  <c i="25" r="AB21"/>
  <c i="25" r="AC21"/>
  <c i="25" r="AA22"/>
  <c i="25" r="AB22"/>
  <c i="25" r="AC22"/>
  <c i="25" r="AA23"/>
  <c i="25" r="AB23"/>
  <c i="25" r="AC23"/>
  <c i="24" r="AA72"/>
  <c i="24" r="AB72"/>
  <c i="24" r="AC72"/>
  <c i="24" r="AA71"/>
  <c i="24" r="AB71"/>
  <c i="24" r="AC71"/>
  <c i="24" r="AA68"/>
  <c i="24" r="AB68"/>
  <c i="24" r="AC68"/>
  <c i="24" r="AA69"/>
  <c i="24" r="AB69"/>
  <c i="24" r="AC69"/>
  <c i="24" r="AA70"/>
  <c i="24" r="AB70"/>
  <c i="24" r="AC70"/>
  <c i="24" r="AA66"/>
  <c i="24" r="AB66"/>
  <c i="24" r="AC66"/>
  <c i="24" r="AA67"/>
  <c i="24" r="AB67"/>
  <c i="24" r="AC67"/>
  <c i="24" r="AA64"/>
  <c i="24" r="AB64"/>
  <c i="24" r="AC64"/>
  <c i="24" r="AA65"/>
  <c i="24" r="AB65"/>
  <c i="24" r="AC65"/>
  <c i="24" r="AA63"/>
  <c i="24" r="AB63"/>
  <c i="24" r="AC63"/>
  <c i="24" r="AA61"/>
  <c i="24" r="AB61"/>
  <c i="24" r="AC61"/>
  <c i="24" r="AA62"/>
  <c i="24" r="AB62"/>
  <c i="24" r="AC62"/>
  <c i="24" r="AA60"/>
  <c i="24" r="AB60"/>
  <c i="24" r="AC60"/>
  <c i="24" r="AA56"/>
  <c i="24" r="AB56"/>
  <c i="24" r="AC56"/>
  <c i="24" r="AA57"/>
  <c i="24" r="AB57"/>
  <c i="24" r="AC57"/>
  <c i="24" r="AA58"/>
  <c i="24" r="AB58"/>
  <c i="24" r="AC58"/>
  <c i="24" r="AA59"/>
  <c i="24" r="AB59"/>
  <c i="24" r="AC59"/>
  <c i="24" r="I90"/>
  <c i="24" r="J90"/>
  <c i="24" r="K90"/>
  <c i="24" r="L90"/>
  <c i="24" r="Q90"/>
  <c i="24" r="Q65"/>
  <c i="24" r="Q52"/>
  <c i="24" r="Q39"/>
  <c i="24" r="I25"/>
  <c i="24" r="I26"/>
  <c i="24" r="J26"/>
  <c i="24" r="K26"/>
  <c i="24" r="L26"/>
  <c i="11" r="T12" s="1"/>
  <c i="23" r="AA26"/>
  <c i="23" r="AB26"/>
  <c i="23" r="AC26"/>
  <c i="21" r="Q52"/>
  <c i="21" r="Q65"/>
  <c i="21" r="Q90"/>
  <c i="21" r="I90"/>
  <c i="21" r="J90"/>
  <c i="21" r="K90"/>
  <c i="21" r="L90"/>
  <c i="21" r="Q39"/>
  <c i="21" r="I26"/>
  <c i="21" r="J26"/>
  <c i="21" r="K26"/>
  <c i="21" r="L26"/>
  <c i="11" r="R12" s="1"/>
  <c i="21" r="AA69"/>
  <c i="21" r="AB69"/>
  <c i="21" r="AC69"/>
  <c i="21" r="AA70"/>
  <c i="21" r="AB70"/>
  <c i="21" r="AC70"/>
  <c i="21" r="AA55"/>
  <c i="21" r="AB55"/>
  <c i="21" r="AC55"/>
  <c i="21" r="AA56"/>
  <c i="21" r="AB56"/>
  <c i="21" r="AC56"/>
  <c i="21" r="AA57"/>
  <c i="21" r="AB57"/>
  <c i="21" r="AC57"/>
  <c i="21" r="AA58"/>
  <c i="21" r="AB58"/>
  <c i="21" r="AC58"/>
  <c i="21" r="AA59"/>
  <c i="21" r="AB59"/>
  <c i="21" r="AC59"/>
  <c i="21" r="AA60"/>
  <c i="21" r="AB60"/>
  <c i="21" r="AC60"/>
  <c i="21" r="AA61"/>
  <c i="21" r="AB61"/>
  <c i="21" r="AC61"/>
  <c i="21" r="AA62"/>
  <c i="21" r="AB62"/>
  <c i="21" r="AC62"/>
  <c i="21" r="AA63"/>
  <c i="21" r="AB63"/>
  <c i="21" r="AC63"/>
  <c i="21" r="AA64"/>
  <c i="21" r="AB64"/>
  <c i="21" r="AC64"/>
  <c i="21" r="AA65"/>
  <c i="21" r="AB65"/>
  <c i="21" r="AC65"/>
  <c i="21" r="AA66"/>
  <c i="21" r="AB66"/>
  <c i="21" r="AC66"/>
  <c i="21" r="AA67"/>
  <c i="21" r="AB67"/>
  <c i="21" r="AC67"/>
  <c i="21" r="AA68"/>
  <c i="21" r="AB68"/>
  <c i="21" r="AC68"/>
  <c i="20" r="Q39"/>
  <c i="20" r="AA67"/>
  <c i="20" r="AB67"/>
  <c i="20" r="AC67"/>
  <c i="20" r="AA65"/>
  <c i="20" r="AB65"/>
  <c i="20" r="AC65"/>
  <c i="20" r="AA66"/>
  <c i="20" r="AB66"/>
  <c i="20" r="AC66"/>
  <c i="20" r="AA59"/>
  <c i="20" r="AB59"/>
  <c i="20" r="AC59"/>
  <c i="20" r="AA60"/>
  <c i="20" r="AB60"/>
  <c i="20" r="AC60"/>
  <c i="20" r="AA61"/>
  <c i="20" r="AB61"/>
  <c i="20" r="AC61"/>
  <c i="20" r="AA62"/>
  <c i="20" r="AB62"/>
  <c i="20" r="AC62"/>
  <c i="20" r="AA63"/>
  <c i="20" r="AB63"/>
  <c i="20" r="AC63"/>
  <c i="20" r="AA64"/>
  <c i="20" r="AB64"/>
  <c i="20" r="AC64"/>
  <c i="20" r="AA48"/>
  <c i="20" r="AB48"/>
  <c i="20" r="AC48"/>
  <c i="20" r="AA49"/>
  <c i="20" r="AB49"/>
  <c i="20" r="AC49"/>
  <c i="20" r="AA50"/>
  <c i="20" r="AB50"/>
  <c i="20" r="AC50"/>
  <c i="20" r="AA51"/>
  <c i="20" r="AB51"/>
  <c i="20" r="AC51"/>
  <c i="20" r="AA52"/>
  <c i="20" r="AB52"/>
  <c i="20" r="AC52"/>
  <c i="20" r="AA53"/>
  <c i="20" r="AB53"/>
  <c i="20" r="AC53"/>
  <c i="20" r="AA54"/>
  <c i="20" r="AB54"/>
  <c i="20" r="AC54"/>
  <c i="20" r="AA55"/>
  <c i="20" r="AB55"/>
  <c i="20" r="AC55"/>
  <c i="20" r="AA56"/>
  <c i="20" r="AB56"/>
  <c i="20" r="AC56"/>
  <c i="20" r="AA57"/>
  <c i="20" r="AB57"/>
  <c i="20" r="AC57"/>
  <c i="20" r="AA58"/>
  <c i="20" r="AB58"/>
  <c i="20" r="AC58"/>
  <c i="20" r="Q90"/>
  <c i="20" r="I90"/>
  <c i="20" r="J90"/>
  <c i="20" r="K90"/>
  <c i="20" r="L90"/>
  <c i="20" r="Q65"/>
  <c i="20" r="Q52"/>
  <c i="25" l="1" r="AD23"/>
  <c i="25" r="AE23" s="1"/>
  <c i="25" r="AD21"/>
  <c i="25" r="AE21" s="1"/>
  <c i="25" r="AD25"/>
  <c i="25" r="AE25" s="1"/>
  <c i="25" r="AD27"/>
  <c i="25" r="AE27" s="1"/>
  <c i="25" r="AD26"/>
  <c i="25" r="AD24"/>
  <c i="25" r="AE24" s="1"/>
  <c i="25" r="AD22"/>
  <c i="25" r="AE22" s="1"/>
  <c i="25" r="AD20"/>
  <c i="25" r="AE20" s="1"/>
  <c i="20" r="AD54"/>
  <c i="20" r="AE54" s="1"/>
  <c i="24" r="AD60"/>
  <c i="24" r="AE60" s="1"/>
  <c i="20" r="AD63"/>
  <c i="20" r="AE63" s="1"/>
  <c i="21" r="AD64"/>
  <c i="21" r="AE64" s="1"/>
  <c i="24" r="AD57"/>
  <c i="24" r="AE57" s="1"/>
  <c i="21" r="AD57"/>
  <c i="21" r="AE57" s="1"/>
  <c i="21" r="AD63"/>
  <c i="21" r="AE63" s="1"/>
  <c i="20" r="AD62"/>
  <c i="20" r="AE62" s="1"/>
  <c i="20" r="AD53"/>
  <c i="20" r="AE53" s="1"/>
  <c i="21" r="AD69"/>
  <c i="21" r="AE69" s="1"/>
  <c i="24" r="AD65"/>
  <c i="24" r="AE65" s="1"/>
  <c i="20" r="AD50"/>
  <c i="20" r="AE50" s="1"/>
  <c i="24" r="AD72"/>
  <c i="24" r="AE72" s="1"/>
  <c i="24" r="AD67"/>
  <c i="24" r="AE67" s="1"/>
  <c i="20" r="AD57"/>
  <c i="20" r="AE57" s="1"/>
  <c i="20" r="AD49"/>
  <c i="20" r="AE49" s="1"/>
  <c i="21" r="AD68"/>
  <c i="21" r="AE68" s="1"/>
  <c i="24" r="AD69"/>
  <c i="24" r="AE69" s="1"/>
  <c i="21" r="AD56"/>
  <c i="21" r="AE56" s="1"/>
  <c i="20" r="AD65"/>
  <c i="20" r="AE65" s="1"/>
  <c i="24" r="AD71"/>
  <c i="24" r="AE71" s="1"/>
  <c i="21" r="AD55"/>
  <c i="21" r="AE55" s="1"/>
  <c i="21" r="AD70"/>
  <c i="21" r="AE70" s="1"/>
  <c i="20" r="AD56"/>
  <c i="20" r="AE56" s="1"/>
  <c i="21" r="AD62"/>
  <c i="21" r="AE62" s="1"/>
  <c i="20" r="AD61"/>
  <c i="20" r="AE61" s="1"/>
  <c i="24" r="AD62"/>
  <c i="24" r="AE62" s="1"/>
  <c i="21" r="AD66"/>
  <c i="21" r="AE66" s="1"/>
  <c i="24" r="AD56"/>
  <c i="24" r="AE56" s="1"/>
  <c i="21" r="AD61"/>
  <c i="21" r="AE61" s="1"/>
  <c i="21" r="AD60"/>
  <c i="21" r="AE60" s="1"/>
  <c i="20" r="AD60"/>
  <c i="20" r="AE60" s="1"/>
  <c i="21" r="AD58"/>
  <c i="21" r="AE58" s="1"/>
  <c i="25" r="AE26"/>
  <c i="20" r="AD52"/>
  <c i="20" r="AE52" s="1"/>
  <c i="20" r="AD59"/>
  <c i="20" r="AE59" s="1"/>
  <c i="24" r="AD66"/>
  <c i="24" r="AE66" s="1"/>
  <c i="24" r="C27"/>
  <c i="24" r="AD61"/>
  <c i="24" r="AE61" s="1"/>
  <c i="20" r="AD64"/>
  <c i="20" r="AE64" s="1"/>
  <c i="21" r="D27"/>
  <c i="21" r="D39" s="1"/>
  <c i="24" r="E27"/>
  <c i="20" r="AD55"/>
  <c i="20" r="AE55" s="1"/>
  <c i="20" r="AD67"/>
  <c i="20" r="AE67" s="1"/>
  <c i="24" r="AD64"/>
  <c i="24" r="AE64" s="1"/>
  <c i="20" r="AD51"/>
  <c i="20" r="AE51" s="1"/>
  <c i="21" r="AD67"/>
  <c i="21" r="AE67" s="1"/>
  <c i="20" r="AD58"/>
  <c i="20" r="AE58" s="1"/>
  <c i="24" r="D27"/>
  <c i="20" r="AD48"/>
  <c i="20" r="AE48" s="1"/>
  <c i="24" r="AD59"/>
  <c i="24" r="AE59" s="1"/>
  <c i="24" r="AD68"/>
  <c i="24" r="AE68" s="1"/>
  <c i="24" r="AD70"/>
  <c i="24" r="AE70" s="1"/>
  <c i="21" r="AD59"/>
  <c i="21" r="AE59" s="1"/>
  <c i="20" r="AD66"/>
  <c i="20" r="AE66" s="1"/>
  <c i="21" r="AD65"/>
  <c i="21" r="AE65" s="1"/>
  <c i="24" r="AD63"/>
  <c i="24" r="AE63" s="1"/>
  <c i="21" r="C27"/>
  <c i="21" r="C39" s="1"/>
  <c i="23" r="AD26"/>
  <c i="23" r="AE26" s="1"/>
  <c i="21" r="E27"/>
  <c i="21" r="E39" s="1"/>
  <c i="24" r="AD58"/>
  <c i="24" r="AE58" s="1"/>
  <c i="20" r="I26"/>
  <c i="20" r="J26"/>
  <c i="20" r="K26"/>
  <c i="11" r="P12"/>
  <c i="7" r="R13"/>
  <c i="7" r="Q13"/>
  <c i="7" r="P13"/>
  <c i="7" r="O13"/>
  <c i="7" r="N13"/>
  <c i="7" r="M13"/>
  <c i="7" r="L13"/>
  <c i="7" r="C13"/>
  <c i="7" r="D13"/>
  <c i="7" r="E13"/>
  <c i="7" r="F13"/>
  <c i="7" r="G13"/>
  <c i="7" r="H13"/>
  <c i="7" r="B13"/>
  <c i="9" r="P13"/>
  <c i="9" r="O13"/>
  <c i="9" r="N13"/>
  <c i="9" r="M13"/>
  <c i="9" r="L13"/>
  <c i="9" r="K13"/>
  <c i="9" r="C13"/>
  <c i="9" r="D13"/>
  <c i="9" r="E13"/>
  <c i="9" r="F13"/>
  <c i="9" r="G13"/>
  <c i="9" r="B13"/>
  <c i="6" r="P13"/>
  <c i="6" r="O13"/>
  <c i="6" r="N13"/>
  <c i="6" r="M13"/>
  <c i="6" r="L13"/>
  <c i="6" r="K13"/>
  <c i="6" r="C13"/>
  <c i="6" r="D13"/>
  <c i="6" r="E13"/>
  <c i="6" r="F13"/>
  <c i="6" r="G13"/>
  <c i="6" r="B13"/>
  <c i="8" r="P13"/>
  <c i="8" r="O13"/>
  <c i="8" r="N13"/>
  <c i="8" r="M13"/>
  <c i="8" r="L13"/>
  <c i="8" r="K13"/>
  <c i="8" r="C13"/>
  <c i="8" r="D13"/>
  <c i="8" r="E13"/>
  <c i="8" r="F13"/>
  <c i="8" r="G13"/>
  <c i="8" r="B13"/>
  <c i="10" r="P13"/>
  <c i="10" r="O13"/>
  <c i="10" r="N13"/>
  <c i="10" r="M13"/>
  <c i="10" r="L13"/>
  <c i="10" r="K13"/>
  <c i="10" r="C13"/>
  <c i="10" r="D13"/>
  <c i="10" r="E13"/>
  <c i="10" r="F13"/>
  <c i="10" r="G13"/>
  <c i="10" r="B13"/>
  <c i="5" r="P13"/>
  <c i="5" r="O13"/>
  <c i="5" r="N13"/>
  <c i="5" r="M13"/>
  <c i="5" r="L13"/>
  <c i="5" r="K13"/>
  <c i="5" r="C13"/>
  <c i="5" r="D13"/>
  <c i="5" r="E13"/>
  <c i="5" r="F13"/>
  <c i="5" r="G13"/>
  <c i="5" r="B13"/>
  <c i="4" r="P13"/>
  <c i="4" r="O13"/>
  <c i="4" r="N13"/>
  <c i="4" r="M13"/>
  <c i="4" r="L13"/>
  <c i="4" r="K13"/>
  <c i="4" r="C13"/>
  <c i="4" r="D13"/>
  <c i="4" r="E13"/>
  <c i="4" r="F13"/>
  <c i="4" r="G13"/>
  <c i="4" r="B13"/>
  <c i="20" l="1" r="C27"/>
  <c i="20" r="C39" s="1"/>
  <c i="20" r="E27"/>
  <c i="20" r="E39" s="1"/>
  <c i="20" r="D27"/>
  <c i="20" r="D39" s="1"/>
  <c i="1" r="Q12"/>
  <c i="11" r="E12" s="1"/>
  <c i="1" r="L13"/>
  <c i="1" r="M13"/>
  <c i="1" r="N13"/>
  <c i="1" r="O13"/>
  <c i="1" r="P13"/>
  <c i="1" r="K13"/>
  <c i="1" r="C13"/>
  <c i="1" r="D13"/>
  <c i="1" r="E13"/>
  <c i="1" r="F13"/>
  <c i="1" r="G13"/>
  <c i="1" r="B13"/>
  <c i="1" r="H12"/>
  <c i="20" r="F26" s="1"/>
  <c i="20" l="1" r="L26"/>
  <c i="11" r="Q12" s="1"/>
  <c i="11" l="1" r="B12"/>
  <c i="11" r="I12"/>
  <c i="24" r="K19"/>
  <c i="24" r="K20"/>
  <c i="24" r="K21"/>
  <c i="24" r="K22"/>
  <c i="24" r="K23"/>
  <c i="24" r="K24"/>
  <c i="24" r="K25"/>
  <c i="11" l="1" r="P16"/>
  <c i="11" r="P2"/>
  <c i="11" r="I17"/>
  <c i="11" r="J17"/>
  <c i="11" r="K17"/>
  <c i="11" r="L17"/>
  <c i="11" r="M17"/>
  <c i="11" r="N17"/>
  <c i="11" r="V3"/>
  <c i="11" r="V17" s="1"/>
  <c i="11" r="V31" s="1"/>
  <c i="11" r="R3"/>
  <c i="11" r="R17" s="1"/>
  <c i="11" r="R31" s="1"/>
  <c i="11" r="S3"/>
  <c i="11" r="S17" s="1"/>
  <c i="11" r="S31" s="1"/>
  <c i="11" r="T3"/>
  <c i="11" r="T17" s="1"/>
  <c i="11" r="T31" s="1"/>
  <c i="11" r="U3"/>
  <c i="11" r="U17" s="1"/>
  <c i="11" r="U31" s="1"/>
  <c i="11" r="Q3"/>
  <c i="11" r="Q17" s="1"/>
  <c i="11" r="Q31" s="1"/>
  <c i="11" r="P4"/>
  <c i="11" r="P18" s="1"/>
  <c i="11" r="P32" s="1"/>
  <c i="11" r="P5"/>
  <c i="11" r="P19" s="1"/>
  <c i="11" r="P33" s="1"/>
  <c i="11" r="P6"/>
  <c i="11" r="P20" s="1"/>
  <c i="11" r="P34" s="1"/>
  <c i="11" r="P7"/>
  <c i="11" r="P21" s="1"/>
  <c i="11" r="P35" s="1"/>
  <c i="11" r="P8"/>
  <c i="11" r="P22" s="1"/>
  <c i="11" r="P36" s="1"/>
  <c i="11" r="P9"/>
  <c i="11" r="P23" s="1"/>
  <c i="11" r="P37" s="1"/>
  <c i="11" r="P10"/>
  <c i="11" r="P24" s="1"/>
  <c i="11" r="P38" s="1"/>
  <c i="11" r="P11"/>
  <c i="11" r="P25" s="1"/>
  <c i="11" r="P39" s="1"/>
  <c i="11" r="P13"/>
  <c i="11" r="P27" s="1"/>
  <c i="11" r="P41" s="1"/>
  <c i="11" r="P3"/>
  <c i="11" r="P17" s="1"/>
  <c i="11" r="P31" s="1"/>
  <c i="11" r="H4"/>
  <c i="11" r="H18" s="1"/>
  <c i="11" r="H5"/>
  <c i="11" r="H19" s="1"/>
  <c i="11" r="H6"/>
  <c i="11" r="H20" s="1"/>
  <c i="11" r="H7"/>
  <c i="11" r="H21" s="1"/>
  <c i="11" r="H8"/>
  <c i="11" r="H22" s="1"/>
  <c i="11" r="H9"/>
  <c i="11" r="H23" s="1"/>
  <c i="11" r="H10"/>
  <c i="11" r="H24" s="1"/>
  <c i="11" r="H11"/>
  <c i="11" r="H25" s="1"/>
  <c i="11" r="H13"/>
  <c i="11" r="H27" s="1"/>
  <c i="11" r="H3"/>
  <c i="11" r="H17" s="1"/>
  <c i="24" l="1" r="P59"/>
  <c i="25" l="1" r="AA4"/>
  <c i="25" r="AB4"/>
  <c i="25" r="AC4"/>
  <c i="25" r="AA5"/>
  <c i="25" r="AB5"/>
  <c i="25" r="AC5"/>
  <c i="25" r="AA6"/>
  <c i="25" r="AB6"/>
  <c i="25" r="AC6"/>
  <c i="25" r="AA7"/>
  <c i="25" r="AB7"/>
  <c i="25" r="AC7"/>
  <c i="25" r="AA8"/>
  <c i="25" r="AB8"/>
  <c i="25" r="AC8"/>
  <c i="25" r="AA9"/>
  <c i="25" r="AB9"/>
  <c i="25" r="AC9"/>
  <c i="25" r="AA10"/>
  <c i="25" r="AB10"/>
  <c i="25" r="AC10"/>
  <c i="25" r="AA11"/>
  <c i="25" r="AB11"/>
  <c i="25" r="AC11"/>
  <c i="25" r="AA12"/>
  <c i="25" r="AB12"/>
  <c i="25" r="AC12"/>
  <c i="25" r="AA13"/>
  <c i="25" r="AB13"/>
  <c i="25" r="AC13"/>
  <c i="25" r="AA14"/>
  <c i="25" r="AB14"/>
  <c i="25" r="AC14"/>
  <c i="25" r="AA15"/>
  <c i="25" r="AB15"/>
  <c i="25" r="AC15"/>
  <c i="25" r="AA16"/>
  <c i="25" r="AB16"/>
  <c i="25" r="AC16"/>
  <c i="25" r="AA17"/>
  <c i="25" r="AB17"/>
  <c i="25" r="AC17"/>
  <c i="25" r="AA18"/>
  <c i="25" r="AB18"/>
  <c i="25" r="AC18"/>
  <c i="25" r="AA19"/>
  <c i="25" r="AB19"/>
  <c i="25" r="AC19"/>
  <c i="25" r="AC3"/>
  <c i="25" r="AB3"/>
  <c i="25" r="AA3"/>
  <c i="25" r="E40"/>
  <c i="25" r="J84"/>
  <c i="25" r="I84"/>
  <c i="25" r="R69"/>
  <c i="25" r="R81" s="1"/>
  <c i="25" r="Q69"/>
  <c i="25" r="Q81" s="1"/>
  <c i="25" r="P69"/>
  <c i="25" r="P81" s="1"/>
  <c i="25" r="O69"/>
  <c i="25" r="O81" s="1"/>
  <c i="25" r="R56"/>
  <c i="25" r="Q56"/>
  <c i="25" r="P56"/>
  <c i="25" r="O56"/>
  <c i="25" r="E30"/>
  <c i="25" r="K27"/>
  <c i="25" r="J27"/>
  <c i="25" r="E27"/>
  <c i="25" r="D27"/>
  <c i="25" r="C27"/>
  <c i="25" r="R25"/>
  <c i="25" r="Q25"/>
  <c i="25" r="Q89" s="1"/>
  <c i="25" r="P25"/>
  <c i="25" r="P89" s="1"/>
  <c i="25" r="O25"/>
  <c i="25" r="O89" s="1"/>
  <c i="25" r="Q24"/>
  <c i="25" r="P24"/>
  <c i="25" r="O24"/>
  <c i="25" r="R23"/>
  <c i="25" r="Q23"/>
  <c i="25" r="P23"/>
  <c i="25" r="O23"/>
  <c i="25" r="R22"/>
  <c i="25" r="Q22"/>
  <c i="25" r="Q86" s="1"/>
  <c i="25" r="P22"/>
  <c i="25" r="O22"/>
  <c i="25" r="R21"/>
  <c i="25" r="R60" s="1"/>
  <c i="25" r="Q21"/>
  <c i="25" r="P21"/>
  <c i="25" r="O21"/>
  <c i="25" r="R20"/>
  <c i="25" r="Q20"/>
  <c i="25" r="R19"/>
  <c i="25" r="Q19"/>
  <c i="25" r="Q83" s="1"/>
  <c i="25" r="P19"/>
  <c i="25" r="O19"/>
  <c i="25" r="R18"/>
  <c i="25" r="Q18"/>
  <c i="25" r="P18"/>
  <c i="25" r="O18"/>
  <c i="25" r="I27"/>
  <c i="25" r="H16"/>
  <c i="24" r="K18"/>
  <c i="24" r="K27" s="1"/>
  <c i="24" r="K39" s="1"/>
  <c i="24" r="J19"/>
  <c i="24" r="J20"/>
  <c i="24" r="J21"/>
  <c i="24" r="J22"/>
  <c i="24" r="J23"/>
  <c i="24" r="J24"/>
  <c i="24" r="J25"/>
  <c i="24" r="J18"/>
  <c i="24" r="I19"/>
  <c i="24" r="I20"/>
  <c i="24" r="I21"/>
  <c i="24" r="I22"/>
  <c i="24" r="I23"/>
  <c i="24" r="I24"/>
  <c i="24" r="I18"/>
  <c i="24" r="AA48"/>
  <c i="24" r="AB48"/>
  <c i="24" r="AC48"/>
  <c i="24" r="AA49"/>
  <c i="24" r="AB49"/>
  <c i="24" r="AC49"/>
  <c i="24" r="AA50"/>
  <c i="24" r="AB50"/>
  <c i="24" r="AC50"/>
  <c i="24" r="AA51"/>
  <c i="24" r="AB51"/>
  <c i="24" r="AC51"/>
  <c i="24" r="AA52"/>
  <c i="24" r="AB52"/>
  <c i="24" r="AC52"/>
  <c i="24" r="AA53"/>
  <c i="24" r="AB53"/>
  <c i="24" r="AC53"/>
  <c i="24" r="AA54"/>
  <c i="24" r="AB54"/>
  <c i="24" r="AC54"/>
  <c i="24" r="AA55"/>
  <c i="24" r="AB55"/>
  <c i="24" r="AC55"/>
  <c i="24" r="AA4"/>
  <c i="24" r="AB4"/>
  <c i="24" r="AC4"/>
  <c i="24" r="AA5"/>
  <c i="24" r="AB5"/>
  <c i="24" r="AC5"/>
  <c i="24" r="AA6"/>
  <c i="24" r="AB6"/>
  <c i="24" r="AC6"/>
  <c i="24" r="AA7"/>
  <c i="24" r="AB7"/>
  <c i="24" r="AC7"/>
  <c i="24" r="AA8"/>
  <c i="24" r="AB8"/>
  <c i="24" r="AC8"/>
  <c i="24" r="AA9"/>
  <c i="24" r="AB9"/>
  <c i="24" r="AC9"/>
  <c i="24" r="AA10"/>
  <c i="24" r="AB10"/>
  <c i="24" r="AC10"/>
  <c i="24" r="AA11"/>
  <c i="24" r="AB11"/>
  <c i="24" r="AC11"/>
  <c i="24" r="AA12"/>
  <c i="24" r="AB12"/>
  <c i="24" r="AC12"/>
  <c i="24" r="AA13"/>
  <c i="24" r="AB13"/>
  <c i="24" r="AC13"/>
  <c i="24" r="AA14"/>
  <c i="24" r="AB14"/>
  <c i="24" r="AC14"/>
  <c i="24" r="AA15"/>
  <c i="24" r="AB15"/>
  <c i="24" r="AC15"/>
  <c i="24" r="AA16"/>
  <c i="24" r="AB16"/>
  <c i="24" r="AC16"/>
  <c i="24" r="AA17"/>
  <c i="24" r="AB17"/>
  <c i="24" r="AC17"/>
  <c i="24" r="AA18"/>
  <c i="24" r="AB18"/>
  <c i="24" r="AC18"/>
  <c i="24" r="AA19"/>
  <c i="24" r="AB19"/>
  <c i="24" r="AC19"/>
  <c i="24" r="AA20"/>
  <c i="24" r="AB20"/>
  <c i="24" r="AC20"/>
  <c i="24" r="AA21"/>
  <c i="24" r="AB21"/>
  <c i="24" r="AC21"/>
  <c i="24" r="AA22"/>
  <c i="24" r="AB22"/>
  <c i="24" r="AC22"/>
  <c i="24" r="AA23"/>
  <c i="24" r="AB23"/>
  <c i="24" r="AC23"/>
  <c i="24" r="AA24"/>
  <c i="24" r="AB24"/>
  <c i="24" r="AC24"/>
  <c i="24" r="AA25"/>
  <c i="24" r="AB25"/>
  <c i="24" r="AC25"/>
  <c i="24" r="AA26"/>
  <c i="24" r="AB26"/>
  <c i="24" r="AC26"/>
  <c i="24" r="AA27"/>
  <c i="24" r="AB27"/>
  <c i="24" r="AC27"/>
  <c i="24" r="AA28"/>
  <c i="24" r="AB28"/>
  <c i="24" r="AC28"/>
  <c i="24" r="AA29"/>
  <c i="24" r="AB29"/>
  <c i="24" r="AC29"/>
  <c i="24" r="AA30"/>
  <c i="24" r="AB30"/>
  <c i="24" r="AC30"/>
  <c i="24" r="AA31"/>
  <c i="24" r="AB31"/>
  <c i="24" r="AC31"/>
  <c i="24" r="AA32"/>
  <c i="24" r="AB32"/>
  <c i="24" r="AC32"/>
  <c i="24" r="AA33"/>
  <c i="24" r="AB33"/>
  <c i="24" r="AC33"/>
  <c i="24" r="AA34"/>
  <c i="24" r="AB34"/>
  <c i="24" r="AC34"/>
  <c i="24" r="AA35"/>
  <c i="24" r="AB35"/>
  <c i="24" r="AC35"/>
  <c i="24" r="AA36"/>
  <c i="24" r="AB36"/>
  <c i="24" r="AC36"/>
  <c i="24" r="AA37"/>
  <c i="24" r="AB37"/>
  <c i="24" r="AC37"/>
  <c i="24" r="AA38"/>
  <c i="24" r="AB38"/>
  <c i="24" r="AC38"/>
  <c i="24" r="AA39"/>
  <c i="24" r="AB39"/>
  <c i="24" r="AC39"/>
  <c i="24" r="AA40"/>
  <c i="24" r="AB40"/>
  <c i="24" r="AC40"/>
  <c i="24" r="AA41"/>
  <c i="24" r="AB41"/>
  <c i="24" r="AC41"/>
  <c i="24" r="AA42"/>
  <c i="24" r="AB42"/>
  <c i="24" r="AC42"/>
  <c i="24" r="AA43"/>
  <c i="24" r="AB43"/>
  <c i="24" r="AC43"/>
  <c i="24" r="AA44"/>
  <c i="24" r="AB44"/>
  <c i="24" r="AC44"/>
  <c i="24" r="AA45"/>
  <c i="24" r="AB45"/>
  <c i="24" r="AC45"/>
  <c i="24" r="AA46"/>
  <c i="24" r="AB46"/>
  <c i="24" r="AC46"/>
  <c i="24" r="AA47"/>
  <c i="24" r="AB47"/>
  <c i="24" r="AC47"/>
  <c i="24" r="AC3"/>
  <c i="24" r="AB3"/>
  <c i="24" r="AA3"/>
  <c i="23" r="AA4"/>
  <c i="23" r="AB4"/>
  <c i="23" r="AC4"/>
  <c i="23" r="AA5"/>
  <c i="23" r="AB5"/>
  <c i="23" r="AC5"/>
  <c i="23" r="AA6"/>
  <c i="23" r="AB6"/>
  <c i="23" r="AC6"/>
  <c i="23" r="AA7"/>
  <c i="23" r="AB7"/>
  <c i="23" r="AC7"/>
  <c i="23" r="AA8"/>
  <c i="23" r="AB8"/>
  <c i="23" r="AC8"/>
  <c i="23" r="AA9"/>
  <c i="23" r="AB9"/>
  <c i="23" r="AC9"/>
  <c i="23" r="AA10"/>
  <c i="23" r="AB10"/>
  <c i="23" r="AC10"/>
  <c i="23" r="AA11"/>
  <c i="23" r="AB11"/>
  <c i="23" r="AC11"/>
  <c i="23" r="AA12"/>
  <c i="23" r="AB12"/>
  <c i="23" r="AC12"/>
  <c i="23" r="AA13"/>
  <c i="23" r="AB13"/>
  <c i="23" r="AC13"/>
  <c i="23" r="AA14"/>
  <c i="23" r="AB14"/>
  <c i="23" r="AC14"/>
  <c i="23" r="AA15"/>
  <c i="23" r="AB15"/>
  <c i="23" r="AC15"/>
  <c i="23" r="AA16"/>
  <c i="23" r="AB16"/>
  <c i="23" r="AC16"/>
  <c i="23" r="AA17"/>
  <c i="23" r="AB17"/>
  <c i="23" r="AC17"/>
  <c i="23" r="AA18"/>
  <c i="23" r="AB18"/>
  <c i="23" r="AC18"/>
  <c i="23" r="AA19"/>
  <c i="23" r="AB19"/>
  <c i="23" r="AC19"/>
  <c i="23" r="AA20"/>
  <c i="23" r="AB20"/>
  <c i="23" r="AC20"/>
  <c i="23" r="AA21"/>
  <c i="23" r="AB21"/>
  <c i="23" r="AC21"/>
  <c i="23" r="AA22"/>
  <c i="23" r="AB22"/>
  <c i="23" r="AC22"/>
  <c i="23" r="AA23"/>
  <c i="23" r="AB23"/>
  <c i="23" r="AC23"/>
  <c i="23" r="AA24"/>
  <c i="23" r="AB24"/>
  <c i="23" r="AC24"/>
  <c i="23" r="AA25"/>
  <c i="23" r="AB25"/>
  <c i="23" r="AC25"/>
  <c i="23" r="AC3"/>
  <c i="23" r="AB3"/>
  <c i="23" r="AA3"/>
  <c i="23" r="K25"/>
  <c i="23" r="J25"/>
  <c i="23" r="I25"/>
  <c i="23" r="K24"/>
  <c i="23" r="J24"/>
  <c i="23" r="I24"/>
  <c i="23" r="K23"/>
  <c i="23" r="J23"/>
  <c i="23" r="I23"/>
  <c i="23" r="K22"/>
  <c i="23" r="J22"/>
  <c i="23" r="I22"/>
  <c i="23" r="K21"/>
  <c i="23" r="J21"/>
  <c i="23" r="I21"/>
  <c i="23" r="K20"/>
  <c i="23" r="J20"/>
  <c i="23" r="I20"/>
  <c i="23" r="K19"/>
  <c i="23" r="J19"/>
  <c i="23" r="I19"/>
  <c i="23" r="K18"/>
  <c i="23" r="J18"/>
  <c i="23" r="I18"/>
  <c i="24" r="J84"/>
  <c i="24" r="I84"/>
  <c i="24" r="R69"/>
  <c i="24" r="R81" s="1"/>
  <c i="24" r="Q69"/>
  <c i="24" r="Q81" s="1"/>
  <c i="24" r="P69"/>
  <c i="24" r="P81" s="1"/>
  <c i="24" r="O69"/>
  <c i="24" r="O81" s="1"/>
  <c i="24" r="R56"/>
  <c i="24" r="Q56"/>
  <c i="24" r="P56"/>
  <c i="24" r="O56"/>
  <c i="24" r="E30"/>
  <c i="24" r="R25"/>
  <c i="24" r="R64" s="1"/>
  <c i="24" r="Q25"/>
  <c i="24" r="P25"/>
  <c i="24" r="O25"/>
  <c i="24" r="O51" s="1"/>
  <c i="24" r="R24"/>
  <c i="24" r="Q24"/>
  <c i="24" r="Q63" s="1"/>
  <c i="24" r="P24"/>
  <c i="24" r="O24"/>
  <c i="24" r="I88" s="1"/>
  <c i="24" r="R23"/>
  <c i="24" r="Q23"/>
  <c i="24" r="Q62" s="1"/>
  <c i="24" r="P23"/>
  <c i="24" r="O23"/>
  <c i="24" r="R22"/>
  <c i="24" r="Q22"/>
  <c i="24" r="P22"/>
  <c i="24" r="O22"/>
  <c i="24" r="R21"/>
  <c i="24" r="R60" s="1"/>
  <c i="24" r="Q21"/>
  <c i="24" r="Q60" s="1"/>
  <c i="24" r="P21"/>
  <c i="24" r="P60" s="1"/>
  <c i="24" r="O21"/>
  <c i="24" r="R20"/>
  <c i="24" r="R19"/>
  <c i="24" r="Q19"/>
  <c i="24" r="P19"/>
  <c i="24" r="P58" s="1"/>
  <c i="24" r="O19"/>
  <c i="24" r="R18"/>
  <c i="24" r="Q18"/>
  <c i="24" r="Q57" s="1"/>
  <c i="24" r="P18"/>
  <c i="24" r="O18"/>
  <c i="24" r="O57" s="1"/>
  <c i="24" r="E39"/>
  <c i="24" r="C39"/>
  <c i="24" r="H16"/>
  <c i="23" r="J81"/>
  <c i="23" r="I81"/>
  <c i="23" r="R67"/>
  <c i="23" r="R78" s="1"/>
  <c i="23" r="Q67"/>
  <c i="23" r="Q78" s="1"/>
  <c i="23" r="P67"/>
  <c i="23" r="P78" s="1"/>
  <c i="23" r="O67"/>
  <c i="23" r="O78" s="1"/>
  <c i="23" r="R55"/>
  <c i="23" r="Q55"/>
  <c i="23" r="P55"/>
  <c i="23" r="O55"/>
  <c i="23" r="E30"/>
  <c i="23" r="R25"/>
  <c i="23" r="Q25"/>
  <c i="23" r="P25"/>
  <c i="23" r="O25"/>
  <c i="23" r="R24"/>
  <c i="23" r="Q24"/>
  <c i="23" r="P24"/>
  <c i="23" r="J85" s="1"/>
  <c i="23" r="O24"/>
  <c i="23" r="R23"/>
  <c i="23" r="Q23"/>
  <c i="23" r="Q61" s="1"/>
  <c i="23" r="P23"/>
  <c i="23" r="J84" s="1"/>
  <c i="23" r="O23"/>
  <c i="23" r="I84" s="1"/>
  <c i="23" r="R22"/>
  <c i="23" r="R60" s="1"/>
  <c i="23" r="Q22"/>
  <c i="23" r="Q35" s="1"/>
  <c i="23" r="P22"/>
  <c i="23" r="P60" s="1"/>
  <c i="23" r="O22"/>
  <c i="23" r="O60" s="1"/>
  <c i="23" r="R21"/>
  <c i="23" r="Q21"/>
  <c i="23" r="P21"/>
  <c i="23" r="P59" s="1"/>
  <c i="23" r="O21"/>
  <c i="23" r="R20"/>
  <c i="23" r="Q20"/>
  <c i="23" r="R19"/>
  <c i="23" r="Q19"/>
  <c i="23" r="P19"/>
  <c i="23" r="O19"/>
  <c i="23" r="R18"/>
  <c i="23" r="Q18"/>
  <c i="23" r="Q56" s="1"/>
  <c i="23" r="P18"/>
  <c i="23" r="O18"/>
  <c i="23" r="O56" s="1"/>
  <c i="23" r="H16"/>
  <c i="24" l="1" r="AD37"/>
  <c i="24" r="AD49"/>
  <c i="24" r="AD45"/>
  <c i="25" r="AD15"/>
  <c i="25" r="AD12"/>
  <c i="25" r="AD17"/>
  <c i="25" r="AD9"/>
  <c i="25" r="AD11"/>
  <c i="25" r="AD19"/>
  <c i="25" r="AE19" s="1"/>
  <c i="25" r="AD14"/>
  <c i="25" r="AE14" s="1"/>
  <c i="25" r="AD3"/>
  <c i="25" r="AE3" s="1"/>
  <c i="25" r="U37"/>
  <c i="25" r="U36"/>
  <c i="25" r="AD10"/>
  <c i="25" r="AE10" s="1"/>
  <c i="25" r="AD4"/>
  <c i="25" r="AE4" s="1"/>
  <c i="24" r="AE45"/>
  <c i="24" r="AE37"/>
  <c i="24" r="AE49"/>
  <c i="24" r="I27"/>
  <c i="24" r="I39" s="1"/>
  <c i="24" r="O39" s="1"/>
  <c i="24" r="O52" s="1"/>
  <c i="24" r="O65" s="1"/>
  <c i="24" r="AD41"/>
  <c i="24" r="AE41" s="1"/>
  <c i="25" r="AE12"/>
  <c i="24" r="AD25"/>
  <c i="24" r="AE25" s="1"/>
  <c i="24" r="AD40"/>
  <c i="24" r="AE40" s="1"/>
  <c i="24" r="AD16"/>
  <c i="24" r="AE16" s="1"/>
  <c i="24" r="AD52"/>
  <c i="24" r="AE52" s="1"/>
  <c i="24" r="AD46"/>
  <c i="24" r="AE46" s="1"/>
  <c i="24" r="AD38"/>
  <c i="24" r="AE38" s="1"/>
  <c i="24" r="AD30"/>
  <c i="24" r="AE30" s="1"/>
  <c i="24" r="AD44"/>
  <c i="24" r="AE44" s="1"/>
  <c i="24" r="AD36"/>
  <c i="24" r="AE36" s="1"/>
  <c i="24" r="AD20"/>
  <c i="24" r="AE20" s="1"/>
  <c i="24" r="AD12"/>
  <c i="24" r="AE12" s="1"/>
  <c i="24" r="AD4"/>
  <c i="24" r="AE4" s="1"/>
  <c i="24" r="AD48"/>
  <c i="24" r="AE48" s="1"/>
  <c i="24" r="AD43"/>
  <c i="24" r="AE43" s="1"/>
  <c i="24" r="AD11"/>
  <c i="24" r="AE11" s="1"/>
  <c i="24" r="AD55"/>
  <c i="24" r="AE55" s="1"/>
  <c i="24" r="AD42"/>
  <c i="24" r="AE42" s="1"/>
  <c i="24" r="AD26"/>
  <c i="24" r="AE26" s="1"/>
  <c i="24" r="AD10"/>
  <c i="24" r="AE10" s="1"/>
  <c i="24" r="AD54"/>
  <c i="24" r="AE54" s="1"/>
  <c i="24" r="J27"/>
  <c i="24" r="J39" s="1"/>
  <c i="24" r="AD9"/>
  <c i="24" r="AE9" s="1"/>
  <c i="24" r="AD53"/>
  <c i="24" r="AE53" s="1"/>
  <c i="24" r="AD3"/>
  <c i="24" r="AE3" s="1"/>
  <c i="24" r="AD47"/>
  <c i="24" r="AE47" s="1"/>
  <c i="24" r="AD39"/>
  <c i="24" r="AE39" s="1"/>
  <c i="24" r="AD23"/>
  <c i="24" r="AE23" s="1"/>
  <c i="24" r="AD15"/>
  <c i="24" r="AE15" s="1"/>
  <c i="24" r="AD51"/>
  <c i="24" r="AE51" s="1"/>
  <c i="24" r="AD50"/>
  <c i="24" r="AE50" s="1"/>
  <c i="25" r="Q78"/>
  <c i="25" r="O78"/>
  <c i="25" r="P78"/>
  <c i="25" r="R78"/>
  <c i="24" r="D34"/>
  <c i="24" r="D39"/>
  <c i="24" r="O78"/>
  <c i="24" r="Q78"/>
  <c i="24" r="R78"/>
  <c i="24" r="U50"/>
  <c i="24" r="U49"/>
  <c i="24" r="U48"/>
  <c i="24" r="P78"/>
  <c i="25" r="R89"/>
  <c i="25" r="R64"/>
  <c i="25" r="AE11"/>
  <c i="24" r="I82"/>
  <c i="25" r="AE17"/>
  <c i="25" r="AE9"/>
  <c i="23" r="D26"/>
  <c i="23" r="D35" s="1"/>
  <c i="25" r="AE15"/>
  <c i="23" r="K26"/>
  <c i="23" r="K37" s="1"/>
  <c i="23" r="J82"/>
  <c i="24" r="O31"/>
  <c i="23" r="K85"/>
  <c i="23" r="Q62"/>
  <c i="23" r="K84"/>
  <c i="24" r="L84"/>
  <c i="23" r="O86"/>
  <c i="23" r="O63"/>
  <c i="24" r="K34"/>
  <c i="23" r="P86"/>
  <c i="23" r="P63"/>
  <c i="23" r="L85"/>
  <c i="25" r="O76"/>
  <c i="24" r="P89"/>
  <c i="24" r="P64"/>
  <c i="23" r="Q80"/>
  <c i="23" r="Q57"/>
  <c i="24" r="Q86"/>
  <c i="24" r="Q61"/>
  <c i="24" r="Q89"/>
  <c i="24" r="Q64"/>
  <c i="23" r="R86"/>
  <c i="23" r="R63"/>
  <c i="23" r="O31"/>
  <c i="23" r="I82"/>
  <c i="23" r="O59"/>
  <c i="24" r="I85"/>
  <c i="24" r="O60"/>
  <c i="23" r="Q33"/>
  <c i="23" r="Q58"/>
  <c i="23" r="L84"/>
  <c i="25" r="R71"/>
  <c i="23" r="Q86"/>
  <c i="23" r="Q63"/>
  <c i="24" r="J88"/>
  <c i="23" r="Q83"/>
  <c i="23" r="Q60"/>
  <c i="23" r="K82"/>
  <c i="23" r="Q59"/>
  <c i="23" r="L82"/>
  <c i="23" r="R59"/>
  <c i="24" r="O89"/>
  <c i="24" r="O64"/>
  <c i="24" r="U47"/>
  <c i="23" r="I85"/>
  <c i="24" r="R89"/>
  <c i="23" r="C26"/>
  <c i="23" r="C37" s="1"/>
  <c i="23" r="U36"/>
  <c i="23" r="U38"/>
  <c i="25" r="P70"/>
  <c i="24" r="Q77"/>
  <c i="25" r="R70"/>
  <c i="23" r="AD25"/>
  <c i="23" r="AE25" s="1"/>
  <c i="23" r="Q32"/>
  <c i="23" r="I79"/>
  <c i="24" r="P75"/>
  <c i="24" r="R75"/>
  <c i="23" r="Q45"/>
  <c i="23" r="K81"/>
  <c i="23" r="Q48"/>
  <c i="23" r="L81"/>
  <c i="23" r="R51"/>
  <c i="25" r="O75"/>
  <c i="23" r="U31"/>
  <c i="23" r="O51"/>
  <c i="23" r="O73"/>
  <c i="23" r="I26"/>
  <c i="23" r="I34" s="1"/>
  <c i="25" r="P75"/>
  <c i="24" r="Q75"/>
  <c i="23" r="J26"/>
  <c i="23" r="J33" s="1"/>
  <c i="23" r="P51"/>
  <c i="23" r="Q51"/>
  <c i="23" r="E26"/>
  <c i="23" r="E33" s="1"/>
  <c i="25" r="R75"/>
  <c i="25" r="R51"/>
  <c i="25" r="O70"/>
  <c i="25" r="Q75"/>
  <c i="25" r="R77"/>
  <c i="25" r="Q70"/>
  <c i="25" r="P76"/>
  <c i="25" r="Q76"/>
  <c i="25" r="R76"/>
  <c i="25" r="C40"/>
  <c i="25" r="Q71"/>
  <c i="25" r="K84"/>
  <c i="25" r="I87"/>
  <c i="25" r="K87"/>
  <c i="25" r="I88"/>
  <c i="25" r="L87"/>
  <c i="25" r="U32"/>
  <c i="25" r="O71"/>
  <c i="25" r="O77"/>
  <c i="25" r="Q77"/>
  <c i="25" r="P71"/>
  <c i="25" r="P77"/>
  <c i="25" r="J87"/>
  <c i="25" r="L84"/>
  <c i="25" r="U35"/>
  <c i="25" r="O72"/>
  <c i="25" r="P72"/>
  <c i="25" r="K40"/>
  <c i="25" r="Q72"/>
  <c i="25" r="Q84"/>
  <c i="25" r="Q87"/>
  <c i="25" r="R72"/>
  <c i="25" r="U34"/>
  <c i="25" r="O73"/>
  <c i="25" r="I82"/>
  <c i="25" r="I85"/>
  <c i="25" r="P73"/>
  <c i="25" r="J82"/>
  <c i="25" r="J85"/>
  <c i="25" r="J88"/>
  <c i="25" r="Q73"/>
  <c i="25" r="K82"/>
  <c i="25" r="K85"/>
  <c i="25" r="K88"/>
  <c i="25" r="R73"/>
  <c i="25" r="L82"/>
  <c i="25" r="L85"/>
  <c i="25" r="L88"/>
  <c i="25" r="O74"/>
  <c i="25" r="O82"/>
  <c i="25" r="P74"/>
  <c i="25" r="P82"/>
  <c i="25" r="P85"/>
  <c i="25" r="U33"/>
  <c i="25" r="Q74"/>
  <c i="25" r="Q88"/>
  <c i="25" r="R74"/>
  <c i="25" r="Q85"/>
  <c i="25" r="I83"/>
  <c i="25" r="I86"/>
  <c i="25" r="I89"/>
  <c i="25" r="R34"/>
  <c i="25" r="R47" s="1"/>
  <c i="25" r="R85" s="1"/>
  <c i="25" r="R38"/>
  <c i="25" r="J83"/>
  <c i="25" r="J86"/>
  <c i="25" r="J89"/>
  <c i="25" r="U31"/>
  <c i="25" r="K83"/>
  <c i="25" r="K86"/>
  <c i="25" r="K89"/>
  <c i="25" r="L83"/>
  <c i="25" r="L86"/>
  <c i="25" r="L89"/>
  <c i="25" r="O88"/>
  <c i="25" r="P88"/>
  <c i="24" r="E32"/>
  <c i="24" r="E37"/>
  <c i="24" r="D32"/>
  <c i="24" r="D37"/>
  <c i="24" r="C32"/>
  <c i="24" r="C37"/>
  <c i="24" r="C36"/>
  <c i="24" r="K84"/>
  <c i="24" r="P51"/>
  <c i="24" r="J87"/>
  <c i="24" r="K87"/>
  <c i="24" r="R51"/>
  <c i="24" r="Q51"/>
  <c i="24" r="Q48"/>
  <c i="24" r="L87"/>
  <c i="24" r="Q35"/>
  <c i="24" r="O76"/>
  <c i="24" r="P76"/>
  <c i="24" r="P70"/>
  <c i="24" r="Q70"/>
  <c i="24" r="Q76"/>
  <c i="24" r="R70"/>
  <c i="24" r="R76"/>
  <c i="24" r="O75"/>
  <c i="24" r="O70"/>
  <c i="24" r="K82"/>
  <c i="23" r="O74"/>
  <c i="23" r="Q68"/>
  <c i="23" r="Q74"/>
  <c i="23" r="R74"/>
  <c i="23" r="R73"/>
  <c i="23" r="R68"/>
  <c i="23" r="Q73"/>
  <c i="23" r="P74"/>
  <c i="23" r="O68"/>
  <c i="23" r="P68"/>
  <c i="23" r="K79"/>
  <c i="23" r="J79"/>
  <c i="24" r="C33"/>
  <c i="24" r="C34"/>
  <c i="24" r="C31"/>
  <c i="24" r="E31"/>
  <c i="24" r="E33"/>
  <c i="24" r="E40"/>
  <c i="24" r="E34"/>
  <c i="24" r="E35"/>
  <c i="24" r="D36"/>
  <c i="24" r="E36"/>
  <c i="24" r="D33"/>
  <c i="24" r="C38"/>
  <c i="24" r="D38"/>
  <c i="24" r="D31"/>
  <c i="24" r="D35"/>
  <c i="24" r="E38"/>
  <c i="24" r="C35"/>
  <c i="24" r="P71"/>
  <c i="24" r="U34"/>
  <c i="24" r="U44"/>
  <c i="24" r="O71"/>
  <c i="24" r="O77"/>
  <c i="24" r="I87"/>
  <c i="24" r="Q36"/>
  <c i="24" r="U42"/>
  <c i="24" r="O72"/>
  <c i="24" r="U39"/>
  <c i="24" r="P72"/>
  <c i="24" r="P77"/>
  <c i="24" r="U33"/>
  <c i="24" r="Q72"/>
  <c i="24" r="Q87"/>
  <c i="24" r="R77"/>
  <c i="24" r="R72"/>
  <c i="24" r="U36"/>
  <c i="24" r="U40"/>
  <c i="24" r="O73"/>
  <c i="24" r="Q71"/>
  <c i="24" r="P73"/>
  <c i="24" r="J82"/>
  <c i="24" r="J85"/>
  <c i="24" r="U45"/>
  <c i="24" r="Q73"/>
  <c i="24" r="K85"/>
  <c i="24" r="K88"/>
  <c i="24" r="R73"/>
  <c i="24" r="L82"/>
  <c i="24" r="L85"/>
  <c i="24" r="L88"/>
  <c i="24" r="U32"/>
  <c i="24" r="O74"/>
  <c i="24" r="O82"/>
  <c i="24" r="P74"/>
  <c i="24" r="P85"/>
  <c i="24" r="O34"/>
  <c i="24" r="O47" s="1"/>
  <c i="24" r="O85" s="1"/>
  <c i="24" r="O38"/>
  <c i="24" r="U37"/>
  <c i="24" r="O44"/>
  <c i="24" r="U43"/>
  <c i="24" r="Q49"/>
  <c i="24" r="Q74"/>
  <c i="24" r="Q88"/>
  <c i="24" r="P34"/>
  <c i="24" r="P38"/>
  <c i="24" r="R74"/>
  <c i="24" r="Q34"/>
  <c i="24" r="Q47" s="1"/>
  <c i="24" r="Q38"/>
  <c i="24" r="U46"/>
  <c i="24" r="I83"/>
  <c i="24" r="I86"/>
  <c i="24" r="I89"/>
  <c i="24" r="R38"/>
  <c i="24" r="J83"/>
  <c i="24" r="J86"/>
  <c i="24" r="J89"/>
  <c i="24" r="R71"/>
  <c i="24" r="U31"/>
  <c i="24" r="U35"/>
  <c i="24" r="U41"/>
  <c i="24" r="K83"/>
  <c i="24" r="K86"/>
  <c i="24" r="K89"/>
  <c i="24" r="L83"/>
  <c i="24" r="L86"/>
  <c i="24" r="L89"/>
  <c i="24" r="U38"/>
  <c i="24" r="Q50"/>
  <c i="24" r="P47"/>
  <c i="24" r="Q37"/>
  <c i="23" r="U41"/>
  <c i="23" r="O69"/>
  <c i="23" r="O75"/>
  <c i="23" r="Q36"/>
  <c i="23" r="U39"/>
  <c i="23" r="O70"/>
  <c i="23" r="P70"/>
  <c i="23" r="Q70"/>
  <c i="23" r="Q81"/>
  <c i="23" r="Q84"/>
  <c i="23" r="P75"/>
  <c i="23" r="R69"/>
  <c i="23" r="R70"/>
  <c i="23" r="U33"/>
  <c i="23" r="U37"/>
  <c i="23" r="O71"/>
  <c i="23" r="P71"/>
  <c i="23" r="Q69"/>
  <c i="23" r="U42"/>
  <c i="23" r="Q71"/>
  <c i="23" r="R71"/>
  <c i="23" r="L79"/>
  <c i="23" r="Q46"/>
  <c i="23" r="O72"/>
  <c i="23" r="O79"/>
  <c i="23" r="Q75"/>
  <c i="23" r="AD3"/>
  <c i="23" r="AE3" s="1"/>
  <c i="23" r="P72"/>
  <c i="23" r="P82"/>
  <c i="23" r="O38"/>
  <c i="23" r="U34"/>
  <c i="23" r="O44"/>
  <c i="23" r="U40"/>
  <c i="23" r="Q49"/>
  <c i="23" r="Q72"/>
  <c i="23" r="Q85"/>
  <c i="23" r="P69"/>
  <c i="23" r="P34"/>
  <c i="23" r="P38"/>
  <c i="23" r="R72"/>
  <c i="23" r="Q38"/>
  <c i="23" r="U43"/>
  <c i="23" r="I80"/>
  <c i="23" r="I83"/>
  <c i="23" r="I86"/>
  <c i="23" r="R38"/>
  <c i="23" r="P73"/>
  <c i="23" r="J80"/>
  <c i="23" r="J83"/>
  <c i="23" r="J86"/>
  <c i="23" r="K80"/>
  <c i="23" r="K83"/>
  <c i="23" r="K86"/>
  <c i="23" r="L80"/>
  <c i="23" r="L83"/>
  <c i="23" r="L86"/>
  <c i="23" r="R75"/>
  <c i="23" r="U35"/>
  <c i="23" r="Q50"/>
  <c i="23" r="P47"/>
  <c i="23" r="U32"/>
  <c i="23" r="Q37"/>
  <c i="23" r="U44"/>
  <c i="24" l="1" r="I33"/>
  <c i="24" r="O90"/>
  <c i="24" r="V49" s="1"/>
  <c i="24" r="AD34" s="1"/>
  <c i="24" r="AE34" s="1"/>
  <c i="24" r="P39"/>
  <c i="24" r="P52" s="1"/>
  <c i="24" r="P65" s="1"/>
  <c i="24" r="P90" s="1"/>
  <c i="24" r="V50" s="1"/>
  <c i="24" r="AD35" s="1"/>
  <c i="24" r="AE35" s="1"/>
  <c i="23" r="I32"/>
  <c i="23" r="I37"/>
  <c i="23" r="O37" s="1"/>
  <c i="23" r="O50" s="1"/>
  <c i="23" r="O62" s="1"/>
  <c i="23" r="I36"/>
  <c i="23" r="I33"/>
  <c i="23" r="I35"/>
  <c i="23" r="I31"/>
  <c i="23" r="I38"/>
  <c i="23" r="J31"/>
  <c i="24" r="K35"/>
  <c i="23" r="J35"/>
  <c i="23" r="J32"/>
  <c i="23" r="C38"/>
  <c i="23" r="C32"/>
  <c i="23" r="C34"/>
  <c i="23" r="C33"/>
  <c i="23" r="O33" s="1"/>
  <c i="23" r="O46" s="1"/>
  <c i="23" r="C31"/>
  <c i="23" r="C35"/>
  <c i="23" r="C36"/>
  <c i="23" r="O36" s="1"/>
  <c i="23" r="O49" s="1"/>
  <c i="23" r="O61" s="1"/>
  <c i="24" r="K31"/>
  <c i="24" r="K32"/>
  <c i="24" r="K38"/>
  <c i="23" r="E32"/>
  <c i="23" r="J34"/>
  <c i="23" r="E38"/>
  <c i="23" r="E35"/>
  <c i="23" r="E34"/>
  <c i="23" r="E31"/>
  <c i="23" r="E39"/>
  <c i="23" r="E36"/>
  <c i="23" r="E37"/>
  <c i="23" r="D38"/>
  <c i="23" r="D36"/>
  <c i="23" r="D37"/>
  <c i="23" r="D34"/>
  <c i="23" r="D33"/>
  <c i="23" r="P33" s="1"/>
  <c i="23" r="P46" s="1"/>
  <c i="23" r="P58" s="1"/>
  <c i="23" r="D31"/>
  <c i="23" r="D32"/>
  <c i="24" r="K36"/>
  <c i="23" r="K35"/>
  <c i="23" r="K34"/>
  <c i="23" r="K31"/>
  <c i="23" r="K33"/>
  <c i="23" r="K36"/>
  <c i="23" r="K38"/>
  <c i="23" r="K32"/>
  <c i="23" r="J36"/>
  <c i="23" r="J37"/>
  <c i="24" r="I31"/>
  <c i="24" r="I35"/>
  <c i="24" r="O35" s="1"/>
  <c i="24" r="O48" s="1"/>
  <c i="24" r="O61" s="1"/>
  <c i="24" r="I38"/>
  <c i="24" r="I34"/>
  <c i="24" r="I36"/>
  <c i="24" r="O36" s="1"/>
  <c i="24" r="O49" s="1"/>
  <c i="24" r="O62" s="1"/>
  <c i="24" r="I32"/>
  <c i="24" r="O32" s="1"/>
  <c i="24" r="O45" s="1"/>
  <c i="24" r="O58" s="1"/>
  <c i="24" r="I37"/>
  <c i="24" r="O37" s="1"/>
  <c i="24" r="O50" s="1"/>
  <c i="24" r="O63" s="1"/>
  <c i="24" r="K37"/>
  <c i="24" r="K33"/>
  <c i="23" r="J38"/>
  <c i="25" r="P86"/>
  <c i="25" r="Q82"/>
  <c i="25" r="O83"/>
  <c i="25" r="O86"/>
  <c i="25" r="O84"/>
  <c i="25" r="O85"/>
  <c i="25" r="P87"/>
  <c i="25" r="O87"/>
  <c i="25" r="J40"/>
  <c i="25" r="P83"/>
  <c i="25" r="D40"/>
  <c i="25" r="I40"/>
  <c i="24" r="O33"/>
  <c i="24" r="O46" s="1"/>
  <c i="24" r="Q85"/>
  <c i="24" r="J34"/>
  <c i="24" r="J31"/>
  <c i="24" r="P31" s="1"/>
  <c i="24" r="P44" s="1"/>
  <c i="24" r="P57" s="1"/>
  <c i="24" r="Q31"/>
  <c i="24" r="Q44" s="1"/>
  <c i="24" r="Q82" s="1"/>
  <c i="24" r="J38"/>
  <c i="24" r="J36"/>
  <c i="24" r="P36" s="1"/>
  <c i="24" r="P49" s="1"/>
  <c i="24" r="P62" s="1"/>
  <c i="24" r="C40"/>
  <c i="24" r="J35"/>
  <c i="24" r="P35" s="1"/>
  <c i="24" r="P48" s="1"/>
  <c i="24" r="P61" s="1"/>
  <c i="24" r="J33"/>
  <c i="24" r="P33" s="1"/>
  <c i="24" r="P46" s="1"/>
  <c i="24" r="J37"/>
  <c i="24" r="P37" s="1"/>
  <c i="24" r="P50" s="1"/>
  <c i="24" r="P63" s="1"/>
  <c i="24" r="J32"/>
  <c i="24" r="P32" s="1"/>
  <c i="24" r="P45" s="1"/>
  <c i="24" r="P83" s="1"/>
  <c i="24" r="D40"/>
  <c i="23" r="O34"/>
  <c i="23" r="O47" s="1"/>
  <c i="23" r="O82" s="1"/>
  <c i="23" r="AD6" s="1"/>
  <c i="23" r="AE6" s="1"/>
  <c i="23" r="P35"/>
  <c i="23" r="P48" s="1"/>
  <c i="23" r="P83" s="1"/>
  <c i="23" r="O35"/>
  <c i="23" r="O48" s="1"/>
  <c i="23" r="O83" s="1"/>
  <c i="23" r="Q34"/>
  <c i="23" r="Q47" s="1"/>
  <c i="23" r="Q82" s="1"/>
  <c i="23" r="AD7" s="1"/>
  <c i="23" r="AE7" s="1"/>
  <c i="23" r="Q31"/>
  <c i="23" r="Q44" s="1"/>
  <c i="23" r="Q79" s="1"/>
  <c i="23" l="1" r="I39"/>
  <c i="23" r="P32"/>
  <c i="23" r="P45" s="1"/>
  <c i="23" r="P57" s="1"/>
  <c i="23" r="P31"/>
  <c i="23" r="P44" s="1"/>
  <c i="23" r="P56" s="1"/>
  <c i="23" r="C39"/>
  <c i="23" r="O32"/>
  <c i="23" r="O45" s="1"/>
  <c i="23" r="O57" s="1"/>
  <c i="23" r="O58" s="1"/>
  <c i="23" r="P37"/>
  <c i="23" r="P50" s="1"/>
  <c i="23" r="P62" s="1"/>
  <c i="24" r="Q32"/>
  <c i="24" r="Q45" s="1"/>
  <c i="24" r="Q58" s="1"/>
  <c i="23" r="D39"/>
  <c i="23" r="P36"/>
  <c i="23" r="P49" s="1"/>
  <c i="23" r="P61" s="1"/>
  <c i="24" r="O59"/>
  <c i="23" r="K39"/>
  <c i="23" r="J39"/>
  <c i="24" r="I40"/>
  <c i="24" r="K40"/>
  <c i="24" r="Q33"/>
  <c i="24" r="Q46" s="1"/>
  <c i="25" r="P84"/>
  <c i="24" r="P84"/>
  <c i="23" r="AD24"/>
  <c i="23" r="AE24" s="1"/>
  <c i="24" r="J40"/>
  <c i="24" l="1" r="Q59"/>
  <c i="21" l="1" r="P20"/>
  <c i="21" r="AA54"/>
  <c i="21" r="AB54"/>
  <c i="21" r="AC54"/>
  <c i="21" r="AA48"/>
  <c i="21" r="AB48"/>
  <c i="21" r="AC48"/>
  <c i="21" r="AA49"/>
  <c i="21" r="AB49"/>
  <c i="21" r="AC49"/>
  <c i="21" r="AA50"/>
  <c i="21" r="AB50"/>
  <c i="21" r="AC50"/>
  <c i="21" r="AA51"/>
  <c i="21" r="AB51"/>
  <c i="21" r="AC51"/>
  <c i="21" r="AA52"/>
  <c i="21" r="AB52"/>
  <c i="21" r="AC52"/>
  <c i="21" r="AA53"/>
  <c i="21" r="AB53"/>
  <c i="21" r="AC53"/>
  <c i="21" r="AA4"/>
  <c i="21" r="AB4"/>
  <c i="21" r="AC4"/>
  <c i="21" r="AA5"/>
  <c i="21" r="AB5"/>
  <c i="21" r="AC5"/>
  <c i="21" r="AA6"/>
  <c i="21" r="AB6"/>
  <c i="21" r="AC6"/>
  <c i="21" r="AA7"/>
  <c i="21" r="AB7"/>
  <c i="21" r="AC7"/>
  <c i="21" r="AA8"/>
  <c i="21" r="AB8"/>
  <c i="21" r="AC8"/>
  <c i="21" r="AA9"/>
  <c i="21" r="AB9"/>
  <c i="21" r="AC9"/>
  <c i="21" r="AA10"/>
  <c i="21" r="AB10"/>
  <c i="21" r="AC10"/>
  <c i="21" r="AA11"/>
  <c i="21" r="AB11"/>
  <c i="21" r="AC11"/>
  <c i="21" r="AA12"/>
  <c i="21" r="AB12"/>
  <c i="21" r="AC12"/>
  <c i="21" r="AA13"/>
  <c i="21" r="AB13"/>
  <c i="21" r="AC13"/>
  <c i="21" r="AA14"/>
  <c i="21" r="AB14"/>
  <c i="21" r="AC14"/>
  <c i="21" r="AA15"/>
  <c i="21" r="AB15"/>
  <c i="21" r="AC15"/>
  <c i="21" r="AA16"/>
  <c i="21" r="AB16"/>
  <c i="21" r="AC16"/>
  <c i="21" r="AA17"/>
  <c i="21" r="AB17"/>
  <c i="21" r="AC17"/>
  <c i="21" r="AA18"/>
  <c i="21" r="AB18"/>
  <c i="21" r="AC18"/>
  <c i="21" r="AA19"/>
  <c i="21" r="AB19"/>
  <c i="21" r="AC19"/>
  <c i="21" r="AA20"/>
  <c i="21" r="AB20"/>
  <c i="21" r="AC20"/>
  <c i="21" r="AA21"/>
  <c i="21" r="AB21"/>
  <c i="21" r="AC21"/>
  <c i="21" r="AA22"/>
  <c i="21" r="AB22"/>
  <c i="21" r="AC22"/>
  <c i="21" r="AA23"/>
  <c i="21" r="AB23"/>
  <c i="21" r="AC23"/>
  <c i="21" r="AA24"/>
  <c i="21" r="AB24"/>
  <c i="21" r="AC24"/>
  <c i="21" r="AA25"/>
  <c i="21" r="AB25"/>
  <c i="21" r="AC25"/>
  <c i="21" r="AA26"/>
  <c i="21" r="AB26"/>
  <c i="21" r="AC26"/>
  <c i="21" r="AA27"/>
  <c i="21" r="AB27"/>
  <c i="21" r="AC27"/>
  <c i="21" r="AA28"/>
  <c i="21" r="AB28"/>
  <c i="21" r="AC28"/>
  <c i="21" r="AA29"/>
  <c i="21" r="AB29"/>
  <c i="21" r="AC29"/>
  <c i="21" r="AA30"/>
  <c i="21" r="AB30"/>
  <c i="21" r="AC30"/>
  <c i="21" r="AA31"/>
  <c i="21" r="AB31"/>
  <c i="21" r="AC31"/>
  <c i="21" r="AA32"/>
  <c i="21" r="AB32"/>
  <c i="21" r="AC32"/>
  <c i="21" r="AA33"/>
  <c i="21" r="AB33"/>
  <c i="21" r="AC33"/>
  <c i="21" r="AA34"/>
  <c i="21" r="AB34"/>
  <c i="21" r="AC34"/>
  <c i="21" r="AA35"/>
  <c i="21" r="AB35"/>
  <c i="21" r="AC35"/>
  <c i="21" r="AA36"/>
  <c i="21" r="AB36"/>
  <c i="21" r="AC36"/>
  <c i="21" r="AA37"/>
  <c i="21" r="AB37"/>
  <c i="21" r="AC37"/>
  <c i="21" r="AA38"/>
  <c i="21" r="AB38"/>
  <c i="21" r="AC38"/>
  <c i="21" r="AA39"/>
  <c i="21" r="AB39"/>
  <c i="21" r="AC39"/>
  <c i="21" r="AA40"/>
  <c i="21" r="AB40"/>
  <c i="21" r="AC40"/>
  <c i="21" r="AA41"/>
  <c i="21" r="AB41"/>
  <c i="21" r="AC41"/>
  <c i="21" r="AA42"/>
  <c i="21" r="AB42"/>
  <c i="21" r="AC42"/>
  <c i="21" r="AA43"/>
  <c i="21" r="AB43"/>
  <c i="21" r="AC43"/>
  <c i="21" r="AA44"/>
  <c i="21" r="AB44"/>
  <c i="21" r="AC44"/>
  <c i="21" r="AA45"/>
  <c i="21" r="AB45"/>
  <c i="21" r="AC45"/>
  <c i="21" r="AA46"/>
  <c i="21" r="AB46"/>
  <c i="21" r="AC46"/>
  <c i="21" r="AA47"/>
  <c i="21" r="AB47"/>
  <c i="21" r="AC47"/>
  <c i="21" r="AC3"/>
  <c i="21" r="AB3"/>
  <c i="21" r="AA3"/>
  <c i="21" r="K25"/>
  <c i="21" r="J25"/>
  <c i="21" r="I25"/>
  <c i="21" r="K24"/>
  <c i="21" r="J24"/>
  <c i="21" r="I24"/>
  <c i="21" r="K23"/>
  <c i="21" r="J23"/>
  <c i="21" r="I23"/>
  <c i="21" r="K22"/>
  <c i="21" r="J22"/>
  <c i="21" r="I22"/>
  <c i="21" r="K21"/>
  <c i="21" r="J21"/>
  <c i="21" r="I21"/>
  <c i="21" r="K20"/>
  <c i="21" r="J20"/>
  <c i="21" r="I20"/>
  <c i="21" r="K19"/>
  <c i="21" r="J19"/>
  <c i="21" r="I19"/>
  <c i="21" r="K18"/>
  <c i="21" r="J18"/>
  <c i="21" r="I18"/>
  <c i="21" r="J84"/>
  <c i="21" r="I84"/>
  <c i="21" r="R69"/>
  <c i="21" r="R81" s="1"/>
  <c i="21" r="Q69"/>
  <c i="21" r="Q81" s="1"/>
  <c i="21" r="P69"/>
  <c i="21" r="P81" s="1"/>
  <c i="21" r="O69"/>
  <c i="21" r="O81" s="1"/>
  <c i="21" r="R56"/>
  <c i="21" r="Q56"/>
  <c i="21" r="P56"/>
  <c i="21" r="O56"/>
  <c i="21" r="E30"/>
  <c i="21" r="R25"/>
  <c i="21" r="Q25"/>
  <c i="21" r="P25"/>
  <c i="21" r="O25"/>
  <c i="21" r="R24"/>
  <c i="21" r="Q24"/>
  <c i="21" r="Q63" s="1"/>
  <c i="21" r="P24"/>
  <c i="21" r="O24"/>
  <c i="21" r="R23"/>
  <c i="21" r="Q23"/>
  <c i="21" r="P23"/>
  <c i="21" r="O23"/>
  <c i="21" r="R22"/>
  <c i="21" r="Q22"/>
  <c i="21" r="P22"/>
  <c i="21" r="O22"/>
  <c i="21" r="R21"/>
  <c i="21" r="R60" s="1"/>
  <c i="21" r="Q21"/>
  <c i="21" r="Q60" s="1"/>
  <c i="21" r="P21"/>
  <c i="21" r="P60" s="1"/>
  <c i="21" r="O21"/>
  <c i="21" r="R20"/>
  <c i="21" r="Q20"/>
  <c i="21" r="R19"/>
  <c i="21" r="Q19"/>
  <c i="21" r="P19"/>
  <c i="21" r="O19"/>
  <c i="21" r="R18"/>
  <c i="21" r="Q18"/>
  <c i="21" r="Q57" s="1"/>
  <c i="21" r="P18"/>
  <c i="21" r="O18"/>
  <c i="21" r="O57" s="1"/>
  <c i="21" r="H16"/>
  <c i="21" l="1" r="AD36"/>
  <c i="21" r="AD20"/>
  <c i="21" r="AE20" s="1"/>
  <c i="21" r="AD4"/>
  <c i="21" r="AD44"/>
  <c i="21" r="AE44" s="1"/>
  <c i="21" r="AE36"/>
  <c i="21" r="AE4"/>
  <c i="21" r="AD40"/>
  <c i="21" r="AE40" s="1"/>
  <c i="21" r="AD24"/>
  <c i="21" r="AE24" s="1"/>
  <c i="21" r="AD47"/>
  <c i="21" r="AE47" s="1"/>
  <c i="21" r="AD45"/>
  <c i="21" r="AE45" s="1"/>
  <c i="21" r="AD29"/>
  <c i="21" r="AE29" s="1"/>
  <c i="21" r="AD13"/>
  <c i="21" r="AE13" s="1"/>
  <c i="21" r="AD26"/>
  <c i="21" r="AE26" s="1"/>
  <c i="21" r="AD50"/>
  <c i="21" r="AE50" s="1"/>
  <c i="21" r="AD15"/>
  <c i="21" r="AE15" s="1"/>
  <c i="21" r="AD19"/>
  <c i="21" r="AE19" s="1"/>
  <c i="21" r="AD52"/>
  <c i="21" r="AE52" s="1"/>
  <c i="21" r="AD54"/>
  <c i="21" r="AE54" s="1"/>
  <c i="21" r="AD25"/>
  <c i="21" r="AE25" s="1"/>
  <c i="21" r="AD46"/>
  <c i="21" r="AE46" s="1"/>
  <c i="21" r="AD30"/>
  <c i="21" r="AE30" s="1"/>
  <c i="21" r="AD53"/>
  <c i="21" r="AE53" s="1"/>
  <c i="21" r="AD51"/>
  <c i="21" r="AE51" s="1"/>
  <c i="21" r="I27"/>
  <c i="21" r="I39" s="1"/>
  <c i="21" r="O39" s="1"/>
  <c i="21" r="O52" s="1"/>
  <c i="21" r="O65" s="1"/>
  <c i="21" r="AD3"/>
  <c i="21" r="AE3" s="1"/>
  <c i="21" r="U53"/>
  <c i="21" r="U52"/>
  <c i="21" r="O78"/>
  <c i="21" r="P78"/>
  <c i="21" r="U51"/>
  <c i="21" r="Q78"/>
  <c i="21" r="R78"/>
  <c i="21" r="K27"/>
  <c i="21" r="K39" s="1"/>
  <c i="21" r="J27"/>
  <c i="21" r="J39" s="1"/>
  <c i="21" r="P39" s="1"/>
  <c i="21" r="P52" s="1"/>
  <c i="21" r="P65" s="1"/>
  <c i="21" r="AD49"/>
  <c i="21" r="AE49" s="1"/>
  <c i="21" r="AD48"/>
  <c i="21" r="AE48" s="1"/>
  <c i="21" r="Q33"/>
  <c i="21" r="Q59"/>
  <c i="21" r="L84"/>
  <c i="21" r="J87"/>
  <c i="21" r="I88"/>
  <c i="21" r="L87"/>
  <c i="21" r="I85"/>
  <c i="21" r="O60"/>
  <c i="21" r="Q89"/>
  <c i="21" r="Q64"/>
  <c i="21" r="Q86"/>
  <c i="21" r="Q61"/>
  <c i="21" r="K87"/>
  <c i="21" r="Q62"/>
  <c i="21" r="J88"/>
  <c i="21" r="Q83"/>
  <c i="21" r="Q58"/>
  <c i="21" r="Q35"/>
  <c i="21" r="Q51"/>
  <c i="21" r="O31"/>
  <c i="21" r="P71"/>
  <c i="21" r="Q32"/>
  <c i="21" r="U50"/>
  <c i="21" r="D33"/>
  <c i="21" r="Q45"/>
  <c i="21" r="K84"/>
  <c i="21" r="P75"/>
  <c i="21" r="Q75"/>
  <c i="21" r="R75"/>
  <c i="21" r="Q48"/>
  <c i="21" r="C34"/>
  <c i="21" r="O34" s="1"/>
  <c i="21" r="O47" s="1"/>
  <c i="21" r="E31"/>
  <c i="21" r="P70"/>
  <c i="21" r="O76"/>
  <c i="21" r="P77"/>
  <c i="21" r="O70"/>
  <c i="21" r="R76"/>
  <c i="21" r="P76"/>
  <c i="21" r="Q76"/>
  <c i="21" r="R70"/>
  <c i="21" r="Q70"/>
  <c i="21" r="O75"/>
  <c i="21" r="U33"/>
  <c i="21" r="U37"/>
  <c i="21" r="U47"/>
  <c i="21" r="O71"/>
  <c i="21" r="O77"/>
  <c i="21" r="I87"/>
  <c i="21" r="Q77"/>
  <c i="21" r="Q36"/>
  <c i="21" r="U45"/>
  <c i="21" r="O72"/>
  <c i="21" r="P72"/>
  <c i="21" r="U36"/>
  <c i="21" r="Q72"/>
  <c i="21" r="Q84"/>
  <c i="21" r="Q87"/>
  <c i="21" r="R72"/>
  <c i="21" r="U39"/>
  <c i="21" r="U43"/>
  <c i="21" r="O73"/>
  <c i="21" r="I82"/>
  <c i="21" r="P73"/>
  <c i="21" r="J82"/>
  <c i="21" r="J85"/>
  <c i="21" r="U48"/>
  <c i="21" r="Q73"/>
  <c i="21" r="K82"/>
  <c i="21" r="K85"/>
  <c i="21" r="K88"/>
  <c i="21" r="U42"/>
  <c i="21" r="U32"/>
  <c i="21" r="R73"/>
  <c i="21" r="L82"/>
  <c i="21" r="L85"/>
  <c i="21" r="L88"/>
  <c i="21" r="U31"/>
  <c i="21" r="U35"/>
  <c i="21" r="Q46"/>
  <c i="21" r="O74"/>
  <c i="21" r="O82"/>
  <c i="21" r="P74"/>
  <c i="21" r="P85"/>
  <c i="21" r="U40"/>
  <c i="21" r="O44"/>
  <c i="21" r="U46"/>
  <c i="21" r="Q49"/>
  <c i="21" r="Q74"/>
  <c i="21" r="Q88"/>
  <c i="21" r="P34"/>
  <c i="21" r="R74"/>
  <c i="21" r="R77"/>
  <c i="21" r="Q38"/>
  <c i="21" r="U49"/>
  <c i="21" r="I83"/>
  <c i="21" r="I86"/>
  <c i="21" r="I89"/>
  <c i="21" r="R71"/>
  <c i="21" r="J83"/>
  <c i="21" r="J86"/>
  <c i="21" r="J89"/>
  <c i="21" r="U34"/>
  <c i="21" r="U38"/>
  <c i="21" r="U44"/>
  <c i="21" r="K83"/>
  <c i="21" r="K86"/>
  <c i="21" r="K89"/>
  <c i="21" r="L83"/>
  <c i="21" r="L86"/>
  <c i="21" r="L89"/>
  <c i="21" r="Q71"/>
  <c i="21" r="U41"/>
  <c i="21" r="Q50"/>
  <c i="21" r="P47"/>
  <c i="21" r="Q37"/>
  <c i="20" r="AC4"/>
  <c i="20" r="AC5"/>
  <c i="20" r="AC6"/>
  <c i="20" r="AC7"/>
  <c i="20" r="AC8"/>
  <c i="20" r="AC9"/>
  <c i="20" r="AC10"/>
  <c i="20" r="AC11"/>
  <c i="20" r="AC12"/>
  <c i="20" r="AC13"/>
  <c i="20" r="AC14"/>
  <c i="20" r="AC15"/>
  <c i="20" r="AC16"/>
  <c i="20" r="AC17"/>
  <c i="20" r="AC18"/>
  <c i="20" r="AC19"/>
  <c i="20" r="AC20"/>
  <c i="20" r="AC21"/>
  <c i="20" r="AC22"/>
  <c i="20" r="AC23"/>
  <c i="20" r="AC24"/>
  <c i="20" r="AC25"/>
  <c i="20" r="AC26"/>
  <c i="20" r="AC27"/>
  <c i="20" r="AC28"/>
  <c i="20" r="AC29"/>
  <c i="20" r="AC30"/>
  <c i="20" r="AC31"/>
  <c i="20" r="AC32"/>
  <c i="20" r="AC33"/>
  <c i="20" r="AC34"/>
  <c i="20" r="AC35"/>
  <c i="20" r="AC36"/>
  <c i="20" r="AC37"/>
  <c i="20" r="AC38"/>
  <c i="20" r="AC39"/>
  <c i="20" r="AC40"/>
  <c i="20" r="AC41"/>
  <c i="20" r="AC42"/>
  <c i="20" r="AC43"/>
  <c i="20" r="AC44"/>
  <c i="20" r="AC45"/>
  <c i="20" r="AC46"/>
  <c i="20" r="AC47"/>
  <c i="20" r="O19"/>
  <c i="20" r="P19"/>
  <c i="20" r="Q19"/>
  <c i="20" r="R19"/>
  <c i="20" r="Q20"/>
  <c i="20" r="R20"/>
  <c i="20" r="O21"/>
  <c i="20" r="P21"/>
  <c i="20" r="Q21"/>
  <c i="20" r="R21"/>
  <c i="20" r="O22"/>
  <c i="20" r="P22"/>
  <c i="20" r="Q22"/>
  <c i="20" r="R22"/>
  <c i="20" r="O23"/>
  <c i="20" r="P23"/>
  <c i="20" r="Q23"/>
  <c i="20" r="R23"/>
  <c i="20" r="O24"/>
  <c i="20" r="P24"/>
  <c i="20" r="Q24"/>
  <c i="20" r="R24"/>
  <c i="20" r="O25"/>
  <c i="20" r="P25"/>
  <c i="20" r="Q25"/>
  <c i="20" r="R25"/>
  <c i="20" r="P18"/>
  <c i="20" r="Q18"/>
  <c i="20" r="R18"/>
  <c i="20" r="O18"/>
  <c i="20" r="I84"/>
  <c i="20" r="J84"/>
  <c i="21" l="1" r="P90"/>
  <c i="21" r="V53" s="1"/>
  <c i="21" r="J31"/>
  <c i="21" r="I36"/>
  <c i="21" r="K35"/>
  <c i="21" r="O90"/>
  <c i="21" r="V52" s="1"/>
  <c i="21" r="AD42" s="1"/>
  <c i="21" r="AE42" s="1"/>
  <c i="21" r="K32"/>
  <c i="21" r="K37"/>
  <c i="21" r="K31"/>
  <c i="21" r="I33"/>
  <c i="21" r="I37"/>
  <c i="21" r="D37"/>
  <c i="21" r="K33"/>
  <c i="20" r="K85"/>
  <c i="20" r="I85"/>
  <c i="20" r="L83"/>
  <c i="21" r="K38"/>
  <c i="21" r="K36"/>
  <c i="20" r="L82"/>
  <c i="20" r="P51"/>
  <c i="20" r="P64"/>
  <c i="20" r="Q33"/>
  <c i="20" r="Q59"/>
  <c i="20" r="Q83"/>
  <c i="20" r="Q58"/>
  <c i="20" r="I82"/>
  <c i="20" r="O57"/>
  <c i="20" r="K82"/>
  <c i="20" r="I88"/>
  <c i="20" r="L85"/>
  <c i="21" r="I38"/>
  <c i="21" r="I32"/>
  <c i="20" r="K88"/>
  <c i="20" r="Q63"/>
  <c i="20" r="K87"/>
  <c i="20" r="Q62"/>
  <c i="20" r="I87"/>
  <c i="21" r="D34"/>
  <c i="20" r="P34"/>
  <c i="20" r="P60"/>
  <c i="20" r="I83"/>
  <c i="20" r="I89"/>
  <c i="20" r="O64"/>
  <c i="20" r="J87"/>
  <c i="20" r="L86"/>
  <c i="21" r="K34"/>
  <c i="20" r="K86"/>
  <c i="20" r="Q61"/>
  <c i="20" r="J82"/>
  <c i="20" r="P57"/>
  <c i="20" r="L88"/>
  <c i="20" r="J88"/>
  <c i="20" r="L87"/>
  <c i="20" r="J86"/>
  <c i="20" r="R89"/>
  <c i="20" r="R64"/>
  <c i="20" r="Q51"/>
  <c i="20" r="Q64"/>
  <c i="20" r="I86"/>
  <c i="21" r="D35"/>
  <c i="21" r="D31"/>
  <c i="21" r="D32"/>
  <c i="21" r="D38"/>
  <c i="21" r="I31"/>
  <c i="21" r="I34"/>
  <c i="21" r="C36"/>
  <c i="21" r="D36"/>
  <c i="21" r="C37"/>
  <c i="21" r="E37"/>
  <c i="21" r="I35"/>
  <c i="21" r="E32"/>
  <c i="21" r="E36"/>
  <c i="21" r="E38"/>
  <c i="21" r="E40"/>
  <c i="21" r="E35"/>
  <c i="21" r="C32"/>
  <c i="21" r="E34"/>
  <c i="21" r="C38"/>
  <c i="21" r="E33"/>
  <c i="21" r="C31"/>
  <c i="21" r="C35"/>
  <c i="21" r="C33"/>
  <c i="21" r="R85"/>
  <c i="21" r="O85"/>
  <c i="21" r="Q34"/>
  <c i="21" r="Q47" s="1"/>
  <c i="21" r="Q85" s="1"/>
  <c i="21" r="J34"/>
  <c i="21" r="Q31"/>
  <c i="21" r="Q44" s="1"/>
  <c i="21" r="Q82" s="1"/>
  <c i="21" r="J37"/>
  <c i="21" r="J35"/>
  <c i="21" r="J36"/>
  <c i="21" r="J32"/>
  <c i="21" r="J38"/>
  <c i="21" r="J33"/>
  <c i="21" r="P33" s="1"/>
  <c i="21" r="P46" s="1"/>
  <c i="21" r="P59" s="1"/>
  <c i="20" r="Q86"/>
  <c i="20" r="J83"/>
  <c i="20" r="O89"/>
  <c i="20" r="Q38"/>
  <c i="20" r="P38"/>
  <c i="20" r="O38"/>
  <c i="20" r="Q35"/>
  <c i="20" r="Q32"/>
  <c i="20" r="O51"/>
  <c i="20" r="L89"/>
  <c i="20" r="J89"/>
  <c i="20" r="P89"/>
  <c i="20" r="K89"/>
  <c i="20" r="Q89"/>
  <c i="20" r="P31"/>
  <c i="20" r="R38"/>
  <c i="20" r="K83"/>
  <c i="20" r="P47"/>
  <c i="20" r="O44"/>
  <c i="20" r="Q37"/>
  <c i="20" r="Q46"/>
  <c i="20" r="P44"/>
  <c i="20" r="O82"/>
  <c i="20" r="R51"/>
  <c i="20" r="P82"/>
  <c i="20" r="Q36"/>
  <c i="20" r="Q45"/>
  <c i="20" r="Q50"/>
  <c i="20" r="Q88"/>
  <c i="20" r="L84"/>
  <c i="20" r="Q84"/>
  <c i="20" r="K84"/>
  <c i="20" r="O31"/>
  <c i="20" r="Q48"/>
  <c i="20" r="Q87"/>
  <c i="20" r="P85"/>
  <c i="20" r="Q49"/>
  <c i="20" r="J85"/>
  <c i="21" l="1" r="O33"/>
  <c i="21" r="O46" s="1"/>
  <c i="21" r="P31"/>
  <c i="21" r="P44" s="1"/>
  <c i="21" r="P57" s="1"/>
  <c i="21" r="O36"/>
  <c i="21" r="O49" s="1"/>
  <c i="21" r="O62" s="1"/>
  <c i="21" r="AD43"/>
  <c i="21" r="AE43" s="1"/>
  <c i="21" r="AD33"/>
  <c i="21" r="AE33" s="1"/>
  <c i="21" r="P35"/>
  <c i="21" r="P48" s="1"/>
  <c i="21" r="P61" s="1"/>
  <c i="21" r="P37"/>
  <c i="21" r="P50" s="1"/>
  <c i="21" r="P63" s="1"/>
  <c i="21" r="K40"/>
  <c i="21" r="O37"/>
  <c i="21" r="O50" s="1"/>
  <c i="21" r="O63" s="1"/>
  <c i="21" r="O38"/>
  <c i="21" r="O51" s="1"/>
  <c i="21" r="O64" s="1"/>
  <c i="21" r="I40"/>
  <c i="21" r="O35"/>
  <c i="21" r="O48" s="1"/>
  <c i="21" r="O61" s="1"/>
  <c i="21" r="P38"/>
  <c i="21" r="P51" s="1"/>
  <c i="21" r="P64" s="1"/>
  <c i="21" r="P32"/>
  <c i="21" r="P45" s="1"/>
  <c i="21" r="P58" s="1"/>
  <c i="21" r="D40"/>
  <c i="21" r="P36"/>
  <c i="21" r="P49" s="1"/>
  <c i="21" r="P62" s="1"/>
  <c i="21" r="O32"/>
  <c i="21" r="O45" s="1"/>
  <c i="21" r="O58" s="1"/>
  <c i="21" r="O59" s="1"/>
  <c i="21" r="C40"/>
  <c i="21" r="J40"/>
  <c i="20" r="H16"/>
  <c i="20" r="P56"/>
  <c i="20" r="Q56"/>
  <c i="20" r="R56"/>
  <c i="20" r="O56"/>
  <c i="20" r="P69"/>
  <c i="20" r="P81" s="1"/>
  <c i="20" r="Q69"/>
  <c i="20" r="Q81" s="1"/>
  <c i="20" r="R69"/>
  <c i="20" r="R81" s="1"/>
  <c i="20" r="O69"/>
  <c i="20" r="O81" s="1"/>
  <c i="20" r="I19"/>
  <c i="20" r="J19"/>
  <c i="20" r="K19"/>
  <c i="20" r="I20"/>
  <c i="20" r="J20"/>
  <c i="20" r="K20"/>
  <c i="20" r="I21"/>
  <c i="20" r="J21"/>
  <c i="20" r="K21"/>
  <c i="20" r="I22"/>
  <c i="20" r="J22"/>
  <c i="20" r="K22"/>
  <c i="20" r="I23"/>
  <c i="20" r="J23"/>
  <c i="20" r="K23"/>
  <c i="20" r="I24"/>
  <c i="20" r="J24"/>
  <c i="20" r="K24"/>
  <c i="20" r="I25"/>
  <c i="20" r="J25"/>
  <c i="20" r="K25"/>
  <c i="20" r="K18"/>
  <c i="20" r="J18"/>
  <c i="20" r="I18"/>
  <c i="20" r="E30"/>
  <c i="20" r="AB47"/>
  <c i="20" r="AA47"/>
  <c i="20" r="AD47" s="1"/>
  <c i="20" r="AE47" s="1"/>
  <c i="20" r="AB46"/>
  <c i="20" r="AA46"/>
  <c i="20" r="AD46" s="1"/>
  <c i="20" r="AE46" s="1"/>
  <c i="20" r="AB45"/>
  <c i="20" r="AA45"/>
  <c i="20" r="AD45" s="1"/>
  <c i="20" r="AE45" s="1"/>
  <c i="20" r="AB44"/>
  <c i="20" r="AA44"/>
  <c i="20" r="AD44" s="1"/>
  <c i="20" r="AE44" s="1"/>
  <c i="20" r="AB43"/>
  <c i="20" r="AA43"/>
  <c i="20" r="AD43" s="1"/>
  <c i="20" r="AE43" s="1"/>
  <c i="20" r="AB42"/>
  <c i="20" r="AA42"/>
  <c i="20" r="AD42" s="1"/>
  <c i="20" r="AE42" s="1"/>
  <c i="20" r="AB41"/>
  <c i="20" r="AA41"/>
  <c i="20" r="AD41" s="1"/>
  <c i="20" r="AE41" s="1"/>
  <c i="20" r="AB40"/>
  <c i="20" r="AA40"/>
  <c i="20" r="AD40" s="1"/>
  <c i="20" r="AE40" s="1"/>
  <c i="20" r="AB39"/>
  <c i="20" r="AA39"/>
  <c i="20" r="AD39" s="1"/>
  <c i="20" r="AE39" s="1"/>
  <c i="20" r="AB38"/>
  <c i="20" r="AA38"/>
  <c i="20" r="AB37"/>
  <c i="20" r="AA37"/>
  <c i="20" r="AB36"/>
  <c i="20" r="AA36"/>
  <c i="20" r="AB35"/>
  <c i="20" r="AA35"/>
  <c i="20" r="AB34"/>
  <c i="20" r="AA34"/>
  <c i="20" r="AB33"/>
  <c i="20" r="AA33"/>
  <c i="20" r="AD33" s="1"/>
  <c i="20" r="AE33" s="1"/>
  <c i="20" r="AB32"/>
  <c i="20" r="AA32"/>
  <c i="20" r="AB31"/>
  <c i="20" r="AA31"/>
  <c i="20" r="AB30"/>
  <c i="20" r="AA30"/>
  <c i="20" r="AB29"/>
  <c i="20" r="AA29"/>
  <c i="20" r="AB28"/>
  <c i="20" r="AA28"/>
  <c i="20" r="AB27"/>
  <c i="20" r="AA27"/>
  <c i="20" r="AB26"/>
  <c i="20" r="AA26"/>
  <c i="20" r="AD26" s="1"/>
  <c i="20" r="AE26" s="1"/>
  <c i="20" r="AB25"/>
  <c i="20" r="AA25"/>
  <c i="20" r="AB24"/>
  <c i="20" r="AA24"/>
  <c i="20" r="AB23"/>
  <c i="20" r="AA23"/>
  <c i="20" r="AD23" s="1"/>
  <c i="20" r="AE23" s="1"/>
  <c i="20" r="AB22"/>
  <c i="20" r="AA22"/>
  <c i="20" r="AB21"/>
  <c i="20" r="AA21"/>
  <c i="20" r="AB20"/>
  <c i="20" r="AA20"/>
  <c i="20" r="AB19"/>
  <c i="20" r="AA19"/>
  <c i="20" r="AB18"/>
  <c i="20" r="AA18"/>
  <c i="20" r="AD18" s="1"/>
  <c i="20" r="AE18" s="1"/>
  <c i="20" r="AB17"/>
  <c i="20" r="AA17"/>
  <c i="20" r="AD17" s="1"/>
  <c i="20" r="AE17" s="1"/>
  <c i="20" r="AB16"/>
  <c i="20" r="AA16"/>
  <c i="20" r="AB15"/>
  <c i="20" r="AA15"/>
  <c i="20" r="AB14"/>
  <c i="20" r="AA14"/>
  <c i="20" r="AD14" s="1"/>
  <c i="20" r="AE14" s="1"/>
  <c i="20" r="AB13"/>
  <c i="20" r="AA13"/>
  <c i="20" r="AD13" s="1"/>
  <c i="20" r="AE13" s="1"/>
  <c i="20" r="AB12"/>
  <c i="20" r="AA12"/>
  <c i="20" r="AD12" s="1"/>
  <c i="20" r="AE12" s="1"/>
  <c i="20" r="AB11"/>
  <c i="20" r="AA11"/>
  <c i="20" r="AB10"/>
  <c i="20" r="AA10"/>
  <c i="20" r="AB9"/>
  <c i="20" r="AA9"/>
  <c i="20" r="AB8"/>
  <c i="20" r="AA8"/>
  <c i="20" r="AB7"/>
  <c i="20" r="AA7"/>
  <c i="20" r="AB6"/>
  <c i="20" r="AA6"/>
  <c i="20" r="AB5"/>
  <c i="20" r="AA5"/>
  <c i="20" r="AB4"/>
  <c i="20" r="AA4"/>
  <c i="20" r="AD4" s="1"/>
  <c i="20" r="AE4" s="1"/>
  <c i="20" r="AC3"/>
  <c i="20" r="AB3"/>
  <c i="20" r="AA3"/>
  <c i="20" l="1" r="AD3"/>
  <c i="20" r="AE3" s="1"/>
  <c i="20" r="U51"/>
  <c i="20" r="U53"/>
  <c i="20" r="U52"/>
  <c i="20" r="J27"/>
  <c i="20" r="J39" s="1"/>
  <c i="20" r="P39" s="1"/>
  <c i="20" r="P52" s="1"/>
  <c i="20" r="P65" s="1"/>
  <c i="20" r="K27"/>
  <c i="20" r="K39" s="1"/>
  <c i="20" r="O78"/>
  <c i="20" r="P78"/>
  <c i="20" r="Q78"/>
  <c i="20" r="R78"/>
  <c i="20" r="I27"/>
  <c i="20" r="I39" s="1"/>
  <c i="20" r="O39" s="1"/>
  <c i="20" r="O52" s="1"/>
  <c i="20" r="O65" s="1"/>
  <c i="20" r="U35"/>
  <c i="20" r="U42"/>
  <c i="20" r="U36"/>
  <c i="20" r="U37"/>
  <c i="20" r="U38"/>
  <c i="20" r="U39"/>
  <c i="20" r="U40"/>
  <c i="20" r="U41"/>
  <c i="20" r="U43"/>
  <c i="20" r="U44"/>
  <c i="20" r="U45"/>
  <c i="20" r="U46"/>
  <c i="20" r="U47"/>
  <c i="20" r="U48"/>
  <c i="20" r="U49"/>
  <c i="20" r="U50"/>
  <c i="20" r="U31"/>
  <c i="20" r="U32"/>
  <c i="20" r="U33"/>
  <c i="20" r="U34"/>
  <c i="20" r="O75"/>
  <c i="20" r="O71"/>
  <c i="20" r="Q71"/>
  <c i="20" r="P75"/>
  <c i="20" r="Q77"/>
  <c i="20" r="O70"/>
  <c i="20" r="R73"/>
  <c i="20" r="Q75"/>
  <c i="20" r="R76"/>
  <c i="20" r="P77"/>
  <c i="20" r="O72"/>
  <c i="20" r="R75"/>
  <c i="20" r="O77"/>
  <c i="20" r="R71"/>
  <c i="20" r="P72"/>
  <c i="20" r="P73"/>
  <c i="20" r="Q74"/>
  <c i="20" r="O76"/>
  <c i="20" r="Q76"/>
  <c i="20" r="P71"/>
  <c i="20" r="R77"/>
  <c i="20" r="P70"/>
  <c i="20" r="Q72"/>
  <c i="20" r="Q73"/>
  <c i="20" r="P76"/>
  <c i="20" r="Q70"/>
  <c i="20" r="P74"/>
  <c i="20" r="R74"/>
  <c i="20" r="O73"/>
  <c i="20" r="R72"/>
  <c i="20" r="R70"/>
  <c i="20" r="O74"/>
  <c i="20" r="K35"/>
  <c i="20" r="C32"/>
  <c i="20" r="D35"/>
  <c i="20" l="1" r="P90"/>
  <c i="20" r="V53" s="1"/>
  <c i="20" r="AD38" s="1"/>
  <c i="20" r="AE38" s="1"/>
  <c i="20" r="AD29"/>
  <c i="20" r="AE29" s="1"/>
  <c i="20" r="O90"/>
  <c i="20" r="V52" s="1"/>
  <c i="20" r="I34"/>
  <c i="20" r="J31"/>
  <c i="20" r="E32"/>
  <c i="20" r="E33"/>
  <c i="20" r="E34"/>
  <c i="20" r="E35"/>
  <c i="20" r="E36"/>
  <c i="20" r="I33"/>
  <c i="20" r="E37"/>
  <c i="20" r="E31"/>
  <c i="20" r="E38"/>
  <c i="20" r="I31"/>
  <c i="20" r="K31"/>
  <c i="20" r="I35"/>
  <c i="20" r="K34"/>
  <c i="20" r="K38"/>
  <c i="20" r="K37"/>
  <c i="20" r="K33"/>
  <c i="20" r="K32"/>
  <c i="20" r="I36"/>
  <c i="20" r="K36"/>
  <c i="20" r="I32"/>
  <c i="20" r="I38"/>
  <c i="20" r="C34"/>
  <c i="20" r="I37"/>
  <c i="20" r="C35"/>
  <c i="20" r="D33"/>
  <c i="20" r="D37"/>
  <c i="20" r="D38"/>
  <c i="20" r="D31"/>
  <c i="20" r="D36"/>
  <c i="20" r="C31"/>
  <c i="20" r="J35"/>
  <c i="20" r="P35" s="1"/>
  <c i="20" r="P48" s="1"/>
  <c i="20" r="P61" s="1"/>
  <c i="20" r="J34"/>
  <c i="20" r="J37"/>
  <c i="20" r="J33"/>
  <c i="20" r="J38"/>
  <c i="20" r="J32"/>
  <c i="20" r="J36"/>
  <c i="20" r="D34"/>
  <c i="20" r="C36"/>
  <c i="20" r="C33"/>
  <c i="20" r="C37"/>
  <c i="20" r="C38"/>
  <c i="20" r="D32"/>
  <c i="20" l="1" r="Q34"/>
  <c i="20" r="O33"/>
  <c i="20" r="O46" s="1"/>
  <c i="20" r="AD37"/>
  <c i="20" r="AE37" s="1"/>
  <c i="20" r="AD28"/>
  <c i="20" r="AE28" s="1"/>
  <c i="20" r="J40"/>
  <c i="20" r="E40"/>
  <c i="20" r="I40"/>
  <c i="20" r="K40"/>
  <c i="20" r="C40"/>
  <c i="20" r="D40"/>
  <c i="20" r="O34"/>
  <c i="20" r="O47" s="1"/>
  <c i="20" r="O60" s="1"/>
  <c i="20" r="P37"/>
  <c i="20" r="P50" s="1"/>
  <c i="20" r="P63" s="1"/>
  <c i="20" r="P33"/>
  <c i="20" r="P46" s="1"/>
  <c i="20" r="P32"/>
  <c i="20" r="P45" s="1"/>
  <c i="20" r="P58" s="1"/>
  <c i="20" r="P59" s="1"/>
  <c i="20" r="O35"/>
  <c i="20" r="O48" s="1"/>
  <c i="20" r="O61" s="1"/>
  <c i="20" r="O32"/>
  <c i="20" r="O45" s="1"/>
  <c i="20" r="O58" s="1"/>
  <c i="20" r="O59" s="1"/>
  <c i="20" r="O37"/>
  <c i="20" r="O50" s="1"/>
  <c i="20" r="O63" s="1"/>
  <c i="20" r="O36"/>
  <c i="20" r="O49" s="1"/>
  <c i="20" r="O62" s="1"/>
  <c i="20" r="Q31"/>
  <c i="20" r="Q44" s="1"/>
  <c i="20" r="Q57" s="1"/>
  <c i="20" r="P36"/>
  <c i="20" r="P49" s="1"/>
  <c i="20" r="P62" s="1"/>
  <c i="20" r="Q47"/>
  <c i="20" r="Q60" s="1"/>
  <c i="7" l="1" r="S11"/>
  <c i="25" r="L24" s="1"/>
  <c i="11" r="U10" s="1"/>
  <c i="7" r="S10"/>
  <c i="25" r="L23" s="1"/>
  <c i="11" r="U9" s="1"/>
  <c i="7" r="S9"/>
  <c i="25" r="L22" s="1"/>
  <c i="11" r="U8" s="1"/>
  <c i="7" r="S8"/>
  <c i="25" r="L21" s="1"/>
  <c i="11" r="U7" s="1"/>
  <c i="7" r="S7"/>
  <c i="25" r="L20" s="1"/>
  <c i="11" r="U6" s="1"/>
  <c i="7" r="S6"/>
  <c i="25" r="L19" s="1"/>
  <c i="11" r="U5" s="1"/>
  <c i="7" r="S5"/>
  <c i="25" l="1" r="L18"/>
  <c i="7" r="S13"/>
  <c i="4" r="H11"/>
  <c i="4" r="H10"/>
  <c i="21" r="F24" s="1"/>
  <c i="4" r="H9"/>
  <c i="21" r="F23" s="1"/>
  <c i="4" r="H8"/>
  <c i="21" r="F22" s="1"/>
  <c i="4" r="H7"/>
  <c i="11" r="J4"/>
  <c i="4" r="Q11"/>
  <c i="4" r="Q10"/>
  <c i="4" r="Q9"/>
  <c i="21" r="L23" s="1"/>
  <c i="11" r="R9" s="1"/>
  <c i="4" r="Q8"/>
  <c i="4" r="Q7"/>
  <c i="4" r="Q6"/>
  <c i="4" r="Q5"/>
  <c i="4" r="Q4"/>
  <c i="5" r="Q11"/>
  <c i="23" r="L25" s="1"/>
  <c i="11" r="S11" s="1"/>
  <c i="5" r="Q10"/>
  <c i="23" r="L24" s="1"/>
  <c i="11" r="S10" s="1"/>
  <c i="5" r="Q9"/>
  <c i="23" r="L23" s="1"/>
  <c i="11" r="S9" s="1"/>
  <c i="5" r="Q8"/>
  <c i="23" r="L22" s="1"/>
  <c i="11" r="S8" s="1"/>
  <c i="5" r="Q7"/>
  <c i="23" r="L21" s="1"/>
  <c i="11" r="S7" s="1"/>
  <c i="5" r="Q6"/>
  <c i="23" r="L20" s="1"/>
  <c i="11" r="S6" s="1"/>
  <c i="5" r="Q5"/>
  <c i="23" r="L19" s="1"/>
  <c i="11" r="S5" s="1"/>
  <c i="5" r="Q4"/>
  <c i="5" r="H11"/>
  <c i="5" r="H10"/>
  <c i="23" r="F24" s="1"/>
  <c i="5" r="H9"/>
  <c i="23" r="F23" s="1"/>
  <c i="5" r="H8"/>
  <c i="23" r="F22" s="1"/>
  <c i="5" r="H7"/>
  <c i="11" r="K4"/>
  <c i="10" r="H11"/>
  <c i="10" r="H10"/>
  <c i="10" r="H9"/>
  <c i="10" r="H8"/>
  <c i="10" r="H7"/>
  <c i="11" r="L5"/>
  <c i="11" r="L4"/>
  <c i="10" r="Q11"/>
  <c i="10" r="Q10"/>
  <c i="10" r="Q9"/>
  <c i="10" r="Q8"/>
  <c i="10" r="Q7"/>
  <c i="10" r="Q6"/>
  <c i="10" r="Q5"/>
  <c i="10" r="Q4"/>
  <c i="8" r="Q11"/>
  <c i="8" r="Q10"/>
  <c i="8" r="Q9"/>
  <c i="8" r="Q8"/>
  <c i="8" r="Q7"/>
  <c i="8" r="Q6"/>
  <c i="8" r="Q5"/>
  <c i="8" r="Q4"/>
  <c i="8" r="H11"/>
  <c i="8" r="H10"/>
  <c i="8" r="H9"/>
  <c i="8" r="H8"/>
  <c i="8" r="H7"/>
  <c i="6" r="H11"/>
  <c i="6" r="H10"/>
  <c i="6" r="H9"/>
  <c i="6" r="H8"/>
  <c i="6" r="H7"/>
  <c i="6" r="Q11"/>
  <c i="6" r="Q10"/>
  <c i="6" r="Q9"/>
  <c i="6" r="Q8"/>
  <c i="6" r="Q7"/>
  <c i="6" r="Q6"/>
  <c i="6" r="Q5"/>
  <c i="6" r="Q4"/>
  <c i="9" r="Q11"/>
  <c i="9" r="Q10"/>
  <c i="9" r="Q9"/>
  <c i="9" r="Q8"/>
  <c i="9" r="Q7"/>
  <c i="9" r="Q6"/>
  <c i="9" r="Q5"/>
  <c i="9" r="Q4"/>
  <c i="9" r="H11"/>
  <c i="9" r="H10"/>
  <c i="9" r="H9"/>
  <c i="9" r="H8"/>
  <c i="9" r="H7"/>
  <c i="7" r="I11"/>
  <c i="25" r="F24" s="1"/>
  <c i="7" r="I10"/>
  <c i="25" r="F23" s="1"/>
  <c i="7" r="I9"/>
  <c i="25" r="F22" s="1"/>
  <c i="7" r="I8"/>
  <c i="25" r="F21" s="1"/>
  <c i="7" r="I7"/>
  <c i="25" r="F20" s="1"/>
  <c i="7" r="I6"/>
  <c i="25" r="F19" s="1"/>
  <c i="7" r="I5"/>
  <c i="1" r="Q11"/>
  <c i="20" r="L25" s="1"/>
  <c i="11" r="Q11" s="1"/>
  <c i="1" r="Q10"/>
  <c i="1" r="Q9"/>
  <c i="20" r="L23" s="1"/>
  <c i="11" r="Q9" s="1"/>
  <c i="1" r="Q8"/>
  <c i="1" r="Q7"/>
  <c i="1" r="Q6"/>
  <c i="1" r="Q5"/>
  <c i="1" r="Q4"/>
  <c i="1" r="H11"/>
  <c i="1" r="H10"/>
  <c i="20" r="F24" s="1"/>
  <c i="1" r="H9"/>
  <c i="20" r="F23" s="1"/>
  <c i="1" r="H8"/>
  <c i="20" r="F22" s="1"/>
  <c i="1" r="H7"/>
  <c i="11" r="I5"/>
  <c i="24" l="1" r="F23"/>
  <c i="25" r="F18"/>
  <c i="11" r="M4" s="1"/>
  <c i="24" r="F24"/>
  <c i="20" r="F21"/>
  <c i="21" r="F25"/>
  <c i="11" r="J11" s="1"/>
  <c i="24" r="F22"/>
  <c i="11" r="L8" s="1"/>
  <c i="11" r="L6"/>
  <c i="11" r="J5"/>
  <c i="11" r="L10"/>
  <c i="11" r="J6"/>
  <c i="11" r="K7"/>
  <c i="11" r="J7"/>
  <c i="11" r="K8"/>
  <c i="11" r="J8"/>
  <c i="11" r="K5"/>
  <c i="11" r="K9"/>
  <c i="11" r="J9"/>
  <c i="11" r="M5"/>
  <c i="11" r="M6"/>
  <c i="11" r="M9"/>
  <c i="11" r="K10"/>
  <c i="11" r="J10"/>
  <c i="11" r="L9"/>
  <c i="11" r="K6"/>
  <c i="11" r="M10"/>
  <c i="11" r="K11"/>
  <c i="11" r="M8"/>
  <c i="11" r="L7"/>
  <c i="11" r="L11"/>
  <c i="11" r="M7"/>
  <c i="11" r="U4"/>
  <c i="25" r="L27"/>
  <c i="25" r="L39" s="1"/>
  <c i="9" r="H13"/>
  <c i="9" r="C26" s="1"/>
  <c i="6" r="H13"/>
  <c i="6" r="H26" s="1"/>
  <c i="10" r="Q13"/>
  <c i="10" r="N19" s="1"/>
  <c i="7" r="I13"/>
  <c i="11" r="I9"/>
  <c i="4" r="Q13"/>
  <c i="4" r="P26" s="1"/>
  <c i="10" r="M20"/>
  <c i="11" r="I6"/>
  <c i="11" r="I7"/>
  <c i="10" r="M22"/>
  <c i="11" r="I4"/>
  <c i="11" r="I8"/>
  <c i="11" r="I10"/>
  <c i="11" r="I11"/>
  <c i="6" r="Q13"/>
  <c i="6" r="O27" s="1"/>
  <c i="7" r="S26"/>
  <c i="7" r="R26"/>
  <c i="7" r="L26"/>
  <c i="7" r="Q26"/>
  <c i="7" r="N26"/>
  <c i="7" r="O26"/>
  <c i="7" r="M26"/>
  <c i="7" r="P26"/>
  <c i="9" r="Q13"/>
  <c i="8" r="Q13"/>
  <c i="8" r="Q19" s="1"/>
  <c i="8" r="U33" s="1"/>
  <c i="8" r="H13"/>
  <c i="10" r="H13"/>
  <c i="23" r="L18"/>
  <c i="11" r="S4" s="1"/>
  <c i="5" r="Q13"/>
  <c i="5" r="H13"/>
  <c i="4" r="H13"/>
  <c i="1" r="H13"/>
  <c i="1" r="Q13"/>
  <c i="24" r="L18"/>
  <c i="24" r="L19"/>
  <c i="11" r="T5" s="1"/>
  <c i="24" r="L21"/>
  <c i="11" r="T7" s="1"/>
  <c i="24" r="L20"/>
  <c i="11" r="T6" s="1"/>
  <c i="24" r="L22"/>
  <c i="11" r="T8" s="1"/>
  <c i="24" r="L23"/>
  <c i="11" r="T9" s="1"/>
  <c i="24" r="L24"/>
  <c i="11" r="T10" s="1"/>
  <c i="24" r="L25"/>
  <c i="11" r="T11" s="1"/>
  <c i="21" r="L21"/>
  <c i="11" r="R7" s="1"/>
  <c i="21" r="L24"/>
  <c i="11" r="R10" s="1"/>
  <c i="21" r="L25"/>
  <c i="11" r="R11" s="1"/>
  <c i="21" r="L22"/>
  <c i="11" r="R8" s="1"/>
  <c i="21" r="L19"/>
  <c i="11" r="R5" s="1"/>
  <c i="21" r="L18"/>
  <c i="21" r="L20"/>
  <c i="11" r="R6" s="1"/>
  <c i="20" r="L19"/>
  <c i="11" r="Q5" s="1"/>
  <c i="20" r="L18"/>
  <c i="20" r="L21"/>
  <c i="11" r="Q7" s="1"/>
  <c i="20" r="L22"/>
  <c i="11" r="Q8" s="1"/>
  <c i="20" r="L20"/>
  <c i="11" r="Q6" s="1"/>
  <c i="20" r="L24"/>
  <c i="11" r="Q10" s="1"/>
  <c i="11" r="E9"/>
  <c i="11" r="E11"/>
  <c i="11" r="E5"/>
  <c i="11" r="E10"/>
  <c i="11" r="E6"/>
  <c i="11" r="E8"/>
  <c i="11" r="E7"/>
  <c i="11" r="E4"/>
  <c i="10" l="1" r="N22"/>
  <c i="6" r="B26"/>
  <c i="6" r="E26"/>
  <c i="9" r="D26"/>
  <c i="6" r="G26"/>
  <c i="6" r="C26"/>
  <c i="10" r="N21"/>
  <c i="6" r="F26"/>
  <c i="9" r="E26"/>
  <c i="6" r="D26"/>
  <c i="9" r="B26"/>
  <c i="9" r="G26"/>
  <c i="10" r="O22"/>
  <c i="9" r="H26"/>
  <c i="9" r="F26"/>
  <c i="10" r="N25"/>
  <c i="10" r="N27"/>
  <c i="10" r="M19"/>
  <c i="10" r="M25"/>
  <c i="10" r="L26"/>
  <c i="10" r="K26"/>
  <c i="10" r="O19"/>
  <c i="10" r="P19"/>
  <c i="10" r="O20"/>
  <c i="10" r="O26"/>
  <c i="10" r="O27"/>
  <c i="10" r="P20"/>
  <c i="10" r="P27"/>
  <c i="10" r="M21"/>
  <c i="10" r="P21"/>
  <c i="11" r="E13"/>
  <c i="11" r="E26" s="1"/>
  <c i="10" r="O21"/>
  <c i="10" r="N23"/>
  <c i="10" r="M18"/>
  <c i="10" r="O23"/>
  <c i="4" r="O21"/>
  <c i="4" r="P21"/>
  <c i="10" r="M24"/>
  <c i="4" r="N23"/>
  <c i="10" r="M27"/>
  <c i="10" r="M23"/>
  <c i="10" r="P23"/>
  <c i="4" r="M18"/>
  <c i="10" r="N24"/>
  <c i="10" r="O18"/>
  <c i="10" r="N26"/>
  <c i="10" r="O25"/>
  <c i="10" r="Q26"/>
  <c i="10" r="U40" s="1"/>
  <c i="10" r="P25"/>
  <c i="10" r="M26"/>
  <c i="10" r="N20"/>
  <c i="6" r="O23"/>
  <c i="6" r="O26"/>
  <c i="6" r="M22"/>
  <c i="6" r="N21"/>
  <c i="6" r="O24"/>
  <c i="6" r="N22"/>
  <c i="6" r="O25"/>
  <c i="6" r="O22"/>
  <c i="6" r="P22"/>
  <c i="6" r="O19"/>
  <c i="6" r="P27"/>
  <c i="6" r="N24"/>
  <c i="6" r="O18"/>
  <c i="6" r="P23"/>
  <c i="6" r="M25"/>
  <c i="6" r="P18"/>
  <c i="6" r="N25"/>
  <c i="6" r="P25"/>
  <c i="6" r="P26"/>
  <c i="6" r="P40" s="1"/>
  <c i="6" r="L25"/>
  <c i="6" r="N27"/>
  <c i="6" r="P19"/>
  <c i="6" r="P24"/>
  <c i="6" r="N20"/>
  <c i="25" r="F27"/>
  <c i="25" r="F34" s="1"/>
  <c i="25" r="L31"/>
  <c i="25" r="L35"/>
  <c i="11" r="B5"/>
  <c i="11" r="B7"/>
  <c i="25" r="L32"/>
  <c i="11" r="B6"/>
  <c i="25" r="L40"/>
  <c i="25" r="L36"/>
  <c i="25" r="L37"/>
  <c i="25" r="L33"/>
  <c i="25" r="L38"/>
  <c i="25" r="L34"/>
  <c i="4" r="O19"/>
  <c i="4" r="M21"/>
  <c i="4" r="P25"/>
  <c i="4" r="N22"/>
  <c i="11" r="B9"/>
  <c i="4" r="O25"/>
  <c i="4" r="N21"/>
  <c i="4" r="N25"/>
  <c i="4" r="M23"/>
  <c i="4" r="O18"/>
  <c i="4" r="P23"/>
  <c i="4" r="Q26"/>
  <c i="4" r="U40" s="1"/>
  <c i="4" r="K26"/>
  <c i="4" r="N27"/>
  <c i="23" r="F26"/>
  <c i="4" r="M26"/>
  <c i="4" r="O24"/>
  <c i="4" r="N20"/>
  <c i="4" r="M24"/>
  <c i="4" r="O22"/>
  <c i="4" r="P18"/>
  <c i="4" r="O23"/>
  <c i="4" r="M22"/>
  <c i="11" r="M13"/>
  <c i="11" r="M26" s="1"/>
  <c i="24" r="F27"/>
  <c i="24" r="F37" s="1"/>
  <c i="4" r="M20"/>
  <c i="21" r="F27"/>
  <c i="21" r="F39" s="1"/>
  <c i="4" r="N18"/>
  <c i="4" r="P19"/>
  <c i="4" r="M27"/>
  <c i="11" r="B11"/>
  <c i="11" r="R4"/>
  <c i="21" r="L27"/>
  <c i="21" r="L39" s="1"/>
  <c i="4" r="N26"/>
  <c i="10" r="O24"/>
  <c i="6" r="O21"/>
  <c i="6" r="L26"/>
  <c i="6" r="L40" s="1"/>
  <c i="11" r="T4"/>
  <c i="24" r="L27"/>
  <c i="24" r="L39" s="1"/>
  <c i="4" r="O26"/>
  <c i="10" r="N18"/>
  <c i="6" r="P21"/>
  <c i="6" r="K26"/>
  <c i="6" r="K40" s="1"/>
  <c i="11" r="B10"/>
  <c i="11" r="J13"/>
  <c i="11" r="J26" s="1"/>
  <c i="4" r="L26"/>
  <c i="10" r="P26"/>
  <c i="6" r="M20"/>
  <c i="6" r="Q26"/>
  <c i="6" r="U40" s="1"/>
  <c i="10" r="P22"/>
  <c i="6" r="M18"/>
  <c i="6" r="N26"/>
  <c i="6" r="N40" s="1"/>
  <c i="11" r="B8"/>
  <c i="6" r="M21"/>
  <c i="6" r="M24"/>
  <c i="6" r="M23"/>
  <c i="6" r="M19"/>
  <c i="6" r="O20"/>
  <c i="6" r="P20"/>
  <c i="10" r="P24"/>
  <c i="6" r="N23"/>
  <c i="6" r="N18"/>
  <c i="6" r="M27"/>
  <c i="6" r="N19"/>
  <c i="6" r="M26"/>
  <c i="6" r="M40" s="1"/>
  <c i="10" r="P18"/>
  <c i="20" r="F27"/>
  <c i="20" r="F39" s="1"/>
  <c i="11" r="I13"/>
  <c i="11" r="I26" s="1"/>
  <c i="11" r="Q4"/>
  <c i="20" r="L27"/>
  <c i="20" r="L31" s="1"/>
  <c i="23" r="L26"/>
  <c i="23" r="L31" s="1"/>
  <c i="4" r="N24"/>
  <c i="4" r="P24"/>
  <c i="4" r="M19"/>
  <c i="4" r="M25"/>
  <c i="4" r="N19"/>
  <c i="4" r="O20"/>
  <c i="4" r="O27"/>
  <c i="4" r="P20"/>
  <c i="4" r="P27"/>
  <c i="4" r="P22"/>
  <c i="11" r="L13"/>
  <c i="11" r="L26" s="1"/>
  <c i="11" r="B4"/>
  <c i="11" r="U13"/>
  <c i="7" r="E26"/>
  <c i="7" r="O40" s="1"/>
  <c i="7" r="B26"/>
  <c i="7" r="L40" s="1"/>
  <c i="7" r="I26"/>
  <c i="7" r="S40" s="1"/>
  <c i="7" r="H26"/>
  <c i="7" r="R40" s="1"/>
  <c i="7" r="G26"/>
  <c i="7" r="Q40" s="1"/>
  <c i="7" r="F26"/>
  <c i="7" r="P40" s="1"/>
  <c i="7" r="D26"/>
  <c i="7" r="N40" s="1"/>
  <c i="7" r="C26"/>
  <c i="7" r="M40" s="1"/>
  <c i="9" r="P26"/>
  <c i="9" r="P40" s="1"/>
  <c i="9" r="Q26"/>
  <c i="9" r="U40" s="1"/>
  <c i="9" r="K26"/>
  <c i="9" r="K40" s="1"/>
  <c i="9" r="L26"/>
  <c i="9" r="L40" s="1"/>
  <c i="9" r="M26"/>
  <c i="9" r="M40" s="1"/>
  <c i="9" r="O26"/>
  <c i="9" r="O40" s="1"/>
  <c i="9" r="N26"/>
  <c i="9" r="N40" s="1"/>
  <c i="9" r="O23"/>
  <c i="9" r="N25"/>
  <c i="9" r="P23"/>
  <c i="9" r="O25"/>
  <c i="9" r="M18"/>
  <c i="9" r="M27"/>
  <c i="9" r="M24"/>
  <c i="9" r="P27"/>
  <c i="9" r="O24"/>
  <c i="9" r="N20"/>
  <c i="9" r="O18"/>
  <c i="9" r="P24"/>
  <c i="9" r="P18"/>
  <c i="9" r="N27"/>
  <c i="9" r="O20"/>
  <c i="9" r="O27"/>
  <c i="9" r="N18"/>
  <c i="9" r="N19"/>
  <c i="9" r="M19"/>
  <c i="9" r="P25"/>
  <c i="9" r="M20"/>
  <c i="9" r="M21"/>
  <c i="9" r="O19"/>
  <c i="9" r="M23"/>
  <c i="9" r="O22"/>
  <c i="9" r="P19"/>
  <c i="9" r="N21"/>
  <c i="9" r="O21"/>
  <c i="9" r="P20"/>
  <c i="9" r="P21"/>
  <c i="9" r="P22"/>
  <c i="9" r="N23"/>
  <c i="9" r="M22"/>
  <c i="9" r="N24"/>
  <c i="9" r="N22"/>
  <c i="9" r="M25"/>
  <c i="9" r="T40"/>
  <c i="6" r="T40"/>
  <c i="8" r="P26"/>
  <c i="8" r="Q26"/>
  <c i="8" r="U40" s="1"/>
  <c i="8" r="L26"/>
  <c i="8" r="M26"/>
  <c i="8" r="O26"/>
  <c i="8" r="N26"/>
  <c i="8" r="K26"/>
  <c i="8" r="O23"/>
  <c i="8" r="M23"/>
  <c i="8" r="O24"/>
  <c i="8" r="P23"/>
  <c i="8" r="N23"/>
  <c i="8" r="P18"/>
  <c i="8" r="M18"/>
  <c i="8" r="N24"/>
  <c i="8" r="M24"/>
  <c i="8" r="N25"/>
  <c i="8" r="O18"/>
  <c i="8" r="P24"/>
  <c i="8" r="N20"/>
  <c i="8" r="O27"/>
  <c i="8" r="N27"/>
  <c i="8" r="O20"/>
  <c i="8" r="M25"/>
  <c i="8" r="P25"/>
  <c i="8" r="P27"/>
  <c i="8" r="M27"/>
  <c i="8" r="M21"/>
  <c i="8" r="P19"/>
  <c i="8" r="N21"/>
  <c i="8" r="O25"/>
  <c i="8" r="N18"/>
  <c i="8" r="O21"/>
  <c i="8" r="O22"/>
  <c i="8" r="M19"/>
  <c i="8" r="N22"/>
  <c i="8" r="P22"/>
  <c i="8" r="N19"/>
  <c i="8" r="O19"/>
  <c i="8" r="M20"/>
  <c i="8" r="P20"/>
  <c i="8" r="P21"/>
  <c i="8" r="M22"/>
  <c i="8" r="B26"/>
  <c i="8" r="C26"/>
  <c i="8" r="E26"/>
  <c i="8" r="D26"/>
  <c i="8" r="F26"/>
  <c i="8" r="H26"/>
  <c i="8" r="G26"/>
  <c i="10" r="F26"/>
  <c i="10" r="O40" s="1"/>
  <c i="10" r="C26"/>
  <c i="10" r="L40" s="1"/>
  <c i="10" r="G26"/>
  <c i="10" r="E26"/>
  <c i="10" r="B26"/>
  <c i="10" r="K40" s="1"/>
  <c i="10" r="H26"/>
  <c i="10" r="D26"/>
  <c i="5" r="K26"/>
  <c i="5" r="Q26"/>
  <c i="5" r="U40" s="1"/>
  <c i="5" r="L26"/>
  <c i="5" r="P26"/>
  <c i="5" r="M26"/>
  <c i="5" r="N26"/>
  <c i="5" r="O26"/>
  <c i="5" r="M21"/>
  <c i="5" r="N23"/>
  <c i="5" r="N25"/>
  <c i="5" r="O25"/>
  <c i="5" r="N22"/>
  <c i="5" r="P27"/>
  <c i="5" r="N18"/>
  <c i="5" r="P19"/>
  <c i="5" r="O21"/>
  <c i="5" r="N24"/>
  <c i="5" r="P25"/>
  <c i="5" r="O23"/>
  <c i="5" r="M18"/>
  <c i="5" r="O18"/>
  <c i="5" r="N20"/>
  <c i="5" r="O22"/>
  <c i="5" r="M25"/>
  <c i="5" r="P22"/>
  <c i="5" r="M27"/>
  <c i="5" r="N19"/>
  <c i="5" r="O24"/>
  <c i="5" r="N27"/>
  <c i="5" r="O27"/>
  <c i="5" r="P20"/>
  <c i="5" r="P21"/>
  <c i="5" r="P23"/>
  <c i="5" r="O19"/>
  <c i="5" r="P24"/>
  <c i="5" r="O20"/>
  <c i="5" r="M20"/>
  <c i="5" r="M22"/>
  <c i="5" r="P18"/>
  <c i="5" r="M23"/>
  <c i="5" r="M24"/>
  <c i="5" r="M19"/>
  <c i="5" r="N21"/>
  <c i="5" r="H26"/>
  <c i="5" r="B26"/>
  <c i="5" r="F26"/>
  <c i="5" r="C26"/>
  <c i="5" r="G26"/>
  <c i="5" r="D26"/>
  <c i="5" r="E26"/>
  <c i="4" r="C26"/>
  <c i="4" r="F26"/>
  <c i="4" r="D26"/>
  <c i="4" r="G26"/>
  <c i="4" r="P40" s="1"/>
  <c i="4" r="E26"/>
  <c i="4" r="H26"/>
  <c i="4" r="B26"/>
  <c i="1" r="K26"/>
  <c i="1" r="L26"/>
  <c i="1" r="M26"/>
  <c i="1" r="N26"/>
  <c i="1" r="O26"/>
  <c i="1" r="P26"/>
  <c i="1" r="Q26"/>
  <c i="1" r="U40" s="1"/>
  <c i="1" r="G26"/>
  <c i="1" r="F26"/>
  <c i="1" r="B26"/>
  <c i="1" r="C26"/>
  <c i="1" r="E26"/>
  <c i="1" r="H26"/>
  <c i="1" r="T40" s="1"/>
  <c i="1" r="D26"/>
  <c i="11" r="V9"/>
  <c i="11" r="V11"/>
  <c i="11" r="V6"/>
  <c i="11" r="V10"/>
  <c i="11" r="N5"/>
  <c i="11" r="V8"/>
  <c i="11" r="N11"/>
  <c i="11" r="N7"/>
  <c i="11" r="N10"/>
  <c i="11" r="V5"/>
  <c i="11" r="N9"/>
  <c i="11" r="V7"/>
  <c i="11" r="N4"/>
  <c i="11" r="N8"/>
  <c i="11" r="N6"/>
  <c i="1" r="B27"/>
  <c i="1" r="D18"/>
  <c i="1" r="D24"/>
  <c i="1" r="E18"/>
  <c i="1" r="G19"/>
  <c i="1" r="E24"/>
  <c i="1" r="F24"/>
  <c i="1" r="F19"/>
  <c i="1" r="G25"/>
  <c i="1" r="F18"/>
  <c i="1" r="F25"/>
  <c i="1" r="G18"/>
  <c i="1" r="G24"/>
  <c i="1" r="E19"/>
  <c i="1" r="D19"/>
  <c i="1" r="D25"/>
  <c i="1" r="E25"/>
  <c i="1" r="F20"/>
  <c i="1" r="G20"/>
  <c i="1" r="F21"/>
  <c i="1" r="G21"/>
  <c i="1" r="E23"/>
  <c i="1" r="D20"/>
  <c i="1" r="E27"/>
  <c i="1" r="D22"/>
  <c i="1" r="E21"/>
  <c i="1" r="G23"/>
  <c i="1" r="E22"/>
  <c i="1" r="F23"/>
  <c i="1" r="E20"/>
  <c i="1" r="D21"/>
  <c i="1" r="D27"/>
  <c i="1" r="D23"/>
  <c i="1" r="G22"/>
  <c i="1" r="F22"/>
  <c i="1" r="F27"/>
  <c i="1" r="G27"/>
  <c i="8" r="H25"/>
  <c i="8" r="T39" s="1"/>
  <c i="8" r="D18"/>
  <c i="8" r="D24"/>
  <c i="8" r="F24"/>
  <c i="8" r="F19"/>
  <c i="8" r="G25"/>
  <c i="8" r="E18"/>
  <c i="8" r="E24"/>
  <c i="8" r="F18"/>
  <c i="8" r="F25"/>
  <c i="8" r="G18"/>
  <c i="8" r="G24"/>
  <c i="8" r="G19"/>
  <c i="8" r="D19"/>
  <c i="8" r="D25"/>
  <c i="8" r="E19"/>
  <c i="8" r="E25"/>
  <c i="8" r="F20"/>
  <c i="8" r="F27"/>
  <c i="8" r="G20"/>
  <c i="8" r="G27"/>
  <c i="8" r="D21"/>
  <c i="8" r="F21"/>
  <c i="8" r="G21"/>
  <c i="8" r="E23"/>
  <c i="8" r="F23"/>
  <c i="8" r="D20"/>
  <c i="8" r="E20"/>
  <c i="8" r="E21"/>
  <c i="8" r="D22"/>
  <c i="8" r="E22"/>
  <c i="8" r="F22"/>
  <c i="8" r="G22"/>
  <c i="8" r="D23"/>
  <c i="8" r="G23"/>
  <c i="8" r="D27"/>
  <c i="8" r="E27"/>
  <c i="1" r="M21"/>
  <c i="1" r="O21"/>
  <c i="1" r="N21"/>
  <c i="1" r="P21"/>
  <c i="1" r="O22"/>
  <c i="1" r="M22"/>
  <c i="1" r="N22"/>
  <c i="1" r="P22"/>
  <c i="1" r="O23"/>
  <c i="1" r="P23"/>
  <c i="1" r="O18"/>
  <c i="1" r="O24"/>
  <c i="1" r="P18"/>
  <c i="1" r="P24"/>
  <c i="1" r="N20"/>
  <c i="1" r="N23"/>
  <c i="1" r="M19"/>
  <c i="1" r="O20"/>
  <c i="1" r="M24"/>
  <c i="1" r="O19"/>
  <c i="1" r="N24"/>
  <c i="1" r="P19"/>
  <c i="1" r="M25"/>
  <c i="1" r="N25"/>
  <c i="1" r="O25"/>
  <c i="1" r="P25"/>
  <c i="1" r="P27"/>
  <c i="1" r="N19"/>
  <c i="1" r="O27"/>
  <c i="1" r="N18"/>
  <c i="1" r="M20"/>
  <c i="1" r="M18"/>
  <c i="1" r="P20"/>
  <c i="1" r="M23"/>
  <c i="1" r="M27"/>
  <c i="1" r="N27"/>
  <c i="5" r="H24"/>
  <c i="5" r="T38" s="1"/>
  <c i="5" r="D18"/>
  <c i="5" r="D24"/>
  <c i="5" r="F18"/>
  <c i="5" r="F25"/>
  <c i="5" r="E18"/>
  <c i="5" r="E24"/>
  <c i="5" r="F24"/>
  <c i="5" r="G19"/>
  <c i="5" r="G25"/>
  <c i="5" r="G18"/>
  <c i="5" r="G24"/>
  <c i="5" r="E19"/>
  <c i="5" r="D19"/>
  <c i="5" r="D25"/>
  <c i="5" r="E25"/>
  <c i="5" r="F19"/>
  <c i="5" r="F20"/>
  <c i="5" r="F27"/>
  <c i="5" r="G20"/>
  <c i="5" r="G27"/>
  <c i="5" r="D21"/>
  <c i="5" r="F21"/>
  <c i="5" r="G21"/>
  <c i="5" r="E23"/>
  <c i="5" r="F23"/>
  <c i="5" r="G23"/>
  <c i="5" r="F22"/>
  <c i="5" r="D23"/>
  <c i="5" r="E27"/>
  <c i="5" r="D20"/>
  <c i="5" r="E20"/>
  <c i="5" r="E21"/>
  <c i="5" r="D22"/>
  <c i="5" r="E22"/>
  <c i="5" r="G22"/>
  <c i="5" r="D27"/>
  <c i="6" r="B27"/>
  <c i="6" r="D21"/>
  <c i="6" r="E21"/>
  <c i="6" r="F22"/>
  <c i="6" r="F21"/>
  <c i="6" r="G21"/>
  <c i="6" r="E22"/>
  <c i="6" r="D22"/>
  <c i="6" r="G22"/>
  <c i="6" r="F23"/>
  <c i="6" r="G23"/>
  <c i="6" r="D18"/>
  <c i="6" r="D24"/>
  <c i="6" r="F18"/>
  <c i="6" r="F24"/>
  <c i="6" r="G18"/>
  <c i="6" r="G24"/>
  <c i="6" r="E20"/>
  <c i="6" r="E27"/>
  <c i="6" r="F20"/>
  <c i="6" r="F27"/>
  <c i="6" r="O41" s="1"/>
  <c i="6" r="D23"/>
  <c i="6" r="E18"/>
  <c i="6" r="D19"/>
  <c i="6" r="E19"/>
  <c i="6" r="F19"/>
  <c i="6" r="G19"/>
  <c i="6" r="G27"/>
  <c i="6" r="D20"/>
  <c i="6" r="G20"/>
  <c i="6" r="E23"/>
  <c i="6" r="E24"/>
  <c i="6" r="D25"/>
  <c i="6" r="E25"/>
  <c i="6" r="N39" s="1"/>
  <c i="6" r="F25"/>
  <c i="6" r="G25"/>
  <c i="6" r="P39" s="1"/>
  <c i="6" r="D27"/>
  <c i="10" r="C24"/>
  <c i="10" r="D21"/>
  <c i="10" r="M35" s="1"/>
  <c i="10" r="F22"/>
  <c i="10" r="O36" s="1"/>
  <c i="10" r="E21"/>
  <c i="10" r="N35" s="1"/>
  <c i="10" r="F21"/>
  <c i="10" r="G22"/>
  <c i="10" r="G21"/>
  <c i="10" r="P35" s="1"/>
  <c i="10" r="D22"/>
  <c i="10" r="M36" s="1"/>
  <c i="10" r="E22"/>
  <c i="10" r="N36" s="1"/>
  <c i="10" r="F23"/>
  <c i="10" r="G23"/>
  <c i="10" r="D18"/>
  <c i="10" r="D24"/>
  <c i="10" r="F18"/>
  <c i="10" r="F24"/>
  <c i="10" r="G18"/>
  <c i="10" r="G24"/>
  <c i="10" r="E20"/>
  <c i="10" r="E27"/>
  <c i="10" r="F20"/>
  <c i="10" r="F27"/>
  <c i="10" r="D23"/>
  <c i="10" r="E23"/>
  <c i="10" r="E24"/>
  <c i="10" r="N38" s="1"/>
  <c i="10" r="D25"/>
  <c i="10" r="E25"/>
  <c i="10" r="N39" s="1"/>
  <c i="10" r="F25"/>
  <c i="10" r="G20"/>
  <c i="10" r="G25"/>
  <c i="10" r="D27"/>
  <c i="10" r="G27"/>
  <c i="10" r="D20"/>
  <c i="10" r="M34" s="1"/>
  <c i="10" r="G19"/>
  <c i="10" r="E18"/>
  <c i="10" r="N32" s="1"/>
  <c i="10" r="D19"/>
  <c i="10" r="M33" s="1"/>
  <c i="10" r="E19"/>
  <c i="10" r="N33" s="1"/>
  <c i="10" r="F19"/>
  <c i="9" r="C20"/>
  <c i="9" r="D18"/>
  <c i="9" r="D24"/>
  <c i="9" r="G19"/>
  <c i="9" r="E18"/>
  <c i="9" r="E24"/>
  <c i="9" r="F19"/>
  <c i="9" r="G25"/>
  <c i="9" r="F18"/>
  <c i="9" r="F24"/>
  <c i="9" r="G18"/>
  <c i="9" r="G24"/>
  <c i="9" r="F25"/>
  <c i="9" r="D19"/>
  <c i="9" r="D25"/>
  <c i="9" r="E19"/>
  <c i="9" r="E25"/>
  <c i="9" r="F20"/>
  <c i="9" r="F27"/>
  <c i="9" r="G20"/>
  <c i="9" r="G27"/>
  <c i="9" r="D21"/>
  <c i="9" r="F21"/>
  <c i="9" r="G21"/>
  <c i="9" r="E23"/>
  <c i="9" r="F23"/>
  <c i="9" r="G22"/>
  <c i="9" r="D23"/>
  <c i="9" r="G23"/>
  <c i="9" r="D27"/>
  <c i="9" r="E27"/>
  <c i="9" r="D20"/>
  <c i="9" r="E20"/>
  <c i="9" r="E21"/>
  <c i="9" r="D22"/>
  <c i="9" r="E22"/>
  <c i="9" r="F22"/>
  <c i="4" r="B18"/>
  <c i="4" r="D21"/>
  <c i="4" r="F21"/>
  <c i="4" r="E21"/>
  <c i="4" r="G21"/>
  <c i="4" r="D22"/>
  <c i="4" r="E22"/>
  <c i="4" r="G22"/>
  <c i="4" r="F22"/>
  <c i="4" r="F23"/>
  <c i="4" r="G23"/>
  <c i="4" r="F18"/>
  <c i="4" r="F24"/>
  <c i="4" r="G18"/>
  <c i="4" r="G24"/>
  <c i="4" r="P38" s="1"/>
  <c i="4" r="E20"/>
  <c i="4" r="E27"/>
  <c i="4" r="G27"/>
  <c i="4" r="F25"/>
  <c i="4" r="E24"/>
  <c i="4" r="D18"/>
  <c i="4" r="E18"/>
  <c i="4" r="D19"/>
  <c i="4" r="D24"/>
  <c i="4" r="E19"/>
  <c i="4" r="F19"/>
  <c i="4" r="G25"/>
  <c i="4" r="G19"/>
  <c i="4" r="E23"/>
  <c i="4" r="D25"/>
  <c i="4" r="F27"/>
  <c i="4" r="D20"/>
  <c i="4" r="F20"/>
  <c i="4" r="G20"/>
  <c i="4" r="D23"/>
  <c i="4" r="E25"/>
  <c i="4" r="D27"/>
  <c i="7" r="I23"/>
  <c i="10" r="C18"/>
  <c i="6" r="H25"/>
  <c i="6" r="T39" s="1"/>
  <c i="9" r="C27"/>
  <c i="9" r="B18"/>
  <c i="9" r="B23"/>
  <c i="9" r="B19"/>
  <c i="5" r="H18"/>
  <c i="5" r="T32" s="1"/>
  <c i="5" r="C20"/>
  <c i="5" r="B22"/>
  <c i="5" r="B23"/>
  <c i="7" r="S24"/>
  <c i="7" r="N22"/>
  <c i="7" r="R22"/>
  <c i="7" r="M22"/>
  <c i="7" r="O22"/>
  <c i="7" r="S22"/>
  <c i="7" r="L22"/>
  <c i="7" r="P22"/>
  <c i="7" r="Q22"/>
  <c i="4" r="L27"/>
  <c i="5" r="K23"/>
  <c i="8" r="Q23"/>
  <c i="8" r="U37" s="1"/>
  <c i="10" r="K27"/>
  <c i="9" r="L27"/>
  <c i="6" r="L21"/>
  <c i="4" r="C27"/>
  <c i="6" r="L27"/>
  <c i="4" r="B22"/>
  <c i="6" r="K18"/>
  <c i="6" r="Q18"/>
  <c i="6" r="U32" s="1"/>
  <c i="6" r="B18"/>
  <c i="6" r="K20"/>
  <c i="4" r="H25"/>
  <c i="4" r="T39" s="1"/>
  <c i="6" r="H19"/>
  <c i="6" r="T33" s="1"/>
  <c i="1" r="Q23"/>
  <c i="1" r="U37" s="1"/>
  <c i="9" r="B25"/>
  <c i="9" r="H21"/>
  <c i="9" r="T35" s="1"/>
  <c i="9" r="H24"/>
  <c i="9" r="T38" s="1"/>
  <c i="9" r="B21"/>
  <c i="9" r="C25"/>
  <c i="9" r="C24"/>
  <c i="9" r="H23"/>
  <c i="9" r="T37" s="1"/>
  <c i="9" r="H19"/>
  <c i="9" r="T33" s="1"/>
  <c i="9" r="C21"/>
  <c i="9" r="B24"/>
  <c i="9" r="H22"/>
  <c i="9" r="T36" s="1"/>
  <c i="9" r="H20"/>
  <c i="9" r="T34" s="1"/>
  <c i="9" r="H18"/>
  <c i="9" r="T32" s="1"/>
  <c i="9" r="C23"/>
  <c i="9" r="C19"/>
  <c i="9" r="H27"/>
  <c i="9" r="T41" s="1"/>
  <c i="9" r="H25"/>
  <c i="9" r="T39" s="1"/>
  <c i="9" r="B27"/>
  <c i="9" r="B22"/>
  <c i="9" r="B20"/>
  <c i="9" r="C22"/>
  <c i="9" r="C18"/>
  <c i="6" r="L22"/>
  <c i="6" r="H24"/>
  <c i="6" r="T38" s="1"/>
  <c i="6" r="C23"/>
  <c i="6" r="C27"/>
  <c i="6" r="C18"/>
  <c i="6" r="H20"/>
  <c i="6" r="T34" s="1"/>
  <c i="6" r="L23"/>
  <c i="6" r="B22"/>
  <c i="6" r="B25"/>
  <c i="6" r="C24"/>
  <c i="6" r="Q19"/>
  <c i="6" r="U33" s="1"/>
  <c i="6" r="L24"/>
  <c i="6" r="C19"/>
  <c i="6" r="H23"/>
  <c i="6" r="T37" s="1"/>
  <c i="6" r="C25"/>
  <c i="6" r="B19"/>
  <c i="6" r="H21"/>
  <c i="6" r="T35" s="1"/>
  <c i="6" r="K19"/>
  <c i="6" r="H27"/>
  <c i="6" r="T41" s="1"/>
  <c i="6" r="H18"/>
  <c i="6" r="T32" s="1"/>
  <c i="8" r="Q22"/>
  <c i="8" r="U36" s="1"/>
  <c i="8" r="K18"/>
  <c i="8" r="Q25"/>
  <c i="8" r="U39" s="1"/>
  <c i="8" r="Q27"/>
  <c i="8" r="U41" s="1"/>
  <c i="8" r="Q21"/>
  <c i="8" r="U35" s="1"/>
  <c i="8" r="L18"/>
  <c i="8" r="L23"/>
  <c i="8" r="L21"/>
  <c i="8" r="K25"/>
  <c i="8" r="L20"/>
  <c i="8" r="K22"/>
  <c i="8" r="L27"/>
  <c i="8" r="Q18"/>
  <c i="8" r="U32" s="1"/>
  <c i="8" r="K24"/>
  <c i="8" r="K21"/>
  <c i="8" r="L19"/>
  <c i="8" r="Q24"/>
  <c i="8" r="U38" s="1"/>
  <c i="8" r="K27"/>
  <c i="8" r="K20"/>
  <c i="8" r="L25"/>
  <c i="8" r="L22"/>
  <c i="8" r="Q20"/>
  <c i="8" r="U34" s="1"/>
  <c i="8" r="K19"/>
  <c i="10" r="L23"/>
  <c i="10" r="H22"/>
  <c i="10" r="T36" s="1"/>
  <c i="10" r="L19"/>
  <c i="10" r="K18"/>
  <c i="10" r="L24"/>
  <c i="10" r="Q27"/>
  <c i="10" r="U41" s="1"/>
  <c i="10" r="L21"/>
  <c i="10" r="L25"/>
  <c i="10" r="H23"/>
  <c i="10" r="T37" s="1"/>
  <c i="10" r="L18"/>
  <c i="10" r="L22"/>
  <c i="10" r="L27"/>
  <c i="10" r="H21"/>
  <c i="10" r="T35" s="1"/>
  <c i="10" r="B19"/>
  <c i="10" r="L20"/>
  <c i="5" r="C25"/>
  <c i="5" r="C18"/>
  <c i="5" r="C19"/>
  <c i="5" r="C24"/>
  <c i="5" r="B18"/>
  <c i="5" r="B19"/>
  <c i="5" r="H20"/>
  <c i="5" r="T34" s="1"/>
  <c i="5" r="H19"/>
  <c i="5" r="T33" s="1"/>
  <c i="5" r="B24"/>
  <c i="5" r="H22"/>
  <c i="5" r="T36" s="1"/>
  <c i="4" r="C23"/>
  <c i="4" r="B25"/>
  <c i="4" r="B20"/>
  <c i="4" r="B19"/>
  <c i="4" r="C19"/>
  <c i="4" r="H21"/>
  <c i="4" r="T35" s="1"/>
  <c i="4" r="B27"/>
  <c i="4" r="C18"/>
  <c i="4" r="H23"/>
  <c i="4" r="T37" s="1"/>
  <c i="4" r="H19"/>
  <c i="4" r="T33" s="1"/>
  <c i="4" r="B23"/>
  <c i="4" r="H27"/>
  <c i="4" r="T41" s="1"/>
  <c i="4" r="B21"/>
  <c i="4" r="C21"/>
  <c i="4" r="H24"/>
  <c i="4" r="T38" s="1"/>
  <c i="4" r="H22"/>
  <c i="4" r="T36" s="1"/>
  <c i="4" r="C22"/>
  <c i="4" r="B24"/>
  <c i="4" r="C25"/>
  <c i="4" r="C20"/>
  <c i="4" r="H20"/>
  <c i="4" r="T34" s="1"/>
  <c i="4" r="C24"/>
  <c i="4" r="H18"/>
  <c i="4" r="T32" s="1"/>
  <c i="10" r="H25"/>
  <c i="10" r="T39" s="1"/>
  <c i="10" r="B20"/>
  <c i="10" r="H27"/>
  <c i="10" r="T41" s="1"/>
  <c i="10" r="C22"/>
  <c i="10" r="B22"/>
  <c i="10" r="C21"/>
  <c i="10" r="B24"/>
  <c i="10" r="H19"/>
  <c i="10" r="T33" s="1"/>
  <c i="10" r="B25"/>
  <c i="10" r="B23"/>
  <c i="6" r="H22"/>
  <c i="6" r="T36" s="1"/>
  <c i="10" r="H18"/>
  <c i="10" r="T32" s="1"/>
  <c i="10" r="C25"/>
  <c i="10" r="B21"/>
  <c i="10" r="C27"/>
  <c i="6" r="C22"/>
  <c i="6" r="B21"/>
  <c i="6" r="C21"/>
  <c i="6" r="B24"/>
  <c i="6" r="B20"/>
  <c i="6" r="B23"/>
  <c i="5" r="B21"/>
  <c i="5" r="H27"/>
  <c i="5" r="T41" s="1"/>
  <c i="5" r="B25"/>
  <c i="5" r="C22"/>
  <c i="5" r="C27"/>
  <c i="10" r="C19"/>
  <c i="8" r="K23"/>
  <c i="5" r="B20"/>
  <c i="8" r="L24"/>
  <c i="5" r="H25"/>
  <c i="5" r="T39" s="1"/>
  <c i="6" r="Q22"/>
  <c i="10" r="K22"/>
  <c i="6" r="Q24"/>
  <c i="6" r="U38" s="1"/>
  <c i="5" r="C21"/>
  <c i="10" r="B18"/>
  <c i="6" r="C20"/>
  <c i="6" r="K21"/>
  <c i="10" r="K19"/>
  <c i="10" r="K20"/>
  <c i="10" r="Q20"/>
  <c i="10" r="U34" s="1"/>
  <c i="10" r="K23"/>
  <c i="10" r="Q23"/>
  <c i="10" r="U37" s="1"/>
  <c i="6" r="K27"/>
  <c i="5" r="H21"/>
  <c i="5" r="T35" s="1"/>
  <c i="10" r="C23"/>
  <c i="10" r="H20"/>
  <c i="10" r="T34" s="1"/>
  <c i="6" r="Q20"/>
  <c i="6" r="U34" s="1"/>
  <c i="10" r="Q18"/>
  <c i="6" r="K22"/>
  <c i="6" r="K24"/>
  <c i="6" r="K25"/>
  <c i="6" r="Q25"/>
  <c i="6" r="U39" s="1"/>
  <c i="10" r="K24"/>
  <c i="6" r="Q27"/>
  <c i="6" r="U41" s="1"/>
  <c i="5" r="H23"/>
  <c i="5" r="T37" s="1"/>
  <c i="10" r="B27"/>
  <c i="10" r="H24"/>
  <c i="10" r="T38" s="1"/>
  <c i="10" r="Q19"/>
  <c i="10" r="U33" s="1"/>
  <c i="6" r="Q23"/>
  <c i="6" r="U37" s="1"/>
  <c i="10" r="Q24"/>
  <c i="10" r="U38" s="1"/>
  <c i="6" r="L18"/>
  <c i="10" r="K25"/>
  <c i="6" r="L19"/>
  <c i="5" r="B27"/>
  <c i="10" r="C20"/>
  <c i="6" r="Q21"/>
  <c i="6" r="U35" s="1"/>
  <c i="6" r="K23"/>
  <c i="10" r="K21"/>
  <c i="10" r="Q21"/>
  <c i="10" r="U35" s="1"/>
  <c i="10" r="Q22"/>
  <c i="10" r="U36" s="1"/>
  <c i="10" r="Q25"/>
  <c i="10" r="U39" s="1"/>
  <c i="6" r="L20"/>
  <c i="5" r="C23"/>
  <c i="1" r="L18"/>
  <c i="1" r="K18"/>
  <c i="9" r="Q24"/>
  <c i="9" r="U38" s="1"/>
  <c i="1" r="L21"/>
  <c i="1" r="Q25"/>
  <c i="1" r="U39" s="1"/>
  <c i="1" r="K23"/>
  <c i="5" r="L25"/>
  <c i="1" r="L23"/>
  <c i="5" r="K27"/>
  <c i="4" r="Q23"/>
  <c i="4" r="U37" s="1"/>
  <c i="5" r="L27"/>
  <c i="5" r="L21"/>
  <c i="5" r="K19"/>
  <c i="9" r="Q18"/>
  <c i="9" r="U32" s="1"/>
  <c i="5" r="K20"/>
  <c i="5" r="Q20"/>
  <c i="5" r="U34" s="1"/>
  <c i="9" r="K25"/>
  <c i="5" r="Q25"/>
  <c i="5" r="U39" s="1"/>
  <c i="5" r="L22"/>
  <c i="1" r="Q21"/>
  <c i="1" r="U35" s="1"/>
  <c i="1" r="K21"/>
  <c i="1" r="L19"/>
  <c i="1" r="Q24"/>
  <c i="1" r="U38" s="1"/>
  <c i="1" r="L24"/>
  <c i="1" r="K24"/>
  <c i="1" r="L27"/>
  <c i="5" r="Q27"/>
  <c i="5" r="U41" s="1"/>
  <c i="5" r="K25"/>
  <c i="5" r="K22"/>
  <c i="5" r="L20"/>
  <c i="9" r="K20"/>
  <c i="9" r="Q19"/>
  <c i="9" r="U33" s="1"/>
  <c i="1" r="Q22"/>
  <c i="1" r="U36" s="1"/>
  <c i="1" r="K25"/>
  <c i="1" r="K22"/>
  <c i="1" r="L20"/>
  <c i="1" r="K20"/>
  <c i="1" r="Q27"/>
  <c i="1" r="U41" s="1"/>
  <c i="1" r="Q19"/>
  <c i="1" r="U33" s="1"/>
  <c i="5" r="Q19"/>
  <c i="5" r="U33" s="1"/>
  <c i="5" r="Q18"/>
  <c i="5" r="K24"/>
  <c i="5" r="K21"/>
  <c i="5" r="L19"/>
  <c i="5" r="Q24"/>
  <c i="5" r="U38" s="1"/>
  <c i="5" r="L24"/>
  <c i="9" r="Q21"/>
  <c i="9" r="U35" s="1"/>
  <c i="9" r="K18"/>
  <c i="1" r="K27"/>
  <c i="1" r="L22"/>
  <c i="1" r="Q20"/>
  <c i="1" r="U34" s="1"/>
  <c i="1" r="K19"/>
  <c i="1" r="Q18"/>
  <c i="1" r="U32" s="1"/>
  <c i="1" r="L25"/>
  <c i="5" r="Q23"/>
  <c i="5" r="U37" s="1"/>
  <c i="5" r="Q21"/>
  <c i="5" r="U35" s="1"/>
  <c i="5" r="Q22"/>
  <c i="5" r="L18"/>
  <c i="5" r="K18"/>
  <c i="5" r="L23"/>
  <c i="9" r="L24"/>
  <c i="7" r="S27"/>
  <c i="7" r="O25"/>
  <c i="7" r="O24"/>
  <c i="7" r="O23"/>
  <c i="7" r="O21"/>
  <c i="7" r="O20"/>
  <c i="7" r="O19"/>
  <c i="7" r="P27"/>
  <c i="7" r="L27"/>
  <c i="7" r="P25"/>
  <c i="7" r="L25"/>
  <c i="7" r="P24"/>
  <c i="7" r="L24"/>
  <c i="7" r="P23"/>
  <c i="7" r="L23"/>
  <c i="7" r="P21"/>
  <c i="7" r="L21"/>
  <c i="7" r="P20"/>
  <c i="7" r="L20"/>
  <c i="7" r="P19"/>
  <c i="7" r="L19"/>
  <c i="7" r="Q27"/>
  <c i="7" r="M27"/>
  <c i="7" r="Q25"/>
  <c i="7" r="M25"/>
  <c i="7" r="Q24"/>
  <c i="7" r="M24"/>
  <c i="7" r="Q23"/>
  <c i="7" r="M23"/>
  <c i="7" r="Q21"/>
  <c i="7" r="M21"/>
  <c i="7" r="Q20"/>
  <c i="7" r="M20"/>
  <c i="7" r="Q19"/>
  <c i="7" r="M19"/>
  <c i="7" r="R27"/>
  <c i="7" r="N27"/>
  <c i="7" r="R25"/>
  <c i="7" r="N25"/>
  <c i="7" r="R24"/>
  <c i="7" r="N24"/>
  <c i="7" r="R23"/>
  <c i="7" r="N23"/>
  <c i="7" r="R21"/>
  <c i="7" r="N21"/>
  <c i="7" r="R20"/>
  <c i="7" r="N20"/>
  <c i="7" r="R19"/>
  <c i="7" r="N19"/>
  <c i="7" r="O27"/>
  <c i="7" r="S21"/>
  <c i="7" r="S19"/>
  <c i="7" r="S25"/>
  <c i="7" r="S23"/>
  <c i="7" r="S20"/>
  <c i="9" r="L18"/>
  <c i="9" r="Q27"/>
  <c i="9" r="L20"/>
  <c i="9" r="L25"/>
  <c i="9" r="L23"/>
  <c i="9" r="Q23"/>
  <c i="9" r="U37" s="1"/>
  <c i="9" r="K19"/>
  <c i="9" r="K27"/>
  <c i="9" r="Q22"/>
  <c i="9" r="L22"/>
  <c i="9" r="K22"/>
  <c i="9" r="Q20"/>
  <c i="9" r="Q25"/>
  <c i="9" r="K24"/>
  <c i="9" r="K23"/>
  <c i="9" r="L21"/>
  <c i="9" r="K21"/>
  <c i="9" r="L19"/>
  <c i="4" r="K25"/>
  <c i="4" r="L19"/>
  <c i="4" r="Q25"/>
  <c i="4" r="L23"/>
  <c i="4" r="K18"/>
  <c i="4" r="L24"/>
  <c i="4" r="L20"/>
  <c i="4" r="Q19"/>
  <c i="4" r="Q27"/>
  <c i="4" r="U41" s="1"/>
  <c i="4" r="Q21"/>
  <c i="4" r="K23"/>
  <c i="4" r="Q18"/>
  <c i="4" r="L25"/>
  <c i="4" r="L21"/>
  <c i="4" r="K27"/>
  <c i="4" r="Q24"/>
  <c i="4" r="K24"/>
  <c i="4" r="K21"/>
  <c i="4" r="Q22"/>
  <c i="4" r="L22"/>
  <c i="4" r="L18"/>
  <c i="4" r="K22"/>
  <c i="4" r="Q20"/>
  <c i="4" r="U34" s="1"/>
  <c i="4" r="K20"/>
  <c i="4" r="K19"/>
  <c i="7" r="I19"/>
  <c i="7" r="F27"/>
  <c i="7" r="D27"/>
  <c i="7" r="E27"/>
  <c i="7" r="I20"/>
  <c i="7" r="I25"/>
  <c i="7" r="C27"/>
  <c i="7" r="I27"/>
  <c i="7" r="E25"/>
  <c i="7" r="E24"/>
  <c i="7" r="E23"/>
  <c i="7" r="E22"/>
  <c i="7" r="E21"/>
  <c i="7" r="E20"/>
  <c i="7" r="E19"/>
  <c i="7" r="F25"/>
  <c i="7" r="B25"/>
  <c i="7" r="F24"/>
  <c i="7" r="B24"/>
  <c i="7" r="F23"/>
  <c i="7" r="B23"/>
  <c i="7" r="F22"/>
  <c i="7" r="B22"/>
  <c i="7" r="F21"/>
  <c i="7" r="B21"/>
  <c i="7" r="F20"/>
  <c i="7" r="B20"/>
  <c i="7" r="F19"/>
  <c i="7" r="B19"/>
  <c i="7" r="C25"/>
  <c i="7" r="G24"/>
  <c i="7" r="C24"/>
  <c i="7" r="C23"/>
  <c i="7" r="G22"/>
  <c i="7" r="G21"/>
  <c i="7" r="G20"/>
  <c i="7" r="G19"/>
  <c i="7" r="H25"/>
  <c i="7" r="H24"/>
  <c i="7" r="H23"/>
  <c i="7" r="D23"/>
  <c i="7" r="D22"/>
  <c i="7" r="D21"/>
  <c i="7" r="D20"/>
  <c i="7" r="D19"/>
  <c i="7" r="G25"/>
  <c i="7" r="G23"/>
  <c i="7" r="C22"/>
  <c i="7" r="C21"/>
  <c i="7" r="C20"/>
  <c i="7" r="C19"/>
  <c i="7" r="D25"/>
  <c i="7" r="D24"/>
  <c i="7" r="H22"/>
  <c i="7" r="H21"/>
  <c i="7" r="H20"/>
  <c i="7" r="H19"/>
  <c i="7" r="I22"/>
  <c i="7" r="G27"/>
  <c i="7" r="H27"/>
  <c i="7" r="I21"/>
  <c i="7" r="B27"/>
  <c i="7" r="I24"/>
  <c i="8" r="B21"/>
  <c i="8" r="B27"/>
  <c i="8" r="B19"/>
  <c i="8" r="C25"/>
  <c i="8" r="B25"/>
  <c i="8" r="C21"/>
  <c i="8" r="B23"/>
  <c i="8" r="C20"/>
  <c i="8" r="C24"/>
  <c i="8" r="H18"/>
  <c i="8" r="H20"/>
  <c i="8" r="H22"/>
  <c i="8" r="H24"/>
  <c i="8" r="C19"/>
  <c i="8" r="C23"/>
  <c i="8" r="B18"/>
  <c i="8" r="B20"/>
  <c i="8" r="B22"/>
  <c i="8" r="B24"/>
  <c i="8" r="H27"/>
  <c i="8" r="C18"/>
  <c i="8" r="C22"/>
  <c i="8" r="C27"/>
  <c i="8" r="H19"/>
  <c i="8" r="H21"/>
  <c i="8" r="H23"/>
  <c i="1" r="H18"/>
  <c i="1" r="H27"/>
  <c i="1" r="C25"/>
  <c i="1" r="B24"/>
  <c i="1" r="C21"/>
  <c i="1" r="B20"/>
  <c i="1" r="B21"/>
  <c i="1" r="C18"/>
  <c i="1" r="C24"/>
  <c i="1" r="B23"/>
  <c i="1" r="C20"/>
  <c i="1" r="B19"/>
  <c i="1" r="H24"/>
  <c i="1" r="C23"/>
  <c i="1" r="B22"/>
  <c i="1" r="H20"/>
  <c i="1" r="C19"/>
  <c i="1" r="B18"/>
  <c i="1" r="C27"/>
  <c i="1" r="B25"/>
  <c i="1" r="H23"/>
  <c i="1" r="C22"/>
  <c i="1" r="H19"/>
  <c i="1" r="H22"/>
  <c i="1" r="H21"/>
  <c i="1" r="H25"/>
  <c i="10" l="1" r="P33"/>
  <c i="6" r="O40"/>
  <c i="10" r="M39"/>
  <c i="10" r="N41"/>
  <c i="6" r="N35"/>
  <c i="10" r="N34"/>
  <c i="10" r="M40"/>
  <c i="10" r="O33"/>
  <c i="10" r="P34"/>
  <c i="6" r="N37"/>
  <c i="10" r="P41"/>
  <c i="10" r="O34"/>
  <c i="10" r="O41"/>
  <c i="10" r="P38"/>
  <c i="4" r="N32"/>
  <c i="6" r="M38"/>
  <c i="25" r="F38"/>
  <c i="10" r="M32"/>
  <c i="6" r="O33"/>
  <c i="10" r="O35"/>
  <c i="6" r="O38"/>
  <c i="6" r="M41"/>
  <c i="10" r="N37"/>
  <c i="6" r="N36"/>
  <c i="4" r="O36"/>
  <c i="10" r="P32"/>
  <c i="4" r="P32"/>
  <c i="6" r="P41"/>
  <c i="4" r="P35"/>
  <c i="10" r="M38"/>
  <c i="4" r="O35"/>
  <c i="4" r="O40"/>
  <c i="9" r="N41"/>
  <c i="6" r="P36"/>
  <c i="10" r="O37"/>
  <c i="6" r="P35"/>
  <c i="4" r="O37"/>
  <c i="9" r="M35"/>
  <c i="10" r="P37"/>
  <c i="4" r="M34"/>
  <c i="4" r="M36"/>
  <c i="4" r="N37"/>
  <c i="10" r="M41"/>
  <c i="4" r="P39"/>
  <c i="9" r="N33"/>
  <c i="4" r="O33"/>
  <c i="4" r="M35"/>
  <c i="6" r="O32"/>
  <c i="4" r="M32"/>
  <c i="10" r="M37"/>
  <c i="6" r="P37"/>
  <c i="9" r="O33"/>
  <c i="6" r="M39"/>
  <c i="6" r="N38"/>
  <c i="9" r="P37"/>
  <c i="6" r="L39"/>
  <c i="4" r="M41"/>
  <c i="10" r="N40"/>
  <c i="10" r="O32"/>
  <c i="4" r="M37"/>
  <c i="4" r="N36"/>
  <c i="8" r="M41"/>
  <c i="4" r="N35"/>
  <c i="6" r="N41"/>
  <c i="10" r="P39"/>
  <c i="10" r="O39"/>
  <c i="6" r="P32"/>
  <c i="6" r="O37"/>
  <c i="25" r="F32"/>
  <c i="25" r="R32" s="1"/>
  <c i="25" r="R45" s="1"/>
  <c i="4" r="P41"/>
  <c i="25" r="F31"/>
  <c i="25" r="R31" s="1"/>
  <c i="25" r="R44" s="1"/>
  <c i="4" r="N41"/>
  <c i="6" r="M36"/>
  <c i="6" r="O35"/>
  <c i="6" r="M35"/>
  <c i="9" r="O35"/>
  <c i="4" r="P36"/>
  <c i="11" r="B13"/>
  <c i="11" r="B19" s="1"/>
  <c i="25" r="F40"/>
  <c i="25" r="F39"/>
  <c i="25" r="R39" s="1"/>
  <c i="25" r="R52" s="1"/>
  <c i="6" r="O39"/>
  <c i="4" r="N34"/>
  <c i="25" r="F36"/>
  <c i="25" r="R36" s="1"/>
  <c i="25" r="R49" s="1"/>
  <c i="6" r="P34"/>
  <c i="9" r="P36"/>
  <c i="9" r="M38"/>
  <c i="6" r="O36"/>
  <c i="6" r="M33"/>
  <c i="6" r="O34"/>
  <c i="25" r="F37"/>
  <c i="25" r="R37" s="1"/>
  <c i="25" r="R50" s="1"/>
  <c i="8" r="O36"/>
  <c i="25" r="F35"/>
  <c i="25" r="R35" s="1"/>
  <c i="25" r="R48" s="1"/>
  <c i="4" r="M38"/>
  <c i="8" r="M33"/>
  <c i="25" r="F33"/>
  <c i="25" r="R33" s="1"/>
  <c i="25" r="R46" s="1"/>
  <c i="23" r="F39"/>
  <c i="4" r="N39"/>
  <c i="5" r="P34"/>
  <c i="6" r="P33"/>
  <c i="11" r="M19"/>
  <c i="11" r="M21"/>
  <c i="11" r="M25"/>
  <c i="6" r="N34"/>
  <c i="5" r="M37"/>
  <c i="9" r="P32"/>
  <c i="6" r="P38"/>
  <c i="5" r="O35"/>
  <c i="8" r="P41"/>
  <c i="6" r="M34"/>
  <c i="5" r="O34"/>
  <c i="4" r="O32"/>
  <c i="11" r="M27"/>
  <c i="11" r="M20"/>
  <c i="9" r="O41"/>
  <c i="5" r="P38"/>
  <c i="11" r="M18"/>
  <c i="11" r="M23"/>
  <c i="24" r="F38"/>
  <c i="5" r="O39"/>
  <c i="23" r="F36"/>
  <c i="23" r="F37"/>
  <c i="5" r="M38"/>
  <c i="23" r="F38"/>
  <c i="23" r="F31"/>
  <c i="23" r="R31" s="1"/>
  <c i="23" r="R44" s="1"/>
  <c i="23" r="R56" s="1"/>
  <c i="23" r="R79" s="1"/>
  <c i="23" r="V37" s="1"/>
  <c i="23" r="AD13" s="1"/>
  <c i="23" r="AE13" s="1"/>
  <c i="8" r="N35"/>
  <c i="9" r="N35"/>
  <c i="6" r="M32"/>
  <c i="23" r="F33"/>
  <c i="4" r="O39"/>
  <c i="9" r="P39"/>
  <c i="10" r="P40"/>
  <c i="5" r="P41"/>
  <c i="8" r="M35"/>
  <c i="23" r="L36"/>
  <c i="11" r="V4"/>
  <c i="4" r="O38"/>
  <c i="10" r="O38"/>
  <c i="4" r="P37"/>
  <c i="6" r="N33"/>
  <c i="6" r="N32"/>
  <c i="8" r="P33"/>
  <c i="4" r="K40"/>
  <c i="4" r="N40"/>
  <c i="5" r="N35"/>
  <c i="5" r="P33"/>
  <c i="21" r="F40"/>
  <c i="5" r="P32"/>
  <c i="4" r="P33"/>
  <c i="10" r="P36"/>
  <c i="23" r="F32"/>
  <c i="4" r="M40"/>
  <c i="5" r="N38"/>
  <c i="23" r="F34"/>
  <c i="23" r="R34" s="1"/>
  <c i="23" r="R47" s="1"/>
  <c i="23" r="R82" s="1"/>
  <c i="23" r="AD5" s="1"/>
  <c i="23" r="AE5" s="1"/>
  <c i="23" r="F35"/>
  <c i="23" r="R35" s="1"/>
  <c i="23" r="R48" s="1"/>
  <c i="23" r="R83" s="1"/>
  <c i="4" r="L40"/>
  <c i="11" r="I24"/>
  <c i="9" r="P35"/>
  <c i="8" r="N33"/>
  <c i="5" r="K40"/>
  <c i="5" r="N33"/>
  <c i="5" r="P36"/>
  <c i="21" r="R39"/>
  <c i="21" r="R52" s="1"/>
  <c i="21" r="R65" s="1"/>
  <c i="21" r="R90" s="1"/>
  <c i="21" r="V51" s="1"/>
  <c i="8" r="P37"/>
  <c i="24" r="F39"/>
  <c i="24" r="R39" s="1"/>
  <c i="24" r="R52" s="1"/>
  <c i="24" r="F40"/>
  <c i="24" r="F32"/>
  <c i="24" r="F31"/>
  <c i="11" r="J18"/>
  <c i="24" r="F34"/>
  <c i="24" r="R34" s="1"/>
  <c i="24" r="R47" s="1"/>
  <c i="24" r="R85" s="1"/>
  <c i="6" r="Q40"/>
  <c i="11" r="J23"/>
  <c i="6" r="V40"/>
  <c i="11" r="J22"/>
  <c i="24" r="F36"/>
  <c i="9" r="O39"/>
  <c i="5" r="O36"/>
  <c i="5" r="O32"/>
  <c i="11" r="J19"/>
  <c i="24" r="F33"/>
  <c i="8" r="O38"/>
  <c i="11" r="J20"/>
  <c i="5" r="O37"/>
  <c i="11" r="J21"/>
  <c i="11" r="J27"/>
  <c i="11" r="J25"/>
  <c i="11" r="J24"/>
  <c i="11" r="M24"/>
  <c i="24" r="F35"/>
  <c i="11" r="I25"/>
  <c i="9" r="M41"/>
  <c i="11" r="M22"/>
  <c i="9" r="O34"/>
  <c i="5" r="O33"/>
  <c i="8" r="O37"/>
  <c i="8" r="O34"/>
  <c i="11" r="I27"/>
  <c i="11" r="I18"/>
  <c i="11" r="I19"/>
  <c i="5" r="N39"/>
  <c i="11" r="I20"/>
  <c i="11" r="I22"/>
  <c i="9" r="M34"/>
  <c i="5" r="M34"/>
  <c i="11" r="L23"/>
  <c i="8" r="N32"/>
  <c i="11" r="I23"/>
  <c i="6" r="M37"/>
  <c i="5" r="N36"/>
  <c i="11" r="I21"/>
  <c i="5" r="N32"/>
  <c i="8" r="P39"/>
  <c i="9" r="N32"/>
  <c i="23" r="L37"/>
  <c i="23" r="L34"/>
  <c i="5" r="O41"/>
  <c i="8" r="P34"/>
  <c i="5" r="M36"/>
  <c i="23" r="L35"/>
  <c i="8" r="M37"/>
  <c i="23" r="L33"/>
  <c i="23" r="L38"/>
  <c i="23" r="L32"/>
  <c i="5" r="N34"/>
  <c i="8" r="P40"/>
  <c i="9" r="N37"/>
  <c i="4" r="O34"/>
  <c i="5" r="M41"/>
  <c i="9" r="P41"/>
  <c i="5" r="L40"/>
  <c i="4" r="O41"/>
  <c i="5" r="O40"/>
  <c i="4" r="M39"/>
  <c i="8" r="P32"/>
  <c i="21" r="L40"/>
  <c i="5" r="O38"/>
  <c i="8" r="P36"/>
  <c i="8" r="O32"/>
  <c i="1" r="V40"/>
  <c i="9" r="M39"/>
  <c i="5" r="N41"/>
  <c i="11" r="U25"/>
  <c i="11" r="U21"/>
  <c i="11" r="U22"/>
  <c i="11" r="U20"/>
  <c i="11" r="U23"/>
  <c i="11" r="U18"/>
  <c i="11" r="U24"/>
  <c i="11" r="U19"/>
  <c i="11" r="U27"/>
  <c i="23" r="L39"/>
  <c i="4" r="N33"/>
  <c i="20" r="L39"/>
  <c i="20" r="R39" s="1"/>
  <c i="20" r="R52" s="1"/>
  <c i="20" r="R65" s="1"/>
  <c i="20" r="R90" s="1"/>
  <c i="20" r="V51" s="1"/>
  <c i="20" r="AD36" s="1"/>
  <c i="20" r="AE36" s="1"/>
  <c i="4" r="M33"/>
  <c i="9" r="N36"/>
  <c i="9" r="P38"/>
  <c i="5" r="P37"/>
  <c i="9" r="M36"/>
  <c i="4" r="P34"/>
  <c i="9" r="O38"/>
  <c i="5" r="N37"/>
  <c i="8" r="M32"/>
  <c i="8" r="O40"/>
  <c i="11" r="U26"/>
  <c i="11" r="U40" s="1"/>
  <c i="8" r="N39"/>
  <c i="4" r="N38"/>
  <c i="9" r="O32"/>
  <c i="5" r="P35"/>
  <c i="8" r="N37"/>
  <c i="8" r="M40"/>
  <c i="8" r="P35"/>
  <c i="24" r="L40"/>
  <c i="8" r="N40"/>
  <c i="5" r="M35"/>
  <c i="8" r="O35"/>
  <c i="8" r="L40"/>
  <c i="9" r="O37"/>
  <c i="9" r="M32"/>
  <c i="9" r="P34"/>
  <c i="9" r="N39"/>
  <c i="9" r="M33"/>
  <c i="9" r="O36"/>
  <c i="9" r="N34"/>
  <c i="9" r="N38"/>
  <c i="9" r="V40"/>
  <c i="9" r="Q40"/>
  <c i="9" r="M37"/>
  <c i="9" r="P33"/>
  <c i="8" r="K40"/>
  <c i="8" r="O41"/>
  <c i="8" r="M39"/>
  <c i="8" r="P38"/>
  <c i="8" r="N41"/>
  <c i="8" r="O39"/>
  <c i="8" r="N36"/>
  <c i="8" r="M36"/>
  <c i="8" r="O33"/>
  <c i="8" r="N38"/>
  <c i="8" r="N34"/>
  <c i="8" r="M34"/>
  <c i="8" r="M38"/>
  <c i="8" r="T40"/>
  <c i="8" r="V40" s="1"/>
  <c i="8" r="Q40"/>
  <c i="10" r="Q40"/>
  <c i="10" r="T40"/>
  <c i="10" r="V40" s="1"/>
  <c i="5" r="M32"/>
  <c i="5" r="M39"/>
  <c i="5" r="M33"/>
  <c i="5" r="N40"/>
  <c i="5" r="M40"/>
  <c i="5" r="P39"/>
  <c i="5" r="P40"/>
  <c i="5" r="T40"/>
  <c i="5" r="V40" s="1"/>
  <c i="5" r="Q40"/>
  <c i="4" r="T40"/>
  <c i="4" r="V40" s="1"/>
  <c i="4" r="Q40"/>
  <c i="1" r="Q40"/>
  <c i="1" r="P40"/>
  <c i="1" r="O40"/>
  <c i="1" r="N40"/>
  <c i="1" r="M40"/>
  <c i="1" r="L40"/>
  <c i="1" r="K40"/>
  <c i="11" r="L24"/>
  <c i="11" r="L19"/>
  <c i="11" r="L18"/>
  <c i="11" r="L27"/>
  <c i="11" r="L21"/>
  <c i="11" r="L20"/>
  <c i="11" r="L22"/>
  <c i="11" r="L25"/>
  <c i="10" r="L38"/>
  <c i="1" r="P36"/>
  <c i="1" r="K41"/>
  <c i="24" r="L35"/>
  <c i="24" r="L38"/>
  <c i="9" r="L34"/>
  <c i="6" r="K41"/>
  <c i="24" r="L31"/>
  <c i="4" r="K32"/>
  <c i="21" r="L34"/>
  <c i="21" r="F34"/>
  <c i="21" r="R34" s="1"/>
  <c i="21" r="R47" s="1"/>
  <c i="1" r="O34"/>
  <c i="21" r="F38"/>
  <c i="21" r="F32"/>
  <c i="7" r="S37"/>
  <c i="1" r="O37"/>
  <c i="24" r="L37"/>
  <c i="24" r="R37" s="1"/>
  <c i="1" r="M37"/>
  <c i="21" r="L33"/>
  <c i="20" r="F35"/>
  <c i="23" r="P79"/>
  <c i="23" r="V38" s="1"/>
  <c i="23" r="AD14" s="1"/>
  <c i="23" r="AE14" s="1"/>
  <c i="23" r="O80"/>
  <c i="23" r="V35" s="1"/>
  <c i="23" r="P80"/>
  <c i="23" r="V36" s="1"/>
  <c i="23" r="AD12" s="1"/>
  <c i="23" r="AE12" s="1"/>
  <c i="24" r="O88"/>
  <c i="24" r="V46" s="1"/>
  <c i="24" r="AD31" s="1"/>
  <c i="24" r="AE31" s="1"/>
  <c i="24" r="P88"/>
  <c i="24" r="V47" s="1"/>
  <c i="24" r="AD32" s="1"/>
  <c i="24" r="AE32" s="1"/>
  <c i="23" r="P84"/>
  <c i="23" r="V41" s="1"/>
  <c i="23" r="AD17" s="1"/>
  <c i="23" r="AE17" s="1"/>
  <c i="23" r="O84"/>
  <c i="23" r="V40" s="1"/>
  <c i="24" r="P86"/>
  <c i="24" r="V33" s="1"/>
  <c i="24" r="AD7" s="1"/>
  <c i="24" r="AE7" s="1"/>
  <c i="24" r="O86"/>
  <c i="24" r="V32" s="1"/>
  <c i="24" r="AD6" s="1"/>
  <c i="24" r="AE6" s="1"/>
  <c i="24" r="P82"/>
  <c i="24" r="V41" s="1"/>
  <c i="24" r="AD22" s="1"/>
  <c i="24" r="AE22" s="1"/>
  <c i="24" r="L32"/>
  <c i="1" r="M33"/>
  <c i="24" r="L34"/>
  <c i="21" r="F37"/>
  <c i="24" r="L36"/>
  <c i="21" r="F31"/>
  <c i="24" r="L33"/>
  <c i="21" r="F33"/>
  <c i="20" r="L32"/>
  <c i="21" r="L32"/>
  <c i="21" r="L37"/>
  <c i="21" r="L31"/>
  <c i="21" r="L38"/>
  <c i="21" r="L36"/>
  <c i="21" r="L35"/>
  <c i="21" r="F35"/>
  <c i="21" r="F36"/>
  <c i="1" r="P33"/>
  <c i="1" r="P38"/>
  <c i="1" r="N38"/>
  <c i="1" r="O33"/>
  <c i="1" r="N34"/>
  <c i="1" r="P32"/>
  <c i="1" r="O38"/>
  <c i="1" r="M41"/>
  <c i="1" r="O32"/>
  <c i="1" r="M38"/>
  <c i="20" r="F31"/>
  <c i="1" r="N37"/>
  <c i="20" r="L37"/>
  <c i="20" r="L36"/>
  <c i="20" r="L38"/>
  <c i="20" r="F37"/>
  <c i="20" r="F32"/>
  <c i="20" r="F36"/>
  <c i="20" r="F38"/>
  <c i="1" r="P37"/>
  <c i="20" r="L34"/>
  <c i="1" r="M32"/>
  <c i="20" r="L35"/>
  <c i="1" r="N36"/>
  <c i="1" r="N32"/>
  <c i="1" r="M36"/>
  <c i="20" r="L33"/>
  <c i="20" r="F34"/>
  <c i="20" r="R34" s="1"/>
  <c i="1" r="N35"/>
  <c i="20" r="F33"/>
  <c i="1" r="N41"/>
  <c i="1" r="P34"/>
  <c i="1" r="M34"/>
  <c i="1" r="O41"/>
  <c i="1" r="O36"/>
  <c i="1" r="N33"/>
  <c i="1" r="P35"/>
  <c i="1" r="P41"/>
  <c i="1" r="P39"/>
  <c i="1" r="O35"/>
  <c i="1" r="O39"/>
  <c i="1" r="M35"/>
  <c i="1" r="N39"/>
  <c i="1" r="M39"/>
  <c i="9" r="K37"/>
  <c i="7" r="S38"/>
  <c i="9" r="L38"/>
  <c i="5" r="K36"/>
  <c i="6" r="K37"/>
  <c i="10" r="V41"/>
  <c i="5" r="L34"/>
  <c i="9" r="V37"/>
  <c i="4" r="V41"/>
  <c i="9" r="L41"/>
  <c i="10" r="K37"/>
  <c i="10" r="L32"/>
  <c i="6" r="V39"/>
  <c i="10" r="L37"/>
  <c i="9" r="V33"/>
  <c i="6" r="V33"/>
  <c i="6" r="L37"/>
  <c i="10" r="K35"/>
  <c i="5" r="K37"/>
  <c i="7" r="Q36"/>
  <c i="7" r="P36"/>
  <c i="7" r="L36"/>
  <c i="7" r="S36"/>
  <c i="7" r="O36"/>
  <c i="7" r="M36"/>
  <c i="7" r="R36"/>
  <c i="7" r="N36"/>
  <c i="10" r="K41"/>
  <c i="9" r="L33"/>
  <c i="4" r="K35"/>
  <c i="10" r="L34"/>
  <c i="9" r="L37"/>
  <c i="8" r="V39"/>
  <c i="6" r="L35"/>
  <c i="8" r="Q39"/>
  <c i="4" r="L41"/>
  <c i="5" r="L32"/>
  <c i="6" r="L34"/>
  <c i="6" r="V32"/>
  <c i="8" r="K34"/>
  <c i="9" r="L39"/>
  <c i="10" r="V39"/>
  <c i="6" r="Q38"/>
  <c i="6" r="V38"/>
  <c i="4" r="L37"/>
  <c i="9" r="K33"/>
  <c i="6" r="K32"/>
  <c i="5" r="L33"/>
  <c i="4" r="K34"/>
  <c i="9" r="K39"/>
  <c i="4" r="K36"/>
  <c i="10" r="V33"/>
  <c i="4" r="L32"/>
  <c i="9" r="K36"/>
  <c i="5" r="K33"/>
  <c i="6" r="L33"/>
  <c i="7" r="L35"/>
  <c i="1" r="L32"/>
  <c i="10" r="K38"/>
  <c i="4" r="K33"/>
  <c i="6" r="K39"/>
  <c i="6" r="Q33"/>
  <c i="9" r="V35"/>
  <c i="7" r="L37"/>
  <c i="5" r="L39"/>
  <c i="6" r="K34"/>
  <c i="8" r="K35"/>
  <c i="8" r="L36"/>
  <c i="10" r="L39"/>
  <c i="10" r="L35"/>
  <c i="1" r="L33"/>
  <c i="8" r="K32"/>
  <c i="4" r="K39"/>
  <c i="6" r="V37"/>
  <c i="6" r="K35"/>
  <c i="6" r="K33"/>
  <c i="6" r="L38"/>
  <c i="6" r="L41"/>
  <c i="8" r="K38"/>
  <c i="9" r="L35"/>
  <c i="5" r="K35"/>
  <c i="6" r="K38"/>
  <c i="8" r="L32"/>
  <c i="11" r="E18"/>
  <c i="7" r="R35"/>
  <c i="9" r="K35"/>
  <c i="9" r="L32"/>
  <c i="9" r="K41"/>
  <c i="9" r="V38"/>
  <c i="9" r="K38"/>
  <c i="9" r="L36"/>
  <c i="9" r="K32"/>
  <c i="9" r="K34"/>
  <c i="9" r="V32"/>
  <c i="6" r="V35"/>
  <c i="6" r="L36"/>
  <c i="6" r="Q35"/>
  <c i="6" r="Q32"/>
  <c i="6" r="L32"/>
  <c i="6" r="K36"/>
  <c i="8" r="K39"/>
  <c i="8" r="L34"/>
  <c i="8" r="L41"/>
  <c i="8" r="L37"/>
  <c i="8" r="K37"/>
  <c i="8" r="K33"/>
  <c i="8" r="K36"/>
  <c i="8" r="L33"/>
  <c i="8" r="L35"/>
  <c i="8" r="K41"/>
  <c i="8" r="L39"/>
  <c i="10" r="K34"/>
  <c i="10" r="Q41"/>
  <c i="10" r="V36"/>
  <c i="10" r="K33"/>
  <c i="10" r="L33"/>
  <c i="10" r="L36"/>
  <c i="10" r="K32"/>
  <c i="10" r="Q39"/>
  <c i="10" r="V35"/>
  <c i="10" r="L41"/>
  <c i="10" r="K36"/>
  <c i="10" r="K39"/>
  <c i="10" r="V37"/>
  <c i="5" r="K32"/>
  <c i="5" r="L38"/>
  <c i="5" r="K38"/>
  <c i="5" r="V33"/>
  <c i="5" r="K34"/>
  <c i="5" r="V39"/>
  <c i="5" r="K39"/>
  <c i="4" r="L35"/>
  <c i="4" r="L38"/>
  <c i="4" r="K38"/>
  <c i="4" r="L39"/>
  <c i="4" r="L33"/>
  <c i="4" r="K41"/>
  <c i="4" r="V37"/>
  <c i="4" r="L36"/>
  <c i="4" r="V34"/>
  <c i="4" r="K37"/>
  <c i="4" r="L34"/>
  <c i="1" r="K39"/>
  <c i="10" r="Q35"/>
  <c i="10" r="Q36"/>
  <c i="10" r="Q34"/>
  <c i="10" r="Q32"/>
  <c i="8" r="L38"/>
  <c i="6" r="Q36"/>
  <c i="10" r="V38"/>
  <c i="10" r="V34"/>
  <c i="5" r="L36"/>
  <c i="5" r="L37"/>
  <c i="5" r="L41"/>
  <c i="5" r="V35"/>
  <c i="6" r="Q39"/>
  <c i="5" r="L35"/>
  <c i="1" r="K32"/>
  <c i="5" r="K41"/>
  <c i="10" r="Q33"/>
  <c i="4" r="Q37"/>
  <c i="6" r="Q37"/>
  <c i="1" r="L37"/>
  <c i="7" r="N35"/>
  <c i="7" r="N37"/>
  <c i="7" r="N33"/>
  <c i="6" r="Q34"/>
  <c i="1" r="K34"/>
  <c i="10" r="Q37"/>
  <c i="9" r="Q33"/>
  <c i="10" r="U32"/>
  <c i="10" r="V32" s="1"/>
  <c i="10" r="Q38"/>
  <c i="6" r="V41"/>
  <c i="1" r="K33"/>
  <c i="6" r="V34"/>
  <c i="6" r="Q41"/>
  <c i="6" r="U36"/>
  <c i="6" r="V36" s="1"/>
  <c i="5" r="V34"/>
  <c i="7" r="M39"/>
  <c i="7" r="L33"/>
  <c i="4" r="Q34"/>
  <c i="9" r="Q37"/>
  <c i="9" r="Q32"/>
  <c i="7" r="O37"/>
  <c i="7" r="L39"/>
  <c i="7" r="O33"/>
  <c i="7" r="N39"/>
  <c i="7" r="M35"/>
  <c i="7" r="Q37"/>
  <c i="7" r="Q35"/>
  <c i="5" r="Q35"/>
  <c i="7" r="M33"/>
  <c i="1" r="K38"/>
  <c i="7" r="M37"/>
  <c i="9" r="Q38"/>
  <c i="9" r="Q35"/>
  <c i="5" r="V41"/>
  <c i="1" r="L38"/>
  <c i="1" r="L35"/>
  <c i="1" r="L36"/>
  <c i="1" r="K37"/>
  <c i="1" r="L41"/>
  <c i="1" r="K35"/>
  <c i="1" r="L39"/>
  <c i="11" r="E21"/>
  <c i="11" r="E19"/>
  <c i="11" r="E27"/>
  <c i="11" r="E24"/>
  <c i="11" r="E25"/>
  <c i="11" r="E22"/>
  <c i="11" r="E23"/>
  <c i="11" r="E20"/>
  <c i="5" r="Q39"/>
  <c i="5" r="V38"/>
  <c i="5" r="Q34"/>
  <c i="1" r="L34"/>
  <c i="5" r="Q33"/>
  <c i="5" r="Q38"/>
  <c i="1" r="Q41"/>
  <c i="1" r="T41"/>
  <c i="1" r="V41" s="1"/>
  <c i="8" r="Q33"/>
  <c i="8" r="T33"/>
  <c i="8" r="V33" s="1"/>
  <c i="8" r="Q36"/>
  <c i="8" r="T36"/>
  <c i="8" r="V36" s="1"/>
  <c i="1" r="Q35"/>
  <c i="1" r="T35"/>
  <c i="1" r="V35" s="1"/>
  <c i="1" r="Q37"/>
  <c i="1" r="T37"/>
  <c i="1" r="V37" s="1"/>
  <c i="1" r="Q38"/>
  <c i="1" r="T38"/>
  <c i="1" r="V38" s="1"/>
  <c i="1" r="Q32"/>
  <c i="1" r="T32"/>
  <c i="1" r="V32" s="1"/>
  <c i="8" r="Q35"/>
  <c i="8" r="T35"/>
  <c i="8" r="V35" s="1"/>
  <c i="8" r="Q38"/>
  <c i="8" r="T38"/>
  <c i="8" r="V38" s="1"/>
  <c i="4" r="Q38"/>
  <c i="4" r="U38"/>
  <c i="4" r="V38" s="1"/>
  <c i="4" r="Q32"/>
  <c i="4" r="U32"/>
  <c i="4" r="V32" s="1"/>
  <c i="4" r="Q33"/>
  <c i="4" r="U33"/>
  <c i="4" r="V33" s="1"/>
  <c i="4" r="Q39"/>
  <c i="4" r="U39"/>
  <c i="4" r="V39" s="1"/>
  <c i="4" r="Q41"/>
  <c i="5" r="V37"/>
  <c i="5" r="Q41"/>
  <c i="8" r="Q37"/>
  <c i="8" r="T37"/>
  <c i="8" r="V37" s="1"/>
  <c i="9" r="Q41"/>
  <c i="9" r="U41"/>
  <c i="9" r="V41" s="1"/>
  <c i="1" r="Q33"/>
  <c i="1" r="T33"/>
  <c i="1" r="V33" s="1"/>
  <c i="8" r="Q34"/>
  <c i="8" r="T34"/>
  <c i="8" r="V34" s="1"/>
  <c i="4" r="Q35"/>
  <c i="4" r="U35"/>
  <c i="4" r="V35" s="1"/>
  <c i="9" r="Q39"/>
  <c i="9" r="U39"/>
  <c i="9" r="V39" s="1"/>
  <c i="9" r="Q36"/>
  <c i="9" r="U36"/>
  <c i="9" r="V36" s="1"/>
  <c i="1" r="K36"/>
  <c i="1" r="Q39"/>
  <c i="1" r="T39"/>
  <c i="1" r="V39" s="1"/>
  <c i="8" r="Q32"/>
  <c i="8" r="T32"/>
  <c i="8" r="V32" s="1"/>
  <c i="9" r="Q34"/>
  <c i="9" r="U34"/>
  <c i="9" r="V34" s="1"/>
  <c i="1" r="Q36"/>
  <c i="1" r="T36"/>
  <c i="1" r="V36" s="1"/>
  <c i="1" r="Q34"/>
  <c i="1" r="T34"/>
  <c i="1" r="V34" s="1"/>
  <c i="8" r="Q41"/>
  <c i="8" r="T41"/>
  <c i="8" r="V41" s="1"/>
  <c i="4" r="Q36"/>
  <c i="4" r="U36"/>
  <c i="4" r="V36" s="1"/>
  <c i="5" r="U36"/>
  <c i="5" r="V36" s="1"/>
  <c i="5" r="Q36"/>
  <c i="5" r="Q32"/>
  <c i="5" r="U32"/>
  <c i="5" r="V32" s="1"/>
  <c i="5" r="Q37"/>
  <c i="7" r="L41"/>
  <c i="7" r="Q39"/>
  <c i="7" r="R39"/>
  <c i="7" r="O34"/>
  <c i="7" r="O38"/>
  <c i="7" r="S35"/>
  <c i="7" r="R33"/>
  <c i="7" r="N38"/>
  <c i="7" r="Q33"/>
  <c i="7" r="O35"/>
  <c i="7" r="O39"/>
  <c i="7" r="S33"/>
  <c i="7" r="M34"/>
  <c i="7" r="S34"/>
  <c i="7" r="P34"/>
  <c i="7" r="P38"/>
  <c i="7" r="S39"/>
  <c i="7" r="P41"/>
  <c i="7" r="Q41"/>
  <c i="7" r="R38"/>
  <c i="7" r="Q38"/>
  <c i="7" r="L34"/>
  <c i="7" r="L38"/>
  <c i="7" r="M41"/>
  <c i="7" r="N41"/>
  <c i="7" r="R41"/>
  <c i="7" r="R34"/>
  <c i="7" r="N34"/>
  <c i="7" r="R37"/>
  <c i="7" r="Q34"/>
  <c i="7" r="M38"/>
  <c i="7" r="P33"/>
  <c i="7" r="P35"/>
  <c i="7" r="P37"/>
  <c i="7" r="P39"/>
  <c i="7" r="S41"/>
  <c i="7" r="O41"/>
  <c i="25" l="1" r="R63"/>
  <c i="25" r="R88" s="1"/>
  <c i="25" r="V36" s="1"/>
  <c i="25" r="AD16" s="1"/>
  <c i="25" r="AE16" s="1"/>
  <c i="23" r="R32"/>
  <c i="23" r="R45" s="1"/>
  <c i="23" r="R57" s="1"/>
  <c i="23" r="R80" s="1"/>
  <c i="23" r="V34" s="1"/>
  <c i="25" r="R58"/>
  <c i="25" r="R83" s="1"/>
  <c i="25" r="V33" s="1"/>
  <c i="11" r="U35"/>
  <c i="11" r="U39"/>
  <c i="11" r="U33"/>
  <c i="23" r="R33"/>
  <c i="23" r="R46" s="1"/>
  <c i="23" r="R58" s="1"/>
  <c i="23" r="R81" s="1"/>
  <c i="23" r="V31" s="1"/>
  <c i="23" r="AD4" s="1"/>
  <c i="23" r="AE4" s="1"/>
  <c i="11" r="N12"/>
  <c i="11" r="N13" s="1"/>
  <c i="11" r="N26" s="1"/>
  <c i="11" r="K13"/>
  <c i="23" r="R37"/>
  <c i="23" r="R50" s="1"/>
  <c i="23" r="R62" s="1"/>
  <c i="23" r="R85" s="1"/>
  <c i="23" r="V42" s="1"/>
  <c i="23" r="AD18" s="1"/>
  <c i="23" r="AE18" s="1"/>
  <c i="11" r="U41"/>
  <c i="21" r="AD41"/>
  <c i="21" r="AE41" s="1"/>
  <c i="21" r="AD31"/>
  <c i="21" r="AE31" s="1"/>
  <c i="25" r="R59"/>
  <c i="25" r="R84" s="1"/>
  <c i="25" r="V32" s="1"/>
  <c i="11" r="U32"/>
  <c i="11" r="U34"/>
  <c i="11" r="B22"/>
  <c i="11" r="E36" s="1"/>
  <c i="24" r="R32"/>
  <c i="24" r="R45" s="1"/>
  <c i="25" r="R61"/>
  <c i="25" r="R86" s="1"/>
  <c i="25" r="V31" s="1"/>
  <c i="25" r="R57"/>
  <c i="25" r="R82" s="1"/>
  <c i="25" r="V34" s="1"/>
  <c i="25" r="R65"/>
  <c i="25" r="R90" s="1"/>
  <c i="25" r="V37" s="1"/>
  <c i="25" r="AD18" s="1"/>
  <c i="25" r="AE18" s="1"/>
  <c i="11" r="B23"/>
  <c i="11" r="E37" s="1"/>
  <c i="11" r="U37"/>
  <c i="11" r="B21"/>
  <c i="11" r="E35" s="1"/>
  <c i="11" r="B25"/>
  <c i="11" r="E39" s="1"/>
  <c i="11" r="B27"/>
  <c i="11" r="E41" s="1"/>
  <c i="24" r="R35"/>
  <c i="24" r="R48" s="1"/>
  <c i="25" r="R62"/>
  <c i="25" r="R87" s="1"/>
  <c i="25" r="V35" s="1"/>
  <c i="23" r="R36"/>
  <c i="23" r="R49" s="1"/>
  <c i="23" r="R61" s="1"/>
  <c i="23" r="R84" s="1"/>
  <c i="23" r="V39" s="1"/>
  <c i="11" r="B26"/>
  <c i="11" r="E40" s="1"/>
  <c i="11" r="B24"/>
  <c i="11" r="E38" s="1"/>
  <c i="11" r="B18"/>
  <c i="11" r="E32" s="1"/>
  <c i="11" r="U36"/>
  <c i="24" r="R33"/>
  <c i="24" r="R46" s="1"/>
  <c i="11" r="E33"/>
  <c i="11" r="B20"/>
  <c i="11" r="E34" s="1"/>
  <c i="24" r="R36"/>
  <c i="24" r="R49" s="1"/>
  <c i="24" r="R31"/>
  <c i="24" r="R44" s="1"/>
  <c i="11" r="U38"/>
  <c i="20" r="L40"/>
  <c i="11" r="R13"/>
  <c i="11" r="R26" s="1"/>
  <c i="11" r="R40" s="1"/>
  <c i="11" r="T13"/>
  <c i="11" r="V12"/>
  <c i="11" r="V13" s="1"/>
  <c i="11" r="V24" s="1"/>
  <c i="11" r="Q13"/>
  <c i="11" r="S13"/>
  <c i="20" r="R31"/>
  <c i="20" r="R44" s="1"/>
  <c i="20" r="R57" s="1"/>
  <c i="20" r="R82" s="1"/>
  <c i="20" r="V43" s="1"/>
  <c i="20" r="AD24" s="1"/>
  <c i="20" r="AE24" s="1"/>
  <c i="20" r="F40"/>
  <c i="20" r="R36"/>
  <c i="20" r="R49" s="1"/>
  <c i="20" r="R62" s="1"/>
  <c i="20" r="R87" s="1"/>
  <c i="20" r="V45" s="1"/>
  <c i="20" r="R37"/>
  <c i="20" r="R50" s="1"/>
  <c i="20" r="R63" s="1"/>
  <c i="20" r="R88" s="1"/>
  <c i="20" r="V48" s="1"/>
  <c i="20" r="AD32" s="1"/>
  <c i="20" r="AE32" s="1"/>
  <c i="21" r="R36"/>
  <c i="21" r="R49" s="1"/>
  <c i="21" r="R62" s="1"/>
  <c i="21" r="R87" s="1"/>
  <c i="21" r="V45" s="1"/>
  <c i="21" r="AD32" s="1"/>
  <c i="21" r="AE32" s="1"/>
  <c i="21" r="R37"/>
  <c i="21" r="R50" s="1"/>
  <c i="21" r="R63" s="1"/>
  <c i="21" r="R88" s="1"/>
  <c i="21" r="V48" s="1"/>
  <c i="21" r="AD37" s="1"/>
  <c i="21" r="AE37" s="1"/>
  <c i="24" r="R50"/>
  <c i="24" r="R65" s="1"/>
  <c i="24" r="R90" s="1"/>
  <c i="24" r="V48" s="1"/>
  <c i="24" r="AD33" s="1"/>
  <c i="24" r="AE33" s="1"/>
  <c i="21" r="R35"/>
  <c i="21" r="R48" s="1"/>
  <c i="21" r="R61" s="1"/>
  <c i="21" r="R86" s="1"/>
  <c i="21" r="V34" s="1"/>
  <c i="21" r="R38"/>
  <c i="21" r="R51" s="1"/>
  <c i="21" r="R64" s="1"/>
  <c i="21" r="R89" s="1"/>
  <c i="21" r="V31" s="1"/>
  <c i="21" r="AD5" s="1"/>
  <c i="21" r="AE5" s="1"/>
  <c i="21" r="R32"/>
  <c i="21" r="R45" s="1"/>
  <c i="21" r="R58" s="1"/>
  <c i="21" r="R83" s="1"/>
  <c i="21" r="V40" s="1"/>
  <c i="21" r="AD21" s="1"/>
  <c i="21" r="AE21" s="1"/>
  <c i="20" r="R32"/>
  <c i="20" r="R45" s="1"/>
  <c i="20" r="R58" s="1"/>
  <c i="20" r="R83" s="1"/>
  <c i="20" r="V40" s="1"/>
  <c i="20" r="AD19" s="1"/>
  <c i="20" r="AE19" s="1"/>
  <c i="21" r="R33"/>
  <c i="21" r="R46" s="1"/>
  <c i="21" r="R59" s="1"/>
  <c i="21" r="R84" s="1"/>
  <c i="21" r="V37" s="1"/>
  <c i="20" r="R35"/>
  <c i="20" r="R48" s="1"/>
  <c i="20" r="R61" s="1"/>
  <c i="20" r="R86" s="1"/>
  <c i="20" r="V34" s="1"/>
  <c i="20" r="AD8" s="1"/>
  <c i="20" r="AE8" s="1"/>
  <c i="21" r="R31"/>
  <c i="21" r="R44" s="1"/>
  <c i="21" r="R57" s="1"/>
  <c i="21" r="R82" s="1"/>
  <c i="21" r="V43" s="1"/>
  <c i="21" r="AD27" s="1"/>
  <c i="21" r="AE27" s="1"/>
  <c i="24" r="O87"/>
  <c i="24" r="V43" s="1"/>
  <c i="24" r="AD27" s="1"/>
  <c i="24" r="AE27" s="1"/>
  <c i="24" r="P87"/>
  <c i="24" r="V44" s="1"/>
  <c i="24" r="AD28" s="1"/>
  <c i="24" r="AE28" s="1"/>
  <c i="23" r="O81"/>
  <c i="23" r="V32" s="1"/>
  <c i="23" r="P81"/>
  <c i="23" r="V33" s="1"/>
  <c i="24" r="O83"/>
  <c i="24" r="V38" s="1"/>
  <c i="24" r="AD18" s="1"/>
  <c i="24" r="AE18" s="1"/>
  <c i="24" r="Q83"/>
  <c i="24" r="V39" s="1"/>
  <c i="24" r="AD19" s="1"/>
  <c i="24" r="AE19" s="1"/>
  <c i="23" r="P85"/>
  <c i="23" r="V44" s="1"/>
  <c i="23" r="O85"/>
  <c i="23" r="V43" s="1"/>
  <c i="23" r="AD21" s="1"/>
  <c i="23" r="AE21" s="1"/>
  <c i="23" r="AD20"/>
  <c i="23" r="AE20" s="1"/>
  <c i="23" r="AD11"/>
  <c i="23" r="AE11" s="1"/>
  <c i="23" r="AD10"/>
  <c i="23" r="AE10" s="1"/>
  <c i="21" r="O87"/>
  <c i="21" r="V46" s="1"/>
  <c i="21" r="AD34" s="1"/>
  <c i="21" r="AE34" s="1"/>
  <c i="21" r="P87"/>
  <c i="21" r="V47" s="1"/>
  <c i="21" r="AD35" s="1"/>
  <c i="21" r="AE35" s="1"/>
  <c i="21" r="O86"/>
  <c i="21" r="V35" s="1"/>
  <c i="21" r="P86"/>
  <c i="21" r="V36" s="1"/>
  <c i="21" r="AD12" s="1"/>
  <c i="21" r="AE12" s="1"/>
  <c i="21" r="P89"/>
  <c i="21" r="V33" s="1"/>
  <c i="21" r="AD7" s="1"/>
  <c i="21" r="AE7" s="1"/>
  <c i="21" r="O89"/>
  <c i="21" r="V32" s="1"/>
  <c i="21" r="AD6" s="1"/>
  <c i="21" r="AE6" s="1"/>
  <c i="21" r="P82"/>
  <c i="21" r="V44" s="1"/>
  <c i="21" r="AD28" s="1"/>
  <c i="21" r="AE28" s="1"/>
  <c i="21" r="O88"/>
  <c i="21" r="V49" s="1"/>
  <c i="21" r="AD38" s="1"/>
  <c i="21" r="AE38" s="1"/>
  <c i="21" r="P88"/>
  <c i="21" r="V50" s="1"/>
  <c i="21" r="AD39" s="1"/>
  <c i="21" r="AE39" s="1"/>
  <c i="20" r="R33"/>
  <c i="20" r="R46" s="1"/>
  <c i="20" r="P86"/>
  <c i="20" r="V36" s="1"/>
  <c i="20" r="AD10" s="1"/>
  <c i="20" r="AE10" s="1"/>
  <c i="20" r="O86"/>
  <c i="20" r="V35" s="1"/>
  <c i="20" r="O87"/>
  <c i="20" r="V46" s="1"/>
  <c i="20" r="AD30" s="1"/>
  <c i="20" r="AE30" s="1"/>
  <c i="20" r="P87"/>
  <c i="20" r="V47" s="1"/>
  <c i="20" r="AD31" s="1"/>
  <c i="20" r="AE31" s="1"/>
  <c i="20" r="O83"/>
  <c i="20" r="V41" s="1"/>
  <c i="20" r="P83"/>
  <c i="20" r="V42" s="1"/>
  <c i="20" r="AD21" s="1"/>
  <c i="20" r="AE21" s="1"/>
  <c i="20" r="P88"/>
  <c i="20" r="V50" s="1"/>
  <c i="20" r="AD35" s="1"/>
  <c i="20" r="AE35" s="1"/>
  <c i="20" r="O88"/>
  <c i="20" r="V49" s="1"/>
  <c i="20" r="AD34" s="1"/>
  <c i="20" r="AE34" s="1"/>
  <c i="20" r="Q82"/>
  <c i="20" r="V44" s="1"/>
  <c i="20" r="AD25" s="1"/>
  <c i="20" r="AE25" s="1"/>
  <c i="20" r="R47"/>
  <c i="20" r="R60" s="1"/>
  <c i="11" l="1" r="N27"/>
  <c i="25" r="AD6"/>
  <c i="25" r="AE6" s="1"/>
  <c i="25" r="AD8"/>
  <c i="25" r="AE8" s="1"/>
  <c i="25" r="AD13"/>
  <c i="25" r="AE13" s="1"/>
  <c i="25" r="AD7"/>
  <c i="25" r="AE7" s="1"/>
  <c i="25" r="AD5"/>
  <c i="25" r="AE5" s="1"/>
  <c i="11" r="N25"/>
  <c i="11" r="N22"/>
  <c i="11" r="N19"/>
  <c i="11" r="N21"/>
  <c i="11" r="N20"/>
  <c i="11" r="N23"/>
  <c i="11" r="N18"/>
  <c i="11" r="N24"/>
  <c i="11" r="V38" s="1"/>
  <c i="11" r="K26"/>
  <c i="11" r="K24"/>
  <c i="11" r="K21"/>
  <c i="11" r="K25"/>
  <c i="11" r="K20"/>
  <c i="11" r="K22"/>
  <c i="11" r="K18"/>
  <c i="11" r="K19"/>
  <c i="11" r="K27"/>
  <c i="11" r="K23"/>
  <c i="21" r="AD16"/>
  <c i="21" r="AE16" s="1"/>
  <c i="21" r="AD14"/>
  <c i="21" r="AE14" s="1"/>
  <c i="21" r="AD10"/>
  <c i="21" r="AE10" s="1"/>
  <c i="21" r="AD8"/>
  <c i="21" r="AE8" s="1"/>
  <c i="21" r="AD11"/>
  <c i="21" r="AE11" s="1"/>
  <c i="21" r="AD9"/>
  <c i="21" r="AE9" s="1"/>
  <c i="20" r="AD20"/>
  <c i="20" r="AE20" s="1"/>
  <c i="20" r="AD27"/>
  <c i="20" r="AE27" s="1"/>
  <c i="20" r="AD22"/>
  <c i="20" r="AE22" s="1"/>
  <c i="11" r="V25"/>
  <c i="23" r="AD22"/>
  <c i="23" r="AE22" s="1"/>
  <c i="23" r="AD23"/>
  <c i="23" r="AE23" s="1"/>
  <c i="23" r="AD19"/>
  <c i="23" r="AE19" s="1"/>
  <c i="11" r="V21"/>
  <c i="11" r="V20"/>
  <c i="11" r="V23"/>
  <c i="11" r="V27"/>
  <c i="11" r="V41" s="1"/>
  <c i="11" r="V18"/>
  <c i="11" r="V19"/>
  <c i="24" r="R62"/>
  <c i="11" r="S22"/>
  <c i="11" r="S24"/>
  <c i="11" r="S18"/>
  <c i="11" r="S27"/>
  <c i="11" r="S25"/>
  <c i="11" r="S20"/>
  <c i="11" r="S21"/>
  <c i="11" r="S19"/>
  <c i="11" r="S23"/>
  <c i="11" r="S26"/>
  <c i="11" r="Q26"/>
  <c i="11" r="Q40" s="1"/>
  <c i="11" r="Q21"/>
  <c i="11" r="Q35" s="1"/>
  <c i="11" r="Q22"/>
  <c i="11" r="Q36" s="1"/>
  <c i="11" r="Q24"/>
  <c i="11" r="Q38" s="1"/>
  <c i="11" r="Q20"/>
  <c i="11" r="Q34" s="1"/>
  <c i="11" r="Q27"/>
  <c i="11" r="Q41" s="1"/>
  <c i="11" r="Q18"/>
  <c i="11" r="Q32" s="1"/>
  <c i="11" r="Q25"/>
  <c i="11" r="Q39" s="1"/>
  <c i="11" r="Q23"/>
  <c i="11" r="Q37" s="1"/>
  <c i="11" r="Q19"/>
  <c i="11" r="Q33" s="1"/>
  <c i="11" r="V26"/>
  <c i="11" r="V40" s="1"/>
  <c i="11" r="V22"/>
  <c i="11" r="V36" s="1"/>
  <c i="11" r="T27"/>
  <c i="11" r="T41" s="1"/>
  <c i="11" r="T21"/>
  <c i="11" r="T35" s="1"/>
  <c i="11" r="T20"/>
  <c i="11" r="T34" s="1"/>
  <c i="11" r="T18"/>
  <c i="11" r="T32" s="1"/>
  <c i="11" r="T25"/>
  <c i="11" r="T39" s="1"/>
  <c i="11" r="T19"/>
  <c i="11" r="T33" s="1"/>
  <c i="11" r="T23"/>
  <c i="11" r="T37" s="1"/>
  <c i="11" r="T24"/>
  <c i="11" r="T38" s="1"/>
  <c i="11" r="T22"/>
  <c i="11" r="T36" s="1"/>
  <c i="11" r="T26"/>
  <c i="11" r="T40" s="1"/>
  <c i="11" r="R27"/>
  <c i="11" r="R41" s="1"/>
  <c i="11" r="R23"/>
  <c i="11" r="R37" s="1"/>
  <c i="11" r="R25"/>
  <c i="11" r="R39" s="1"/>
  <c i="11" r="R21"/>
  <c i="11" r="R35" s="1"/>
  <c i="11" r="R24"/>
  <c i="11" r="R38" s="1"/>
  <c i="11" r="R20"/>
  <c i="11" r="R34" s="1"/>
  <c i="11" r="R19"/>
  <c i="11" r="R33" s="1"/>
  <c i="11" r="R18"/>
  <c i="11" r="R32" s="1"/>
  <c i="11" r="R22"/>
  <c i="11" r="R36" s="1"/>
  <c i="24" r="R61"/>
  <c i="24" r="R63"/>
  <c i="24" r="R58"/>
  <c i="24" r="R57"/>
  <c i="24" r="R59"/>
  <c i="20" r="R59"/>
  <c i="20" r="R84" s="1"/>
  <c i="20" r="V37" s="1"/>
  <c i="20" r="AD11" s="1"/>
  <c i="20" r="AE11" s="1"/>
  <c i="23" r="AD16"/>
  <c i="23" r="AE16" s="1"/>
  <c i="23" r="AD9"/>
  <c i="23" r="AE9" s="1"/>
  <c i="24" r="Q84"/>
  <c i="24" r="V36" s="1"/>
  <c i="24" r="AD14" s="1"/>
  <c i="24" r="AE14" s="1"/>
  <c i="23" r="AD15"/>
  <c i="23" r="AE15" s="1"/>
  <c i="23" r="AD8"/>
  <c i="23" r="AE8" s="1"/>
  <c i="24" r="O84"/>
  <c i="24" r="V35" s="1"/>
  <c i="24" r="AD13" s="1"/>
  <c i="24" r="AE13" s="1"/>
  <c i="21" r="P83"/>
  <c i="21" r="V42" s="1"/>
  <c i="21" r="AD23" s="1"/>
  <c i="21" r="AE23" s="1"/>
  <c i="21" r="P84"/>
  <c i="21" r="V38" s="1"/>
  <c i="21" r="AD17" s="1"/>
  <c i="21" r="AE17" s="1"/>
  <c i="21" r="O83"/>
  <c i="21" r="V41" s="1"/>
  <c i="21" r="AD22" s="1"/>
  <c i="21" r="AE22" s="1"/>
  <c i="21" r="O84"/>
  <c i="21" r="V39" s="1"/>
  <c i="21" r="AD18" s="1"/>
  <c i="21" r="AE18" s="1"/>
  <c i="20" r="P84"/>
  <c i="20" r="V39" s="1"/>
  <c i="20" r="AD16" s="1"/>
  <c i="20" r="AE16" s="1"/>
  <c i="20" r="O84"/>
  <c i="20" r="V38" s="1"/>
  <c i="20" r="AD15" s="1"/>
  <c i="20" r="AE15" s="1"/>
  <c i="20" r="R85"/>
  <c i="20" r="V31" s="1"/>
  <c i="20" r="AD5" s="1"/>
  <c i="20" r="AE5" s="1"/>
  <c i="20" r="O85"/>
  <c i="20" r="V32" s="1"/>
  <c i="20" r="AD6" s="1"/>
  <c i="20" r="AE6" s="1"/>
  <c i="20" r="Q85"/>
  <c i="20" r="V33" s="1"/>
  <c i="20" r="AD7" s="1"/>
  <c i="20" r="AE7" s="1"/>
  <c i="11" l="1" r="V37"/>
  <c i="11" r="V34"/>
  <c i="11" r="V35"/>
  <c i="11" r="V39"/>
  <c i="11" r="S41"/>
  <c i="11" r="S32"/>
  <c i="11" r="V33"/>
  <c i="11" r="V32"/>
  <c i="11" r="S37"/>
  <c i="11" r="S33"/>
  <c i="11" r="S35"/>
  <c i="11" r="S39"/>
  <c i="11" r="S40"/>
  <c i="11" r="S38"/>
  <c i="11" r="S34"/>
  <c i="11" r="S36"/>
  <c i="20" r="AD9"/>
  <c i="20" r="AE9" s="1"/>
  <c i="24" r="R82"/>
  <c i="24" r="V40" s="1"/>
  <c i="24" r="AD21" s="1"/>
  <c i="24" r="AE21" s="1"/>
  <c i="24" r="R88"/>
  <c i="24" r="V45" s="1"/>
  <c i="24" r="AD29" s="1"/>
  <c i="24" r="AE29" s="1"/>
  <c i="24" r="R83"/>
  <c i="24" r="V37" s="1"/>
  <c i="24" r="AD17" s="1"/>
  <c i="24" r="AE17" s="1"/>
  <c i="24" r="R84"/>
  <c i="24" r="V34" s="1"/>
  <c i="24" r="AD8" s="1"/>
  <c i="24" r="AE8" s="1"/>
  <c i="24" r="R87"/>
  <c i="24" r="V42" s="1"/>
  <c i="24" r="AD24" s="1"/>
  <c i="24" r="AE24" s="1"/>
  <c i="24" r="R86"/>
  <c i="24" r="V31" s="1"/>
  <c i="24" r="AD5" s="1"/>
  <c i="24" r="AE5" s="1"/>
</calcChain>
</file>

<file path=xl/sharedStrings.xml><?xml version="1.0" encoding="utf-8"?>
<sst xmlns="http://schemas.openxmlformats.org/spreadsheetml/2006/main" count="3020" uniqueCount="339">
  <si>
    <t>Mode</t>
  </si>
  <si>
    <t>Drive Alone</t>
  </si>
  <si>
    <t>Shared Ride 2</t>
  </si>
  <si>
    <t>Shared Ride 3+</t>
  </si>
  <si>
    <t>Drive-Transit</t>
  </si>
  <si>
    <t>Walk-Transit</t>
  </si>
  <si>
    <t>Bike</t>
  </si>
  <si>
    <t>Walk</t>
  </si>
  <si>
    <t>School Bus</t>
  </si>
  <si>
    <t>0-veh HHs</t>
  </si>
  <si>
    <t>&gt;0-veh HHs</t>
  </si>
  <si>
    <t>Table X. Estimated Work Tour Modes:DaySim</t>
  </si>
  <si>
    <t>Table X. Estimated School Tour Modes:DaySim</t>
  </si>
  <si>
    <t>Table X. Estimated Escort Tour Modes:DaySim</t>
  </si>
  <si>
    <t>Table X. Estimated Meal Tour Modes:DaySim</t>
  </si>
  <si>
    <t>Table X. Estimated Shop Tour Modes:DaySim</t>
  </si>
  <si>
    <t>Table X. Estimated Social/Recreational Tour Modes:DaySim</t>
  </si>
  <si>
    <t>Table X. Estimated Personal Business Tour Modes:DaySim</t>
  </si>
  <si>
    <t>Work Tour Mode</t>
  </si>
  <si>
    <t>Total</t>
  </si>
  <si>
    <t>Table X. Estimated-Observed Different Work Tour Modes</t>
  </si>
  <si>
    <t>Table X. Estimated-Observed Workbased Tour Mode Share Difference</t>
  </si>
  <si>
    <t>Table X. Estimated SocRec Tour Modes:DaySim</t>
  </si>
  <si>
    <t>Table X. Estimated-Observed Different SocRec Tour Modes</t>
  </si>
  <si>
    <t>Table X. Estimated Tour Modes All Purposes:DaySim</t>
  </si>
  <si>
    <t>Table X. Estimated Tour Mode Shares All Purposes:DaySim</t>
  </si>
  <si>
    <t>Table X. Estimated-Observed Different Tour Mode Shares</t>
  </si>
  <si>
    <t>Table X. Estimated-Observed Different School Tour Modes</t>
  </si>
  <si>
    <t>Table X. Estimated-Observed Different Escort Tour Modes</t>
  </si>
  <si>
    <t>Table X. Estimated Personal Busines Tour Modes:DaySim</t>
  </si>
  <si>
    <t>Table X. Estimated-Observed Different Personal Busines Tour Modes</t>
  </si>
  <si>
    <t>Table X. Estimated-Observed Different Shop Tour Modes</t>
  </si>
  <si>
    <t>Table X. Estimated-Observed Different Meal Tour Modes</t>
  </si>
  <si>
    <t>DaySim</t>
  </si>
  <si>
    <t>Diff</t>
  </si>
  <si>
    <t>WORK TOUR MODE</t>
  </si>
  <si>
    <t>SCHOOL TOUR MODE</t>
  </si>
  <si>
    <t>ESCORT TOUR MODE</t>
  </si>
  <si>
    <t>PERSONAL BUSINESS TOUR MODE</t>
  </si>
  <si>
    <t>SHOP TOUR MODE</t>
  </si>
  <si>
    <t>MEAL TOUR MODE</t>
  </si>
  <si>
    <t>SOCIAL/RECREATIONAL TOUR MODE</t>
  </si>
  <si>
    <t>This set of summaries is just a crosstabulations from the tour file based on HH vehicle availability</t>
  </si>
  <si>
    <t>For work-based tours, it is based on Work tour mode</t>
  </si>
  <si>
    <t>Table X. Observed Tour Mode Shares All Purposes: Survey</t>
  </si>
  <si>
    <t>Table X. Observed Work Tour Modes: Survey</t>
  </si>
  <si>
    <t>Survey</t>
  </si>
  <si>
    <t>Table X. Observed School Tour Modes: Survey</t>
  </si>
  <si>
    <t>Table X. Observed Escort Tour Modes: Survey</t>
  </si>
  <si>
    <t>Table X. Observed Personal Business Tour Modes: Survey</t>
  </si>
  <si>
    <t>Table X. Observed Personal Busines Tour Modes: Survey</t>
  </si>
  <si>
    <t>Table X. Observed Shop Tour Modes: Survey</t>
  </si>
  <si>
    <t>Table X. Observed Meal Tour Modes: Survey</t>
  </si>
  <si>
    <t>Table X. Observed Social/Recreational Tour Modes: Survey</t>
  </si>
  <si>
    <t>Table X. Observed SocRecTour Modes: Survey</t>
  </si>
  <si>
    <t>Table X. Observed Workbased Tour Modes: Survey</t>
  </si>
  <si>
    <t>Table X. Estimated Workbased Tour Modes: Survey</t>
  </si>
  <si>
    <t>Table X. Observed Workbased Tour Mode Shares: Survey</t>
  </si>
  <si>
    <t>Table X. Estimated Workbased Tour Mode Shares: Survey</t>
  </si>
  <si>
    <t>Index</t>
  </si>
  <si>
    <t>Name</t>
  </si>
  <si>
    <t>Descr</t>
  </si>
  <si>
    <t>costutil</t>
  </si>
  <si>
    <t>F</t>
  </si>
  <si>
    <t>timeutil</t>
  </si>
  <si>
    <t>sb-const</t>
  </si>
  <si>
    <t>sb-chun5</t>
  </si>
  <si>
    <t>sb-univtr</t>
  </si>
  <si>
    <t>wt-const</t>
  </si>
  <si>
    <t>wt-nocars</t>
  </si>
  <si>
    <t>wt-carsltd</t>
  </si>
  <si>
    <t>wt-chun5</t>
  </si>
  <si>
    <t>T</t>
  </si>
  <si>
    <t>wt-univtr</t>
  </si>
  <si>
    <t>wt-ch1617</t>
  </si>
  <si>
    <t>s3-const</t>
  </si>
  <si>
    <t>s3-twophh</t>
  </si>
  <si>
    <t>s2-onephh</t>
  </si>
  <si>
    <t>s2-const</t>
  </si>
  <si>
    <t>sr-nocars</t>
  </si>
  <si>
    <t>sr-incu25</t>
  </si>
  <si>
    <t>sr-inc2550</t>
  </si>
  <si>
    <t>sr-chun5</t>
  </si>
  <si>
    <t>da-const</t>
  </si>
  <si>
    <t>da-carsltd</t>
  </si>
  <si>
    <t>da-incu25</t>
  </si>
  <si>
    <t>da-inco75</t>
  </si>
  <si>
    <t>da-ch1617</t>
  </si>
  <si>
    <t>bi-const</t>
  </si>
  <si>
    <t>bi-male</t>
  </si>
  <si>
    <t>bi-univtr</t>
  </si>
  <si>
    <t>wk-univtr</t>
  </si>
  <si>
    <t>tr-ologts</t>
  </si>
  <si>
    <t>tr-dmixed</t>
  </si>
  <si>
    <t>da-escsptr</t>
  </si>
  <si>
    <t>da-othsptr</t>
  </si>
  <si>
    <t>sr-escsptr</t>
  </si>
  <si>
    <t>sr-othsptr</t>
  </si>
  <si>
    <t>bi-class1</t>
  </si>
  <si>
    <t>bi-class2</t>
  </si>
  <si>
    <t>bi-gauntl</t>
  </si>
  <si>
    <t>bi-omixed</t>
  </si>
  <si>
    <t>bi-dempdn</t>
  </si>
  <si>
    <t>bi-dmixed</t>
  </si>
  <si>
    <t>wk-dmixed</t>
  </si>
  <si>
    <t>modenest</t>
  </si>
  <si>
    <t>noCarsInHouseholdFlag</t>
  </si>
  <si>
    <t>carsLessThanDriversFlag</t>
  </si>
  <si>
    <t>SchoolTourModeCoefficients_SACOG-v1.5.F12</t>
  </si>
  <si>
    <t>childUnder5Flag</t>
  </si>
  <si>
    <t>adultFlag</t>
  </si>
  <si>
    <t>drivingAgeStudentFlag</t>
  </si>
  <si>
    <t>destinationParcel.MixedUse2Index1()</t>
  </si>
  <si>
    <t>Log(originParcel.StopsTransitBuffer1 + 1)</t>
  </si>
  <si>
    <t>destinationParkingCost * tour.CostCoefficient / ChoiceModelUtility.CPFACT3)</t>
  </si>
  <si>
    <t>twoPersonHouseholdFlag</t>
  </si>
  <si>
    <t>onePersonHouseholdFlag</t>
  </si>
  <si>
    <t>income0To25KFlag</t>
  </si>
  <si>
    <t>income25To50KFlag</t>
  </si>
  <si>
    <t>escortPercentage</t>
  </si>
  <si>
    <t>nonEscortPercentage</t>
  </si>
  <si>
    <t>destinationParkingCost * tour.CostCoefficient / ChoiceModelUtility.CPFACT2</t>
  </si>
  <si>
    <t>destinationParkingCost * tour.CostCoefficient</t>
  </si>
  <si>
    <t>income75KPlusFlag</t>
  </si>
  <si>
    <t>maleFlag</t>
  </si>
  <si>
    <t>destinationParcel.MixedUse4Index1()</t>
  </si>
  <si>
    <t>destinationParcel.TotalEmploymentDensity1()</t>
  </si>
  <si>
    <t>originParcel.MixedUse4Index1()</t>
  </si>
  <si>
    <t>(class1Dist &gt; 0).ToFlag()</t>
  </si>
  <si>
    <t>(class2Dist &gt; 0).ToFlag()</t>
  </si>
  <si>
    <t>(worstDist &gt; 0).ToFlag()</t>
  </si>
  <si>
    <t>generalizedTimeLogsumExtra * tour.TimeCoefficient</t>
  </si>
  <si>
    <t>Walk to transit</t>
  </si>
  <si>
    <t>s3-hhcu5</t>
  </si>
  <si>
    <t>s3-hh515</t>
  </si>
  <si>
    <t>s3-hhdas</t>
  </si>
  <si>
    <t>sr-carsltd</t>
  </si>
  <si>
    <t>hov-const</t>
  </si>
  <si>
    <t>wk-ageo50</t>
  </si>
  <si>
    <t>wk-dintd</t>
  </si>
  <si>
    <t>wk-hhcu5</t>
  </si>
  <si>
    <t>wk-hh515</t>
  </si>
  <si>
    <t>wk-hhdas</t>
  </si>
  <si>
    <t>EscortTourModeCoefficients_SACOG-v1.5.F12</t>
  </si>
  <si>
    <t>generalizedTimeLogsum * tour.TimeCoefficient</t>
  </si>
  <si>
    <t>childrenUnder5</t>
  </si>
  <si>
    <t>childrenAge5Through15</t>
  </si>
  <si>
    <t>drivingAgeStudents</t>
  </si>
  <si>
    <t>ageBetween51And98Flag</t>
  </si>
  <si>
    <t>destinationParcel.NetIntersectionDensity1()</t>
  </si>
  <si>
    <t>dt-const</t>
  </si>
  <si>
    <t>dt-nocars</t>
  </si>
  <si>
    <t>dt-carsltw</t>
  </si>
  <si>
    <t>sr-hhcu5</t>
  </si>
  <si>
    <t>sr-hh515</t>
  </si>
  <si>
    <t>sr-lndist</t>
  </si>
  <si>
    <t>s3-onephh</t>
  </si>
  <si>
    <t>da-carsltw</t>
  </si>
  <si>
    <t>bi-ageo50</t>
  </si>
  <si>
    <t>wk-male</t>
  </si>
  <si>
    <t>tr-omixed</t>
  </si>
  <si>
    <t>tr-dintdn</t>
  </si>
  <si>
    <t>tr-dempdn</t>
  </si>
  <si>
    <t>WorkTourModeCoefficients_SACOG-v1.5.F12</t>
  </si>
  <si>
    <t>carsLessThanWorkersFlag</t>
  </si>
  <si>
    <t>Park and Ride</t>
  </si>
  <si>
    <t>originParcel.MixedUse2Index1()</t>
  </si>
  <si>
    <t>destinationParkingCost * tour.CostCoefficient / Global.Configuration.Coefficients_HOV3CostDivisor_Work</t>
  </si>
  <si>
    <t>pathTypeModel.PathDistance.AlmostEquals(0) ? 0 : Math.Log(pathTypeModel.PathDistance)</t>
  </si>
  <si>
    <t>destinationParkingCost * tour.CostCoefficient / Global.Configuration.Coefficients_HOV2CostDivisor_Work</t>
  </si>
  <si>
    <t>(destinationParkingCost) * tour.CostCoefficient</t>
  </si>
  <si>
    <t>sr-hhnwa</t>
  </si>
  <si>
    <t>sr-carsltw</t>
  </si>
  <si>
    <t>inc0to25k</t>
  </si>
  <si>
    <t>tr-shop</t>
  </si>
  <si>
    <t>sr-shop</t>
  </si>
  <si>
    <t>sr-meal</t>
  </si>
  <si>
    <t>sr-socrec</t>
  </si>
  <si>
    <t>bi-socrec</t>
  </si>
  <si>
    <t>bi-ohhddn</t>
  </si>
  <si>
    <t>wk-meal</t>
  </si>
  <si>
    <t>wk-socrec</t>
  </si>
  <si>
    <t>wk-ohhddn</t>
  </si>
  <si>
    <t>wk-dempdn</t>
  </si>
  <si>
    <t>OtherHomeBasedTourModeCoefficients_SACOG-v1.5.F12</t>
  </si>
  <si>
    <t>shoppingTourFlag</t>
  </si>
  <si>
    <t>destinationParkingCost * tour.CostCoefficient / ChoiceModelUtility.CPFACT3</t>
  </si>
  <si>
    <t>nonworkingAdults + retiredAdults</t>
  </si>
  <si>
    <t>mealTourFlag</t>
  </si>
  <si>
    <t>socialOrRecreationTourFlag</t>
  </si>
  <si>
    <t>originParcel.HouseholdDensity1()</t>
  </si>
  <si>
    <t>destinationParcel.HouseholdDensity1()</t>
  </si>
  <si>
    <t>generalizedTime * tour.TimeCoefficient</t>
  </si>
  <si>
    <t>Escort</t>
  </si>
  <si>
    <t>Other</t>
  </si>
  <si>
    <t>da-inc2550</t>
  </si>
  <si>
    <t>da-dtowork</t>
  </si>
  <si>
    <t>da-stowork</t>
  </si>
  <si>
    <t>bi-btowork</t>
  </si>
  <si>
    <t>wk-wtowork</t>
  </si>
  <si>
    <t>sr-dtowork</t>
  </si>
  <si>
    <t>sr-stowork</t>
  </si>
  <si>
    <t>WorkBasedSubtourModeCoefficients_SACOG-v1.5.F12</t>
  </si>
  <si>
    <t>destinationParkingCost * subtour.CostCoefficient / ChoiceModelUtility.CPFACT3</t>
  </si>
  <si>
    <t>sovTourFlag</t>
  </si>
  <si>
    <t>hov2TourFlag</t>
  </si>
  <si>
    <t>destinationParkingCost * subtour.CostCoefficient / ChoiceModelUtility.CPFACT2</t>
  </si>
  <si>
    <t>destinationParkingCost * subtour.CostCoefficient</t>
  </si>
  <si>
    <t>bikeTourFlag</t>
  </si>
  <si>
    <t>walkTourFlag</t>
  </si>
  <si>
    <t>generalizedTimeLogsum * subtour.TimeCoefficient</t>
  </si>
  <si>
    <t>Coeff Adjustment</t>
  </si>
  <si>
    <t>Old Coeff</t>
  </si>
  <si>
    <t>New Coeff</t>
  </si>
  <si>
    <t>Instructions:</t>
  </si>
  <si>
    <t>By: nagendra.dhakar@rsginc.com</t>
  </si>
  <si>
    <t>Select all(ctrl+A)</t>
  </si>
  <si>
    <t>Paste in cell A8</t>
  </si>
  <si>
    <t>Go to "Data" --&gt;Text to Columns - Select "Delimited" ---&gt; "Space" ---&gt; Finish</t>
  </si>
  <si>
    <t>Work</t>
  </si>
  <si>
    <t>tour</t>
  </si>
  <si>
    <t>mode</t>
  </si>
  <si>
    <t>choice</t>
  </si>
  <si>
    <t>Created</t>
  </si>
  <si>
    <t>by</t>
  </si>
  <si>
    <t>ALOGIT</t>
  </si>
  <si>
    <t>version</t>
  </si>
  <si>
    <t>on</t>
  </si>
  <si>
    <t>END</t>
  </si>
  <si>
    <t>School</t>
  </si>
  <si>
    <t>HB</t>
  </si>
  <si>
    <t>work-based</t>
  </si>
  <si>
    <t>subtour</t>
  </si>
  <si>
    <t>Old</t>
  </si>
  <si>
    <t>New</t>
  </si>
  <si>
    <t>Coeff Index</t>
  </si>
  <si>
    <t>UltraEdit Instructions: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</si>
  <si>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</si>
  <si>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</si>
  <si>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</si>
  <si>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</si>
  <si>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</si>
  <si>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</si>
  <si>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Paste (Ctrl-v)</t>
  </si>
  <si>
    <t>Copy (Ctrl-c) cells AI3:AI49</t>
  </si>
  <si>
    <t>Choose column mode and select 4th columns from line 4 to line 50</t>
  </si>
  <si>
    <t>Hold Alt and using mouse select the 4th column from line line 4 to line 50</t>
  </si>
  <si>
    <t>cars &lt; adults</t>
  </si>
  <si>
    <t>cars &gt;= adults</t>
  </si>
  <si>
    <t>cars &gt;= workers</t>
  </si>
  <si>
    <t>cars &lt; workers</t>
  </si>
  <si>
    <t>Table X. Observed Tour Modes All Purposes: Survey</t>
  </si>
  <si>
    <t>nocars</t>
  </si>
  <si>
    <t>constant</t>
  </si>
  <si>
    <t>41, 36</t>
  </si>
  <si>
    <t>42, 37</t>
  </si>
  <si>
    <t>Calibration coefficients for work purpose</t>
  </si>
  <si>
    <t>Ratio (Observed/Estimated)</t>
  </si>
  <si>
    <t>Frequency</t>
  </si>
  <si>
    <t>Damp</t>
  </si>
  <si>
    <t>s3-nocars</t>
  </si>
  <si>
    <t>s3-carsltd</t>
  </si>
  <si>
    <t>bi-nocars</t>
  </si>
  <si>
    <t>bi-carsltd</t>
  </si>
  <si>
    <t>wk-const</t>
  </si>
  <si>
    <t>wk-nocars</t>
  </si>
  <si>
    <t>wk-carsltd</t>
  </si>
  <si>
    <t>Share (Observed)</t>
  </si>
  <si>
    <t>Share (Estimated)</t>
  </si>
  <si>
    <t>LN(Ratio)</t>
  </si>
  <si>
    <t>Coeff</t>
  </si>
  <si>
    <t>Coeff Index (from the above table)</t>
  </si>
  <si>
    <t>Note: The marked SR2 ratios are for combined sr2 and sr3</t>
  </si>
  <si>
    <t>Note: SR3 coeff are calculated by deducting SR2 (=SR2+SR3) coeffi</t>
  </si>
  <si>
    <t>sb-nocars</t>
  </si>
  <si>
    <t>sb-carsltd</t>
  </si>
  <si>
    <t>43, 37</t>
  </si>
  <si>
    <t>s3-carsltw</t>
  </si>
  <si>
    <t>Calibration coefficients for school tour purpose</t>
  </si>
  <si>
    <t>Calibration coefficients for escort tour purpose</t>
  </si>
  <si>
    <t>Calibration coefficients for other tour purpose</t>
  </si>
  <si>
    <t>Open "OtherHomeBasedTourModeCoefficients_SACOG-v1.5.F12" in UltraEdit</t>
  </si>
  <si>
    <t>Open "OtherHomeBasedTourModeCoefficients_SACOG-v1.5.F12"</t>
  </si>
  <si>
    <t>Open "OtherHomeBasedTourModeCoefficients_SACOG-v1.5.F12" ini Notepad+</t>
  </si>
  <si>
    <t>Open "EscortTourModeCoefficients_SACOG-v1.5.F12" in UltraEdit</t>
  </si>
  <si>
    <t>Open "EscortTourModeCoefficients_SACOG-v1.5.F12"</t>
  </si>
  <si>
    <t>Open "EscortTourModeCoefficients_SACOG-v1.5.F12" ini Notepad+</t>
  </si>
  <si>
    <t>Open "SchoolTourModeCoefficients_SACOG-v1.5.F12" ini Notepad+</t>
  </si>
  <si>
    <t>Open "SchoolTourModeCoefficients_SACOG-v1.5.F12" in UltraEdit</t>
  </si>
  <si>
    <t>Open "SchoolTourModeCoefficients_SACOG-v1.5.F12"</t>
  </si>
  <si>
    <t>Open "WorkTourModeCoefficients_SACOG-v1.5.F12" ini Notepad+</t>
  </si>
  <si>
    <t>Open "WorkTourModeCoefficients_SACOG-v1.5.F12" in UltraEdit</t>
  </si>
  <si>
    <t>Open "WorkTourModeCoefficients_SACOG-v1.5.F12"</t>
  </si>
  <si>
    <t>Survey (adjusted for transit)</t>
  </si>
  <si>
    <t>Open "WorkBasedSubtourModeCoefficients_SACOG-v1.5.F12" in Notepad+</t>
  </si>
  <si>
    <t>Open "WorkBasedSubtourModeCoefficients_SACOG-v1.5.F12" in UltraEdit</t>
  </si>
  <si>
    <t>Open "WorkBasedSubtourModeCoefficients_SACOG-v1.5.F12"</t>
  </si>
  <si>
    <t>WorkBased</t>
  </si>
  <si>
    <t>ABM</t>
  </si>
  <si>
    <t>Count</t>
  </si>
  <si>
    <t>Share</t>
  </si>
  <si>
    <t>ABM (share) -Survey (share)</t>
  </si>
  <si>
    <t>TNC</t>
  </si>
  <si>
    <t>Dec</t>
  </si>
  <si>
    <t>tnc-const</t>
  </si>
  <si>
    <t>tnc-nocars</t>
  </si>
  <si>
    <t>tnc-carltd</t>
  </si>
  <si>
    <t>tnc-und35</t>
  </si>
  <si>
    <t>tnc-a65up</t>
  </si>
  <si>
    <t>tnc-odens</t>
  </si>
  <si>
    <t>tnc-ddens</t>
  </si>
  <si>
    <t>tnc-incu25</t>
  </si>
  <si>
    <t>tnc-inc100</t>
  </si>
  <si>
    <t>ex-hhidx</t>
  </si>
  <si>
    <t>bi-worst</t>
  </si>
  <si>
    <t>bi-ohhden</t>
  </si>
  <si>
    <t>bi-ointdn</t>
  </si>
  <si>
    <t>bi-dintdn</t>
  </si>
  <si>
    <t>wk-ohhden</t>
  </si>
  <si>
    <t>wk-ointdn</t>
  </si>
  <si>
    <t>wk-dintdn</t>
  </si>
  <si>
    <t>wk-odmixed</t>
  </si>
  <si>
    <t>020:28:47</t>
  </si>
  <si>
    <t>tnc-ag1835</t>
  </si>
  <si>
    <t>tnc-ageu18</t>
  </si>
  <si>
    <t>020:33:48</t>
  </si>
  <si>
    <t>sov-const</t>
  </si>
  <si>
    <t>019:54:43</t>
  </si>
  <si>
    <t>tnc-mealtr</t>
  </si>
  <si>
    <t>tnc-shoptr</t>
  </si>
  <si>
    <t>tnc-escotr</t>
  </si>
  <si>
    <t>wk-omixed</t>
  </si>
  <si>
    <t>020:01:26</t>
  </si>
  <si>
    <t>tnc-sovtow</t>
  </si>
  <si>
    <t>tnc-wbktow</t>
  </si>
  <si>
    <t>tnc-tnctow</t>
  </si>
  <si>
    <t>020:02:54</t>
  </si>
  <si>
    <t>Refer to "Transit Target Adjustment 10172018.xlsx"</t>
  </si>
  <si>
    <t>Survey (CHTS - SJV) - updated on 10/17/2018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</si>
</sst>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%"/>
    <numFmt numFmtId="165" formatCode="mm/dd/yyyy\ hh:mm:ss"/>
    <numFmt numFmtId="166" formatCode="0.000000"/>
    <numFmt numFmtId="167" formatCode="0.0000000000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Verdana"/>
      <family val="2"/>
    </font>
    <font>
      <b/>
      <u/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</borders>
  <cellStyleXfs count="9">
    <xf borderId="0" fillId="0" fontId="0" numFmtId="0"/>
    <xf borderId="0" fillId="0" fontId="2" numFmtId="0">
      <alignment wrapText="1"/>
    </xf>
    <xf borderId="0" fillId="5" fontId="4" numFmtId="0">
      <alignment wrapText="1"/>
    </xf>
    <xf borderId="0" fillId="0" fontId="4" numFmtId="165">
      <alignment wrapText="1"/>
    </xf>
    <xf borderId="0" fillId="0" fontId="4" numFmtId="0">
      <alignment wrapText="1"/>
    </xf>
    <xf borderId="0" fillId="0" fontId="4" numFmtId="0">
      <alignment wrapText="1"/>
    </xf>
    <xf borderId="0" fillId="0" fontId="4" numFmtId="0">
      <alignment wrapText="1"/>
    </xf>
    <xf borderId="0" fillId="0" fontId="4" numFmtId="165">
      <alignment wrapText="1"/>
    </xf>
    <xf applyAlignment="0" applyBorder="0" applyFill="0" applyFont="0" applyProtection="0" borderId="0" fillId="0" fontId="4" numFmtId="9"/>
  </cellStyleXfs>
  <cellXfs count="124">
    <xf borderId="0" fillId="0" fontId="0" numFmtId="0" xfId="0"/>
    <xf applyBorder="1" applyFont="1" borderId="1" fillId="0" fontId="1" numFmtId="0" xfId="0"/>
    <xf applyBorder="1" borderId="2" fillId="0" fontId="0" numFmtId="0" xfId="0"/>
    <xf applyBorder="1" borderId="1" fillId="0" fontId="0" numFmtId="0" xfId="0"/>
    <xf applyAlignment="1" applyBorder="1" borderId="2" fillId="0" fontId="0" numFmtId="0" xfId="0">
      <alignment horizontal="center"/>
    </xf>
    <xf applyFont="1" borderId="0" fillId="0" fontId="1" numFmtId="0" xfId="0"/>
    <xf applyBorder="1" borderId="3" fillId="0" fontId="0" numFmtId="0" xfId="0"/>
    <xf applyAlignment="1" applyBorder="1" borderId="3" fillId="0" fontId="0" numFmtId="0" xfId="0">
      <alignment horizontal="center"/>
    </xf>
    <xf applyAlignment="1" borderId="0" fillId="0" fontId="2" numFmtId="0" xfId="1"/>
    <xf applyNumberFormat="1" borderId="0" fillId="0" fontId="0" numFmtId="3" xfId="0"/>
    <xf applyBorder="1" applyNumberFormat="1" borderId="1" fillId="0" fontId="0" numFmtId="3" xfId="0"/>
    <xf applyAlignment="1" borderId="0" fillId="0" fontId="0" numFmtId="0" xfId="0">
      <alignment horizontal="center"/>
    </xf>
    <xf applyBorder="1" applyNumberFormat="1" borderId="3" fillId="0" fontId="0" numFmtId="3" xfId="0"/>
    <xf applyNumberFormat="1" borderId="0" fillId="0" fontId="0" numFmtId="164" xfId="0"/>
    <xf applyBorder="1" applyNumberFormat="1" borderId="3" fillId="0" fontId="0" numFmtId="164" xfId="0"/>
    <xf applyBorder="1" applyFill="1" applyFont="1" borderId="1" fillId="2" fontId="1" numFmtId="0" xfId="0"/>
    <xf applyBorder="1" applyFill="1" borderId="1" fillId="2" fontId="0" numFmtId="0" xfId="0"/>
    <xf applyFill="1" applyNumberFormat="1" borderId="0" fillId="2" fontId="0" numFmtId="3" xfId="0"/>
    <xf applyBorder="1" applyFill="1" applyFont="1" borderId="2" fillId="3" fontId="3" numFmtId="0" xfId="0"/>
    <xf applyAlignment="1" applyBorder="1" applyFill="1" applyFont="1" borderId="2" fillId="3" fontId="3" numFmtId="0" xfId="0">
      <alignment horizontal="center"/>
    </xf>
    <xf applyAlignment="1" applyBorder="1" applyFill="1" applyFont="1" borderId="3" fillId="3" fontId="3" numFmtId="0" xfId="0">
      <alignment horizontal="center"/>
    </xf>
    <xf applyAlignment="1" borderId="0" fillId="0" fontId="0" numFmtId="0" xfId="0">
      <alignment horizontal="left"/>
    </xf>
    <xf applyNumberFormat="1" borderId="0" fillId="0" fontId="0" numFmtId="11" xfId="0"/>
    <xf applyFont="1" borderId="0" fillId="0" fontId="6" numFmtId="0" xfId="0"/>
    <xf applyFont="1" borderId="0" fillId="0" fontId="5" numFmtId="0" xfId="0"/>
    <xf applyBorder="1" borderId="5" fillId="0" fontId="0" numFmtId="0" xfId="0"/>
    <xf applyNumberFormat="1" borderId="0" fillId="0" fontId="0" numFmtId="9" xfId="0"/>
    <xf applyNumberFormat="1" borderId="0" fillId="0" fontId="0" numFmtId="21" xfId="0"/>
    <xf applyAlignment="1" applyFont="1" borderId="0" fillId="0" fontId="1" numFmtId="0" xfId="0">
      <alignment horizontal="right"/>
    </xf>
    <xf applyFill="1" borderId="0" fillId="6" fontId="0" numFmtId="0" xfId="0"/>
    <xf applyNumberFormat="1" borderId="0" fillId="0" fontId="0" numFmtId="166" xfId="0"/>
    <xf applyFill="1" applyFont="1" borderId="0" fillId="6" fontId="6" numFmtId="0" xfId="0"/>
    <xf applyFont="1" borderId="0" fillId="0" fontId="7" numFmtId="0" xfId="0"/>
    <xf applyFont="1" borderId="0" fillId="0" fontId="8" numFmtId="0" xfId="0"/>
    <xf applyFont="1" borderId="0" fillId="0" fontId="9" numFmtId="0" xfId="0"/>
    <xf applyFont="1" borderId="0" fillId="0" fontId="0" numFmtId="9" xfId="8"/>
    <xf applyAlignment="1" borderId="0" fillId="0" fontId="0" numFmtId="0" xfId="0">
      <alignment horizontal="right"/>
    </xf>
    <xf applyFont="1" applyNumberFormat="1" borderId="0" fillId="0" fontId="1" numFmtId="3" xfId="0"/>
    <xf applyBorder="1" applyFont="1" borderId="2" fillId="0" fontId="1" numFmtId="0" xfId="0"/>
    <xf applyAlignment="1" applyBorder="1" applyFont="1" borderId="2" fillId="0" fontId="1" numFmtId="0" xfId="0">
      <alignment horizontal="right"/>
    </xf>
    <xf applyAlignment="1" applyBorder="1" applyNumberFormat="1" borderId="5" fillId="0" fontId="0" numFmtId="2" xfId="0">
      <alignment horizontal="center"/>
    </xf>
    <xf applyAlignment="1" applyNumberFormat="1" borderId="0" fillId="0" fontId="0" numFmtId="2" xfId="0">
      <alignment horizontal="center"/>
    </xf>
    <xf applyAlignment="1" applyBorder="1" applyNumberFormat="1" borderId="3" fillId="0" fontId="0" numFmtId="2" xfId="0">
      <alignment horizontal="center"/>
    </xf>
    <xf applyBorder="1" applyFont="1" applyNumberFormat="1" borderId="4" fillId="0" fontId="1" numFmtId="3" xfId="0"/>
    <xf applyBorder="1" applyFont="1" borderId="4" fillId="0" fontId="1" numFmtId="9" xfId="8"/>
    <xf applyBorder="1" applyFont="1" applyNumberFormat="1" borderId="4" fillId="0" fontId="1" numFmtId="9" xfId="0"/>
    <xf applyAlignment="1" borderId="0" fillId="0" fontId="0" numFmtId="0" xfId="0">
      <alignment horizontal="center" vertical="center"/>
    </xf>
    <xf applyAlignment="1" applyBorder="1" applyNumberFormat="1" borderId="5" fillId="0" fontId="0" numFmtId="166" xfId="0">
      <alignment horizontal="right"/>
    </xf>
    <xf applyAlignment="1" applyNumberFormat="1" borderId="0" fillId="0" fontId="0" numFmtId="166" xfId="0">
      <alignment horizontal="right"/>
    </xf>
    <xf applyAlignment="1" applyBorder="1" applyNumberFormat="1" borderId="3" fillId="0" fontId="0" numFmtId="166" xfId="0">
      <alignment horizontal="right"/>
    </xf>
    <xf applyAlignment="1" applyBorder="1" borderId="5" fillId="0" fontId="0" numFmtId="0" xfId="0">
      <alignment horizontal="center"/>
    </xf>
    <xf applyAlignment="1" applyBorder="1" applyNumberFormat="1" borderId="5" fillId="0" fontId="0" numFmtId="166" xfId="0">
      <alignment horizontal="center"/>
    </xf>
    <xf applyAlignment="1" applyNumberFormat="1" borderId="0" fillId="0" fontId="0" numFmtId="166" xfId="0">
      <alignment horizontal="center"/>
    </xf>
    <xf applyAlignment="1" applyBorder="1" applyNumberFormat="1" borderId="3" fillId="0" fontId="0" numFmtId="166" xfId="0">
      <alignment horizontal="center"/>
    </xf>
    <xf applyFill="1" borderId="0" fillId="8" fontId="0" numFmtId="0" xfId="0"/>
    <xf applyBorder="1" applyNumberFormat="1" borderId="3" fillId="0" fontId="0" numFmtId="166" xfId="0"/>
    <xf applyNumberFormat="1" borderId="0" fillId="0" fontId="0" numFmtId="167" xfId="0"/>
    <xf applyFill="1" applyNumberFormat="1" borderId="0" fillId="7" fontId="0" numFmtId="167" xfId="0"/>
    <xf applyFill="1" applyNumberFormat="1" borderId="0" fillId="6" fontId="0" numFmtId="167" xfId="0"/>
    <xf applyAlignment="1" applyBorder="1" applyNumberFormat="1" borderId="6" fillId="0" fontId="0" numFmtId="2" xfId="0">
      <alignment horizontal="center"/>
    </xf>
    <xf applyAlignment="1" applyBorder="1" applyNumberFormat="1" borderId="7" fillId="0" fontId="0" numFmtId="2" xfId="0">
      <alignment horizontal="center"/>
    </xf>
    <xf applyAlignment="1" applyBorder="1" applyNumberFormat="1" borderId="6" fillId="0" fontId="0" numFmtId="166" xfId="0">
      <alignment horizontal="right"/>
    </xf>
    <xf applyAlignment="1" applyBorder="1" applyNumberFormat="1" borderId="8" fillId="0" fontId="0" numFmtId="2" xfId="0">
      <alignment horizontal="center"/>
    </xf>
    <xf applyAlignment="1" applyBorder="1" applyNumberFormat="1" borderId="9" fillId="0" fontId="0" numFmtId="166" xfId="0">
      <alignment horizontal="right"/>
    </xf>
    <xf applyAlignment="1" applyBorder="1" applyFont="1" borderId="10" fillId="0" fontId="1" numFmtId="0" xfId="0">
      <alignment horizontal="right"/>
    </xf>
    <xf applyFill="1" borderId="0" fillId="2" fontId="0" numFmtId="0" xfId="0"/>
    <xf applyBorder="1" applyFill="1" applyFont="1" borderId="3" fillId="2" fontId="1" numFmtId="0" xfId="0"/>
    <xf applyAlignment="1" applyBorder="1" applyFill="1" applyFont="1" borderId="3" fillId="2" fontId="1" numFmtId="0" xfId="0">
      <alignment horizontal="right"/>
    </xf>
    <xf applyFill="1" applyFont="1" applyNumberFormat="1" borderId="0" fillId="2" fontId="1" numFmtId="3" xfId="0"/>
    <xf applyBorder="1" applyFill="1" applyNumberFormat="1" borderId="3" fillId="2" fontId="0" numFmtId="3" xfId="0"/>
    <xf applyBorder="1" applyFill="1" applyFont="1" applyNumberFormat="1" borderId="3" fillId="2" fontId="1" numFmtId="3" xfId="0"/>
    <xf applyBorder="1" applyFill="1" applyFont="1" borderId="4" fillId="2" fontId="1" numFmtId="0" xfId="0"/>
    <xf applyBorder="1" applyFill="1" applyFont="1" applyNumberFormat="1" borderId="4" fillId="2" fontId="1" numFmtId="3" xfId="0"/>
    <xf applyFill="1" applyFont="1" borderId="0" fillId="2" fontId="0" numFmtId="9" xfId="8"/>
    <xf applyFill="1" applyFont="1" applyNumberFormat="1" borderId="0" fillId="2" fontId="1" numFmtId="164" xfId="8"/>
    <xf applyBorder="1" applyFill="1" applyFont="1" borderId="3" fillId="2" fontId="0" numFmtId="9" xfId="8"/>
    <xf applyBorder="1" applyFill="1" applyFont="1" applyNumberFormat="1" borderId="3" fillId="2" fontId="1" numFmtId="164" xfId="8"/>
    <xf applyBorder="1" applyFill="1" applyFont="1" borderId="4" fillId="2" fontId="1" numFmtId="9" xfId="8"/>
    <xf applyFill="1" applyFont="1" applyNumberFormat="1" borderId="0" fillId="2" fontId="0" numFmtId="164" xfId="8"/>
    <xf applyBorder="1" applyFill="1" applyFont="1" applyNumberFormat="1" borderId="3" fillId="2" fontId="0" numFmtId="164" xfId="8"/>
    <xf applyBorder="1" applyFill="1" applyFont="1" applyNumberFormat="1" borderId="4" fillId="2" fontId="1" numFmtId="164" xfId="8"/>
    <xf applyFont="1" applyNumberFormat="1" borderId="0" fillId="0" fontId="0" numFmtId="164" xfId="8"/>
    <xf applyBorder="1" applyFill="1" applyNumberFormat="1" borderId="5" fillId="2" fontId="0" numFmtId="3" xfId="0"/>
    <xf applyBorder="1" applyFill="1" applyNumberFormat="1" borderId="0" fillId="2" fontId="0" numFmtId="3" xfId="0"/>
    <xf applyBorder="1" applyNumberFormat="1" borderId="0" fillId="0" fontId="0" numFmtId="3" xfId="0"/>
    <xf applyBorder="1" applyFont="1" applyNumberFormat="1" borderId="1" fillId="0" fontId="1" numFmtId="3" xfId="0"/>
    <xf applyBorder="1" applyNumberFormat="1" borderId="0" fillId="0" fontId="0" numFmtId="164" xfId="0"/>
    <xf applyBorder="1" applyFill="1" applyNumberFormat="1" borderId="0" fillId="4" fontId="0" numFmtId="3" xfId="0"/>
    <xf applyBorder="1" applyFill="1" applyNumberFormat="1" borderId="0" fillId="4" fontId="0" numFmtId="164" xfId="0"/>
    <xf applyBorder="1" applyFont="1" applyNumberFormat="1" borderId="1" fillId="0" fontId="1" numFmtId="164" xfId="0"/>
    <xf applyBorder="1" applyFill="1" applyNumberFormat="1" borderId="5" fillId="2" fontId="0" numFmtId="164" xfId="0"/>
    <xf applyBorder="1" applyFill="1" applyNumberFormat="1" borderId="0" fillId="2" fontId="0" numFmtId="164" xfId="0"/>
    <xf applyBorder="1" applyFill="1" applyNumberFormat="1" borderId="3" fillId="2" fontId="0" numFmtId="164" xfId="0"/>
    <xf applyBorder="1" applyFill="1" applyFont="1" applyNumberFormat="1" borderId="1" fillId="2" fontId="1" numFmtId="3" xfId="0"/>
    <xf applyBorder="1" applyFill="1" applyFont="1" applyNumberFormat="1" borderId="1" fillId="2" fontId="1" numFmtId="164" xfId="0"/>
    <xf applyBorder="1" borderId="0" fillId="0" fontId="0" numFmtId="0" xfId="0"/>
    <xf applyBorder="1" applyFill="1" borderId="0" fillId="0" fontId="0" numFmtId="0" xfId="0"/>
    <xf applyBorder="1" applyFont="1" borderId="4" fillId="0" fontId="1" numFmtId="0" xfId="0"/>
    <xf applyBorder="1" applyFont="1" applyNumberFormat="1" borderId="4" fillId="0" fontId="1" numFmtId="164" xfId="0"/>
    <xf applyBorder="1" applyFill="1" borderId="0" fillId="2" fontId="0" numFmtId="0" xfId="0"/>
    <xf applyBorder="1" applyFill="1" applyFont="1" applyNumberFormat="1" borderId="0" fillId="2" fontId="1" numFmtId="3" xfId="0"/>
    <xf applyBorder="1" applyFill="1" applyFont="1" borderId="0" fillId="2" fontId="0" numFmtId="9" xfId="8"/>
    <xf applyBorder="1" applyFill="1" applyFont="1" applyNumberFormat="1" borderId="0" fillId="2" fontId="1" numFmtId="164" xfId="8"/>
    <xf applyBorder="1" applyFill="1" applyFont="1" applyNumberFormat="1" borderId="0" fillId="2" fontId="0" numFmtId="164" xfId="8"/>
    <xf applyBorder="1" applyNumberFormat="1" borderId="1" fillId="0" fontId="0" numFmtId="164" xfId="0"/>
    <xf applyBorder="1" applyFill="1" applyNumberFormat="1" borderId="0" fillId="0" fontId="0" numFmtId="3" xfId="0"/>
    <xf applyBorder="1" applyFont="1" borderId="0" fillId="0" fontId="0" numFmtId="9" xfId="8"/>
    <xf applyBorder="1" applyNumberFormat="1" borderId="0" fillId="0" fontId="0" numFmtId="9" xfId="0"/>
    <xf applyAlignment="1" applyBorder="1" borderId="0" fillId="0" fontId="0" numFmtId="0" xfId="0">
      <alignment horizontal="center"/>
    </xf>
    <xf applyBorder="1" applyFill="1" applyNumberFormat="1" borderId="3" fillId="0" fontId="0" numFmtId="3" xfId="0"/>
    <xf applyAlignment="1" applyBorder="1" applyNumberFormat="1" borderId="0" fillId="0" fontId="0" numFmtId="2" xfId="0">
      <alignment horizontal="center"/>
    </xf>
    <xf applyAlignment="1" applyBorder="1" applyNumberFormat="1" borderId="0" fillId="0" fontId="0" numFmtId="166" xfId="0">
      <alignment horizontal="center"/>
    </xf>
    <xf applyAlignment="1" applyBorder="1" applyNumberFormat="1" borderId="0" fillId="0" fontId="0" numFmtId="166" xfId="0">
      <alignment horizontal="right"/>
    </xf>
    <xf applyBorder="1" applyNumberFormat="1" borderId="0" fillId="0" fontId="0" numFmtId="166" xfId="0"/>
    <xf applyBorder="1" applyFill="1" borderId="3" fillId="0" fontId="0" numFmtId="0" xfId="0"/>
    <xf applyBorder="1" applyFont="1" borderId="10" fillId="0" fontId="1" numFmtId="0" xfId="0"/>
    <xf applyBorder="1" applyFill="1" applyNumberFormat="1" borderId="0" fillId="9" fontId="0" numFmtId="3" xfId="0"/>
    <xf applyFill="1" applyNumberFormat="1" borderId="0" fillId="10" fontId="0" numFmtId="3" xfId="0"/>
    <xf applyBorder="1" applyFill="1" applyNumberFormat="1" borderId="0" fillId="10" fontId="0" numFmtId="3" xfId="0"/>
    <xf applyAlignment="1" applyBorder="1" applyFill="1" applyFont="1" borderId="0" fillId="2" fontId="1" numFmtId="0" xfId="0">
      <alignment horizontal="right"/>
    </xf>
    <xf applyAlignment="1" applyFill="1" applyFont="1" borderId="0" fillId="2" fontId="1" numFmtId="0" xfId="0">
      <alignment horizontal="center"/>
    </xf>
    <xf applyAlignment="1" borderId="0" fillId="0" fontId="0" numFmtId="0" xfId="0">
      <alignment horizontal="center"/>
    </xf>
    <xf applyAlignment="1" applyFont="1" borderId="0" fillId="0" fontId="6" numFmtId="0" xfId="0">
      <alignment horizontal="center"/>
    </xf>
    <xf applyAlignment="1" applyFont="1" applyNumberFormat="1" borderId="0" fillId="0" fontId="6" numFmtId="3" xfId="0">
      <alignment horizontal="center"/>
    </xf>
  </cellXfs>
  <cellStyles count="9">
    <cellStyle builtinId="0" name="Normal" xfId="0"/>
    <cellStyle builtinId="5" name="Percent" xfId="8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22"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    <Relationship Id="rId1" Target="worksheets/sheet1.xml" Type="http://schemas.openxmlformats.org/officeDocument/2006/relationships/worksheet"/>
    <Relationship Id="rId10" Target="worksheets/sheet10.xml" Type="http://schemas.openxmlformats.org/officeDocument/2006/relationships/worksheet"/>
    <Relationship Id="rId11" Target="worksheets/sheet11.xml" Type="http://schemas.openxmlformats.org/officeDocument/2006/relationships/worksheet"/>
    <Relationship Id="rId12" Target="worksheets/sheet12.xml" Type="http://schemas.openxmlformats.org/officeDocument/2006/relationships/worksheet"/>
    <Relationship Id="rId13" Target="worksheets/sheet13.xml" Type="http://schemas.openxmlformats.org/officeDocument/2006/relationships/worksheet"/>
    <Relationship Id="rId14" Target="worksheets/sheet14.xml" Type="http://schemas.openxmlformats.org/officeDocument/2006/relationships/worksheet"/>
    <Relationship Id="rId15" Target="worksheets/sheet15.xml" Type="http://schemas.openxmlformats.org/officeDocument/2006/relationships/worksheet"/>
    <Relationship Id="rId16" Target="worksheets/sheet16.xml" Type="http://schemas.openxmlformats.org/officeDocument/2006/relationships/worksheet"/>
    <Relationship Id="rId17" Target="worksheets/sheet17.xml" Type="http://schemas.openxmlformats.org/officeDocument/2006/relationships/worksheet"/>
    <Relationship Id="rId18" Target="worksheets/sheet18.xml" Type="http://schemas.openxmlformats.org/officeDocument/2006/relationships/worksheet"/>
    <Relationship Id="rId19" Target="worksheets/sheet19.xml" Type="http://schemas.openxmlformats.org/officeDocument/2006/relationships/worksheet"/>
    <Relationship Id="rId2" Target="worksheets/sheet2.xml" Type="http://schemas.openxmlformats.org/officeDocument/2006/relationships/worksheet"/>
    <Relationship Id="rId20" Target="worksheets/sheet20.xml" Type="http://schemas.openxmlformats.org/officeDocument/2006/relationships/worksheet"/>
    <Relationship Id="rId21" Target="worksheets/sheet21.xml" Type="http://schemas.openxmlformats.org/officeDocument/2006/relationships/worksheet"/>
    <Relationship Id="rId22" Target="theme/theme1.xml" Type="http://schemas.openxmlformats.org/officeDocument/2006/relationships/theme"/>
    <Relationship Id="rId23" Target="styles.xml" Type="http://schemas.openxmlformats.org/officeDocument/2006/relationships/styles"/>
    <Relationship Id="rId24" Target="sharedStrings.xml" Type="http://schemas.openxmlformats.org/officeDocument/2006/relationships/sharedStrings"/>
    <Relationship Id="rId25" Target="calcChain.xml" Type="http://schemas.openxmlformats.org/officeDocument/2006/relationships/calcChain"/>
    <Relationship Id="rId26" Target="vbaProject.bin" Type="http://schemas.microsoft.com/office/2006/relationships/vbaProject"/>
    <Relationship Id="rId3" Target="worksheets/sheet3.xml" Type="http://schemas.openxmlformats.org/officeDocument/2006/relationships/worksheet"/>
    <Relationship Id="rId4" Target="worksheets/sheet4.xml" Type="http://schemas.openxmlformats.org/officeDocument/2006/relationships/worksheet"/>
    <Relationship Id="rId5" Target="worksheets/sheet5.xml" Type="http://schemas.openxmlformats.org/officeDocument/2006/relationships/worksheet"/>
    <Relationship Id="rId6" Target="worksheets/sheet6.xml" Type="http://schemas.openxmlformats.org/officeDocument/2006/relationships/worksheet"/>
    <Relationship Id="rId7" Target="worksheets/sheet7.xml" Type="http://schemas.openxmlformats.org/officeDocument/2006/relationships/worksheet"/>
    <Relationship Id="rId8" Target="worksheets/sheet8.xml" Type="http://schemas.openxmlformats.org/officeDocument/2006/relationships/worksheet"/>
    <Relationship Id="rId9" Target="worksheets/sheet9.xml" Type="http://schemas.openxmlformats.org/officeDocument/2006/relationships/worksheet"/>
</Relationships>
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    <Relationship Id="rId1" Target="../printerSettings/printerSettings1.bin" Type="http://schemas.openxmlformats.org/officeDocument/2006/relationships/printerSettings"/>
</Relationships>

</file>

<file path=xl/worksheets/_rels/sheet2.xml.rels><?xml version="1.0" encoding="UTF-8" standalone="no"?>
<Relationships xmlns="http://schemas.openxmlformats.org/package/2006/relationships">
    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    <Relationship Id="rId1" Target="../printerSettings/printerSettings3.bin" Type="http://schemas.openxmlformats.org/officeDocument/2006/relationships/printerSettings"/>
</Relationships>

</file>

<file path=xl/worksheets/_rels/sheet4.xml.rels><?xml version="1.0" encoding="UTF-8" standalone="no"?>
<Relationships xmlns="http://schemas.openxmlformats.org/package/2006/relationships">
    <Relationship Id="rId1" Target="../printerSettings/printerSettings4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    <Relationship Id="rId1" Target="../printerSettings/printerSettings5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    <Relationship Id="rId1" Target="../printerSettings/printerSettings6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    <Relationship Id="rId1" Target="../printerSettings/printerSettings7.bin" Type="http://schemas.openxmlformats.org/officeDocument/2006/relationships/printerSettings"/>
</Relationships>

</file>

<file path=xl/worksheets/_rels/sheet8.xml.rels><?xml version="1.0" encoding="UTF-8" standalone="no"?>
<Relationships xmlns="http://schemas.openxmlformats.org/package/2006/relationships">
    <Relationship Id="rId1" Target="../printerSettings/printerSettings8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    <Relationship Id="rId1" Target="../printerSettings/printerSettings9.bin" Type="http://schemas.openxmlformats.org/officeDocument/2006/relationships/printerSettings"/>
</Relationships>

</file>

<file path=xl/worksheets/_rels/sheet17.xml.rels><?xml version="1.0" encoding="UTF-8" standalone="no"?>
<Relationships xmlns="http://schemas.openxmlformats.org/package/2006/relationships">
    <Relationship Id="rId1" Target="../printerSettings/printerSettings10.bin" Type="http://schemas.openxmlformats.org/officeDocument/2006/relationships/printerSettings"/>
</Relationships>

</file>

<file path=xl/worksheets/_rels/sheet18.xml.rels><?xml version="1.0" encoding="UTF-8" standalone="no"?>
<Relationships xmlns="http://schemas.openxmlformats.org/package/2006/relationships">
    <Relationship Id="rId1" Target="../printerSettings/printerSettings11.bin" Type="http://schemas.openxmlformats.org/officeDocument/2006/relationships/printerSettings"/>
</Relationships>

</file>

<file path=xl/worksheets/_rels/sheet19.xml.rels><?xml version="1.0" encoding="UTF-8" standalone="no"?>
<Relationships xmlns="http://schemas.openxmlformats.org/package/2006/relationships">
    <Relationship Id="rId1" Target="../printerSettings/printerSettings12.bin" Type="http://schemas.openxmlformats.org/officeDocument/2006/relationships/printerSettings"/>
</Relationships>

</file>

<file path=xl/worksheets/_rels/sheet20.xml.rels><?xml version="1.0" encoding="UTF-8" standalone="no"?>
<Relationships xmlns="http://schemas.openxmlformats.org/package/2006/relationships">
    <Relationship Id="rId1" Target="../printerSettings/printerSettings13.bin" Type="http://schemas.openxmlformats.org/officeDocument/2006/relationships/printerSettings"/>
</Relationships>

</file>

<file path=xl/worksheets/_rels/sheet21.xml.rels><?xml version="1.0" encoding="UTF-8" standalone="no"?>
<Relationships xmlns="http://schemas.openxmlformats.org/package/2006/relationships">
    <Relationship Id="rId1" Target="../printerSettings/printerSettings14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Z42"/>
  <sheetViews>
    <sheetView tabSelected="1" workbookViewId="0">
      <selection activeCell="X22" sqref="X22"/>
    </sheetView>
  </sheetViews>
  <sheetFormatPr defaultRowHeight="15" x14ac:dyDescent="0.25"/>
  <cols>
    <col min="1" max="2" customWidth="true" width="16.7109375" collapsed="true"/>
    <col min="4" max="5" customWidth="true" width="16.7109375" collapsed="true"/>
    <col min="8" max="8" bestFit="true" customWidth="true" width="14.140625" collapsed="true"/>
    <col min="13" max="13" bestFit="true" customWidth="true" width="11.0" collapsed="true"/>
    <col min="15" max="15" customWidth="true" width="6.28515625" collapsed="true"/>
    <col min="16" max="16" bestFit="true" customWidth="true" width="14.140625" collapsed="true"/>
    <col min="21" max="21" bestFit="true" customWidth="true" width="10.5703125" collapsed="true"/>
  </cols>
  <sheetData>
    <row r="1" spans="1:22" x14ac:dyDescent="0.25">
      <c r="H1" s="120" t="s">
        <v>338</v>
      </c>
      <c r="I1" s="120"/>
      <c r="J1" s="120"/>
      <c r="K1" s="120"/>
      <c r="L1" s="120"/>
      <c r="M1" s="120"/>
      <c r="N1" s="120"/>
      <c r="O1" s="65"/>
      <c r="P1" s="120" t="s">
        <v>298</v>
      </c>
      <c r="Q1" s="120"/>
      <c r="R1" s="120"/>
      <c r="S1" s="120"/>
      <c r="T1" s="120"/>
      <c r="U1" s="120"/>
      <c r="V1" s="120"/>
    </row>
    <row ht="15.75" r="2" spans="1:22" thickBot="1" x14ac:dyDescent="0.3">
      <c r="A2" s="1" t="s">
        <v>251</v>
      </c>
      <c r="B2" s="3"/>
      <c r="D2" s="1" t="s">
        <v>24</v>
      </c>
      <c r="E2" s="3"/>
      <c r="H2" s="15" t="s">
        <v>299</v>
      </c>
      <c r="I2" s="16"/>
      <c r="J2" s="16"/>
      <c r="K2" s="16"/>
      <c r="L2" s="16"/>
      <c r="M2" s="16"/>
      <c r="N2" s="16"/>
      <c r="O2" s="65"/>
      <c r="P2" s="15" t="str">
        <f>H2</f>
        <v>Count</v>
      </c>
      <c r="Q2" s="16"/>
      <c r="R2" s="16"/>
      <c r="S2" s="16"/>
      <c r="T2" s="16"/>
      <c r="U2" s="16"/>
      <c r="V2" s="16"/>
    </row>
    <row r="3" spans="1:22" x14ac:dyDescent="0.25">
      <c r="A3" s="2" t="s">
        <v>0</v>
      </c>
      <c r="B3" s="7" t="s">
        <v>19</v>
      </c>
      <c r="D3" s="2" t="s">
        <v>0</v>
      </c>
      <c r="E3" s="7" t="s">
        <v>19</v>
      </c>
      <c r="H3" s="66" t="str">
        <f>A3</f>
        <v>Mode</v>
      </c>
      <c r="I3" s="119" t="s">
        <v>219</v>
      </c>
      <c r="J3" s="119" t="s">
        <v>229</v>
      </c>
      <c r="K3" s="119" t="s">
        <v>193</v>
      </c>
      <c r="L3" s="119" t="s">
        <v>194</v>
      </c>
      <c r="M3" s="119" t="s">
        <v>297</v>
      </c>
      <c r="N3" s="67" t="s">
        <v>19</v>
      </c>
      <c r="O3" s="65"/>
      <c r="P3" s="66" t="str">
        <f>D3</f>
        <v>Mode</v>
      </c>
      <c r="Q3" s="67" t="str">
        <f>I3</f>
        <v>Work</v>
      </c>
      <c r="R3" s="67" t="str">
        <f ref="R3:U3" si="0" t="shared">J3</f>
        <v>School</v>
      </c>
      <c r="S3" s="67" t="str">
        <f si="0" t="shared"/>
        <v>Escort</v>
      </c>
      <c r="T3" s="67" t="str">
        <f si="0" t="shared"/>
        <v>Other</v>
      </c>
      <c r="U3" s="67" t="str">
        <f si="0" t="shared"/>
        <v>WorkBased</v>
      </c>
      <c r="V3" s="67" t="str">
        <f>N3</f>
        <v>Total</v>
      </c>
    </row>
    <row r="4" spans="1:22" x14ac:dyDescent="0.25">
      <c r="A4" s="9" t="s">
        <v>1</v>
      </c>
      <c r="B4" s="9">
        <f>Calibration_Work!F18+Calibration_School!F18+Calibration_Escort!F18+Calibration_Other!F18+Calibration_WorkBased!F18</f>
        <v>949459.591496245</v>
      </c>
      <c r="D4" s="9" t="s">
        <v>1</v>
      </c>
      <c r="E4" s="9">
        <f>SUM(Work!Q4,Workbased!S5,School!Q4,Escort!Q4,Personal_Business!Q4,Shop!Q4,Meal!Q4,SocRec!Q4)</f>
        <v>920598</v>
      </c>
      <c r="H4" s="65" t="str">
        <f ref="H4:H13" si="1" t="shared">A4</f>
        <v>Drive Alone</v>
      </c>
      <c r="I4" s="82">
        <f>Calibration_Work!F18</f>
        <v>536313.47027948603</v>
      </c>
      <c r="J4" s="82">
        <f>Calibration_School!F18</f>
        <v>27060.442840261683</v>
      </c>
      <c r="K4" s="82">
        <f>Calibration_Escort!F18</f>
        <v>4864.9635479435292</v>
      </c>
      <c r="L4" s="82">
        <f>Calibration_Other!F18</f>
        <v>318568.4223939646</v>
      </c>
      <c r="M4" s="82">
        <f>Calibration_WorkBased!F18</f>
        <v>62652.292434589101</v>
      </c>
      <c r="N4" s="68">
        <f>SUM(I4:M4)</f>
        <v>949459.591496245</v>
      </c>
      <c r="O4" s="65"/>
      <c r="P4" s="65" t="str">
        <f ref="P4:P13" si="2" t="shared">D4</f>
        <v>Drive Alone</v>
      </c>
      <c r="Q4" s="17">
        <f>Calibration_Work!L18</f>
        <v>481783</v>
      </c>
      <c r="R4" s="17">
        <f>Calibration_School!L18</f>
        <v>23040</v>
      </c>
      <c r="S4" s="17">
        <f>Calibration_Escort!L18</f>
        <v>4756</v>
      </c>
      <c r="T4" s="17">
        <f>Calibration_Other!L18</f>
        <v>346781</v>
      </c>
      <c r="U4" s="17">
        <f>Calibration_WorkBased!L18</f>
        <v>64238</v>
      </c>
      <c r="V4" s="68">
        <f>SUM(Q4:U4)</f>
        <v>920598</v>
      </c>
    </row>
    <row r="5" spans="1:22" x14ac:dyDescent="0.25">
      <c r="A5" s="9" t="s">
        <v>2</v>
      </c>
      <c r="B5" s="9">
        <f>Calibration_Work!F19+Calibration_School!F19+Calibration_Escort!F19+Calibration_Other!F19+Calibration_WorkBased!F19</f>
        <v>593332.41685508972</v>
      </c>
      <c r="D5" s="9" t="s">
        <v>2</v>
      </c>
      <c r="E5" s="9">
        <f>SUM(Work!Q5,Workbased!S6,School!Q5,Escort!Q5,Personal_Business!Q5,Shop!Q5,Meal!Q5,SocRec!Q5)</f>
        <v>565131</v>
      </c>
      <c r="H5" s="65" t="str">
        <f si="1" t="shared"/>
        <v>Shared Ride 2</v>
      </c>
      <c r="I5" s="83">
        <f>Calibration_Work!F19</f>
        <v>151774.44948796942</v>
      </c>
      <c r="J5" s="83">
        <f>Calibration_School!F19</f>
        <v>42860.695621993276</v>
      </c>
      <c r="K5" s="83">
        <f>Calibration_Escort!F19</f>
        <v>105818.08184023465</v>
      </c>
      <c r="L5" s="83">
        <f>Calibration_Other!F19</f>
        <v>266062.95328171935</v>
      </c>
      <c r="M5" s="83">
        <f>Calibration_WorkBased!F19</f>
        <v>26816.236623172972</v>
      </c>
      <c r="N5" s="68">
        <f ref="N5:N11" si="3" t="shared">SUM(I5:M5)</f>
        <v>593332.41685508972</v>
      </c>
      <c r="O5" s="65"/>
      <c r="P5" s="65" t="str">
        <f si="2" t="shared"/>
        <v>Shared Ride 2</v>
      </c>
      <c r="Q5" s="17">
        <f>Calibration_Work!L19</f>
        <v>117975</v>
      </c>
      <c r="R5" s="17">
        <f>Calibration_School!L19</f>
        <v>40894</v>
      </c>
      <c r="S5" s="17">
        <f>Calibration_Escort!L19</f>
        <v>100624</v>
      </c>
      <c r="T5" s="17">
        <f>Calibration_Other!L19</f>
        <v>279546</v>
      </c>
      <c r="U5" s="17">
        <f>Calibration_WorkBased!L19</f>
        <v>26092</v>
      </c>
      <c r="V5" s="68">
        <f ref="V5:V11" si="4" t="shared">SUM(Q5:U5)</f>
        <v>565131</v>
      </c>
    </row>
    <row r="6" spans="1:22" x14ac:dyDescent="0.25">
      <c r="A6" s="9" t="s">
        <v>3</v>
      </c>
      <c r="B6" s="9">
        <f>Calibration_Work!F20+Calibration_School!F20+Calibration_Escort!F20+Calibration_Other!F20+Calibration_WorkBased!F20</f>
        <v>424118.07536236185</v>
      </c>
      <c r="D6" s="84" t="s">
        <v>3</v>
      </c>
      <c r="E6" s="84">
        <f>SUM(Work!Q6,Workbased!S7,School!Q6,Escort!Q6,Personal_Business!Q6,Shop!Q6,Meal!Q6,SocRec!Q6)</f>
        <v>436649</v>
      </c>
      <c r="H6" s="65" t="str">
        <f si="1" t="shared"/>
        <v>Shared Ride 3+</v>
      </c>
      <c r="I6" s="83">
        <f>Calibration_Work!F20</f>
        <v>56494.484672382336</v>
      </c>
      <c r="J6" s="83">
        <f>Calibration_School!F20</f>
        <v>92028.671134955031</v>
      </c>
      <c r="K6" s="83">
        <f>Calibration_Escort!F20</f>
        <v>102827.18186469738</v>
      </c>
      <c r="L6" s="83">
        <f>Calibration_Other!F20</f>
        <v>161755.84810631978</v>
      </c>
      <c r="M6" s="83">
        <f>Calibration_WorkBased!F20</f>
        <v>11011.889584007309</v>
      </c>
      <c r="N6" s="68">
        <f si="3" t="shared"/>
        <v>424118.07536236185</v>
      </c>
      <c r="O6" s="65"/>
      <c r="P6" s="65" t="str">
        <f si="2" t="shared"/>
        <v>Shared Ride 3+</v>
      </c>
      <c r="Q6" s="17">
        <f>Calibration_Work!L20</f>
        <v>45632</v>
      </c>
      <c r="R6" s="17">
        <f>Calibration_School!L20</f>
        <v>94175</v>
      </c>
      <c r="S6" s="17">
        <f>Calibration_Escort!L20</f>
        <v>116661</v>
      </c>
      <c r="T6" s="17">
        <f>Calibration_Other!L20</f>
        <v>170486</v>
      </c>
      <c r="U6" s="17">
        <f>Calibration_WorkBased!L20</f>
        <v>9695</v>
      </c>
      <c r="V6" s="68">
        <f si="4" t="shared"/>
        <v>436649</v>
      </c>
    </row>
    <row r="7" spans="1:22" x14ac:dyDescent="0.25">
      <c r="A7" s="9" t="s">
        <v>4</v>
      </c>
      <c r="B7" s="9">
        <f>Calibration_Work!F21+Calibration_School!F21+Calibration_Escort!F21+Calibration_Other!F21+Calibration_WorkBased!F21</f>
        <v>10544.434974228358</v>
      </c>
      <c r="D7" s="84" t="s">
        <v>4</v>
      </c>
      <c r="E7" s="84">
        <f>SUM(Work!Q7,Workbased!S8,School!Q7,Escort!Q7,Personal_Business!Q7,Shop!Q7,Meal!Q7,SocRec!Q7)</f>
        <v>3103</v>
      </c>
      <c r="H7" s="99" t="str">
        <f si="1" t="shared"/>
        <v>Drive-Transit</v>
      </c>
      <c r="I7" s="83">
        <f>Calibration_Work!F21</f>
        <v>10544.434974228358</v>
      </c>
      <c r="J7" s="83">
        <f>Calibration_School!F21</f>
        <v>0</v>
      </c>
      <c r="K7" s="83">
        <f>Calibration_Escort!F21</f>
        <v>0</v>
      </c>
      <c r="L7" s="83">
        <f>Calibration_Other!F21</f>
        <v>0</v>
      </c>
      <c r="M7" s="83">
        <f>Calibration_WorkBased!F21</f>
        <v>0</v>
      </c>
      <c r="N7" s="100">
        <f si="3" t="shared"/>
        <v>10544.434974228358</v>
      </c>
      <c r="O7" s="65"/>
      <c r="P7" s="65" t="str">
        <f si="2" t="shared"/>
        <v>Drive-Transit</v>
      </c>
      <c r="Q7" s="17">
        <f>Calibration_Work!L21</f>
        <v>3103</v>
      </c>
      <c r="R7" s="17">
        <f>Calibration_School!L21</f>
        <v>0</v>
      </c>
      <c r="S7" s="17">
        <f>Calibration_Escort!L21</f>
        <v>0</v>
      </c>
      <c r="T7" s="17">
        <f>Calibration_Other!L21</f>
        <v>0</v>
      </c>
      <c r="U7" s="17">
        <f>Calibration_WorkBased!L21</f>
        <v>0</v>
      </c>
      <c r="V7" s="68">
        <f si="4" t="shared"/>
        <v>3103</v>
      </c>
    </row>
    <row r="8" spans="1:22" x14ac:dyDescent="0.25">
      <c r="A8" s="9" t="s">
        <v>5</v>
      </c>
      <c r="B8" s="9">
        <f>Calibration_Work!F22+Calibration_School!F22+Calibration_Escort!F22+Calibration_Other!F22+Calibration_WorkBased!F22</f>
        <v>26152.267114853439</v>
      </c>
      <c r="D8" s="84" t="s">
        <v>5</v>
      </c>
      <c r="E8" s="84">
        <f>SUM(Work!Q8,Workbased!S9,School!Q8,Escort!Q8,Personal_Business!Q8,Shop!Q8,Meal!Q8,SocRec!Q8)</f>
        <v>14020</v>
      </c>
      <c r="H8" s="99" t="str">
        <f si="1" t="shared"/>
        <v>Walk-Transit</v>
      </c>
      <c r="I8" s="83">
        <f>Calibration_Work!F22</f>
        <v>12095.366152033419</v>
      </c>
      <c r="J8" s="83">
        <f>Calibration_School!F22</f>
        <v>4062.2121580294433</v>
      </c>
      <c r="K8" s="83">
        <f>Calibration_Escort!F22</f>
        <v>744.85260816204755</v>
      </c>
      <c r="L8" s="83">
        <f>Calibration_Other!F22</f>
        <v>9044.9513369855176</v>
      </c>
      <c r="M8" s="83">
        <f>Calibration_WorkBased!F22</f>
        <v>204.8848596430139</v>
      </c>
      <c r="N8" s="100">
        <f si="3" t="shared"/>
        <v>26152.267114853439</v>
      </c>
      <c r="O8" s="65"/>
      <c r="P8" s="99" t="str">
        <f si="2" t="shared"/>
        <v>Walk-Transit</v>
      </c>
      <c r="Q8" s="83">
        <f>Calibration_Work!L22</f>
        <v>4402</v>
      </c>
      <c r="R8" s="83">
        <f>Calibration_School!L22</f>
        <v>1126</v>
      </c>
      <c r="S8" s="83">
        <f>Calibration_Escort!L22</f>
        <v>0</v>
      </c>
      <c r="T8" s="83">
        <f>Calibration_Other!L22</f>
        <v>7709</v>
      </c>
      <c r="U8" s="83">
        <f>Calibration_WorkBased!L22</f>
        <v>783</v>
      </c>
      <c r="V8" s="100">
        <f si="4" t="shared"/>
        <v>14020</v>
      </c>
    </row>
    <row r="9" spans="1:22" x14ac:dyDescent="0.25">
      <c r="A9" s="9" t="s">
        <v>6</v>
      </c>
      <c r="B9" s="9">
        <f>Calibration_Work!F23+Calibration_School!F23+Calibration_Escort!F23+Calibration_Other!F23+Calibration_WorkBased!F23</f>
        <v>11219.75022580296</v>
      </c>
      <c r="D9" s="84" t="s">
        <v>6</v>
      </c>
      <c r="E9" s="84">
        <f>SUM(Work!Q9,Workbased!S10,School!Q9,Escort!Q9,Personal_Business!Q9,Shop!Q9,Meal!Q9,SocRec!Q9)</f>
        <v>16663</v>
      </c>
      <c r="H9" s="99" t="str">
        <f si="1" t="shared"/>
        <v>Bike</v>
      </c>
      <c r="I9" s="83">
        <f>Calibration_Work!F23</f>
        <v>4895.5473422259902</v>
      </c>
      <c r="J9" s="83">
        <f>Calibration_School!F23</f>
        <v>591.53200777710492</v>
      </c>
      <c r="K9" s="83">
        <f>Calibration_Escort!F23</f>
        <v>0</v>
      </c>
      <c r="L9" s="83">
        <f>Calibration_Other!F23</f>
        <v>5307.7493959085286</v>
      </c>
      <c r="M9" s="83">
        <f>Calibration_WorkBased!F23</f>
        <v>424.9214798913365</v>
      </c>
      <c r="N9" s="100">
        <f si="3" t="shared"/>
        <v>11219.75022580296</v>
      </c>
      <c r="O9" s="65"/>
      <c r="P9" s="99" t="str">
        <f si="2" t="shared"/>
        <v>Bike</v>
      </c>
      <c r="Q9" s="83">
        <f>Calibration_Work!L23</f>
        <v>7815</v>
      </c>
      <c r="R9" s="83">
        <f>Calibration_School!L23</f>
        <v>2185</v>
      </c>
      <c r="S9" s="83">
        <f>Calibration_Escort!L23</f>
        <v>137</v>
      </c>
      <c r="T9" s="83">
        <f>Calibration_Other!L23</f>
        <v>6319</v>
      </c>
      <c r="U9" s="83">
        <f>Calibration_WorkBased!L23</f>
        <v>207</v>
      </c>
      <c r="V9" s="100">
        <f si="4" t="shared"/>
        <v>16663</v>
      </c>
    </row>
    <row r="10" spans="1:22" x14ac:dyDescent="0.25">
      <c r="A10" s="9" t="s">
        <v>7</v>
      </c>
      <c r="B10" s="9">
        <f>Calibration_Work!F24+Calibration_School!F24+Calibration_Escort!F24+Calibration_Other!F24+Calibration_WorkBased!F24</f>
        <v>80273.453486444487</v>
      </c>
      <c r="D10" s="84" t="s">
        <v>7</v>
      </c>
      <c r="E10" s="84">
        <f>SUM(Work!Q10,Workbased!S11,School!Q10,Escort!Q10,Personal_Business!Q10,Shop!Q10,Meal!Q10,SocRec!Q10)</f>
        <v>58100</v>
      </c>
      <c r="H10" s="99" t="str">
        <f si="1" t="shared"/>
        <v>Walk</v>
      </c>
      <c r="I10" s="83">
        <f>Calibration_Work!F24</f>
        <v>6814.1788054898452</v>
      </c>
      <c r="J10" s="83">
        <f>Calibration_School!F24</f>
        <v>6799.7572624713666</v>
      </c>
      <c r="K10" s="83">
        <f>Calibration_Escort!F24</f>
        <v>5851.2142276876175</v>
      </c>
      <c r="L10" s="83">
        <f>Calibration_Other!F24</f>
        <v>42426.984093677267</v>
      </c>
      <c r="M10" s="83">
        <f>Calibration_WorkBased!F24</f>
        <v>18381.319097118387</v>
      </c>
      <c r="N10" s="100">
        <f si="3" t="shared"/>
        <v>80273.453486444487</v>
      </c>
      <c r="O10" s="65"/>
      <c r="P10" s="99" t="str">
        <f si="2" t="shared"/>
        <v>Walk</v>
      </c>
      <c r="Q10" s="83">
        <f>Calibration_Work!L24</f>
        <v>4114</v>
      </c>
      <c r="R10" s="83">
        <f>Calibration_School!L24</f>
        <v>6224</v>
      </c>
      <c r="S10" s="83">
        <f>Calibration_Escort!L24</f>
        <v>5751</v>
      </c>
      <c r="T10" s="83">
        <f>Calibration_Other!L24</f>
        <v>35594</v>
      </c>
      <c r="U10" s="83">
        <f>Calibration_WorkBased!L24</f>
        <v>6417</v>
      </c>
      <c r="V10" s="100">
        <f si="4" t="shared"/>
        <v>58100</v>
      </c>
    </row>
    <row r="11" spans="1:22" x14ac:dyDescent="0.25">
      <c r="A11" s="84" t="s">
        <v>8</v>
      </c>
      <c r="B11" s="84">
        <f>Calibration_Work!F25+Calibration_School!F25+Calibration_Escort!F25+Calibration_Other!F25+Calibration_WorkBased!F25</f>
        <v>113504.21898147951</v>
      </c>
      <c r="D11" s="84" t="s">
        <v>8</v>
      </c>
      <c r="E11" s="84">
        <f>SUM(Work!Q11,School!Q11,Escort!Q11,Personal_Business!Q11,Shop!Q11,Meal!Q11,SocRec!Q11)</f>
        <v>99765</v>
      </c>
      <c r="H11" s="99" t="str">
        <f si="1" t="shared"/>
        <v>School Bus</v>
      </c>
      <c r="I11" s="83">
        <f>Calibration_Work!F25</f>
        <v>0</v>
      </c>
      <c r="J11" s="83">
        <f>Calibration_School!F25</f>
        <v>113504.21898147951</v>
      </c>
      <c r="K11" s="83">
        <f>Calibration_Escort!F25</f>
        <v>0</v>
      </c>
      <c r="L11" s="83">
        <f>Calibration_Other!F25</f>
        <v>0</v>
      </c>
      <c r="M11" s="83">
        <f>Calibration_WorkBased!F25</f>
        <v>0</v>
      </c>
      <c r="N11" s="100">
        <f si="3" t="shared"/>
        <v>113504.21898147951</v>
      </c>
      <c r="O11" s="65"/>
      <c r="P11" s="99" t="str">
        <f si="2" t="shared"/>
        <v>School Bus</v>
      </c>
      <c r="Q11" s="83">
        <f>Calibration_Work!L25</f>
        <v>0</v>
      </c>
      <c r="R11" s="83">
        <f>Calibration_School!L25</f>
        <v>99765</v>
      </c>
      <c r="S11" s="83">
        <f>Calibration_Escort!L25</f>
        <v>0</v>
      </c>
      <c r="T11" s="83">
        <f>Calibration_Other!L25</f>
        <v>0</v>
      </c>
      <c r="U11" s="116">
        <v>0</v>
      </c>
      <c r="V11" s="100">
        <f si="4" t="shared"/>
        <v>99765</v>
      </c>
    </row>
    <row r="12" spans="1:22" x14ac:dyDescent="0.25">
      <c r="A12" s="12" t="s">
        <v>302</v>
      </c>
      <c r="B12" s="12">
        <f>Calibration_Work!F26+Calibration_School!F26+Calibration_Other!F26+Calibration_WorkBased!F26</f>
        <v>0</v>
      </c>
      <c r="D12" s="12" t="s">
        <v>302</v>
      </c>
      <c r="E12" s="84">
        <f>SUM(Work!Q12,Workbased!S12,School!Q12,Escort!Q12,Personal_Business!Q12,Shop!Q12,Meal!Q12,SocRec!Q12)</f>
        <v>0</v>
      </c>
      <c r="H12" s="99" t="s">
        <v>302</v>
      </c>
      <c r="I12" s="69">
        <f>Calibration_Work!F26</f>
        <v>0</v>
      </c>
      <c r="J12" s="69">
        <f>Calibration_School!F26</f>
        <v>0</v>
      </c>
      <c r="K12" s="69">
        <v>0</v>
      </c>
      <c r="L12" s="69">
        <f>Calibration_Other!F26</f>
        <v>0</v>
      </c>
      <c r="M12" s="69">
        <f>Calibration_WorkBased!F26</f>
        <v>0</v>
      </c>
      <c r="N12" s="70">
        <f ref="N12" si="5" t="shared">SUM(I12:M12)</f>
        <v>0</v>
      </c>
      <c r="O12" s="65"/>
      <c r="P12" s="99" t="str">
        <f si="2" t="shared"/>
        <v>TNC</v>
      </c>
      <c r="Q12" s="83">
        <f>Calibration_Work!L26</f>
        <v>0</v>
      </c>
      <c r="R12" s="83">
        <f>Calibration_School!L26</f>
        <v>0</v>
      </c>
      <c r="S12" s="116">
        <v>0</v>
      </c>
      <c r="T12" s="83">
        <f>Calibration_Other!L26</f>
        <v>0</v>
      </c>
      <c r="U12" s="69">
        <f>Calibration_WorkBased!L25</f>
        <v>0</v>
      </c>
      <c r="V12" s="70">
        <f ref="V12" si="6" t="shared">SUM(Q12:U12)</f>
        <v>0</v>
      </c>
    </row>
    <row ht="15.75" r="13" spans="1:22" thickBot="1" x14ac:dyDescent="0.3">
      <c r="A13" s="10" t="s">
        <v>19</v>
      </c>
      <c r="B13" s="10">
        <f>SUM(B4:B12)</f>
        <v>2208604.2084965054</v>
      </c>
      <c r="D13" s="10" t="s">
        <v>19</v>
      </c>
      <c r="E13" s="10">
        <f>SUM(E4:E12)</f>
        <v>2114029</v>
      </c>
      <c r="H13" s="71" t="str">
        <f si="1" t="shared"/>
        <v>Total</v>
      </c>
      <c r="I13" s="93">
        <f>SUM(I4:I12)</f>
        <v>778931.93171381543</v>
      </c>
      <c r="J13" s="93">
        <f ref="J13:N13" si="7" t="shared">SUM(J4:J12)</f>
        <v>286907.53000696737</v>
      </c>
      <c r="K13" s="93">
        <f si="7" t="shared"/>
        <v>220106.29408872523</v>
      </c>
      <c r="L13" s="93">
        <f si="7" t="shared"/>
        <v>803166.90860857512</v>
      </c>
      <c r="M13" s="93">
        <f si="7" t="shared"/>
        <v>119491.54407842213</v>
      </c>
      <c r="N13" s="72">
        <f si="7" t="shared"/>
        <v>2208604.2084965054</v>
      </c>
      <c r="O13" s="65"/>
      <c r="P13" s="71" t="str">
        <f si="2" t="shared"/>
        <v>Total</v>
      </c>
      <c r="Q13" s="72">
        <f>SUM(Q4:Q12)</f>
        <v>664824</v>
      </c>
      <c r="R13" s="72">
        <f ref="R13" si="8" t="shared">SUM(R4:R12)</f>
        <v>267409</v>
      </c>
      <c r="S13" s="72">
        <f ref="S13" si="9" t="shared">SUM(S4:S12)</f>
        <v>227929</v>
      </c>
      <c r="T13" s="72">
        <f ref="T13" si="10" t="shared">SUM(T4:T12)</f>
        <v>846435</v>
      </c>
      <c r="U13" s="72">
        <f ref="U13" si="11" t="shared">SUM(U4:U12)</f>
        <v>107432</v>
      </c>
      <c r="V13" s="72">
        <f ref="V13" si="12" t="shared">SUM(V4:V12)</f>
        <v>2114029</v>
      </c>
    </row>
    <row r="14" spans="1:22" x14ac:dyDescent="0.25">
      <c r="H14" s="65"/>
      <c r="I14" s="65"/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</row>
    <row r="15" spans="1:22" x14ac:dyDescent="0.25">
      <c r="E15" s="8"/>
      <c r="H15" s="65"/>
      <c r="I15" s="65"/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</row>
    <row ht="15.75" r="16" spans="1:22" thickBot="1" x14ac:dyDescent="0.3">
      <c r="A16" s="1" t="s">
        <v>44</v>
      </c>
      <c r="B16" s="3"/>
      <c r="D16" s="1" t="s">
        <v>25</v>
      </c>
      <c r="E16" s="3"/>
      <c r="H16" s="15" t="s">
        <v>300</v>
      </c>
      <c r="I16" s="16"/>
      <c r="J16" s="16"/>
      <c r="K16" s="16"/>
      <c r="L16" s="16"/>
      <c r="M16" s="16"/>
      <c r="N16" s="16"/>
      <c r="O16" s="65"/>
      <c r="P16" s="15" t="str">
        <f>H16</f>
        <v>Share</v>
      </c>
      <c r="Q16" s="16"/>
      <c r="R16" s="16"/>
      <c r="S16" s="16"/>
      <c r="T16" s="16"/>
      <c r="U16" s="16"/>
      <c r="V16" s="16"/>
    </row>
    <row r="17" spans="1:25" x14ac:dyDescent="0.25">
      <c r="A17" s="2" t="s">
        <v>0</v>
      </c>
      <c r="B17" s="7" t="s">
        <v>19</v>
      </c>
      <c r="D17" s="2" t="s">
        <v>0</v>
      </c>
      <c r="E17" s="7" t="s">
        <v>19</v>
      </c>
      <c r="H17" s="66" t="str">
        <f>H3</f>
        <v>Mode</v>
      </c>
      <c r="I17" s="67" t="str">
        <f ref="I17:N17" si="13" t="shared">I3</f>
        <v>Work</v>
      </c>
      <c r="J17" s="67" t="str">
        <f si="13" t="shared"/>
        <v>School</v>
      </c>
      <c r="K17" s="67" t="str">
        <f si="13" t="shared"/>
        <v>Escort</v>
      </c>
      <c r="L17" s="67" t="str">
        <f si="13" t="shared"/>
        <v>Other</v>
      </c>
      <c r="M17" s="67" t="str">
        <f si="13" t="shared"/>
        <v>WorkBased</v>
      </c>
      <c r="N17" s="67" t="str">
        <f si="13" t="shared"/>
        <v>Total</v>
      </c>
      <c r="O17" s="65"/>
      <c r="P17" s="66" t="str">
        <f>P3</f>
        <v>Mode</v>
      </c>
      <c r="Q17" s="67" t="str">
        <f ref="Q17:V17" si="14" t="shared">Q3</f>
        <v>Work</v>
      </c>
      <c r="R17" s="67" t="str">
        <f si="14" t="shared"/>
        <v>School</v>
      </c>
      <c r="S17" s="67" t="str">
        <f si="14" t="shared"/>
        <v>Escort</v>
      </c>
      <c r="T17" s="67" t="str">
        <f si="14" t="shared"/>
        <v>Other</v>
      </c>
      <c r="U17" s="67" t="str">
        <f si="14" t="shared"/>
        <v>WorkBased</v>
      </c>
      <c r="V17" s="67" t="str">
        <f si="14" t="shared"/>
        <v>Total</v>
      </c>
    </row>
    <row r="18" spans="1:25" x14ac:dyDescent="0.25">
      <c r="A18" s="9" t="s">
        <v>1</v>
      </c>
      <c r="B18" s="13">
        <f ref="B18:B27" si="15" t="shared">B4/$B$13</f>
        <v>0.4298912353076535</v>
      </c>
      <c r="D18" s="9" t="s">
        <v>1</v>
      </c>
      <c r="E18" s="13">
        <f ref="E18:E27" si="16" t="shared">E4/$E$13</f>
        <v>0.43547084737248165</v>
      </c>
      <c r="H18" s="65" t="str">
        <f ref="H18" si="17" t="shared">H4</f>
        <v>Drive Alone</v>
      </c>
      <c r="I18" s="73">
        <f>I4/I$13</f>
        <v>0.68852418092487577</v>
      </c>
      <c r="J18" s="73">
        <f ref="J18:N18" si="18" t="shared">J4/J$13</f>
        <v>9.4317645966296312E-2</v>
      </c>
      <c r="K18" s="73">
        <f si="18" t="shared"/>
        <v>2.210279159932816E-2</v>
      </c>
      <c r="L18" s="73">
        <f si="18" t="shared"/>
        <v>0.39664037322685503</v>
      </c>
      <c r="M18" s="73">
        <f si="18" t="shared"/>
        <v>0.52432406759653627</v>
      </c>
      <c r="N18" s="74">
        <f si="18" t="shared"/>
        <v>0.4298912353076535</v>
      </c>
      <c r="O18" s="65"/>
      <c r="P18" s="65" t="str">
        <f ref="P18" si="19" t="shared">P4</f>
        <v>Drive Alone</v>
      </c>
      <c r="Q18" s="73">
        <f>Q4/Q$13</f>
        <v>0.72467750863386404</v>
      </c>
      <c r="R18" s="73">
        <f ref="R18:V18" si="20" t="shared">R4/R$13</f>
        <v>8.6160151677767013E-2</v>
      </c>
      <c r="S18" s="73">
        <f si="20" t="shared"/>
        <v>2.0866146914170641E-2</v>
      </c>
      <c r="T18" s="73">
        <f si="20" t="shared"/>
        <v>0.40969596011507087</v>
      </c>
      <c r="U18" s="73">
        <f si="20" t="shared"/>
        <v>0.59794102315883535</v>
      </c>
      <c r="V18" s="74">
        <f si="20" t="shared"/>
        <v>0.43547084737248165</v>
      </c>
    </row>
    <row r="19" spans="1:25" x14ac:dyDescent="0.25">
      <c r="A19" s="9" t="s">
        <v>2</v>
      </c>
      <c r="B19" s="13">
        <f si="15" t="shared"/>
        <v>0.26864587804937551</v>
      </c>
      <c r="D19" s="9" t="s">
        <v>2</v>
      </c>
      <c r="E19" s="13">
        <f si="16" t="shared"/>
        <v>0.26732414739816718</v>
      </c>
      <c r="H19" s="65" t="str">
        <f ref="H19" si="21" t="shared">H5</f>
        <v>Shared Ride 2</v>
      </c>
      <c r="I19" s="73">
        <f ref="I19:N19" si="22" t="shared">I5/I$13</f>
        <v>0.19484943845354169</v>
      </c>
      <c r="J19" s="73">
        <f si="22" t="shared"/>
        <v>0.14938853511775183</v>
      </c>
      <c r="K19" s="73">
        <f si="22" t="shared"/>
        <v>0.48075900000196814</v>
      </c>
      <c r="L19" s="73">
        <f si="22" t="shared"/>
        <v>0.33126732492334993</v>
      </c>
      <c r="M19" s="73">
        <f si="22" t="shared"/>
        <v>0.22441953386737989</v>
      </c>
      <c r="N19" s="74">
        <f si="22" t="shared"/>
        <v>0.26864587804937551</v>
      </c>
      <c r="O19" s="65"/>
      <c r="P19" s="65" t="str">
        <f ref="P19" si="23" t="shared">P5</f>
        <v>Shared Ride 2</v>
      </c>
      <c r="Q19" s="73">
        <f ref="Q19:V19" si="24" t="shared">Q5/Q$13</f>
        <v>0.17745298003682178</v>
      </c>
      <c r="R19" s="73">
        <f si="24" t="shared"/>
        <v>0.15292679004820331</v>
      </c>
      <c r="S19" s="73">
        <f si="24" t="shared"/>
        <v>0.44147080889224277</v>
      </c>
      <c r="T19" s="73">
        <f si="24" t="shared"/>
        <v>0.33026280813057118</v>
      </c>
      <c r="U19" s="73">
        <f si="24" t="shared"/>
        <v>0.24286990840717848</v>
      </c>
      <c r="V19" s="74">
        <f si="24" t="shared"/>
        <v>0.26732414739816718</v>
      </c>
    </row>
    <row r="20" spans="1:25" x14ac:dyDescent="0.25">
      <c r="A20" s="9" t="s">
        <v>3</v>
      </c>
      <c r="B20" s="13">
        <f si="15" t="shared"/>
        <v>0.19202991361275989</v>
      </c>
      <c r="D20" s="9" t="s">
        <v>3</v>
      </c>
      <c r="E20" s="13">
        <f si="16" t="shared"/>
        <v>0.20654825454144668</v>
      </c>
      <c r="H20" s="65" t="str">
        <f ref="H20" si="25" t="shared">H6</f>
        <v>Shared Ride 3+</v>
      </c>
      <c r="I20" s="73">
        <f ref="I20:N20" si="26" t="shared">I6/I$13</f>
        <v>7.2528140614395525E-2</v>
      </c>
      <c r="J20" s="73">
        <f si="26" t="shared"/>
        <v>0.32076073825152018</v>
      </c>
      <c r="K20" s="73">
        <f si="26" t="shared"/>
        <v>0.46717056543257035</v>
      </c>
      <c r="L20" s="73">
        <f si="26" t="shared"/>
        <v>0.20139755058702474</v>
      </c>
      <c r="M20" s="73">
        <f si="26" t="shared"/>
        <v>9.2156224684654023E-2</v>
      </c>
      <c r="N20" s="74">
        <f si="26" t="shared"/>
        <v>0.19202991361275989</v>
      </c>
      <c r="O20" s="65"/>
      <c r="P20" s="65" t="str">
        <f ref="P20" si="27" t="shared">P6</f>
        <v>Shared Ride 3+</v>
      </c>
      <c r="Q20" s="73">
        <f ref="Q20:V20" si="28" t="shared">Q6/Q$13</f>
        <v>6.8637714643274006E-2</v>
      </c>
      <c r="R20" s="73">
        <f si="28" t="shared"/>
        <v>0.35217588039295611</v>
      </c>
      <c r="S20" s="73">
        <f si="28" t="shared"/>
        <v>0.51183043842600107</v>
      </c>
      <c r="T20" s="73">
        <f si="28" t="shared"/>
        <v>0.20141652932593762</v>
      </c>
      <c r="U20" s="73">
        <f si="28" t="shared"/>
        <v>9.0243130538387076E-2</v>
      </c>
      <c r="V20" s="74">
        <f si="28" t="shared"/>
        <v>0.20654825454144668</v>
      </c>
    </row>
    <row r="21" spans="1:25" x14ac:dyDescent="0.25">
      <c r="A21" s="9" t="s">
        <v>4</v>
      </c>
      <c r="B21" s="13">
        <f si="15" t="shared"/>
        <v>4.774252866884837E-3</v>
      </c>
      <c r="D21" s="9" t="s">
        <v>4</v>
      </c>
      <c r="E21" s="13">
        <f si="16" t="shared"/>
        <v>1.4678133554459282E-3</v>
      </c>
      <c r="H21" s="65" t="str">
        <f ref="H21" si="29" t="shared">H7</f>
        <v>Drive-Transit</v>
      </c>
      <c r="I21" s="73">
        <f ref="I21:N21" si="30" t="shared">I7/I$13</f>
        <v>1.3537042897995418E-2</v>
      </c>
      <c r="J21" s="73">
        <f si="30" t="shared"/>
        <v>0</v>
      </c>
      <c r="K21" s="73">
        <f si="30" t="shared"/>
        <v>0</v>
      </c>
      <c r="L21" s="73">
        <f si="30" t="shared"/>
        <v>0</v>
      </c>
      <c r="M21" s="73">
        <f si="30" t="shared"/>
        <v>0</v>
      </c>
      <c r="N21" s="74">
        <f si="30" t="shared"/>
        <v>4.774252866884837E-3</v>
      </c>
      <c r="O21" s="65"/>
      <c r="P21" s="65" t="str">
        <f ref="P21" si="31" t="shared">P7</f>
        <v>Drive-Transit</v>
      </c>
      <c r="Q21" s="73">
        <f ref="Q21:V21" si="32" t="shared">Q7/Q$13</f>
        <v>4.6674006955224239E-3</v>
      </c>
      <c r="R21" s="73">
        <f si="32" t="shared"/>
        <v>0</v>
      </c>
      <c r="S21" s="73">
        <f si="32" t="shared"/>
        <v>0</v>
      </c>
      <c r="T21" s="73">
        <f si="32" t="shared"/>
        <v>0</v>
      </c>
      <c r="U21" s="73">
        <f si="32" t="shared"/>
        <v>0</v>
      </c>
      <c r="V21" s="74">
        <f si="32" t="shared"/>
        <v>1.4678133554459282E-3</v>
      </c>
      <c r="X21" s="13"/>
      <c r="Y21" s="13"/>
    </row>
    <row r="22" spans="1:25" x14ac:dyDescent="0.25">
      <c r="A22" s="9" t="s">
        <v>5</v>
      </c>
      <c r="B22" s="13">
        <f si="15" t="shared"/>
        <v>1.1841083619349093E-2</v>
      </c>
      <c r="D22" s="9" t="s">
        <v>5</v>
      </c>
      <c r="E22" s="13">
        <f si="16" t="shared"/>
        <v>6.631886317548151E-3</v>
      </c>
      <c r="H22" s="65" t="str">
        <f ref="H22" si="33" t="shared">H8</f>
        <v>Walk-Transit</v>
      </c>
      <c r="I22" s="73">
        <f ref="I22:N22" si="34" t="shared">I8/I$13</f>
        <v>1.5528142652235411E-2</v>
      </c>
      <c r="J22" s="73">
        <f si="34" t="shared"/>
        <v>1.4158611166220681E-2</v>
      </c>
      <c r="K22" s="73">
        <f si="34" t="shared"/>
        <v>3.3840586487808304E-3</v>
      </c>
      <c r="L22" s="73">
        <f si="34" t="shared"/>
        <v>1.1261608564843888E-2</v>
      </c>
      <c r="M22" s="73">
        <f si="34" t="shared"/>
        <v>1.7146389832283719E-3</v>
      </c>
      <c r="N22" s="74">
        <f si="34" t="shared"/>
        <v>1.1841083619349093E-2</v>
      </c>
      <c r="O22" s="65"/>
      <c r="P22" s="65" t="str">
        <f ref="P22" si="35" t="shared">P8</f>
        <v>Walk-Transit</v>
      </c>
      <c r="Q22" s="73">
        <f ref="Q22:V22" si="36" t="shared">Q8/Q$13</f>
        <v>6.621301276728879E-3</v>
      </c>
      <c r="R22" s="73">
        <f si="36" t="shared"/>
        <v>4.2107782460575373E-3</v>
      </c>
      <c r="S22" s="73">
        <f si="36" t="shared"/>
        <v>0</v>
      </c>
      <c r="T22" s="73">
        <f si="36" t="shared"/>
        <v>9.1076101531718332E-3</v>
      </c>
      <c r="U22" s="73">
        <f si="36" t="shared"/>
        <v>7.2883312234715914E-3</v>
      </c>
      <c r="V22" s="74">
        <f si="36" t="shared"/>
        <v>6.631886317548151E-3</v>
      </c>
    </row>
    <row r="23" spans="1:25" x14ac:dyDescent="0.25">
      <c r="A23" s="9" t="s">
        <v>6</v>
      </c>
      <c r="B23" s="13">
        <f si="15" t="shared"/>
        <v>5.0800184943234983E-3</v>
      </c>
      <c r="D23" s="9" t="s">
        <v>6</v>
      </c>
      <c r="E23" s="13">
        <f si="16" t="shared"/>
        <v>7.8821056853997738E-3</v>
      </c>
      <c r="H23" s="65" t="str">
        <f ref="H23" si="37" t="shared">H9</f>
        <v>Bike</v>
      </c>
      <c r="I23" s="78">
        <f ref="I23:N23" si="38" t="shared">I9/I$13</f>
        <v>6.2849488420056781E-3</v>
      </c>
      <c r="J23" s="78">
        <f si="38" t="shared"/>
        <v>2.0617514213124347E-3</v>
      </c>
      <c r="K23" s="78">
        <f si="38" t="shared"/>
        <v>0</v>
      </c>
      <c r="L23" s="78">
        <f si="38" t="shared"/>
        <v>6.6085259975461339E-3</v>
      </c>
      <c r="M23" s="73">
        <f si="38" t="shared"/>
        <v>3.5560799148470386E-3</v>
      </c>
      <c r="N23" s="74">
        <f si="38" t="shared"/>
        <v>5.0800184943234983E-3</v>
      </c>
      <c r="O23" s="65"/>
      <c r="P23" s="65" t="str">
        <f ref="P23" si="39" t="shared">P9</f>
        <v>Bike</v>
      </c>
      <c r="Q23" s="78">
        <f ref="Q23:V23" si="40" t="shared">Q9/Q$13</f>
        <v>1.1754990794556153E-2</v>
      </c>
      <c r="R23" s="78">
        <f si="40" t="shared"/>
        <v>8.1710039677049019E-3</v>
      </c>
      <c r="S23" s="78">
        <f si="40" t="shared"/>
        <v>6.0106436653519293E-4</v>
      </c>
      <c r="T23" s="78">
        <f si="40" t="shared"/>
        <v>7.465428532610301E-3</v>
      </c>
      <c r="U23" s="73">
        <f si="40" t="shared"/>
        <v>1.9268002085039838E-3</v>
      </c>
      <c r="V23" s="74">
        <f si="40" t="shared"/>
        <v>7.8821056853997738E-3</v>
      </c>
    </row>
    <row r="24" spans="1:25" x14ac:dyDescent="0.25">
      <c r="A24" s="84" t="s">
        <v>7</v>
      </c>
      <c r="B24" s="86">
        <f si="15" t="shared"/>
        <v>3.6345784897824758E-2</v>
      </c>
      <c r="D24" s="84" t="s">
        <v>7</v>
      </c>
      <c r="E24" s="86">
        <f si="16" t="shared"/>
        <v>2.748306669397629E-2</v>
      </c>
      <c r="H24" s="99" t="str">
        <f ref="H24" si="41" t="shared">H10</f>
        <v>Walk</v>
      </c>
      <c r="I24" s="101">
        <f ref="I24:N24" si="42" t="shared">I10/I$13</f>
        <v>8.7481056149504698E-3</v>
      </c>
      <c r="J24" s="101">
        <f si="42" t="shared"/>
        <v>2.3700170094198083E-2</v>
      </c>
      <c r="K24" s="101">
        <f si="42" t="shared"/>
        <v>2.658358431735252E-2</v>
      </c>
      <c r="L24" s="101">
        <f si="42" t="shared"/>
        <v>5.2824616700380189E-2</v>
      </c>
      <c r="M24" s="101">
        <f si="42" t="shared"/>
        <v>0.15382945495335429</v>
      </c>
      <c r="N24" s="102">
        <f si="42" t="shared"/>
        <v>3.6345784897824758E-2</v>
      </c>
      <c r="O24" s="65"/>
      <c r="P24" s="99" t="str">
        <f ref="P24" si="43" t="shared">P10</f>
        <v>Walk</v>
      </c>
      <c r="Q24" s="101">
        <f ref="Q24:V24" si="44" t="shared">Q10/Q$13</f>
        <v>6.1881039192327597E-3</v>
      </c>
      <c r="R24" s="101">
        <f si="44" t="shared"/>
        <v>2.3275207640730117E-2</v>
      </c>
      <c r="S24" s="101">
        <f si="44" t="shared"/>
        <v>2.5231541401050328E-2</v>
      </c>
      <c r="T24" s="101">
        <f si="44" t="shared"/>
        <v>4.2051663742638239E-2</v>
      </c>
      <c r="U24" s="101">
        <f si="44" t="shared"/>
        <v>5.9730806463623498E-2</v>
      </c>
      <c r="V24" s="102">
        <f si="44" t="shared"/>
        <v>2.748306669397629E-2</v>
      </c>
    </row>
    <row r="25" spans="1:25" x14ac:dyDescent="0.25">
      <c r="A25" s="84" t="s">
        <v>8</v>
      </c>
      <c r="B25" s="86">
        <f si="15" t="shared"/>
        <v>5.1391833151828888E-2</v>
      </c>
      <c r="D25" s="84" t="s">
        <v>8</v>
      </c>
      <c r="E25" s="86">
        <f si="16" t="shared"/>
        <v>4.7191878635534326E-2</v>
      </c>
      <c r="H25" s="99" t="str">
        <f ref="H25" si="45" t="shared">H11</f>
        <v>School Bus</v>
      </c>
      <c r="I25" s="101">
        <f ref="I25:N26" si="46" t="shared">I11/I$13</f>
        <v>0</v>
      </c>
      <c r="J25" s="101">
        <f si="46" t="shared"/>
        <v>0.39561254798270068</v>
      </c>
      <c r="K25" s="101">
        <f si="46" t="shared"/>
        <v>0</v>
      </c>
      <c r="L25" s="101">
        <f si="46" t="shared"/>
        <v>0</v>
      </c>
      <c r="M25" s="101">
        <f si="46" t="shared"/>
        <v>0</v>
      </c>
      <c r="N25" s="102">
        <f si="46" t="shared"/>
        <v>5.1391833151828888E-2</v>
      </c>
      <c r="O25" s="65"/>
      <c r="P25" s="99" t="str">
        <f ref="P25" si="47" t="shared">P11</f>
        <v>School Bus</v>
      </c>
      <c r="Q25" s="101">
        <f ref="Q25:V26" si="48" t="shared">Q11/Q$13</f>
        <v>0</v>
      </c>
      <c r="R25" s="101">
        <f si="48" t="shared"/>
        <v>0.37308018802658099</v>
      </c>
      <c r="S25" s="101">
        <f si="48" t="shared"/>
        <v>0</v>
      </c>
      <c r="T25" s="101">
        <f si="48" t="shared"/>
        <v>0</v>
      </c>
      <c r="U25" s="101">
        <f si="48" t="shared"/>
        <v>0</v>
      </c>
      <c r="V25" s="102">
        <f si="48" t="shared"/>
        <v>4.7191878635534326E-2</v>
      </c>
    </row>
    <row r="26" spans="1:25" x14ac:dyDescent="0.25">
      <c r="A26" s="12" t="s">
        <v>302</v>
      </c>
      <c r="B26" s="14">
        <f si="15" t="shared"/>
        <v>0</v>
      </c>
      <c r="D26" s="12" t="s">
        <v>302</v>
      </c>
      <c r="E26" s="14">
        <f si="16" t="shared"/>
        <v>0</v>
      </c>
      <c r="H26" s="99" t="s">
        <v>302</v>
      </c>
      <c r="I26" s="75">
        <f si="46" t="shared"/>
        <v>0</v>
      </c>
      <c r="J26" s="75">
        <f si="46" t="shared"/>
        <v>0</v>
      </c>
      <c r="K26" s="75">
        <f si="46" t="shared"/>
        <v>0</v>
      </c>
      <c r="L26" s="75">
        <f si="46" t="shared"/>
        <v>0</v>
      </c>
      <c r="M26" s="75">
        <f si="46" t="shared"/>
        <v>0</v>
      </c>
      <c r="N26" s="76">
        <f si="46" t="shared"/>
        <v>0</v>
      </c>
      <c r="O26" s="65"/>
      <c r="P26" s="99" t="s">
        <v>302</v>
      </c>
      <c r="Q26" s="75">
        <f si="48" t="shared"/>
        <v>0</v>
      </c>
      <c r="R26" s="75">
        <f si="48" t="shared"/>
        <v>0</v>
      </c>
      <c r="S26" s="75">
        <f si="48" t="shared"/>
        <v>0</v>
      </c>
      <c r="T26" s="75">
        <f si="48" t="shared"/>
        <v>0</v>
      </c>
      <c r="U26" s="75">
        <f si="48" t="shared"/>
        <v>0</v>
      </c>
      <c r="V26" s="76">
        <f si="48" t="shared"/>
        <v>0</v>
      </c>
    </row>
    <row ht="15.75" r="27" spans="1:25" thickBot="1" x14ac:dyDescent="0.3">
      <c r="A27" s="10" t="s">
        <v>19</v>
      </c>
      <c r="B27" s="104">
        <f si="15" t="shared"/>
        <v>1</v>
      </c>
      <c r="D27" s="10" t="s">
        <v>19</v>
      </c>
      <c r="E27" s="104">
        <f si="16" t="shared"/>
        <v>1</v>
      </c>
      <c r="H27" s="71" t="str">
        <f ref="H27" si="49" t="shared">H13</f>
        <v>Total</v>
      </c>
      <c r="I27" s="77">
        <f ref="I27:N27" si="50" t="shared">I13/I$13</f>
        <v>1</v>
      </c>
      <c r="J27" s="77">
        <f si="50" t="shared"/>
        <v>1</v>
      </c>
      <c r="K27" s="77">
        <f si="50" t="shared"/>
        <v>1</v>
      </c>
      <c r="L27" s="77">
        <f si="50" t="shared"/>
        <v>1</v>
      </c>
      <c r="M27" s="77">
        <f si="50" t="shared"/>
        <v>1</v>
      </c>
      <c r="N27" s="77">
        <f si="50" t="shared"/>
        <v>1</v>
      </c>
      <c r="O27" s="65"/>
      <c r="P27" s="71" t="str">
        <f ref="P27" si="51" t="shared">P13</f>
        <v>Total</v>
      </c>
      <c r="Q27" s="77">
        <f ref="Q27:V27" si="52" t="shared">Q13/Q$13</f>
        <v>1</v>
      </c>
      <c r="R27" s="77">
        <f si="52" t="shared"/>
        <v>1</v>
      </c>
      <c r="S27" s="77">
        <f si="52" t="shared"/>
        <v>1</v>
      </c>
      <c r="T27" s="77">
        <f si="52" t="shared"/>
        <v>1</v>
      </c>
      <c r="U27" s="77">
        <f si="52" t="shared"/>
        <v>1</v>
      </c>
      <c r="V27" s="77">
        <f si="52" t="shared"/>
        <v>1</v>
      </c>
    </row>
    <row r="28" spans="1:25" x14ac:dyDescent="0.25">
      <c r="H28" s="65"/>
      <c r="I28" s="65"/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</row>
    <row r="29" spans="1:25" x14ac:dyDescent="0.25">
      <c r="H29" s="65"/>
      <c r="I29" s="65"/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</row>
    <row ht="15.75" r="30" spans="1:25" thickBot="1" x14ac:dyDescent="0.3">
      <c r="D30" s="1" t="s">
        <v>26</v>
      </c>
      <c r="E30" s="3"/>
      <c r="H30" s="65"/>
      <c r="I30" s="65"/>
      <c r="J30" s="65"/>
      <c r="K30" s="65"/>
      <c r="L30" s="65"/>
      <c r="M30" s="65"/>
      <c r="N30" s="65"/>
      <c r="O30" s="65"/>
      <c r="P30" s="15" t="s">
        <v>301</v>
      </c>
      <c r="Q30" s="16"/>
      <c r="R30" s="16"/>
      <c r="S30" s="16"/>
      <c r="T30" s="16"/>
      <c r="U30" s="16"/>
      <c r="V30" s="16"/>
    </row>
    <row r="31" spans="1:25" x14ac:dyDescent="0.25">
      <c r="D31" s="2" t="s">
        <v>0</v>
      </c>
      <c r="E31" s="7" t="s">
        <v>19</v>
      </c>
      <c r="H31" s="65"/>
      <c r="I31" s="65"/>
      <c r="J31" s="65"/>
      <c r="K31" s="65"/>
      <c r="L31" s="65"/>
      <c r="M31" s="65"/>
      <c r="N31" s="65"/>
      <c r="O31" s="65"/>
      <c r="P31" s="66" t="str">
        <f>P17</f>
        <v>Mode</v>
      </c>
      <c r="Q31" s="67" t="str">
        <f ref="Q31:V31" si="53" t="shared">Q17</f>
        <v>Work</v>
      </c>
      <c r="R31" s="67" t="str">
        <f si="53" t="shared"/>
        <v>School</v>
      </c>
      <c r="S31" s="67" t="str">
        <f si="53" t="shared"/>
        <v>Escort</v>
      </c>
      <c r="T31" s="67" t="str">
        <f si="53" t="shared"/>
        <v>Other</v>
      </c>
      <c r="U31" s="67" t="str">
        <f si="53" t="shared"/>
        <v>WorkBased</v>
      </c>
      <c r="V31" s="67" t="str">
        <f si="53" t="shared"/>
        <v>Total</v>
      </c>
    </row>
    <row r="32" spans="1:25" x14ac:dyDescent="0.25">
      <c r="D32" s="9" t="s">
        <v>1</v>
      </c>
      <c r="E32" s="13">
        <f ref="E32:E41" si="54" t="shared">E18-B18</f>
        <v>5.5796120648281544E-3</v>
      </c>
      <c r="H32" s="65"/>
      <c r="I32" s="65"/>
      <c r="J32" s="65"/>
      <c r="K32" s="65"/>
      <c r="L32" s="65"/>
      <c r="M32" s="65"/>
      <c r="N32" s="65"/>
      <c r="O32" s="65"/>
      <c r="P32" s="65" t="str">
        <f ref="P32" si="55" t="shared">P18</f>
        <v>Drive Alone</v>
      </c>
      <c r="Q32" s="78">
        <f ref="Q32:Q40" si="56" t="shared">Q18-I18</f>
        <v>3.615332770898827E-2</v>
      </c>
      <c r="R32" s="78">
        <f ref="R32:V32" si="57" t="shared">R18-J18</f>
        <v>-8.1574942885292989E-3</v>
      </c>
      <c r="S32" s="78">
        <f si="57" t="shared"/>
        <v>-1.2366446851575195E-3</v>
      </c>
      <c r="T32" s="78">
        <f si="57" t="shared"/>
        <v>1.3055586888215842E-2</v>
      </c>
      <c r="U32" s="78">
        <f si="57" t="shared"/>
        <v>7.361695556229908E-2</v>
      </c>
      <c r="V32" s="74">
        <f si="57" t="shared"/>
        <v>5.5796120648281544E-3</v>
      </c>
    </row>
    <row r="33" spans="4:22" x14ac:dyDescent="0.25">
      <c r="D33" s="9" t="s">
        <v>2</v>
      </c>
      <c r="E33" s="13">
        <f si="54" t="shared"/>
        <v>-1.3217306512083304E-3</v>
      </c>
      <c r="H33" s="65"/>
      <c r="I33" s="65"/>
      <c r="J33" s="65"/>
      <c r="K33" s="65"/>
      <c r="L33" s="65"/>
      <c r="M33" s="65"/>
      <c r="N33" s="65"/>
      <c r="O33" s="65"/>
      <c r="P33" s="65" t="str">
        <f ref="P33" si="58" t="shared">P19</f>
        <v>Shared Ride 2</v>
      </c>
      <c r="Q33" s="78">
        <f si="56" t="shared"/>
        <v>-1.7396458416719912E-2</v>
      </c>
      <c r="R33" s="78">
        <f ref="R33:V40" si="59" t="shared">R19-J19</f>
        <v>3.5382549304514843E-3</v>
      </c>
      <c r="S33" s="78">
        <f si="59" t="shared"/>
        <v>-3.9288191109725368E-2</v>
      </c>
      <c r="T33" s="78">
        <f si="59" t="shared"/>
        <v>-1.0045167927787424E-3</v>
      </c>
      <c r="U33" s="78">
        <f si="59" t="shared"/>
        <v>1.8450374539798586E-2</v>
      </c>
      <c r="V33" s="74">
        <f si="59" t="shared"/>
        <v>-1.3217306512083304E-3</v>
      </c>
    </row>
    <row r="34" spans="4:22" x14ac:dyDescent="0.25">
      <c r="D34" s="9" t="s">
        <v>3</v>
      </c>
      <c r="E34" s="13">
        <f si="54" t="shared"/>
        <v>1.4518340928686785E-2</v>
      </c>
      <c r="H34" s="65"/>
      <c r="I34" s="65"/>
      <c r="J34" s="65"/>
      <c r="K34" s="65"/>
      <c r="L34" s="65"/>
      <c r="M34" s="65"/>
      <c r="N34" s="65"/>
      <c r="O34" s="65"/>
      <c r="P34" s="65" t="str">
        <f ref="P34" si="60" t="shared">P20</f>
        <v>Shared Ride 3+</v>
      </c>
      <c r="Q34" s="78">
        <f si="56" t="shared"/>
        <v>-3.8904259711215194E-3</v>
      </c>
      <c r="R34" s="78">
        <f si="59" t="shared"/>
        <v>3.1415142141435926E-2</v>
      </c>
      <c r="S34" s="78">
        <f si="59" t="shared"/>
        <v>4.4659872993430716E-2</v>
      </c>
      <c r="T34" s="78">
        <f si="59" t="shared"/>
        <v>1.8978738912878157E-5</v>
      </c>
      <c r="U34" s="78">
        <f si="59" t="shared"/>
        <v>-1.9130941462669471E-3</v>
      </c>
      <c r="V34" s="74">
        <f si="59" t="shared"/>
        <v>1.4518340928686785E-2</v>
      </c>
    </row>
    <row r="35" spans="4:22" x14ac:dyDescent="0.25">
      <c r="D35" s="9" t="s">
        <v>4</v>
      </c>
      <c r="E35" s="13">
        <f si="54" t="shared"/>
        <v>-3.306439511438909E-3</v>
      </c>
      <c r="H35" s="65"/>
      <c r="I35" s="65"/>
      <c r="J35" s="65"/>
      <c r="K35" s="65"/>
      <c r="L35" s="65"/>
      <c r="M35" s="65"/>
      <c r="N35" s="65"/>
      <c r="O35" s="65"/>
      <c r="P35" s="65" t="str">
        <f ref="P35" si="61" t="shared">P21</f>
        <v>Drive-Transit</v>
      </c>
      <c r="Q35" s="78">
        <f si="56" t="shared"/>
        <v>-8.8696422024729937E-3</v>
      </c>
      <c r="R35" s="78">
        <f si="59" t="shared"/>
        <v>0</v>
      </c>
      <c r="S35" s="78">
        <f si="59" t="shared"/>
        <v>0</v>
      </c>
      <c r="T35" s="78">
        <f si="59" t="shared"/>
        <v>0</v>
      </c>
      <c r="U35" s="78">
        <f si="59" t="shared"/>
        <v>0</v>
      </c>
      <c r="V35" s="74">
        <f si="59" t="shared"/>
        <v>-3.306439511438909E-3</v>
      </c>
    </row>
    <row r="36" spans="4:22" x14ac:dyDescent="0.25">
      <c r="D36" s="9" t="s">
        <v>5</v>
      </c>
      <c r="E36" s="13">
        <f si="54" t="shared"/>
        <v>-5.2091973018009424E-3</v>
      </c>
      <c r="H36" s="65"/>
      <c r="I36" s="65"/>
      <c r="J36" s="65"/>
      <c r="K36" s="65"/>
      <c r="L36" s="65"/>
      <c r="M36" s="65"/>
      <c r="N36" s="65"/>
      <c r="O36" s="65"/>
      <c r="P36" s="65" t="str">
        <f ref="P36" si="62" t="shared">P22</f>
        <v>Walk-Transit</v>
      </c>
      <c r="Q36" s="78">
        <f si="56" t="shared"/>
        <v>-8.9068413755065325E-3</v>
      </c>
      <c r="R36" s="78">
        <f si="59" t="shared"/>
        <v>-9.9478329201631438E-3</v>
      </c>
      <c r="S36" s="78">
        <f si="59" t="shared"/>
        <v>-3.3840586487808304E-3</v>
      </c>
      <c r="T36" s="78">
        <f si="59" t="shared"/>
        <v>-2.1539984116720548E-3</v>
      </c>
      <c r="U36" s="78">
        <f si="59" t="shared"/>
        <v>5.5736922402432193E-3</v>
      </c>
      <c r="V36" s="74">
        <f si="59" t="shared"/>
        <v>-5.2091973018009424E-3</v>
      </c>
    </row>
    <row r="37" spans="4:22" x14ac:dyDescent="0.25">
      <c r="D37" s="9" t="s">
        <v>6</v>
      </c>
      <c r="E37" s="13">
        <f si="54" t="shared"/>
        <v>2.8020871910762754E-3</v>
      </c>
      <c r="H37" s="65"/>
      <c r="I37" s="65"/>
      <c r="J37" s="65"/>
      <c r="K37" s="65"/>
      <c r="L37" s="65"/>
      <c r="M37" s="65"/>
      <c r="N37" s="65"/>
      <c r="O37" s="65"/>
      <c r="P37" s="65" t="str">
        <f ref="P37" si="63" t="shared">P23</f>
        <v>Bike</v>
      </c>
      <c r="Q37" s="78">
        <f si="56" t="shared"/>
        <v>5.4700419525504753E-3</v>
      </c>
      <c r="R37" s="78">
        <f si="59" t="shared"/>
        <v>6.1092525463924668E-3</v>
      </c>
      <c r="S37" s="78">
        <f si="59" t="shared"/>
        <v>6.0106436653519293E-4</v>
      </c>
      <c r="T37" s="78">
        <f si="59" t="shared"/>
        <v>8.5690253506416712E-4</v>
      </c>
      <c r="U37" s="78">
        <f si="59" t="shared"/>
        <v>-1.6292797063430548E-3</v>
      </c>
      <c r="V37" s="74">
        <f si="59" t="shared"/>
        <v>2.8020871910762754E-3</v>
      </c>
    </row>
    <row r="38" spans="4:22" x14ac:dyDescent="0.25">
      <c r="D38" s="84" t="s">
        <v>7</v>
      </c>
      <c r="E38" s="86">
        <f si="54" t="shared"/>
        <v>-8.862718203848468E-3</v>
      </c>
      <c r="H38" s="65"/>
      <c r="I38" s="65"/>
      <c r="J38" s="65"/>
      <c r="K38" s="65"/>
      <c r="L38" s="65"/>
      <c r="M38" s="65"/>
      <c r="N38" s="65"/>
      <c r="O38" s="65"/>
      <c r="P38" s="99" t="str">
        <f ref="P38" si="64" t="shared">P24</f>
        <v>Walk</v>
      </c>
      <c r="Q38" s="103">
        <f si="56" t="shared"/>
        <v>-2.5600016957177101E-3</v>
      </c>
      <c r="R38" s="103">
        <f si="59" t="shared"/>
        <v>-4.2496245346796552E-4</v>
      </c>
      <c r="S38" s="103">
        <f si="59" t="shared"/>
        <v>-1.3520429163021916E-3</v>
      </c>
      <c r="T38" s="103">
        <f si="59" t="shared"/>
        <v>-1.0772952957741951E-2</v>
      </c>
      <c r="U38" s="103">
        <f si="59" t="shared"/>
        <v>-9.4098648489730791E-2</v>
      </c>
      <c r="V38" s="102">
        <f si="59" t="shared"/>
        <v>-8.862718203848468E-3</v>
      </c>
    </row>
    <row r="39" spans="4:22" x14ac:dyDescent="0.25">
      <c r="D39" s="84" t="s">
        <v>8</v>
      </c>
      <c r="E39" s="86">
        <f si="54" t="shared"/>
        <v>-4.1999545162945615E-3</v>
      </c>
      <c r="H39" s="65"/>
      <c r="I39" s="65"/>
      <c r="J39" s="65"/>
      <c r="K39" s="65"/>
      <c r="L39" s="65"/>
      <c r="M39" s="65"/>
      <c r="N39" s="65"/>
      <c r="O39" s="65"/>
      <c r="P39" s="99" t="str">
        <f ref="P39" si="65" t="shared">P25</f>
        <v>School Bus</v>
      </c>
      <c r="Q39" s="103">
        <f si="56" t="shared"/>
        <v>0</v>
      </c>
      <c r="R39" s="103">
        <f si="59" t="shared"/>
        <v>-2.2532359956119685E-2</v>
      </c>
      <c r="S39" s="103">
        <f si="59" t="shared"/>
        <v>0</v>
      </c>
      <c r="T39" s="103">
        <f si="59" t="shared"/>
        <v>0</v>
      </c>
      <c r="U39" s="103">
        <f si="59" t="shared"/>
        <v>0</v>
      </c>
      <c r="V39" s="102">
        <f si="59" t="shared"/>
        <v>-4.1999545162945615E-3</v>
      </c>
    </row>
    <row r="40" spans="4:22" x14ac:dyDescent="0.25">
      <c r="D40" s="12" t="s">
        <v>302</v>
      </c>
      <c r="E40" s="14">
        <f si="54" t="shared"/>
        <v>0</v>
      </c>
      <c r="H40" s="65"/>
      <c r="I40" s="65"/>
      <c r="J40" s="65"/>
      <c r="K40" s="65"/>
      <c r="L40" s="65"/>
      <c r="M40" s="65"/>
      <c r="N40" s="65"/>
      <c r="O40" s="65"/>
      <c r="P40" s="99" t="s">
        <v>302</v>
      </c>
      <c r="Q40" s="79">
        <f si="56" t="shared"/>
        <v>0</v>
      </c>
      <c r="R40" s="79">
        <f si="59" t="shared"/>
        <v>0</v>
      </c>
      <c r="S40" s="79">
        <f si="59" t="shared"/>
        <v>0</v>
      </c>
      <c r="T40" s="79">
        <f si="59" t="shared"/>
        <v>0</v>
      </c>
      <c r="U40" s="79">
        <f si="59" t="shared"/>
        <v>0</v>
      </c>
      <c r="V40" s="76">
        <f si="59" t="shared"/>
        <v>0</v>
      </c>
    </row>
    <row ht="15.75" r="41" spans="4:22" thickBot="1" x14ac:dyDescent="0.3">
      <c r="D41" s="10" t="s">
        <v>19</v>
      </c>
      <c r="E41" s="104">
        <f si="54" t="shared"/>
        <v>0</v>
      </c>
      <c r="H41" s="65"/>
      <c r="I41" s="65"/>
      <c r="J41" s="65"/>
      <c r="K41" s="65"/>
      <c r="L41" s="65"/>
      <c r="M41" s="65"/>
      <c r="N41" s="65"/>
      <c r="O41" s="65"/>
      <c r="P41" s="71" t="str">
        <f ref="P41" si="66" t="shared">P27</f>
        <v>Total</v>
      </c>
      <c r="Q41" s="80">
        <f ref="Q41" si="67" t="shared">Q27-I27</f>
        <v>0</v>
      </c>
      <c r="R41" s="80">
        <f ref="R41" si="68" t="shared">R27-J27</f>
        <v>0</v>
      </c>
      <c r="S41" s="80">
        <f ref="S41" si="69" t="shared">S27-K27</f>
        <v>0</v>
      </c>
      <c r="T41" s="80">
        <f ref="T41" si="70" t="shared">T27-L27</f>
        <v>0</v>
      </c>
      <c r="U41" s="80">
        <f ref="U41" si="71" t="shared">U27-M27</f>
        <v>0</v>
      </c>
      <c r="V41" s="80">
        <f ref="V41" si="72" t="shared">V27-N27</f>
        <v>0</v>
      </c>
    </row>
    <row r="42" spans="4:22" x14ac:dyDescent="0.25"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</row>
  </sheetData>
  <mergeCells count="2">
    <mergeCell ref="P1:V1"/>
    <mergeCell ref="H1:N1"/>
  </mergeCells>
  <conditionalFormatting sqref="Q32:V40">
    <cfRule dxfId="21" operator="greaterThan" priority="2" type="cellIs">
      <formula>0.005</formula>
    </cfRule>
    <cfRule dxfId="20" operator="lessThan" priority="1" type="cellIs">
      <formula>-0.005</formula>
    </cfRule>
  </conditionalFormatting>
  <pageMargins bottom="0.75" footer="0.3" header="0.3" left="0.7" right="0.7" top="0.75"/>
  <pageSetup orientation="portrait" r:id="rId1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2:W41"/>
  <sheetViews>
    <sheetView topLeftCell="H1" workbookViewId="0">
      <selection activeCell="H6" sqref="H6"/>
    </sheetView>
  </sheetViews>
  <sheetFormatPr defaultRowHeight="15" x14ac:dyDescent="0.25"/>
  <cols>
    <col min="1" max="8" customWidth="true" width="16.7109375" collapsed="true"/>
    <col min="10" max="17" customWidth="true" width="16.7109375" collapsed="true"/>
    <col min="19" max="19" customWidth="true" width="16.7109375" collapsed="true"/>
    <col min="20" max="22" customWidth="true" width="11.85546875" collapsed="true"/>
  </cols>
  <sheetData>
    <row ht="15.75" r="2" spans="1:17" thickBot="1" x14ac:dyDescent="0.3">
      <c r="A2" s="1" t="s">
        <v>45</v>
      </c>
      <c r="B2" s="1"/>
      <c r="C2" s="3"/>
      <c r="D2" s="3"/>
      <c r="E2" s="3"/>
      <c r="F2" s="3"/>
      <c r="G2" s="3"/>
      <c r="H2" s="3"/>
      <c r="J2" s="1" t="s">
        <v>11</v>
      </c>
      <c r="K2" s="1"/>
      <c r="L2" s="3"/>
      <c r="M2" s="3"/>
      <c r="N2" s="3"/>
      <c r="O2" s="3"/>
      <c r="P2" s="3"/>
      <c r="Q2" s="3"/>
    </row>
    <row r="3" spans="1:17" x14ac:dyDescent="0.25">
      <c r="A3" s="2" t="s">
        <v>0</v>
      </c>
      <c r="B3" s="4" t="s">
        <v>9</v>
      </c>
      <c r="C3" s="4" t="s">
        <v>10</v>
      </c>
      <c r="D3" s="7" t="s">
        <v>248</v>
      </c>
      <c r="E3" s="7" t="s">
        <v>247</v>
      </c>
      <c r="F3" s="7" t="s">
        <v>249</v>
      </c>
      <c r="G3" s="7" t="s">
        <v>250</v>
      </c>
      <c r="H3" s="7" t="s">
        <v>19</v>
      </c>
      <c r="J3" s="2" t="s">
        <v>0</v>
      </c>
      <c r="K3" s="4" t="s">
        <v>9</v>
      </c>
      <c r="L3" s="4" t="s">
        <v>10</v>
      </c>
      <c r="M3" s="7" t="s">
        <v>248</v>
      </c>
      <c r="N3" s="7" t="s">
        <v>247</v>
      </c>
      <c r="O3" s="7" t="s">
        <v>249</v>
      </c>
      <c r="P3" s="7" t="s">
        <v>250</v>
      </c>
      <c r="Q3" s="7" t="s">
        <v>19</v>
      </c>
    </row>
    <row r="4" spans="1:17" x14ac:dyDescent="0.25">
      <c r="A4" s="9" t="s">
        <v>1</v>
      </c>
      <c r="B4" s="9" t="n">
        <v>1062.9785344687982</v>
      </c>
      <c r="C4" s="9" t="n">
        <v>536313.470279486</v>
      </c>
      <c r="D4" s="9" t="n">
        <v>481822.8041445209</v>
      </c>
      <c r="E4" s="9" t="n">
        <v>55553.64466943396</v>
      </c>
      <c r="F4" s="9" t="n">
        <v>522982.2854239667</v>
      </c>
      <c r="G4" s="9" t="n">
        <v>14394.163389988134</v>
      </c>
      <c r="H4" s="9">
        <f>SUM(B4:C4)-B4</f>
        <v>536313.47027948603</v>
      </c>
      <c r="J4" s="9" t="s">
        <v>1</v>
      </c>
      <c r="K4" s="9" t="n">
        <v>0.0</v>
      </c>
      <c r="L4" s="9" t="n">
        <v>479472.0</v>
      </c>
      <c r="M4" s="9" t="n">
        <v>416869.0</v>
      </c>
      <c r="N4" s="9" t="n">
        <v>62603.0</v>
      </c>
      <c r="O4" s="9" t="n">
        <v>460297.0</v>
      </c>
      <c r="P4" s="9" t="n">
        <v>19175.0</v>
      </c>
      <c r="Q4" s="9">
        <f>SUM(K4:L4)</f>
        <v>481783</v>
      </c>
    </row>
    <row r="5" spans="1:17" x14ac:dyDescent="0.25">
      <c r="A5" s="9" t="s">
        <v>2</v>
      </c>
      <c r="B5" s="9" t="n">
        <v>488.2568906217259</v>
      </c>
      <c r="C5" s="9" t="n">
        <v>150754.7033301133</v>
      </c>
      <c r="D5" s="9" t="n">
        <v>115872.59558260275</v>
      </c>
      <c r="E5" s="9" t="n">
        <v>35370.364638132254</v>
      </c>
      <c r="F5" s="9" t="n">
        <v>132144.43342805788</v>
      </c>
      <c r="G5" s="9" t="n">
        <v>19098.526792677127</v>
      </c>
      <c r="H5" s="9">
        <f>SUM(B5:C5)+0.5*B4</f>
        <v>151774.44948796942</v>
      </c>
      <c r="J5" s="9" t="s">
        <v>2</v>
      </c>
      <c r="K5" s="9" t="n">
        <v>629.0</v>
      </c>
      <c r="L5" s="9" t="n">
        <v>116457.0</v>
      </c>
      <c r="M5" s="9" t="n">
        <v>83648.0</v>
      </c>
      <c r="N5" s="9" t="n">
        <v>33438.0</v>
      </c>
      <c r="O5" s="9" t="n">
        <v>99367.0</v>
      </c>
      <c r="P5" s="9" t="n">
        <v>17719.0</v>
      </c>
      <c r="Q5" s="9">
        <f ref="Q5:Q12" si="0" t="shared">SUM(K5:L5)</f>
        <v>117975</v>
      </c>
    </row>
    <row r="6" spans="1:17" x14ac:dyDescent="0.25">
      <c r="A6" s="9" t="s">
        <v>3</v>
      </c>
      <c r="B6" s="9" t="n">
        <v>0.0</v>
      </c>
      <c r="C6" s="9" t="n">
        <v>55962.995405147936</v>
      </c>
      <c r="D6" s="9" t="n">
        <v>45494.63276921456</v>
      </c>
      <c r="E6" s="9" t="n">
        <v>10468.362635933376</v>
      </c>
      <c r="F6" s="9" t="n">
        <v>52109.44388603482</v>
      </c>
      <c r="G6" s="9" t="n">
        <v>3853.5515191131153</v>
      </c>
      <c r="H6" s="9">
        <f>SUM(B6:C6)+0.5*B4</f>
        <v>56494.484672382336</v>
      </c>
      <c r="J6" s="9" t="s">
        <v>3</v>
      </c>
      <c r="K6" s="9" t="n">
        <v>350.0</v>
      </c>
      <c r="L6" s="9" t="n">
        <v>44621.0</v>
      </c>
      <c r="M6" s="9" t="n">
        <v>34003.0</v>
      </c>
      <c r="N6" s="9" t="n">
        <v>10968.0</v>
      </c>
      <c r="O6" s="9" t="n">
        <v>39340.0</v>
      </c>
      <c r="P6" s="9" t="n">
        <v>5631.0</v>
      </c>
      <c r="Q6" s="9">
        <f si="0" t="shared"/>
        <v>45632</v>
      </c>
    </row>
    <row r="7" spans="1:17" x14ac:dyDescent="0.25">
      <c r="A7" s="9" t="s">
        <v>4</v>
      </c>
      <c r="B7" s="117" t="n">
        <v>149.8226583385058</v>
      </c>
      <c r="C7" s="117" t="n">
        <v>7792.54834280128</v>
      </c>
      <c r="D7" s="117" t="n">
        <v>6015.8801731393705</v>
      </c>
      <c r="E7" s="117" t="n">
        <v>1926.4908280004154</v>
      </c>
      <c r="F7" s="117" t="n">
        <v>6712.633628799344</v>
      </c>
      <c r="G7" s="117" t="n">
        <v>1229.7373723404426</v>
      </c>
      <c r="H7" s="117">
        <f ref="H7:H12" si="1" t="shared">SUM(B7:C7)</f>
        <v>7942.3710011397861</v>
      </c>
      <c r="J7" s="9" t="s">
        <v>4</v>
      </c>
      <c r="K7" s="9" t="n">
        <v>184.0</v>
      </c>
      <c r="L7" s="9" t="n">
        <v>2659.0</v>
      </c>
      <c r="M7" s="9" t="n">
        <v>2149.0</v>
      </c>
      <c r="N7" s="9" t="n">
        <v>694.0</v>
      </c>
      <c r="O7" s="9" t="n">
        <v>2364.0</v>
      </c>
      <c r="P7" s="9" t="n">
        <v>479.0</v>
      </c>
      <c r="Q7" s="9">
        <f si="0" t="shared"/>
        <v>3103</v>
      </c>
    </row>
    <row r="8" spans="1:17" x14ac:dyDescent="0.25">
      <c r="A8" s="9" t="s">
        <v>5</v>
      </c>
      <c r="B8" s="117" t="n">
        <v>5796.253703760688</v>
      </c>
      <c r="C8" s="117" t="n">
        <v>6299.112448272731</v>
      </c>
      <c r="D8" s="117" t="n">
        <v>9084.089126487144</v>
      </c>
      <c r="E8" s="117" t="n">
        <v>3011.277025546275</v>
      </c>
      <c r="F8" s="117" t="n">
        <v>10817.69341832814</v>
      </c>
      <c r="G8" s="117" t="n">
        <v>1277.67273370528</v>
      </c>
      <c r="H8" s="117">
        <f si="1" t="shared"/>
        <v>12095.366152033419</v>
      </c>
      <c r="J8" s="9" t="s">
        <v>5</v>
      </c>
      <c r="K8" s="9" t="n">
        <v>1927.0</v>
      </c>
      <c r="L8" s="9" t="n">
        <v>2660.0</v>
      </c>
      <c r="M8" s="9" t="n">
        <v>3624.0</v>
      </c>
      <c r="N8" s="9" t="n">
        <v>963.0</v>
      </c>
      <c r="O8" s="9" t="n">
        <v>4201.0</v>
      </c>
      <c r="P8" s="9" t="n">
        <v>386.0</v>
      </c>
      <c r="Q8" s="9">
        <f si="0" t="shared"/>
        <v>4402</v>
      </c>
    </row>
    <row r="9" spans="1:17" x14ac:dyDescent="0.25">
      <c r="A9" s="9" t="s">
        <v>6</v>
      </c>
      <c r="B9" s="9" t="n">
        <v>408.791798115066</v>
      </c>
      <c r="C9" s="9" t="n">
        <v>4486.755544110924</v>
      </c>
      <c r="D9" s="9" t="n">
        <v>3713.837608246148</v>
      </c>
      <c r="E9" s="9" t="n">
        <v>1181.7097339798418</v>
      </c>
      <c r="F9" s="9" t="n">
        <v>4624.984551839134</v>
      </c>
      <c r="G9" s="9" t="n">
        <v>270.5627903868557</v>
      </c>
      <c r="H9" s="9">
        <f si="1" t="shared"/>
        <v>4895.5473422259902</v>
      </c>
      <c r="J9" s="9" t="s">
        <v>6</v>
      </c>
      <c r="K9" s="9" t="n">
        <v>538.0</v>
      </c>
      <c r="L9" s="9" t="n">
        <v>7692.0</v>
      </c>
      <c r="M9" s="9" t="n">
        <v>5556.0</v>
      </c>
      <c r="N9" s="9" t="n">
        <v>2674.0</v>
      </c>
      <c r="O9" s="9" t="n">
        <v>6542.0</v>
      </c>
      <c r="P9" s="9" t="n">
        <v>1688.0</v>
      </c>
      <c r="Q9" s="9">
        <f si="0" t="shared"/>
        <v>7815</v>
      </c>
    </row>
    <row r="10" spans="1:17" x14ac:dyDescent="0.25">
      <c r="A10" s="9" t="s">
        <v>7</v>
      </c>
      <c r="B10" s="9" t="n">
        <v>451.6634831527581</v>
      </c>
      <c r="C10" s="9" t="n">
        <v>6362.515322337087</v>
      </c>
      <c r="D10" s="9" t="n">
        <v>3044.177377853928</v>
      </c>
      <c r="E10" s="9" t="n">
        <v>3770.001427635917</v>
      </c>
      <c r="F10" s="9" t="n">
        <v>4185.788542558256</v>
      </c>
      <c r="G10" s="9" t="n">
        <v>2628.3902629315885</v>
      </c>
      <c r="H10" s="9">
        <f si="1" t="shared"/>
        <v>6814.1788054898452</v>
      </c>
      <c r="J10" s="9" t="s">
        <v>7</v>
      </c>
      <c r="K10" s="9" t="n">
        <v>219.0</v>
      </c>
      <c r="L10" s="9" t="n">
        <v>4104.0</v>
      </c>
      <c r="M10" s="9" t="n">
        <v>535.0</v>
      </c>
      <c r="N10" s="9" t="n">
        <v>3788.0</v>
      </c>
      <c r="O10" s="9" t="n">
        <v>2334.0</v>
      </c>
      <c r="P10" s="9" t="n">
        <v>1989.0</v>
      </c>
      <c r="Q10" s="9">
        <f si="0" t="shared"/>
        <v>4114</v>
      </c>
    </row>
    <row r="11" spans="1:17" x14ac:dyDescent="0.25">
      <c r="A11" s="84" t="s">
        <v>8</v>
      </c>
      <c r="B11" s="84" t="n">
        <v>136.3272624096227</v>
      </c>
      <c r="C11" s="84" t="n">
        <v>315.8051754657631</v>
      </c>
      <c r="D11" s="84" t="n">
        <v>255.8789710963787</v>
      </c>
      <c r="E11" s="84" t="n">
        <v>196.2534667790071</v>
      </c>
      <c r="F11" s="84" t="n">
        <v>392.7522083446728</v>
      </c>
      <c r="G11" s="84" t="n">
        <v>59.380229530713</v>
      </c>
      <c r="H11" s="84">
        <f si="1" t="shared"/>
        <v>452.13243787538579</v>
      </c>
      <c r="J11" s="84" t="s">
        <v>8</v>
      </c>
      <c r="K11" s="84" t="n">
        <v>0.0</v>
      </c>
      <c r="L11" s="84" t="n">
        <v>0.0</v>
      </c>
      <c r="M11" s="84" t="n">
        <v>0.0</v>
      </c>
      <c r="N11" s="84" t="n">
        <v>0.0</v>
      </c>
      <c r="O11" s="84" t="n">
        <v>0.0</v>
      </c>
      <c r="P11" s="84" t="n">
        <v>0.0</v>
      </c>
      <c r="Q11" s="84">
        <f si="0" t="shared"/>
        <v>0</v>
      </c>
    </row>
    <row r="12" spans="1:17" x14ac:dyDescent="0.25">
      <c r="A12" s="12" t="s">
        <v>302</v>
      </c>
      <c r="B12" s="12" t="n">
        <v>0.0</v>
      </c>
      <c r="C12" s="12" t="n">
        <v>0.0</v>
      </c>
      <c r="D12" s="12" t="n">
        <v>0.0</v>
      </c>
      <c r="E12" s="12" t="n">
        <v>0.0</v>
      </c>
      <c r="F12" s="12" t="n">
        <v>0.0</v>
      </c>
      <c r="G12" s="12" t="n">
        <v>0.0</v>
      </c>
      <c r="H12" s="12">
        <f si="1" t="shared"/>
        <v>0</v>
      </c>
      <c r="J12" s="12" t="s">
        <v>302</v>
      </c>
      <c r="K12" s="12" t="n">
        <v>0.0</v>
      </c>
      <c r="L12" s="12" t="n">
        <v>0.0</v>
      </c>
      <c r="M12" s="12" t="n">
        <v>0.0</v>
      </c>
      <c r="N12" s="12" t="n">
        <v>0.0</v>
      </c>
      <c r="O12" s="12" t="n">
        <v>0.0</v>
      </c>
      <c r="P12" s="12" t="n">
        <v>0.0</v>
      </c>
      <c r="Q12" s="12">
        <f si="0" t="shared"/>
        <v>0</v>
      </c>
    </row>
    <row ht="15.75" r="13" spans="1:17" thickBot="1" x14ac:dyDescent="0.3">
      <c r="A13" s="85" t="s">
        <v>19</v>
      </c>
      <c r="B13" s="85">
        <f>SUM(B4:B12)</f>
        <v>8494.0943308671649</v>
      </c>
      <c r="C13" s="85">
        <f ref="C13:H13" si="2" t="shared">SUM(C4:C12)</f>
        <v>768287.905847735</v>
      </c>
      <c r="D13" s="85">
        <f si="2" t="shared"/>
        <v>665303.89575316117</v>
      </c>
      <c r="E13" s="85">
        <f si="2" t="shared"/>
        <v>111478.10442544104</v>
      </c>
      <c r="F13" s="85">
        <f si="2" t="shared"/>
        <v>733970.01508792886</v>
      </c>
      <c r="G13" s="85">
        <f si="2" t="shared"/>
        <v>42811.985090673254</v>
      </c>
      <c r="H13" s="85">
        <f si="2" t="shared"/>
        <v>776782.00017860217</v>
      </c>
      <c r="J13" s="85" t="s">
        <v>19</v>
      </c>
      <c r="K13" s="85">
        <f>SUM(K4:K12)</f>
        <v>3727</v>
      </c>
      <c r="L13" s="85">
        <f ref="L13:Q13" si="3" t="shared">SUM(L4:L12)</f>
        <v>661097</v>
      </c>
      <c r="M13" s="85">
        <f si="3" t="shared"/>
        <v>549536</v>
      </c>
      <c r="N13" s="85">
        <f si="3" t="shared"/>
        <v>115288</v>
      </c>
      <c r="O13" s="85">
        <f si="3" t="shared"/>
        <v>617678</v>
      </c>
      <c r="P13" s="85">
        <f si="3" t="shared"/>
        <v>47146</v>
      </c>
      <c r="Q13" s="85">
        <f si="3" t="shared"/>
        <v>664824</v>
      </c>
    </row>
    <row r="15" spans="1:17" x14ac:dyDescent="0.25">
      <c r="K15" s="8"/>
      <c r="L15" s="8"/>
      <c r="M15" s="8"/>
      <c r="N15" s="8"/>
      <c r="O15" s="8"/>
      <c r="P15" s="8"/>
      <c r="Q15" s="8"/>
    </row>
    <row ht="15.75" r="16" spans="1:17" thickBot="1" x14ac:dyDescent="0.3">
      <c r="A16" s="1" t="s">
        <v>45</v>
      </c>
      <c r="B16" s="1"/>
      <c r="C16" s="3"/>
      <c r="D16" s="3"/>
      <c r="E16" s="3"/>
      <c r="F16" s="3"/>
      <c r="G16" s="3"/>
      <c r="H16" s="3"/>
      <c r="J16" s="1" t="s">
        <v>11</v>
      </c>
      <c r="K16" s="1"/>
      <c r="L16" s="3"/>
      <c r="M16" s="3"/>
      <c r="N16" s="3"/>
      <c r="O16" s="3"/>
      <c r="P16" s="3"/>
      <c r="Q16" s="3"/>
    </row>
    <row r="17" spans="1:22" x14ac:dyDescent="0.25">
      <c r="A17" s="2" t="s">
        <v>0</v>
      </c>
      <c r="B17" s="4" t="s">
        <v>9</v>
      </c>
      <c r="C17" s="4" t="s">
        <v>10</v>
      </c>
      <c r="D17" s="4" t="s">
        <v>248</v>
      </c>
      <c r="E17" s="4" t="s">
        <v>247</v>
      </c>
      <c r="F17" s="4" t="s">
        <v>249</v>
      </c>
      <c r="G17" s="4" t="s">
        <v>250</v>
      </c>
      <c r="H17" s="4" t="s">
        <v>19</v>
      </c>
      <c r="J17" s="2" t="s">
        <v>0</v>
      </c>
      <c r="K17" s="4" t="s">
        <v>9</v>
      </c>
      <c r="L17" s="4" t="s">
        <v>10</v>
      </c>
      <c r="M17" s="4" t="s">
        <v>248</v>
      </c>
      <c r="N17" s="4" t="s">
        <v>247</v>
      </c>
      <c r="O17" s="4" t="s">
        <v>249</v>
      </c>
      <c r="P17" s="4" t="s">
        <v>250</v>
      </c>
      <c r="Q17" s="4" t="s">
        <v>19</v>
      </c>
    </row>
    <row r="18" spans="1:22" x14ac:dyDescent="0.25">
      <c r="A18" s="84" t="s">
        <v>1</v>
      </c>
      <c r="B18" s="86">
        <f ref="B18:C27" si="4" t="shared">B4/$H$13</f>
        <v>1.3684386793519831E-3</v>
      </c>
      <c r="C18" s="86">
        <f si="4" t="shared"/>
        <v>0.69042983765866583</v>
      </c>
      <c r="D18" s="86">
        <f ref="D18:G18" si="5" t="shared">D4/$H$13</f>
        <v>0.62028059871847885</v>
      </c>
      <c r="E18" s="86">
        <f si="5" t="shared"/>
        <v>7.1517677619539005E-2</v>
      </c>
      <c r="F18" s="86">
        <f si="5" t="shared"/>
        <v>0.67326777049895548</v>
      </c>
      <c r="G18" s="86">
        <f si="5" t="shared"/>
        <v>1.8530505839062371E-2</v>
      </c>
      <c r="H18" s="86">
        <f ref="H18:H27" si="6" t="shared">H4/$H$13</f>
        <v>0.69042983765866583</v>
      </c>
      <c r="J18" s="84" t="s">
        <v>1</v>
      </c>
      <c r="K18" s="86">
        <f ref="K18:L27" si="7" t="shared">K4/$Q$13</f>
        <v>0</v>
      </c>
      <c r="L18" s="86">
        <f si="7" t="shared"/>
        <v>0.72467750863386404</v>
      </c>
      <c r="M18" s="86">
        <f ref="M18:P18" si="8" t="shared">M4/$Q$13</f>
        <v>0.63024950964465787</v>
      </c>
      <c r="N18" s="86">
        <f si="8" t="shared"/>
        <v>9.4427998989206161E-2</v>
      </c>
      <c r="O18" s="86">
        <f si="8" t="shared"/>
        <v>0.69557657364956738</v>
      </c>
      <c r="P18" s="86">
        <f si="8" t="shared"/>
        <v>2.9100934984296594E-2</v>
      </c>
      <c r="Q18" s="86">
        <f ref="Q18:Q27" si="9" t="shared">Q4/$Q$13</f>
        <v>0.72467750863386404</v>
      </c>
    </row>
    <row r="19" spans="1:22" x14ac:dyDescent="0.25">
      <c r="A19" s="84" t="s">
        <v>2</v>
      </c>
      <c r="B19" s="86">
        <f si="4" t="shared"/>
        <v>6.285636002243398E-4</v>
      </c>
      <c r="C19" s="86">
        <f si="4" t="shared"/>
        <v>0.19407594832971273</v>
      </c>
      <c r="D19" s="86">
        <f ref="D19:G19" si="10" t="shared">D5/$H$13</f>
        <v>0.14917003168966408</v>
      </c>
      <c r="E19" s="86">
        <f si="10" t="shared"/>
        <v>4.5534480240272943E-2</v>
      </c>
      <c r="F19" s="86">
        <f si="10" t="shared"/>
        <v>0.17011778516710541</v>
      </c>
      <c r="G19" s="86">
        <f si="10" t="shared"/>
        <v>2.4586726762831634E-2</v>
      </c>
      <c r="H19" s="86">
        <f si="6" t="shared"/>
        <v>0.19538873126961306</v>
      </c>
      <c r="J19" s="84" t="s">
        <v>2</v>
      </c>
      <c r="K19" s="86">
        <f si="7" t="shared"/>
        <v>9.8823147178802207E-4</v>
      </c>
      <c r="L19" s="86">
        <f si="7" t="shared"/>
        <v>0.17646474856503375</v>
      </c>
      <c r="M19" s="86">
        <f ref="M19:P19" si="11" t="shared">M5/$Q$13</f>
        <v>0.12687869270664115</v>
      </c>
      <c r="N19" s="86">
        <f si="11" t="shared"/>
        <v>5.0574287330180621E-2</v>
      </c>
      <c r="O19" s="86">
        <f si="11" t="shared"/>
        <v>0.15077073029854518</v>
      </c>
      <c r="P19" s="86">
        <f si="11" t="shared"/>
        <v>2.6682249738276598E-2</v>
      </c>
      <c r="Q19" s="86">
        <f si="9" t="shared"/>
        <v>0.17745298003682178</v>
      </c>
    </row>
    <row r="20" spans="1:22" x14ac:dyDescent="0.25">
      <c r="A20" s="84" t="s">
        <v>3</v>
      </c>
      <c r="B20" s="86">
        <f si="4" t="shared"/>
        <v>0</v>
      </c>
      <c r="C20" s="86">
        <f si="4" t="shared"/>
        <v>7.2044660396714394E-2</v>
      </c>
      <c r="D20" s="86">
        <f ref="D20:G20" si="12" t="shared">D6/$H$13</f>
        <v>5.8568083141414415E-2</v>
      </c>
      <c r="E20" s="86">
        <f si="12" t="shared"/>
        <v>1.3476577255299981E-2</v>
      </c>
      <c r="F20" s="86">
        <f si="12" t="shared"/>
        <v>6.7083742767022808E-2</v>
      </c>
      <c r="G20" s="86">
        <f si="12" t="shared"/>
        <v>4.9609176296915797E-3</v>
      </c>
      <c r="H20" s="86">
        <f si="6" t="shared"/>
        <v>7.2728879736390389E-2</v>
      </c>
      <c r="J20" s="84" t="s">
        <v>3</v>
      </c>
      <c r="K20" s="86">
        <f si="7" t="shared"/>
        <v>5.4450501185276099E-4</v>
      </c>
      <c r="L20" s="86">
        <f si="7" t="shared"/>
        <v>6.809320963142125E-2</v>
      </c>
      <c r="M20" s="86">
        <f ref="M20:P20" si="13" t="shared">M6/$Q$13</f>
        <v>5.1906970867477711E-2</v>
      </c>
      <c r="N20" s="86">
        <f si="13" t="shared"/>
        <v>1.6730743775796302E-2</v>
      </c>
      <c r="O20" s="86">
        <f si="13" t="shared"/>
        <v>5.9979784123316851E-2</v>
      </c>
      <c r="P20" s="86">
        <f si="13" t="shared"/>
        <v>8.6579305199571618E-3</v>
      </c>
      <c r="Q20" s="86">
        <f si="9" t="shared"/>
        <v>6.8637714643274006E-2</v>
      </c>
    </row>
    <row r="21" spans="1:22" x14ac:dyDescent="0.25">
      <c r="A21" s="84" t="s">
        <v>4</v>
      </c>
      <c r="B21" s="86">
        <f si="4" t="shared"/>
        <v>1.9287606858044818E-4</v>
      </c>
      <c r="C21" s="86">
        <f si="4" t="shared"/>
        <v>1.0031834338346632E-2</v>
      </c>
      <c r="D21" s="86">
        <f ref="D21:G21" si="14" t="shared">D7/$H$13</f>
        <v>7.7446184022752391E-3</v>
      </c>
      <c r="E21" s="86">
        <f si="14" t="shared"/>
        <v>2.4800920046518398E-3</v>
      </c>
      <c r="F21" s="86">
        <f si="14" t="shared"/>
        <v>8.6415926569564389E-3</v>
      </c>
      <c r="G21" s="86">
        <f si="14" t="shared"/>
        <v>1.5831177499706407E-3</v>
      </c>
      <c r="H21" s="86">
        <f si="6" t="shared"/>
        <v>1.022471040692708E-2</v>
      </c>
      <c r="J21" s="84" t="s">
        <v>4</v>
      </c>
      <c r="K21" s="86">
        <f si="7" t="shared"/>
        <v>2.7375666341768651E-4</v>
      </c>
      <c r="L21" s="86">
        <f si="7" t="shared"/>
        <v>4.3936440321047376E-3</v>
      </c>
      <c r="M21" s="86">
        <f ref="M21:P21" si="15" t="shared">M7/$Q$13</f>
        <v>3.5648532543951484E-3</v>
      </c>
      <c r="N21" s="86">
        <f si="15" t="shared"/>
        <v>1.1025474411272757E-3</v>
      </c>
      <c r="O21" s="86">
        <f si="15" t="shared"/>
        <v>3.8927595874998495E-3</v>
      </c>
      <c r="P21" s="86">
        <f si="15" t="shared"/>
        <v>7.7464110802257435E-4</v>
      </c>
      <c r="Q21" s="86">
        <f si="9" t="shared"/>
        <v>4.6674006955224239E-3</v>
      </c>
    </row>
    <row r="22" spans="1:22" x14ac:dyDescent="0.25">
      <c r="A22" s="84" t="s">
        <v>5</v>
      </c>
      <c r="B22" s="86">
        <f si="4" t="shared"/>
        <v>7.4618795265955955E-3</v>
      </c>
      <c r="C22" s="86">
        <f si="4" t="shared"/>
        <v>8.1092410056159935E-3</v>
      </c>
      <c r="D22" s="86">
        <f ref="D22:G22" si="16" t="shared">D8/$H$13</f>
        <v>1.1694515481046778E-2</v>
      </c>
      <c r="E22" s="86">
        <f si="16" t="shared"/>
        <v>3.876605051164812E-3</v>
      </c>
      <c r="F22" s="86">
        <f si="16" t="shared"/>
        <v>1.3926292596688483E-2</v>
      </c>
      <c r="G22" s="86">
        <f si="16" t="shared"/>
        <v>1.6448279355231071E-3</v>
      </c>
      <c r="H22" s="86">
        <f si="6" t="shared"/>
        <v>1.557112053221159E-2</v>
      </c>
      <c r="J22" s="84" t="s">
        <v>5</v>
      </c>
      <c r="K22" s="86">
        <f si="7" t="shared"/>
        <v>2.7345583191942528E-3</v>
      </c>
      <c r="L22" s="86">
        <f si="7" t="shared"/>
        <v>3.8867429575346257E-3</v>
      </c>
      <c r="M22" s="86">
        <f ref="M22:P22" si="17" t="shared">M8/$Q$13</f>
        <v>5.1803184000577592E-3</v>
      </c>
      <c r="N22" s="86">
        <f si="17" t="shared"/>
        <v>1.4409828766711189E-3</v>
      </c>
      <c r="O22" s="86">
        <f si="17" t="shared"/>
        <v>6.0226465951891024E-3</v>
      </c>
      <c r="P22" s="86">
        <f si="17" t="shared"/>
        <v>5.986546815397759E-4</v>
      </c>
      <c r="Q22" s="86">
        <f si="9" t="shared"/>
        <v>6.621301276728879E-3</v>
      </c>
    </row>
    <row r="23" spans="1:22" x14ac:dyDescent="0.25">
      <c r="A23" s="84" t="s">
        <v>6</v>
      </c>
      <c r="B23" s="86">
        <f si="4" t="shared"/>
        <v>5.2626322188345542E-4</v>
      </c>
      <c r="C23" s="86">
        <f si="4" t="shared"/>
        <v>5.7760807318904192E-3</v>
      </c>
      <c r="D23" s="86">
        <f ref="D23:G23" si="18" t="shared">D9/$H$13</f>
        <v>4.7810551832975553E-3</v>
      </c>
      <c r="E23" s="86">
        <f si="18" t="shared"/>
        <v>1.5212887704763192E-3</v>
      </c>
      <c r="F23" s="86">
        <f si="18" t="shared"/>
        <v>5.9540315697013202E-3</v>
      </c>
      <c r="G23" s="86">
        <f si="18" t="shared"/>
        <v>3.4831238407255358E-4</v>
      </c>
      <c r="H23" s="86">
        <f si="6" t="shared"/>
        <v>6.3023439537738743E-3</v>
      </c>
      <c r="J23" s="84" t="s">
        <v>6</v>
      </c>
      <c r="K23" s="86">
        <f si="7" t="shared"/>
        <v>7.5959953310951467E-4</v>
      </c>
      <c r="L23" s="86">
        <f si="7" t="shared"/>
        <v>1.0995391261446639E-2</v>
      </c>
      <c r="M23" s="86">
        <f ref="M23:P23" si="19" t="shared">M9/$Q$13</f>
        <v>8.0547633659434677E-3</v>
      </c>
      <c r="N23" s="86">
        <f si="19" t="shared"/>
        <v>3.7002274286126857E-3</v>
      </c>
      <c r="O23" s="86">
        <f si="19" t="shared"/>
        <v>9.4596464628232436E-3</v>
      </c>
      <c r="P23" s="86">
        <f si="19" t="shared"/>
        <v>2.2953443317329097E-3</v>
      </c>
      <c r="Q23" s="86">
        <f si="9" t="shared"/>
        <v>1.1754990794556153E-2</v>
      </c>
    </row>
    <row r="24" spans="1:22" x14ac:dyDescent="0.25">
      <c r="A24" s="84" t="s">
        <v>7</v>
      </c>
      <c r="B24" s="86">
        <f si="4" t="shared"/>
        <v>5.8145462053563169E-4</v>
      </c>
      <c r="C24" s="86">
        <f si="4" t="shared"/>
        <v>8.190863486633549E-3</v>
      </c>
      <c r="D24" s="86">
        <f ref="D24:G24" si="20" t="shared">D10/$H$13</f>
        <v>3.9189597302125862E-3</v>
      </c>
      <c r="E24" s="86">
        <f si="20" t="shared"/>
        <v>4.8533583769565939E-3</v>
      </c>
      <c r="F24" s="86">
        <f si="20" t="shared"/>
        <v>5.3886271072139105E-3</v>
      </c>
      <c r="G24" s="86">
        <f si="20" t="shared"/>
        <v>3.3836909999552692E-3</v>
      </c>
      <c r="H24" s="86">
        <f si="6" t="shared"/>
        <v>8.772318107169181E-3</v>
      </c>
      <c r="J24" s="84" t="s">
        <v>7</v>
      </c>
      <c r="K24" s="86">
        <f si="7" t="shared"/>
        <v>3.0534397073511183E-4</v>
      </c>
      <c r="L24" s="86">
        <f si="7" t="shared"/>
        <v>5.8827599484976472E-3</v>
      </c>
      <c r="M24" s="86">
        <f ref="M24:P24" si="21" t="shared">M10/$Q$13</f>
        <v>7.5358290314429084E-4</v>
      </c>
      <c r="N24" s="86">
        <f si="21" t="shared"/>
        <v>5.4345210160884685E-3</v>
      </c>
      <c r="O24" s="86">
        <f si="21" t="shared"/>
        <v>3.3828501979471259E-3</v>
      </c>
      <c r="P24" s="86">
        <f si="21" t="shared"/>
        <v>2.8052537212856334E-3</v>
      </c>
      <c r="Q24" s="86">
        <f si="9" t="shared"/>
        <v>6.1881039192327597E-3</v>
      </c>
    </row>
    <row r="25" spans="1:22" x14ac:dyDescent="0.25">
      <c r="A25" s="84" t="s">
        <v>8</v>
      </c>
      <c r="B25" s="86">
        <f si="4" t="shared"/>
        <v>1.7550260224654738E-4</v>
      </c>
      <c r="C25" s="86">
        <f si="4" t="shared"/>
        <v>4.0655573300250441E-4</v>
      </c>
      <c r="D25" s="86">
        <f ref="D25:G26" si="22" t="shared">D11/$H$13</f>
        <v>3.2940898609590019E-4</v>
      </c>
      <c r="E25" s="86">
        <f si="22" t="shared"/>
        <v>2.5264934915315157E-4</v>
      </c>
      <c r="F25" s="86">
        <f si="22" t="shared"/>
        <v>5.0561445586325246E-4</v>
      </c>
      <c r="G25" s="86">
        <f si="22" t="shared"/>
        <v>7.6443879385799314E-5</v>
      </c>
      <c r="H25" s="86">
        <f si="6" t="shared"/>
        <v>5.8205833524905171E-4</v>
      </c>
      <c r="J25" s="84" t="s">
        <v>8</v>
      </c>
      <c r="K25" s="86">
        <f si="7" t="shared"/>
        <v>0</v>
      </c>
      <c r="L25" s="86">
        <f si="7" t="shared"/>
        <v>0</v>
      </c>
      <c r="M25" s="86">
        <f ref="M25:P26" si="23" t="shared">M11/$Q$13</f>
        <v>0</v>
      </c>
      <c r="N25" s="86">
        <f si="23" t="shared"/>
        <v>0</v>
      </c>
      <c r="O25" s="86">
        <f si="23" t="shared"/>
        <v>0</v>
      </c>
      <c r="P25" s="86">
        <f si="23" t="shared"/>
        <v>0</v>
      </c>
      <c r="Q25" s="86">
        <f si="9" t="shared"/>
        <v>0</v>
      </c>
    </row>
    <row r="26" spans="1:22" x14ac:dyDescent="0.25">
      <c r="A26" s="12" t="s">
        <v>302</v>
      </c>
      <c r="B26" s="14">
        <f si="4" t="shared"/>
        <v>0</v>
      </c>
      <c r="C26" s="14">
        <f si="4" t="shared"/>
        <v>0</v>
      </c>
      <c r="D26" s="14">
        <f si="22" t="shared"/>
        <v>0</v>
      </c>
      <c r="E26" s="14">
        <f si="22" t="shared"/>
        <v>0</v>
      </c>
      <c r="F26" s="14">
        <f si="22" t="shared"/>
        <v>0</v>
      </c>
      <c r="G26" s="14">
        <f si="22" t="shared"/>
        <v>0</v>
      </c>
      <c r="H26" s="14">
        <f si="6" t="shared"/>
        <v>0</v>
      </c>
      <c r="J26" s="12" t="s">
        <v>302</v>
      </c>
      <c r="K26" s="14">
        <f si="7" t="shared"/>
        <v>0</v>
      </c>
      <c r="L26" s="14">
        <f si="7" t="shared"/>
        <v>0</v>
      </c>
      <c r="M26" s="14">
        <f si="23" t="shared"/>
        <v>0</v>
      </c>
      <c r="N26" s="14">
        <f si="23" t="shared"/>
        <v>0</v>
      </c>
      <c r="O26" s="14">
        <f si="23" t="shared"/>
        <v>0</v>
      </c>
      <c r="P26" s="14">
        <f si="23" t="shared"/>
        <v>0</v>
      </c>
      <c r="Q26" s="14">
        <f si="9" t="shared"/>
        <v>0</v>
      </c>
    </row>
    <row ht="15.75" r="27" spans="1:22" thickBot="1" x14ac:dyDescent="0.3">
      <c r="A27" s="85" t="s">
        <v>19</v>
      </c>
      <c r="B27" s="89">
        <f si="4" t="shared"/>
        <v>1.0934978319418002E-2</v>
      </c>
      <c r="C27" s="89">
        <f si="4" t="shared"/>
        <v>0.98906502168058197</v>
      </c>
      <c r="D27" s="89">
        <f ref="D27:G27" si="24" t="shared">D13/$H$13</f>
        <v>0.85648727133248537</v>
      </c>
      <c r="E27" s="89">
        <f si="24" t="shared"/>
        <v>0.14351272866751463</v>
      </c>
      <c r="F27" s="89">
        <f si="24" t="shared"/>
        <v>0.94488545681950697</v>
      </c>
      <c r="G27" s="89">
        <f si="24" t="shared"/>
        <v>5.5114543180492949E-2</v>
      </c>
      <c r="H27" s="89">
        <f si="6" t="shared"/>
        <v>1</v>
      </c>
      <c r="J27" s="85" t="s">
        <v>19</v>
      </c>
      <c r="K27" s="89">
        <f si="7" t="shared"/>
        <v>5.6059949700973492E-3</v>
      </c>
      <c r="L27" s="89">
        <f si="7" t="shared"/>
        <v>0.99439400502990261</v>
      </c>
      <c r="M27" s="89">
        <f ref="M27:P27" si="25" t="shared">M13/$Q$13</f>
        <v>0.82658869114231737</v>
      </c>
      <c r="N27" s="89">
        <f si="25" t="shared"/>
        <v>0.17341130885768263</v>
      </c>
      <c r="O27" s="89">
        <f si="25" t="shared"/>
        <v>0.92908499091488872</v>
      </c>
      <c r="P27" s="89">
        <f si="25" t="shared"/>
        <v>7.0915009085111252E-2</v>
      </c>
      <c r="Q27" s="89">
        <f si="9" t="shared"/>
        <v>1</v>
      </c>
    </row>
    <row ht="15.75" r="30" spans="1:22" thickBot="1" x14ac:dyDescent="0.3">
      <c r="J30" s="1" t="s">
        <v>20</v>
      </c>
      <c r="K30" s="1"/>
      <c r="L30" s="3"/>
      <c r="M30" s="3"/>
      <c r="N30" s="3"/>
      <c r="O30" s="3"/>
      <c r="P30" s="3"/>
      <c r="Q30" s="3"/>
      <c r="S30" s="15" t="s">
        <v>35</v>
      </c>
      <c r="T30" s="15"/>
      <c r="U30" s="16"/>
      <c r="V30" s="16"/>
    </row>
    <row r="31" spans="1:22" x14ac:dyDescent="0.25">
      <c r="J31" s="2" t="s">
        <v>0</v>
      </c>
      <c r="K31" s="4" t="s">
        <v>9</v>
      </c>
      <c r="L31" s="4" t="s">
        <v>10</v>
      </c>
      <c r="M31" s="4" t="s">
        <v>248</v>
      </c>
      <c r="N31" s="4" t="s">
        <v>247</v>
      </c>
      <c r="O31" s="4" t="s">
        <v>249</v>
      </c>
      <c r="P31" s="4" t="s">
        <v>250</v>
      </c>
      <c r="Q31" s="4" t="s">
        <v>19</v>
      </c>
      <c r="S31" s="18" t="s">
        <v>0</v>
      </c>
      <c r="T31" s="19" t="s">
        <v>46</v>
      </c>
      <c r="U31" s="19" t="s">
        <v>33</v>
      </c>
      <c r="V31" s="20" t="s">
        <v>34</v>
      </c>
    </row>
    <row r="32" spans="1:22" x14ac:dyDescent="0.25">
      <c r="J32" s="84" t="s">
        <v>1</v>
      </c>
      <c r="K32" s="86">
        <f ref="K32:K40" si="26" t="shared">K18-B18</f>
        <v>-1.3684386793519831E-3</v>
      </c>
      <c r="L32" s="86">
        <f ref="L32:L40" si="27" t="shared">L18-C18</f>
        <v>3.4247670975198208E-2</v>
      </c>
      <c r="M32" s="86">
        <f ref="M32:P32" si="28" t="shared">M18-D18</f>
        <v>9.9689109261790199E-3</v>
      </c>
      <c r="N32" s="86">
        <f si="28" t="shared"/>
        <v>2.2910321369667155E-2</v>
      </c>
      <c r="O32" s="86">
        <f si="28" t="shared"/>
        <v>2.23088031506119E-2</v>
      </c>
      <c r="P32" s="86">
        <f si="28" t="shared"/>
        <v>1.0570429145234223E-2</v>
      </c>
      <c r="Q32" s="86">
        <f ref="Q32:Q40" si="29" t="shared">Q18-H18</f>
        <v>3.4247670975198208E-2</v>
      </c>
      <c r="S32" s="82" t="s">
        <v>1</v>
      </c>
      <c r="T32" s="90">
        <f ref="T32:T39" si="30" t="shared">H18</f>
        <v>0.69042983765866583</v>
      </c>
      <c r="U32" s="90">
        <f ref="U32:U39" si="31" t="shared">Q18</f>
        <v>0.72467750863386404</v>
      </c>
      <c r="V32" s="90">
        <f>U32-T32</f>
        <v>3.4247670975198208E-2</v>
      </c>
    </row>
    <row r="33" spans="10:22" x14ac:dyDescent="0.25">
      <c r="J33" s="84" t="s">
        <v>2</v>
      </c>
      <c r="K33" s="86">
        <f si="26" t="shared"/>
        <v>3.5966787156368227E-4</v>
      </c>
      <c r="L33" s="86">
        <f si="27" t="shared"/>
        <v>-1.7611199764678981E-2</v>
      </c>
      <c r="M33" s="86">
        <f ref="M33:P33" si="32" t="shared">M19-D19</f>
        <v>-2.2291338983022935E-2</v>
      </c>
      <c r="N33" s="86">
        <f si="32" t="shared"/>
        <v>5.0398070899076788E-3</v>
      </c>
      <c r="O33" s="86">
        <f si="32" t="shared"/>
        <v>-1.9347054868560226E-2</v>
      </c>
      <c r="P33" s="86">
        <f si="32" t="shared"/>
        <v>2.0955229754449634E-3</v>
      </c>
      <c r="Q33" s="86">
        <f si="29" t="shared"/>
        <v>-1.7935751232791286E-2</v>
      </c>
      <c r="S33" s="87" t="s">
        <v>2</v>
      </c>
      <c r="T33" s="88">
        <f si="30" t="shared"/>
        <v>0.19538873126961306</v>
      </c>
      <c r="U33" s="88">
        <f si="31" t="shared"/>
        <v>0.17745298003682178</v>
      </c>
      <c r="V33" s="88">
        <f ref="V33:V41" si="33" t="shared">U33-T33</f>
        <v>-1.7935751232791286E-2</v>
      </c>
    </row>
    <row r="34" spans="10:22" x14ac:dyDescent="0.25">
      <c r="J34" s="84" t="s">
        <v>3</v>
      </c>
      <c r="K34" s="86">
        <f si="26" t="shared"/>
        <v>5.4450501185276099E-4</v>
      </c>
      <c r="L34" s="86">
        <f si="27" t="shared"/>
        <v>-3.9514507652931435E-3</v>
      </c>
      <c r="M34" s="86">
        <f ref="M34:P34" si="34" t="shared">M20-D20</f>
        <v>-6.6611122739367035E-3</v>
      </c>
      <c r="N34" s="86">
        <f si="34" t="shared"/>
        <v>3.2541665204963207E-3</v>
      </c>
      <c r="O34" s="86">
        <f si="34" t="shared"/>
        <v>-7.1039586437059571E-3</v>
      </c>
      <c r="P34" s="86">
        <f si="34" t="shared"/>
        <v>3.6970128902655821E-3</v>
      </c>
      <c r="Q34" s="86">
        <f si="29" t="shared"/>
        <v>-4.0911650931163834E-3</v>
      </c>
      <c r="S34" s="83" t="s">
        <v>3</v>
      </c>
      <c r="T34" s="91">
        <f si="30" t="shared"/>
        <v>7.2728879736390389E-2</v>
      </c>
      <c r="U34" s="91">
        <f si="31" t="shared"/>
        <v>6.8637714643274006E-2</v>
      </c>
      <c r="V34" s="91">
        <f si="33" t="shared"/>
        <v>-4.0911650931163834E-3</v>
      </c>
    </row>
    <row r="35" spans="10:22" x14ac:dyDescent="0.25">
      <c r="J35" s="84" t="s">
        <v>4</v>
      </c>
      <c r="K35" s="86">
        <f si="26" t="shared"/>
        <v>8.0880594837238329E-5</v>
      </c>
      <c r="L35" s="86">
        <f si="27" t="shared"/>
        <v>-5.6381903062418942E-3</v>
      </c>
      <c r="M35" s="86">
        <f ref="M35:P35" si="35" t="shared">M21-D21</f>
        <v>-4.1797651478800903E-3</v>
      </c>
      <c r="N35" s="86">
        <f si="35" t="shared"/>
        <v>-1.3775445635245641E-3</v>
      </c>
      <c r="O35" s="86">
        <f si="35" t="shared"/>
        <v>-4.748833069456589E-3</v>
      </c>
      <c r="P35" s="86">
        <f si="35" t="shared"/>
        <v>-8.0847664194806635E-4</v>
      </c>
      <c r="Q35" s="86">
        <f si="29" t="shared"/>
        <v>-5.5573097114046564E-3</v>
      </c>
      <c r="S35" s="87" t="s">
        <v>4</v>
      </c>
      <c r="T35" s="88">
        <f si="30" t="shared"/>
        <v>1.022471040692708E-2</v>
      </c>
      <c r="U35" s="88">
        <f si="31" t="shared"/>
        <v>4.6674006955224239E-3</v>
      </c>
      <c r="V35" s="88">
        <f si="33" t="shared"/>
        <v>-5.5573097114046564E-3</v>
      </c>
    </row>
    <row r="36" spans="10:22" x14ac:dyDescent="0.25">
      <c r="J36" s="84" t="s">
        <v>5</v>
      </c>
      <c r="K36" s="86">
        <f si="26" t="shared"/>
        <v>-4.7273212074013422E-3</v>
      </c>
      <c r="L36" s="86">
        <f si="27" t="shared"/>
        <v>-4.2224980480813678E-3</v>
      </c>
      <c r="M36" s="86">
        <f ref="M36:P36" si="36" t="shared">M22-D22</f>
        <v>-6.5141970809890187E-3</v>
      </c>
      <c r="N36" s="86">
        <f si="36" t="shared"/>
        <v>-2.4356221744936931E-3</v>
      </c>
      <c r="O36" s="86">
        <f si="36" t="shared"/>
        <v>-7.9036460014993808E-3</v>
      </c>
      <c r="P36" s="86">
        <f si="36" t="shared"/>
        <v>-1.0461732539833312E-3</v>
      </c>
      <c r="Q36" s="86">
        <f si="29" t="shared"/>
        <v>-8.9498192554827109E-3</v>
      </c>
      <c r="S36" s="83" t="s">
        <v>5</v>
      </c>
      <c r="T36" s="91">
        <f si="30" t="shared"/>
        <v>1.557112053221159E-2</v>
      </c>
      <c r="U36" s="91">
        <f si="31" t="shared"/>
        <v>6.621301276728879E-3</v>
      </c>
      <c r="V36" s="91">
        <f si="33" t="shared"/>
        <v>-8.9498192554827109E-3</v>
      </c>
    </row>
    <row r="37" spans="10:22" x14ac:dyDescent="0.25">
      <c r="J37" s="84" t="s">
        <v>6</v>
      </c>
      <c r="K37" s="86">
        <f si="26" t="shared"/>
        <v>2.3333631122605925E-4</v>
      </c>
      <c r="L37" s="86">
        <f si="27" t="shared"/>
        <v>5.2193105295562196E-3</v>
      </c>
      <c r="M37" s="86">
        <f ref="M37:P37" si="37" t="shared">M23-D23</f>
        <v>3.2737081826459125E-3</v>
      </c>
      <c r="N37" s="86">
        <f si="37" t="shared"/>
        <v>2.1789386581363666E-3</v>
      </c>
      <c r="O37" s="86">
        <f si="37" t="shared"/>
        <v>3.5056148931219234E-3</v>
      </c>
      <c r="P37" s="86">
        <f si="37" t="shared"/>
        <v>1.9470319476603561E-3</v>
      </c>
      <c r="Q37" s="86">
        <f si="29" t="shared"/>
        <v>5.4526468407822791E-3</v>
      </c>
      <c r="S37" s="87" t="s">
        <v>6</v>
      </c>
      <c r="T37" s="88">
        <f si="30" t="shared"/>
        <v>6.3023439537738743E-3</v>
      </c>
      <c r="U37" s="88">
        <f si="31" t="shared"/>
        <v>1.1754990794556153E-2</v>
      </c>
      <c r="V37" s="88">
        <f si="33" t="shared"/>
        <v>5.4526468407822791E-3</v>
      </c>
    </row>
    <row r="38" spans="10:22" x14ac:dyDescent="0.25">
      <c r="J38" s="84" t="s">
        <v>7</v>
      </c>
      <c r="K38" s="86">
        <f si="26" t="shared"/>
        <v>-2.7611064980051985E-4</v>
      </c>
      <c r="L38" s="86">
        <f si="27" t="shared"/>
        <v>-2.3081035381359019E-3</v>
      </c>
      <c r="M38" s="86">
        <f ref="M38:P38" si="38" t="shared">M24-D24</f>
        <v>-3.1653768270682955E-3</v>
      </c>
      <c r="N38" s="86">
        <f si="38" t="shared"/>
        <v>5.8116263913187468E-4</v>
      </c>
      <c r="O38" s="86">
        <f si="38" t="shared"/>
        <v>-2.0057769092667846E-3</v>
      </c>
      <c r="P38" s="86">
        <f si="38" t="shared"/>
        <v>-5.7843727866963577E-4</v>
      </c>
      <c r="Q38" s="86">
        <f si="29" t="shared"/>
        <v>-2.5842141879364212E-3</v>
      </c>
      <c r="S38" s="83" t="s">
        <v>7</v>
      </c>
      <c r="T38" s="91">
        <f si="30" t="shared"/>
        <v>8.772318107169181E-3</v>
      </c>
      <c r="U38" s="91">
        <f si="31" t="shared"/>
        <v>6.1881039192327597E-3</v>
      </c>
      <c r="V38" s="91">
        <f si="33" t="shared"/>
        <v>-2.5842141879364212E-3</v>
      </c>
    </row>
    <row r="39" spans="10:22" x14ac:dyDescent="0.25">
      <c r="J39" s="84" t="s">
        <v>8</v>
      </c>
      <c r="K39" s="86">
        <f si="26" t="shared"/>
        <v>-1.7550260224654738E-4</v>
      </c>
      <c r="L39" s="86">
        <f si="27" t="shared"/>
        <v>-4.0655573300250441E-4</v>
      </c>
      <c r="M39" s="86">
        <f ref="M39:P39" si="39" t="shared">M25-D25</f>
        <v>-3.2940898609590019E-4</v>
      </c>
      <c r="N39" s="86">
        <f si="39" t="shared"/>
        <v>-2.5264934915315157E-4</v>
      </c>
      <c r="O39" s="86">
        <f si="39" t="shared"/>
        <v>-5.0561445586325246E-4</v>
      </c>
      <c r="P39" s="86">
        <f si="39" t="shared"/>
        <v>-7.6443879385799314E-5</v>
      </c>
      <c r="Q39" s="86">
        <f si="29" t="shared"/>
        <v>-5.8205833524905171E-4</v>
      </c>
      <c r="S39" s="87" t="s">
        <v>8</v>
      </c>
      <c r="T39" s="88">
        <f si="30" t="shared"/>
        <v>5.8205833524905171E-4</v>
      </c>
      <c r="U39" s="88">
        <f si="31" t="shared"/>
        <v>0</v>
      </c>
      <c r="V39" s="88">
        <f si="33" t="shared"/>
        <v>-5.8205833524905171E-4</v>
      </c>
    </row>
    <row r="40" spans="10:22" x14ac:dyDescent="0.25">
      <c r="J40" s="12" t="s">
        <v>302</v>
      </c>
      <c r="K40" s="14">
        <f si="26" t="shared"/>
        <v>0</v>
      </c>
      <c r="L40" s="14">
        <f si="27" t="shared"/>
        <v>0</v>
      </c>
      <c r="M40" s="14">
        <f ref="M40" si="40" t="shared">M26-D26</f>
        <v>0</v>
      </c>
      <c r="N40" s="14">
        <f ref="N40" si="41" t="shared">N26-E26</f>
        <v>0</v>
      </c>
      <c r="O40" s="14">
        <f ref="O40" si="42" t="shared">O26-F26</f>
        <v>0</v>
      </c>
      <c r="P40" s="14">
        <f ref="P40" si="43" t="shared">P26-G26</f>
        <v>0</v>
      </c>
      <c r="Q40" s="14">
        <f si="29" t="shared"/>
        <v>0</v>
      </c>
      <c r="S40" s="69" t="s">
        <v>302</v>
      </c>
      <c r="T40" s="92">
        <f ref="T40" si="44" t="shared">H26</f>
        <v>0</v>
      </c>
      <c r="U40" s="92">
        <f ref="U40" si="45" t="shared">Q26</f>
        <v>0</v>
      </c>
      <c r="V40" s="92">
        <f ref="V40" si="46" t="shared">U40-T40</f>
        <v>0</v>
      </c>
    </row>
    <row ht="15.75" r="41" spans="10:22" thickBot="1" x14ac:dyDescent="0.3">
      <c r="J41" s="85" t="s">
        <v>19</v>
      </c>
      <c r="K41" s="89">
        <f ref="K41" si="47" t="shared">K27-B27</f>
        <v>-5.3289833493206529E-3</v>
      </c>
      <c r="L41" s="89">
        <f ref="L41" si="48" t="shared">L27-C27</f>
        <v>5.3289833493206373E-3</v>
      </c>
      <c r="M41" s="89">
        <f ref="M41:P41" si="49" t="shared">M27-D27</f>
        <v>-2.9898580190168E-2</v>
      </c>
      <c r="N41" s="89">
        <f si="49" t="shared"/>
        <v>2.9898580190168E-2</v>
      </c>
      <c r="O41" s="89">
        <f si="49" t="shared"/>
        <v>-1.5800465904618255E-2</v>
      </c>
      <c r="P41" s="89">
        <f si="49" t="shared"/>
        <v>1.5800465904618304E-2</v>
      </c>
      <c r="Q41" s="89">
        <f ref="Q41" si="50" t="shared">Q27-H27</f>
        <v>0</v>
      </c>
      <c r="S41" s="93" t="s">
        <v>19</v>
      </c>
      <c r="T41" s="94">
        <f ref="T41" si="51" t="shared">H27</f>
        <v>1</v>
      </c>
      <c r="U41" s="94">
        <f ref="U41" si="52" t="shared">Q27</f>
        <v>1</v>
      </c>
      <c r="V41" s="94">
        <f si="33" t="shared"/>
        <v>0</v>
      </c>
    </row>
  </sheetData>
  <pageMargins bottom="0.75" footer="0.3" header="0.3" left="0.7" right="0.7" top="0.75"/>
  <pageSetup orientation="portrait"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2:W41"/>
  <sheetViews>
    <sheetView topLeftCell="F1" workbookViewId="0">
      <selection activeCell="R12" sqref="R12"/>
    </sheetView>
  </sheetViews>
  <sheetFormatPr defaultRowHeight="15" x14ac:dyDescent="0.25"/>
  <cols>
    <col min="1" max="8" customWidth="true" width="16.7109375" collapsed="true"/>
    <col min="10" max="17" customWidth="true" width="16.7109375" collapsed="true"/>
    <col min="19" max="19" customWidth="true" width="16.7109375" collapsed="true"/>
    <col min="20" max="22" customWidth="true" width="11.85546875" collapsed="true"/>
  </cols>
  <sheetData>
    <row ht="15.75" r="2" spans="1:17" thickBot="1" x14ac:dyDescent="0.3">
      <c r="A2" s="1" t="s">
        <v>47</v>
      </c>
      <c r="B2" s="1"/>
      <c r="C2" s="3"/>
      <c r="D2" s="3"/>
      <c r="E2" s="3"/>
      <c r="F2" s="3"/>
      <c r="G2" s="3"/>
      <c r="H2" s="3"/>
      <c r="J2" s="1" t="s">
        <v>12</v>
      </c>
      <c r="K2" s="1"/>
      <c r="L2" s="3"/>
      <c r="M2" s="3"/>
      <c r="N2" s="3"/>
      <c r="O2" s="3"/>
      <c r="P2" s="3"/>
      <c r="Q2" s="3"/>
    </row>
    <row r="3" spans="1:17" x14ac:dyDescent="0.25">
      <c r="A3" s="2" t="s">
        <v>0</v>
      </c>
      <c r="B3" s="4" t="s">
        <v>9</v>
      </c>
      <c r="C3" s="4" t="s">
        <v>10</v>
      </c>
      <c r="D3" s="7" t="s">
        <v>248</v>
      </c>
      <c r="E3" s="7" t="s">
        <v>247</v>
      </c>
      <c r="F3" s="7" t="s">
        <v>249</v>
      </c>
      <c r="G3" s="7" t="s">
        <v>250</v>
      </c>
      <c r="H3" s="7" t="s">
        <v>19</v>
      </c>
      <c r="J3" s="2" t="s">
        <v>0</v>
      </c>
      <c r="K3" s="4" t="s">
        <v>9</v>
      </c>
      <c r="L3" s="4" t="s">
        <v>10</v>
      </c>
      <c r="M3" s="7" t="s">
        <v>248</v>
      </c>
      <c r="N3" s="7" t="s">
        <v>247</v>
      </c>
      <c r="O3" s="7" t="s">
        <v>249</v>
      </c>
      <c r="P3" s="7" t="s">
        <v>250</v>
      </c>
      <c r="Q3" s="7" t="s">
        <v>19</v>
      </c>
    </row>
    <row r="4" spans="1:17" x14ac:dyDescent="0.25">
      <c r="A4" s="9" t="s">
        <v>1</v>
      </c>
      <c r="B4" s="9" t="n">
        <v>0.0</v>
      </c>
      <c r="C4" s="9" t="n">
        <v>27060.442840261683</v>
      </c>
      <c r="D4" s="9" t="n">
        <v>23565.599132320232</v>
      </c>
      <c r="E4" s="9" t="n">
        <v>3494.8437079414493</v>
      </c>
      <c r="F4" s="9" t="n">
        <v>26840.837086981643</v>
      </c>
      <c r="G4" s="9" t="n">
        <v>219.6057532800417</v>
      </c>
      <c r="H4" s="9">
        <f>SUM(B4:C4)-B4</f>
        <v>27060.442840261683</v>
      </c>
      <c r="I4" s="9"/>
      <c r="J4" s="9" t="s">
        <v>1</v>
      </c>
      <c r="K4" s="9" t="n">
        <v>0.0</v>
      </c>
      <c r="L4" s="9" t="n">
        <v>23093.0</v>
      </c>
      <c r="M4" s="9" t="n">
        <v>18247.0</v>
      </c>
      <c r="N4" s="9" t="n">
        <v>4846.0</v>
      </c>
      <c r="O4" s="9" t="n">
        <v>21716.0</v>
      </c>
      <c r="P4" s="9" t="n">
        <v>1377.0</v>
      </c>
      <c r="Q4" s="9">
        <f>SUM(K4:L4)</f>
        <v>23040</v>
      </c>
    </row>
    <row r="5" spans="1:17" x14ac:dyDescent="0.25">
      <c r="A5" s="9" t="s">
        <v>2</v>
      </c>
      <c r="B5" s="9" t="n">
        <v>393.9639869627305</v>
      </c>
      <c r="C5" s="9" t="n">
        <v>42466.73163503055</v>
      </c>
      <c r="D5" s="9" t="n">
        <v>33842.00391327244</v>
      </c>
      <c r="E5" s="9" t="n">
        <v>9018.69170872084</v>
      </c>
      <c r="F5" s="9" t="n">
        <v>41408.042550555205</v>
      </c>
      <c r="G5" s="9" t="n">
        <v>1452.6530714380758</v>
      </c>
      <c r="H5" s="9">
        <f>SUM(B5:C5)+0.5*B4</f>
        <v>42860.695621993276</v>
      </c>
      <c r="I5" s="9"/>
      <c r="J5" s="9" t="s">
        <v>2</v>
      </c>
      <c r="K5" s="9" t="n">
        <v>206.0</v>
      </c>
      <c r="L5" s="9" t="n">
        <v>40577.0</v>
      </c>
      <c r="M5" s="9" t="n">
        <v>30912.0</v>
      </c>
      <c r="N5" s="9" t="n">
        <v>9871.0</v>
      </c>
      <c r="O5" s="9" t="n">
        <v>38245.0</v>
      </c>
      <c r="P5" s="9" t="n">
        <v>2538.0</v>
      </c>
      <c r="Q5" s="9">
        <f ref="Q5:Q12" si="0" t="shared">SUM(K5:L5)</f>
        <v>40894</v>
      </c>
    </row>
    <row r="6" spans="1:17" x14ac:dyDescent="0.25">
      <c r="A6" s="9" t="s">
        <v>3</v>
      </c>
      <c r="B6" s="9" t="n">
        <v>446.6759248644808</v>
      </c>
      <c r="C6" s="9" t="n">
        <v>91581.99521009055</v>
      </c>
      <c r="D6" s="9" t="n">
        <v>75992.3400675959</v>
      </c>
      <c r="E6" s="9" t="n">
        <v>16036.331067359135</v>
      </c>
      <c r="F6" s="9" t="n">
        <v>91193.9237112261</v>
      </c>
      <c r="G6" s="9" t="n">
        <v>834.7474237289359</v>
      </c>
      <c r="H6" s="9">
        <f>SUM(B6:C6)+0.5*B4</f>
        <v>92028.671134955031</v>
      </c>
      <c r="I6" s="9"/>
      <c r="J6" s="9" t="s">
        <v>3</v>
      </c>
      <c r="K6" s="9" t="n">
        <v>382.0</v>
      </c>
      <c r="L6" s="9" t="n">
        <v>93653.0</v>
      </c>
      <c r="M6" s="9" t="n">
        <v>73899.0</v>
      </c>
      <c r="N6" s="9" t="n">
        <v>20136.0</v>
      </c>
      <c r="O6" s="9" t="n">
        <v>88738.0</v>
      </c>
      <c r="P6" s="9" t="n">
        <v>5297.0</v>
      </c>
      <c r="Q6" s="9">
        <f si="0" t="shared"/>
        <v>94175</v>
      </c>
    </row>
    <row r="7" spans="1:17" x14ac:dyDescent="0.25">
      <c r="A7" s="9" t="s">
        <v>4</v>
      </c>
      <c r="B7" s="117" t="n">
        <v>76.4326655486359</v>
      </c>
      <c r="C7" s="117" t="n">
        <v>958.0338034657341</v>
      </c>
      <c r="D7" s="117" t="n">
        <v>1034.46646901437</v>
      </c>
      <c r="E7" s="117" t="n">
        <v>0.0</v>
      </c>
      <c r="F7" s="117" t="n">
        <v>1034.46646901437</v>
      </c>
      <c r="G7" s="117" t="n">
        <v>0.0</v>
      </c>
      <c r="H7" s="117">
        <f ref="H7:H12" si="1" t="shared">SUM(B7:C7)</f>
        <v>1034.46646901437</v>
      </c>
      <c r="I7" s="9"/>
      <c r="J7" s="9" t="s">
        <v>4</v>
      </c>
      <c r="K7" s="9" t="n">
        <v>0.0</v>
      </c>
      <c r="L7" s="9" t="n">
        <v>0.0</v>
      </c>
      <c r="M7" s="9" t="n">
        <v>0.0</v>
      </c>
      <c r="N7" s="9" t="n">
        <v>0.0</v>
      </c>
      <c r="O7" s="9" t="n">
        <v>0.0</v>
      </c>
      <c r="P7" s="9" t="n">
        <v>0.0</v>
      </c>
      <c r="Q7" s="9">
        <f si="0" t="shared"/>
        <v>0</v>
      </c>
    </row>
    <row r="8" spans="1:17" x14ac:dyDescent="0.25">
      <c r="A8" s="9" t="s">
        <v>5</v>
      </c>
      <c r="B8" s="117" t="n">
        <v>2614.0281787655404</v>
      </c>
      <c r="C8" s="117" t="n">
        <v>1448.1839792639032</v>
      </c>
      <c r="D8" s="117" t="n">
        <v>3401.5568457733084</v>
      </c>
      <c r="E8" s="117" t="n">
        <v>660.6553122561348</v>
      </c>
      <c r="F8" s="117" t="n">
        <v>3862.237089456176</v>
      </c>
      <c r="G8" s="117" t="n">
        <v>199.9750685732672</v>
      </c>
      <c r="H8" s="117">
        <f si="1" t="shared"/>
        <v>4062.2121580294433</v>
      </c>
      <c r="I8" s="9"/>
      <c r="J8" s="9" t="s">
        <v>5</v>
      </c>
      <c r="K8" s="9" t="n">
        <v>460.0</v>
      </c>
      <c r="L8" s="9" t="n">
        <v>597.0</v>
      </c>
      <c r="M8" s="9" t="n">
        <v>825.0</v>
      </c>
      <c r="N8" s="9" t="n">
        <v>232.0</v>
      </c>
      <c r="O8" s="9" t="n">
        <v>1014.0</v>
      </c>
      <c r="P8" s="9" t="n">
        <v>43.0</v>
      </c>
      <c r="Q8" s="9">
        <f si="0" t="shared"/>
        <v>1126</v>
      </c>
    </row>
    <row r="9" spans="1:17" x14ac:dyDescent="0.25">
      <c r="A9" s="9" t="s">
        <v>6</v>
      </c>
      <c r="B9" s="9" t="n">
        <v>51.6529481029952</v>
      </c>
      <c r="C9" s="9" t="n">
        <v>539.8790596741097</v>
      </c>
      <c r="D9" s="9" t="n">
        <v>238.4668992633907</v>
      </c>
      <c r="E9" s="9" t="n">
        <v>353.06510851371416</v>
      </c>
      <c r="F9" s="9" t="n">
        <v>327.9345175699749</v>
      </c>
      <c r="G9" s="9" t="n">
        <v>263.59749020712997</v>
      </c>
      <c r="H9" s="9">
        <f si="1" t="shared"/>
        <v>591.53200777710492</v>
      </c>
      <c r="I9" s="9"/>
      <c r="J9" s="9" t="s">
        <v>6</v>
      </c>
      <c r="K9" s="9" t="n">
        <v>347.0</v>
      </c>
      <c r="L9" s="9" t="n">
        <v>1810.0</v>
      </c>
      <c r="M9" s="9" t="n">
        <v>1305.0</v>
      </c>
      <c r="N9" s="9" t="n">
        <v>852.0</v>
      </c>
      <c r="O9" s="9" t="n">
        <v>1957.0</v>
      </c>
      <c r="P9" s="9" t="n">
        <v>200.0</v>
      </c>
      <c r="Q9" s="9">
        <f si="0" t="shared"/>
        <v>2185</v>
      </c>
    </row>
    <row r="10" spans="1:17" x14ac:dyDescent="0.25">
      <c r="A10" s="9" t="s">
        <v>7</v>
      </c>
      <c r="B10" s="9" t="n">
        <v>185.4101100943579</v>
      </c>
      <c r="C10" s="9" t="n">
        <v>6614.347152377009</v>
      </c>
      <c r="D10" s="9" t="n">
        <v>4056.0725192601262</v>
      </c>
      <c r="E10" s="9" t="n">
        <v>2743.684743211241</v>
      </c>
      <c r="F10" s="9" t="n">
        <v>6600.466738125585</v>
      </c>
      <c r="G10" s="9" t="n">
        <v>199.29052434578222</v>
      </c>
      <c r="H10" s="9">
        <f si="1" t="shared"/>
        <v>6799.7572624713666</v>
      </c>
      <c r="I10" s="9"/>
      <c r="J10" s="9" t="s">
        <v>7</v>
      </c>
      <c r="K10" s="9" t="n">
        <v>68.0</v>
      </c>
      <c r="L10" s="9" t="n">
        <v>6253.0</v>
      </c>
      <c r="M10" s="9" t="n">
        <v>1762.0</v>
      </c>
      <c r="N10" s="9" t="n">
        <v>4559.0</v>
      </c>
      <c r="O10" s="9" t="n">
        <v>5147.0</v>
      </c>
      <c r="P10" s="9" t="n">
        <v>1174.0</v>
      </c>
      <c r="Q10" s="9">
        <f si="0" t="shared"/>
        <v>6224</v>
      </c>
    </row>
    <row r="11" spans="1:17" x14ac:dyDescent="0.25">
      <c r="A11" s="84" t="s">
        <v>8</v>
      </c>
      <c r="B11" s="84" t="n">
        <v>3069.9448476731795</v>
      </c>
      <c r="C11" s="84" t="n">
        <v>105887.99556710549</v>
      </c>
      <c r="D11" s="84" t="n">
        <v>81440.68348769855</v>
      </c>
      <c r="E11" s="84" t="n">
        <v>27517.256927080118</v>
      </c>
      <c r="F11" s="84" t="n">
        <v>101013.46804560345</v>
      </c>
      <c r="G11" s="84" t="n">
        <v>7944.472369175216</v>
      </c>
      <c r="H11" s="84">
        <f si="1" t="shared"/>
        <v>108957.94041477867</v>
      </c>
      <c r="I11" s="9"/>
      <c r="J11" s="84" t="s">
        <v>8</v>
      </c>
      <c r="K11" s="84" t="n">
        <v>3212.0</v>
      </c>
      <c r="L11" s="84" t="n">
        <v>96428.0</v>
      </c>
      <c r="M11" s="84" t="n">
        <v>71222.0</v>
      </c>
      <c r="N11" s="84" t="n">
        <v>28418.0</v>
      </c>
      <c r="O11" s="84" t="n">
        <v>92577.0</v>
      </c>
      <c r="P11" s="84" t="n">
        <v>7063.0</v>
      </c>
      <c r="Q11" s="84">
        <f si="0" t="shared"/>
        <v>99765</v>
      </c>
    </row>
    <row r="12" spans="1:17" x14ac:dyDescent="0.25">
      <c r="A12" s="12" t="s">
        <v>302</v>
      </c>
      <c r="B12" s="12" t="n">
        <v>0.0</v>
      </c>
      <c r="C12" s="12" t="n">
        <v>0.0</v>
      </c>
      <c r="D12" s="12" t="n">
        <v>0.0</v>
      </c>
      <c r="E12" s="12" t="n">
        <v>0.0</v>
      </c>
      <c r="F12" s="12" t="n">
        <v>0.0</v>
      </c>
      <c r="G12" s="12" t="n">
        <v>0.0</v>
      </c>
      <c r="H12" s="84">
        <f si="1" t="shared"/>
        <v>0</v>
      </c>
      <c r="I12" s="9"/>
      <c r="J12" s="12" t="s">
        <v>302</v>
      </c>
      <c r="K12" s="12" t="n">
        <v>0.0</v>
      </c>
      <c r="L12" s="12" t="n">
        <v>0.0</v>
      </c>
      <c r="M12" s="12" t="n">
        <v>0.0</v>
      </c>
      <c r="N12" s="12" t="n">
        <v>0.0</v>
      </c>
      <c r="O12" s="12" t="n">
        <v>0.0</v>
      </c>
      <c r="P12" s="12" t="n">
        <v>0.0</v>
      </c>
      <c r="Q12" s="84">
        <f si="0" t="shared"/>
        <v>0</v>
      </c>
    </row>
    <row ht="15.75" r="13" spans="1:17" thickBot="1" x14ac:dyDescent="0.3">
      <c r="A13" s="85" t="s">
        <v>19</v>
      </c>
      <c r="B13" s="85">
        <f>SUM(B4:B12)</f>
        <v>6838.1086620119204</v>
      </c>
      <c r="C13" s="85">
        <f ref="C13:H13" si="2" t="shared">SUM(C4:C12)</f>
        <v>276557.60924726905</v>
      </c>
      <c r="D13" s="85">
        <f si="2" t="shared"/>
        <v>223571.18933419834</v>
      </c>
      <c r="E13" s="85">
        <f si="2" t="shared"/>
        <v>59824.52857508263</v>
      </c>
      <c r="F13" s="85">
        <f si="2" t="shared"/>
        <v>272281.37620853254</v>
      </c>
      <c r="G13" s="85">
        <f si="2" t="shared"/>
        <v>11114.34170074845</v>
      </c>
      <c r="H13" s="85">
        <f si="2" t="shared"/>
        <v>283395.71790928091</v>
      </c>
      <c r="I13" s="9"/>
      <c r="J13" s="85" t="s">
        <v>19</v>
      </c>
      <c r="K13" s="85">
        <f>SUM(K4:K12)</f>
        <v>4683</v>
      </c>
      <c r="L13" s="85">
        <f ref="L13" si="3" t="shared">SUM(L4:L12)</f>
        <v>262726</v>
      </c>
      <c r="M13" s="85">
        <f ref="M13" si="4" t="shared">SUM(M4:M12)</f>
        <v>198520</v>
      </c>
      <c r="N13" s="85">
        <f ref="N13" si="5" t="shared">SUM(N4:N12)</f>
        <v>68889</v>
      </c>
      <c r="O13" s="85">
        <f ref="O13" si="6" t="shared">SUM(O4:O12)</f>
        <v>249904</v>
      </c>
      <c r="P13" s="85">
        <f ref="P13" si="7" t="shared">SUM(P4:P12)</f>
        <v>17505</v>
      </c>
      <c r="Q13" s="85">
        <f ref="Q13" si="8" t="shared">SUM(Q4:Q12)</f>
        <v>267409</v>
      </c>
    </row>
    <row ht="15.75" r="16" spans="1:17" thickBot="1" x14ac:dyDescent="0.3">
      <c r="A16" s="1" t="s">
        <v>47</v>
      </c>
      <c r="B16" s="1"/>
      <c r="C16" s="3"/>
      <c r="D16" s="3"/>
      <c r="E16" s="3"/>
      <c r="F16" s="3"/>
      <c r="G16" s="3"/>
      <c r="H16" s="3"/>
      <c r="J16" s="1" t="s">
        <v>12</v>
      </c>
      <c r="K16" s="1"/>
      <c r="L16" s="3"/>
      <c r="M16" s="3"/>
      <c r="N16" s="3"/>
      <c r="O16" s="3"/>
      <c r="P16" s="3"/>
      <c r="Q16" s="3"/>
    </row>
    <row r="17" spans="1:22" x14ac:dyDescent="0.25">
      <c r="A17" s="2" t="s">
        <v>0</v>
      </c>
      <c r="B17" s="4" t="s">
        <v>9</v>
      </c>
      <c r="C17" s="4" t="s">
        <v>10</v>
      </c>
      <c r="D17" s="7" t="s">
        <v>248</v>
      </c>
      <c r="E17" s="7" t="s">
        <v>247</v>
      </c>
      <c r="F17" s="7" t="s">
        <v>249</v>
      </c>
      <c r="G17" s="7" t="s">
        <v>250</v>
      </c>
      <c r="H17" s="7" t="s">
        <v>19</v>
      </c>
      <c r="J17" s="2" t="s">
        <v>0</v>
      </c>
      <c r="K17" s="4" t="s">
        <v>9</v>
      </c>
      <c r="L17" s="4" t="s">
        <v>10</v>
      </c>
      <c r="M17" s="7" t="s">
        <v>248</v>
      </c>
      <c r="N17" s="7" t="s">
        <v>247</v>
      </c>
      <c r="O17" s="7" t="s">
        <v>249</v>
      </c>
      <c r="P17" s="7" t="s">
        <v>250</v>
      </c>
      <c r="Q17" s="7" t="s">
        <v>19</v>
      </c>
    </row>
    <row r="18" spans="1:22" x14ac:dyDescent="0.25">
      <c r="A18" s="84" t="s">
        <v>1</v>
      </c>
      <c r="B18" s="86">
        <f ref="B18:C27" si="9" t="shared">B4/$H$13</f>
        <v>0</v>
      </c>
      <c r="C18" s="86">
        <f si="9" t="shared"/>
        <v>9.5486421036623165E-2</v>
      </c>
      <c r="D18" s="86">
        <f ref="D18:G18" si="10" t="shared">D4/$H$13</f>
        <v>8.3154393814319813E-2</v>
      </c>
      <c r="E18" s="86">
        <f si="10" t="shared"/>
        <v>1.2332027222303336E-2</v>
      </c>
      <c r="F18" s="86">
        <f si="10" t="shared"/>
        <v>9.4711512527418593E-2</v>
      </c>
      <c r="G18" s="86">
        <f si="10" t="shared"/>
        <v>7.7490850920457698E-4</v>
      </c>
      <c r="H18" s="86">
        <f ref="H18:H27" si="11" t="shared">H4/$H$13</f>
        <v>9.5486421036623165E-2</v>
      </c>
      <c r="J18" s="84" t="s">
        <v>1</v>
      </c>
      <c r="K18" s="86">
        <f ref="K18:L27" si="12" t="shared">K4/$Q$13</f>
        <v>0</v>
      </c>
      <c r="L18" s="86">
        <f si="12" t="shared"/>
        <v>8.6160151677767013E-2</v>
      </c>
      <c r="M18" s="86">
        <f ref="M18:P18" si="13" t="shared">M4/$Q$13</f>
        <v>6.7507077173917102E-2</v>
      </c>
      <c r="N18" s="86">
        <f si="13" t="shared"/>
        <v>1.8653074503849908E-2</v>
      </c>
      <c r="O18" s="86">
        <f si="13" t="shared"/>
        <v>8.102943431223332E-2</v>
      </c>
      <c r="P18" s="86">
        <f si="13" t="shared"/>
        <v>5.1307173655336952E-3</v>
      </c>
      <c r="Q18" s="86">
        <f ref="Q18:Q27" si="14" t="shared">Q4/$Q$13</f>
        <v>8.6160151677767013E-2</v>
      </c>
    </row>
    <row r="19" spans="1:22" x14ac:dyDescent="0.25">
      <c r="A19" s="84" t="s">
        <v>2</v>
      </c>
      <c r="B19" s="86">
        <f si="9" t="shared"/>
        <v>1.3901550449285337E-3</v>
      </c>
      <c r="C19" s="86">
        <f si="9" t="shared"/>
        <v>0.14984958823063363</v>
      </c>
      <c r="D19" s="86">
        <f ref="D19:G19" si="15" t="shared">D5/$H$13</f>
        <v>0.11941607361938249</v>
      </c>
      <c r="E19" s="86">
        <f si="15" t="shared"/>
        <v>3.1823669656179686E-2</v>
      </c>
      <c r="F19" s="86">
        <f si="15" t="shared"/>
        <v>0.14611386105632873</v>
      </c>
      <c r="G19" s="86">
        <f si="15" t="shared"/>
        <v>5.1258822192334292E-3</v>
      </c>
      <c r="H19" s="86">
        <f si="11" t="shared"/>
        <v>0.15123974327556217</v>
      </c>
      <c r="J19" s="84" t="s">
        <v>2</v>
      </c>
      <c r="K19" s="86">
        <f si="12" t="shared"/>
        <v>7.1800126398139177E-4</v>
      </c>
      <c r="L19" s="86">
        <f si="12" t="shared"/>
        <v>0.15220878878422192</v>
      </c>
      <c r="M19" s="86">
        <f ref="M19:P19" si="16" t="shared">M5/$Q$13</f>
        <v>0.11637229861373402</v>
      </c>
      <c r="N19" s="86">
        <f si="16" t="shared"/>
        <v>3.6554491434469295E-2</v>
      </c>
      <c r="O19" s="86">
        <f si="16" t="shared"/>
        <v>0.14353294017778009</v>
      </c>
      <c r="P19" s="86">
        <f si="16" t="shared"/>
        <v>9.3938498704232102E-3</v>
      </c>
      <c r="Q19" s="86">
        <f si="14" t="shared"/>
        <v>0.15292679004820331</v>
      </c>
    </row>
    <row r="20" spans="1:22" x14ac:dyDescent="0.25">
      <c r="A20" s="84" t="s">
        <v>3</v>
      </c>
      <c r="B20" s="86">
        <f si="9" t="shared"/>
        <v>1.576156224800363E-3</v>
      </c>
      <c r="C20" s="86">
        <f si="9" t="shared"/>
        <v>0.32315941781240065</v>
      </c>
      <c r="D20" s="86">
        <f ref="D20:G20" si="17" t="shared">D6/$H$13</f>
        <v>0.26814921773772937</v>
      </c>
      <c r="E20" s="86">
        <f si="17" t="shared"/>
        <v>5.6586356299471674E-2</v>
      </c>
      <c r="F20" s="86">
        <f si="17" t="shared"/>
        <v>0.32179005520619264</v>
      </c>
      <c r="G20" s="86">
        <f si="17" t="shared"/>
        <v>2.945518831008416E-3</v>
      </c>
      <c r="H20" s="86">
        <f si="11" t="shared"/>
        <v>0.32473557403720105</v>
      </c>
      <c r="J20" s="84" t="s">
        <v>3</v>
      </c>
      <c r="K20" s="86">
        <f si="12" t="shared"/>
        <v>1.3312940102988306E-3</v>
      </c>
      <c r="L20" s="86">
        <f si="12" t="shared"/>
        <v>0.35084458638265725</v>
      </c>
      <c r="M20" s="86">
        <f ref="M20:P20" si="18" t="shared">M6/$Q$13</f>
        <v>0.27674835177574425</v>
      </c>
      <c r="N20" s="86">
        <f si="18" t="shared"/>
        <v>7.5427528617211831E-2</v>
      </c>
      <c r="O20" s="86">
        <f si="18" t="shared"/>
        <v>0.3325243353813821</v>
      </c>
      <c r="P20" s="86">
        <f si="18" t="shared"/>
        <v>1.9651545011574029E-2</v>
      </c>
      <c r="Q20" s="86">
        <f si="14" t="shared"/>
        <v>0.35217588039295611</v>
      </c>
    </row>
    <row r="21" spans="1:22" x14ac:dyDescent="0.25">
      <c r="A21" s="84" t="s">
        <v>4</v>
      </c>
      <c r="B21" s="86">
        <f si="9" t="shared"/>
        <v>2.697029655652846E-4</v>
      </c>
      <c r="C21" s="86">
        <f si="9" t="shared"/>
        <v>3.3805514442261778E-3</v>
      </c>
      <c r="D21" s="86">
        <f ref="D21:G21" si="19" t="shared">D7/$H$13</f>
        <v>3.6502544097914624E-3</v>
      </c>
      <c r="E21" s="86">
        <f si="19" t="shared"/>
        <v>0</v>
      </c>
      <c r="F21" s="86">
        <f si="19" t="shared"/>
        <v>3.6502544097914624E-3</v>
      </c>
      <c r="G21" s="86">
        <f si="19" t="shared"/>
        <v>0</v>
      </c>
      <c r="H21" s="86">
        <f si="11" t="shared"/>
        <v>3.6502544097914624E-3</v>
      </c>
      <c r="J21" s="84" t="s">
        <v>4</v>
      </c>
      <c r="K21" s="86">
        <f si="12" t="shared"/>
        <v>0</v>
      </c>
      <c r="L21" s="86">
        <f si="12" t="shared"/>
        <v>0</v>
      </c>
      <c r="M21" s="86">
        <f ref="M21:P21" si="20" t="shared">M7/$Q$13</f>
        <v>0</v>
      </c>
      <c r="N21" s="86">
        <f si="20" t="shared"/>
        <v>0</v>
      </c>
      <c r="O21" s="86">
        <f si="20" t="shared"/>
        <v>0</v>
      </c>
      <c r="P21" s="86">
        <f si="20" t="shared"/>
        <v>0</v>
      </c>
      <c r="Q21" s="86">
        <f si="14" t="shared"/>
        <v>0</v>
      </c>
    </row>
    <row r="22" spans="1:22" x14ac:dyDescent="0.25">
      <c r="A22" s="84" t="s">
        <v>5</v>
      </c>
      <c r="B22" s="86">
        <f si="9" t="shared"/>
        <v>9.2239508700068962E-3</v>
      </c>
      <c r="C22" s="86">
        <f si="9" t="shared"/>
        <v>5.1101124249431605E-3</v>
      </c>
      <c r="D22" s="86">
        <f ref="D22:G22" si="21" t="shared">D8/$H$13</f>
        <v>1.2002851951567582E-2</v>
      </c>
      <c r="E22" s="86">
        <f si="21" t="shared"/>
        <v>2.3312113433824719E-3</v>
      </c>
      <c r="F22" s="86">
        <f si="21" t="shared"/>
        <v>1.362842430347707E-2</v>
      </c>
      <c r="G22" s="86">
        <f si="21" t="shared"/>
        <v>7.0563899147298387E-4</v>
      </c>
      <c r="H22" s="86">
        <f si="11" t="shared"/>
        <v>1.4334063294950055E-2</v>
      </c>
      <c r="J22" s="84" t="s">
        <v>5</v>
      </c>
      <c r="K22" s="86">
        <f si="12" t="shared"/>
        <v>1.9034512675340021E-3</v>
      </c>
      <c r="L22" s="86">
        <f si="12" t="shared"/>
        <v>2.3073269785235349E-3</v>
      </c>
      <c r="M22" s="86">
        <f ref="M22:P22" si="22" t="shared">M8/$Q$13</f>
        <v>3.2684015870819605E-3</v>
      </c>
      <c r="N22" s="86">
        <f si="22" t="shared"/>
        <v>9.4237665897557677E-4</v>
      </c>
      <c r="O22" s="86">
        <f si="22" t="shared"/>
        <v>3.982663261146783E-3</v>
      </c>
      <c r="P22" s="86">
        <f si="22" t="shared"/>
        <v>2.281149849107547E-4</v>
      </c>
      <c r="Q22" s="86">
        <f si="14" t="shared"/>
        <v>4.2107782460575373E-3</v>
      </c>
    </row>
    <row r="23" spans="1:22" x14ac:dyDescent="0.25">
      <c r="A23" s="84" t="s">
        <v>6</v>
      </c>
      <c r="B23" s="86">
        <f si="9" t="shared"/>
        <v>1.8226439158664371E-4</v>
      </c>
      <c r="C23" s="86">
        <f si="9" t="shared"/>
        <v>1.9050360522629099E-3</v>
      </c>
      <c r="D23" s="86">
        <f ref="D23:G23" si="23" t="shared">D9/$H$13</f>
        <v>8.4146260579606724E-4</v>
      </c>
      <c r="E23" s="86">
        <f si="23" t="shared"/>
        <v>1.2458378380534863E-3</v>
      </c>
      <c r="F23" s="86">
        <f si="23" t="shared"/>
        <v>1.1571611596296297E-3</v>
      </c>
      <c r="G23" s="86">
        <f si="23" t="shared"/>
        <v>9.3013928421992371E-4</v>
      </c>
      <c r="H23" s="86">
        <f si="11" t="shared"/>
        <v>2.0873004438495537E-3</v>
      </c>
      <c r="J23" s="84" t="s">
        <v>6</v>
      </c>
      <c r="K23" s="86">
        <f si="12" t="shared"/>
        <v>1.3425127800485398E-3</v>
      </c>
      <c r="L23" s="86">
        <f si="12" t="shared"/>
        <v>6.8284911876563617E-3</v>
      </c>
      <c r="M23" s="86">
        <f ref="M23:P23" si="24" t="shared">M9/$Q$13</f>
        <v>5.0634047470354401E-3</v>
      </c>
      <c r="N23" s="86">
        <f si="24" t="shared"/>
        <v>3.1075992206694614E-3</v>
      </c>
      <c r="O23" s="86">
        <f si="24" t="shared"/>
        <v>7.4791798331394982E-3</v>
      </c>
      <c r="P23" s="86">
        <f si="24" t="shared"/>
        <v>6.9182413456540359E-4</v>
      </c>
      <c r="Q23" s="86">
        <f si="14" t="shared"/>
        <v>8.1710039677049019E-3</v>
      </c>
    </row>
    <row r="24" spans="1:22" x14ac:dyDescent="0.25">
      <c r="A24" s="84" t="s">
        <v>7</v>
      </c>
      <c r="B24" s="86">
        <f si="9" t="shared"/>
        <v>6.5424457173241543E-4</v>
      </c>
      <c r="C24" s="86">
        <f si="9" t="shared"/>
        <v>2.3339615718873909E-2</v>
      </c>
      <c r="D24" s="86">
        <f ref="D24:G24" si="25" t="shared">D10/$H$13</f>
        <v>1.4312398751764252E-2</v>
      </c>
      <c r="E24" s="86">
        <f si="25" t="shared"/>
        <v>9.681461538842074E-3</v>
      </c>
      <c r="F24" s="86">
        <f si="25" t="shared"/>
        <v>2.3290636805734979E-2</v>
      </c>
      <c r="G24" s="86">
        <f si="25" t="shared"/>
        <v>7.0322348487134869E-4</v>
      </c>
      <c r="H24" s="86">
        <f si="11" t="shared"/>
        <v>2.3993860290606323E-2</v>
      </c>
      <c r="J24" s="84" t="s">
        <v>7</v>
      </c>
      <c r="K24" s="86">
        <f si="12" t="shared"/>
        <v>3.4404227232441689E-4</v>
      </c>
      <c r="L24" s="86">
        <f si="12" t="shared"/>
        <v>2.2931165368405702E-2</v>
      </c>
      <c r="M24" s="86">
        <f ref="M24:P24" si="26" t="shared">M10/$Q$13</f>
        <v>6.6714284111604322E-3</v>
      </c>
      <c r="N24" s="86">
        <f si="26" t="shared"/>
        <v>1.6603779229569685E-2</v>
      </c>
      <c r="O24" s="86">
        <f si="26" t="shared"/>
        <v>1.9116783653504558E-2</v>
      </c>
      <c r="P24" s="86">
        <f si="26" t="shared"/>
        <v>4.1584239872255605E-3</v>
      </c>
      <c r="Q24" s="86">
        <f si="14" t="shared"/>
        <v>2.3275207640730117E-2</v>
      </c>
    </row>
    <row r="25" spans="1:22" x14ac:dyDescent="0.25">
      <c r="A25" s="84" t="s">
        <v>8</v>
      </c>
      <c r="B25" s="86">
        <f si="9" t="shared"/>
        <v>1.0832714306064122E-2</v>
      </c>
      <c r="C25" s="86">
        <f si="9" t="shared"/>
        <v>0.37364006890535229</v>
      </c>
      <c r="D25" s="86">
        <f ref="D25:G26" si="27" t="shared">D11/$H$13</f>
        <v>0.28737443207864172</v>
      </c>
      <c r="E25" s="86">
        <f si="27" t="shared"/>
        <v>9.709835113277468E-2</v>
      </c>
      <c r="F25" s="86">
        <f si="27" t="shared"/>
        <v>0.35643964132845274</v>
      </c>
      <c r="G25" s="86">
        <f si="27" t="shared"/>
        <v>2.8033141882963655E-2</v>
      </c>
      <c r="H25" s="86">
        <f si="11" t="shared"/>
        <v>0.38447278321141637</v>
      </c>
      <c r="J25" s="84" t="s">
        <v>8</v>
      </c>
      <c r="K25" s="86">
        <f si="12" t="shared"/>
        <v>1.1873197985108953E-2</v>
      </c>
      <c r="L25" s="86">
        <f si="12" t="shared"/>
        <v>0.36120699004147205</v>
      </c>
      <c r="M25" s="86">
        <f ref="M25:P26" si="28" t="shared">M11/$Q$13</f>
        <v>0.26675242792875331</v>
      </c>
      <c r="N25" s="86">
        <f si="28" t="shared"/>
        <v>0.10632776009782767</v>
      </c>
      <c r="O25" s="86">
        <f si="28" t="shared"/>
        <v>0.34687314189126023</v>
      </c>
      <c r="P25" s="86">
        <f si="28" t="shared"/>
        <v>2.6207046135320801E-2</v>
      </c>
      <c r="Q25" s="86">
        <f si="14" t="shared"/>
        <v>0.37308018802658099</v>
      </c>
    </row>
    <row r="26" spans="1:22" x14ac:dyDescent="0.25">
      <c r="A26" s="12" t="s">
        <v>302</v>
      </c>
      <c r="B26" s="14">
        <f si="9" t="shared"/>
        <v>0</v>
      </c>
      <c r="C26" s="14">
        <f si="9" t="shared"/>
        <v>0</v>
      </c>
      <c r="D26" s="14">
        <f si="27" t="shared"/>
        <v>0</v>
      </c>
      <c r="E26" s="14">
        <f si="27" t="shared"/>
        <v>0</v>
      </c>
      <c r="F26" s="14">
        <f si="27" t="shared"/>
        <v>0</v>
      </c>
      <c r="G26" s="14">
        <f si="27" t="shared"/>
        <v>0</v>
      </c>
      <c r="H26" s="14">
        <f si="11" t="shared"/>
        <v>0</v>
      </c>
      <c r="J26" s="12" t="s">
        <v>302</v>
      </c>
      <c r="K26" s="14">
        <f si="12" t="shared"/>
        <v>0</v>
      </c>
      <c r="L26" s="14">
        <f si="12" t="shared"/>
        <v>0</v>
      </c>
      <c r="M26" s="14">
        <f si="28" t="shared"/>
        <v>0</v>
      </c>
      <c r="N26" s="14">
        <f si="28" t="shared"/>
        <v>0</v>
      </c>
      <c r="O26" s="14">
        <f si="28" t="shared"/>
        <v>0</v>
      </c>
      <c r="P26" s="14">
        <f si="28" t="shared"/>
        <v>0</v>
      </c>
      <c r="Q26" s="14">
        <f si="14" t="shared"/>
        <v>0</v>
      </c>
    </row>
    <row ht="15.75" r="27" spans="1:22" thickBot="1" x14ac:dyDescent="0.3">
      <c r="A27" s="85" t="s">
        <v>19</v>
      </c>
      <c r="B27" s="89">
        <f si="9" t="shared"/>
        <v>2.4129188374684259E-2</v>
      </c>
      <c r="C27" s="89">
        <f si="9" t="shared"/>
        <v>0.97587081162531597</v>
      </c>
      <c r="D27" s="89">
        <f ref="D27:G27" si="29" t="shared">D13/$H$13</f>
        <v>0.78890108496899281</v>
      </c>
      <c r="E27" s="89">
        <f si="29" t="shared"/>
        <v>0.21109891503100739</v>
      </c>
      <c r="F27" s="89">
        <f si="29" t="shared"/>
        <v>0.96078154679702599</v>
      </c>
      <c r="G27" s="89">
        <f si="29" t="shared"/>
        <v>3.9218453202974339E-2</v>
      </c>
      <c r="H27" s="89">
        <f si="11" t="shared"/>
        <v>1</v>
      </c>
      <c r="J27" s="85" t="s">
        <v>19</v>
      </c>
      <c r="K27" s="89">
        <f si="12" t="shared"/>
        <v>1.7512499579296133E-2</v>
      </c>
      <c r="L27" s="89">
        <f si="12" t="shared"/>
        <v>0.98248750042070387</v>
      </c>
      <c r="M27" s="89">
        <f ref="M27:P27" si="30" t="shared">M13/$Q$13</f>
        <v>0.74238339023742661</v>
      </c>
      <c r="N27" s="89">
        <f si="30" t="shared"/>
        <v>0.25761660976257345</v>
      </c>
      <c r="O27" s="89">
        <f si="30" t="shared"/>
        <v>0.93453847851044658</v>
      </c>
      <c r="P27" s="89">
        <f si="30" t="shared"/>
        <v>6.5461521489553462E-2</v>
      </c>
      <c r="Q27" s="89">
        <f si="14" t="shared"/>
        <v>1</v>
      </c>
    </row>
    <row ht="15.75" r="30" spans="1:22" thickBot="1" x14ac:dyDescent="0.3">
      <c r="J30" s="1" t="s">
        <v>27</v>
      </c>
      <c r="K30" s="1"/>
      <c r="L30" s="3"/>
      <c r="M30" s="3"/>
      <c r="N30" s="3"/>
      <c r="O30" s="3"/>
      <c r="P30" s="3"/>
      <c r="Q30" s="3"/>
      <c r="S30" s="15" t="s">
        <v>36</v>
      </c>
      <c r="T30" s="15"/>
      <c r="U30" s="16"/>
      <c r="V30" s="16"/>
    </row>
    <row r="31" spans="1:22" x14ac:dyDescent="0.25">
      <c r="J31" s="2" t="s">
        <v>0</v>
      </c>
      <c r="K31" s="4" t="s">
        <v>9</v>
      </c>
      <c r="L31" s="4" t="s">
        <v>10</v>
      </c>
      <c r="M31" s="7" t="s">
        <v>248</v>
      </c>
      <c r="N31" s="7" t="s">
        <v>247</v>
      </c>
      <c r="O31" s="7" t="s">
        <v>249</v>
      </c>
      <c r="P31" s="7" t="s">
        <v>250</v>
      </c>
      <c r="Q31" s="7" t="s">
        <v>19</v>
      </c>
      <c r="S31" s="18" t="s">
        <v>0</v>
      </c>
      <c r="T31" s="19" t="s">
        <v>46</v>
      </c>
      <c r="U31" s="19" t="s">
        <v>33</v>
      </c>
      <c r="V31" s="20" t="s">
        <v>34</v>
      </c>
    </row>
    <row r="32" spans="1:22" x14ac:dyDescent="0.25">
      <c r="J32" s="84" t="s">
        <v>1</v>
      </c>
      <c r="K32" s="86">
        <f ref="K32:K40" si="31" t="shared">K18-B18</f>
        <v>0</v>
      </c>
      <c r="L32" s="86">
        <f ref="L32:L40" si="32" t="shared">L18-C18</f>
        <v>-9.3262693588561513E-3</v>
      </c>
      <c r="M32" s="86">
        <f ref="M32:M40" si="33" t="shared">M18-D18</f>
        <v>-1.5647316640402711E-2</v>
      </c>
      <c r="N32" s="86">
        <f ref="N32:N40" si="34" t="shared">N18-E18</f>
        <v>6.3210472815465723E-3</v>
      </c>
      <c r="O32" s="86">
        <f ref="O32:O40" si="35" t="shared">O18-F18</f>
        <v>-1.3682078215185273E-2</v>
      </c>
      <c r="P32" s="86">
        <f ref="P32:P40" si="36" t="shared">P18-G18</f>
        <v>4.3558088563291179E-3</v>
      </c>
      <c r="Q32" s="86">
        <f ref="Q32:Q40" si="37" t="shared">Q18-H18</f>
        <v>-9.3262693588561513E-3</v>
      </c>
      <c r="S32" s="82" t="s">
        <v>1</v>
      </c>
      <c r="T32" s="90">
        <f ref="T32:T40" si="38" t="shared">H18</f>
        <v>9.5486421036623165E-2</v>
      </c>
      <c r="U32" s="90">
        <f ref="U32:U40" si="39" t="shared">Q18</f>
        <v>8.6160151677767013E-2</v>
      </c>
      <c r="V32" s="90">
        <f>U32-T32</f>
        <v>-9.3262693588561513E-3</v>
      </c>
    </row>
    <row r="33" spans="10:22" x14ac:dyDescent="0.25">
      <c r="J33" s="84" t="s">
        <v>2</v>
      </c>
      <c r="K33" s="86">
        <f si="31" t="shared"/>
        <v>-6.721537809471419E-4</v>
      </c>
      <c r="L33" s="86">
        <f si="32" t="shared"/>
        <v>2.3592005535882921E-3</v>
      </c>
      <c r="M33" s="86">
        <f si="33" t="shared"/>
        <v>-3.0437750056484664E-3</v>
      </c>
      <c r="N33" s="86">
        <f si="34" t="shared"/>
        <v>4.7308217782896095E-3</v>
      </c>
      <c r="O33" s="86">
        <f si="35" t="shared"/>
        <v>-2.5809208785486371E-3</v>
      </c>
      <c r="P33" s="86">
        <f si="36" t="shared"/>
        <v>4.267967651189781E-3</v>
      </c>
      <c r="Q33" s="86">
        <f si="37" t="shared"/>
        <v>1.6870467726411431E-3</v>
      </c>
      <c r="S33" s="87" t="s">
        <v>2</v>
      </c>
      <c r="T33" s="88">
        <f si="38" t="shared"/>
        <v>0.15123974327556217</v>
      </c>
      <c r="U33" s="88">
        <f si="39" t="shared"/>
        <v>0.15292679004820331</v>
      </c>
      <c r="V33" s="88">
        <f ref="V33:V41" si="40" t="shared">U33-T33</f>
        <v>1.6870467726411431E-3</v>
      </c>
    </row>
    <row r="34" spans="10:22" x14ac:dyDescent="0.25">
      <c r="J34" s="84" t="s">
        <v>3</v>
      </c>
      <c r="K34" s="86">
        <f si="31" t="shared"/>
        <v>-2.4486221450153241E-4</v>
      </c>
      <c r="L34" s="86">
        <f si="32" t="shared"/>
        <v>2.7685168570256602E-2</v>
      </c>
      <c r="M34" s="86">
        <f si="33" t="shared"/>
        <v>8.5991340380148773E-3</v>
      </c>
      <c r="N34" s="86">
        <f si="34" t="shared"/>
        <v>1.8841172317740157E-2</v>
      </c>
      <c r="O34" s="86">
        <f si="35" t="shared"/>
        <v>1.0734280175189459E-2</v>
      </c>
      <c r="P34" s="86">
        <f si="36" t="shared"/>
        <v>1.6706026180565613E-2</v>
      </c>
      <c r="Q34" s="86">
        <f si="37" t="shared"/>
        <v>2.7440306355755062E-2</v>
      </c>
      <c r="S34" s="83" t="s">
        <v>3</v>
      </c>
      <c r="T34" s="91">
        <f si="38" t="shared"/>
        <v>0.32473557403720105</v>
      </c>
      <c r="U34" s="91">
        <f si="39" t="shared"/>
        <v>0.35217588039295611</v>
      </c>
      <c r="V34" s="91">
        <f si="40" t="shared"/>
        <v>2.7440306355755062E-2</v>
      </c>
    </row>
    <row r="35" spans="10:22" x14ac:dyDescent="0.25">
      <c r="J35" s="84" t="s">
        <v>4</v>
      </c>
      <c r="K35" s="86">
        <f si="31" t="shared"/>
        <v>-2.697029655652846E-4</v>
      </c>
      <c r="L35" s="86">
        <f si="32" t="shared"/>
        <v>-3.3805514442261778E-3</v>
      </c>
      <c r="M35" s="86">
        <f si="33" t="shared"/>
        <v>-3.6502544097914624E-3</v>
      </c>
      <c r="N35" s="86">
        <f si="34" t="shared"/>
        <v>0</v>
      </c>
      <c r="O35" s="86">
        <f si="35" t="shared"/>
        <v>-3.6502544097914624E-3</v>
      </c>
      <c r="P35" s="86">
        <f si="36" t="shared"/>
        <v>0</v>
      </c>
      <c r="Q35" s="86">
        <f si="37" t="shared"/>
        <v>-3.6502544097914624E-3</v>
      </c>
      <c r="S35" s="87" t="s">
        <v>4</v>
      </c>
      <c r="T35" s="88">
        <f si="38" t="shared"/>
        <v>3.6502544097914624E-3</v>
      </c>
      <c r="U35" s="88">
        <f si="39" t="shared"/>
        <v>0</v>
      </c>
      <c r="V35" s="88">
        <f si="40" t="shared"/>
        <v>-3.6502544097914624E-3</v>
      </c>
    </row>
    <row r="36" spans="10:22" x14ac:dyDescent="0.25">
      <c r="J36" s="84" t="s">
        <v>5</v>
      </c>
      <c r="K36" s="86">
        <f si="31" t="shared"/>
        <v>-7.3204996024728939E-3</v>
      </c>
      <c r="L36" s="86">
        <f si="32" t="shared"/>
        <v>-2.8027854464196256E-3</v>
      </c>
      <c r="M36" s="86">
        <f si="33" t="shared"/>
        <v>-8.7344503644856217E-3</v>
      </c>
      <c r="N36" s="86">
        <f si="34" t="shared"/>
        <v>-1.3888346844068951E-3</v>
      </c>
      <c r="O36" s="86">
        <f si="35" t="shared"/>
        <v>-9.6457610423302878E-3</v>
      </c>
      <c r="P36" s="86">
        <f si="36" t="shared"/>
        <v>-4.7752400656222917E-4</v>
      </c>
      <c r="Q36" s="86">
        <f si="37" t="shared"/>
        <v>-1.0123285048892518E-2</v>
      </c>
      <c r="S36" s="83" t="s">
        <v>5</v>
      </c>
      <c r="T36" s="91">
        <f si="38" t="shared"/>
        <v>1.4334063294950055E-2</v>
      </c>
      <c r="U36" s="91">
        <f si="39" t="shared"/>
        <v>4.2107782460575373E-3</v>
      </c>
      <c r="V36" s="91">
        <f si="40" t="shared"/>
        <v>-1.0123285048892518E-2</v>
      </c>
    </row>
    <row r="37" spans="10:22" x14ac:dyDescent="0.25">
      <c r="J37" s="84" t="s">
        <v>6</v>
      </c>
      <c r="K37" s="86">
        <f si="31" t="shared"/>
        <v>1.1602483884618961E-3</v>
      </c>
      <c r="L37" s="86">
        <f si="32" t="shared"/>
        <v>4.9234551353934519E-3</v>
      </c>
      <c r="M37" s="86">
        <f si="33" t="shared"/>
        <v>4.2219421412393729E-3</v>
      </c>
      <c r="N37" s="86">
        <f si="34" t="shared"/>
        <v>1.8617613826159751E-3</v>
      </c>
      <c r="O37" s="86">
        <f si="35" t="shared"/>
        <v>6.3220186735098681E-3</v>
      </c>
      <c r="P37" s="86">
        <f si="36" t="shared"/>
        <v>-2.3831514965452012E-4</v>
      </c>
      <c r="Q37" s="86">
        <f si="37" t="shared"/>
        <v>6.0837035238553482E-3</v>
      </c>
      <c r="S37" s="87" t="s">
        <v>6</v>
      </c>
      <c r="T37" s="88">
        <f si="38" t="shared"/>
        <v>2.0873004438495537E-3</v>
      </c>
      <c r="U37" s="88">
        <f si="39" t="shared"/>
        <v>8.1710039677049019E-3</v>
      </c>
      <c r="V37" s="88">
        <f si="40" t="shared"/>
        <v>6.0837035238553482E-3</v>
      </c>
    </row>
    <row r="38" spans="10:22" x14ac:dyDescent="0.25">
      <c r="J38" s="84" t="s">
        <v>7</v>
      </c>
      <c r="K38" s="86">
        <f si="31" t="shared"/>
        <v>-3.1020229940799854E-4</v>
      </c>
      <c r="L38" s="86">
        <f si="32" t="shared"/>
        <v>-4.0845035046820771E-4</v>
      </c>
      <c r="M38" s="86">
        <f si="33" t="shared"/>
        <v>-7.6409703406038199E-3</v>
      </c>
      <c r="N38" s="86">
        <f si="34" t="shared"/>
        <v>6.9223176907276113E-3</v>
      </c>
      <c r="O38" s="86">
        <f si="35" t="shared"/>
        <v>-4.1738531522304209E-3</v>
      </c>
      <c r="P38" s="86">
        <f si="36" t="shared"/>
        <v>3.4552005023542119E-3</v>
      </c>
      <c r="Q38" s="86">
        <f si="37" t="shared"/>
        <v>-7.1865264987620511E-4</v>
      </c>
      <c r="S38" s="83" t="s">
        <v>7</v>
      </c>
      <c r="T38" s="91">
        <f si="38" t="shared"/>
        <v>2.3993860290606323E-2</v>
      </c>
      <c r="U38" s="91">
        <f si="39" t="shared"/>
        <v>2.3275207640730117E-2</v>
      </c>
      <c r="V38" s="91">
        <f si="40" t="shared"/>
        <v>-7.1865264987620511E-4</v>
      </c>
    </row>
    <row r="39" spans="10:22" x14ac:dyDescent="0.25">
      <c r="J39" s="84" t="s">
        <v>8</v>
      </c>
      <c r="K39" s="86">
        <f si="31" t="shared"/>
        <v>1.0404836790448308E-3</v>
      </c>
      <c r="L39" s="86">
        <f si="32" t="shared"/>
        <v>-1.2433078863880231E-2</v>
      </c>
      <c r="M39" s="86">
        <f si="33" t="shared"/>
        <v>-2.0622004149888407E-2</v>
      </c>
      <c r="N39" s="86">
        <f si="34" t="shared"/>
        <v>9.2294089650529904E-3</v>
      </c>
      <c r="O39" s="86">
        <f si="35" t="shared"/>
        <v>-9.5664994371925105E-3</v>
      </c>
      <c r="P39" s="86">
        <f si="36" t="shared"/>
        <v>-1.8260957476428537E-3</v>
      </c>
      <c r="Q39" s="86">
        <f si="37" t="shared"/>
        <v>-1.1392595184835375E-2</v>
      </c>
      <c r="S39" s="87" t="s">
        <v>8</v>
      </c>
      <c r="T39" s="88">
        <f si="38" t="shared"/>
        <v>0.38447278321141637</v>
      </c>
      <c r="U39" s="88">
        <f si="39" t="shared"/>
        <v>0.37308018802658099</v>
      </c>
      <c r="V39" s="88">
        <f si="40" t="shared"/>
        <v>-1.1392595184835375E-2</v>
      </c>
    </row>
    <row r="40" spans="10:22" x14ac:dyDescent="0.25">
      <c r="J40" s="12" t="s">
        <v>302</v>
      </c>
      <c r="K40" s="14">
        <f si="31" t="shared"/>
        <v>0</v>
      </c>
      <c r="L40" s="14">
        <f si="32" t="shared"/>
        <v>0</v>
      </c>
      <c r="M40" s="14">
        <f si="33" t="shared"/>
        <v>0</v>
      </c>
      <c r="N40" s="14">
        <f si="34" t="shared"/>
        <v>0</v>
      </c>
      <c r="O40" s="14">
        <f si="35" t="shared"/>
        <v>0</v>
      </c>
      <c r="P40" s="14">
        <f si="36" t="shared"/>
        <v>0</v>
      </c>
      <c r="Q40" s="14">
        <f si="37" t="shared"/>
        <v>0</v>
      </c>
      <c r="S40" s="69" t="s">
        <v>302</v>
      </c>
      <c r="T40" s="92">
        <f si="38" t="shared"/>
        <v>0</v>
      </c>
      <c r="U40" s="92">
        <f si="39" t="shared"/>
        <v>0</v>
      </c>
      <c r="V40" s="92">
        <f ref="V40" si="41" t="shared">U40-T40</f>
        <v>0</v>
      </c>
    </row>
    <row ht="15.75" r="41" spans="10:22" thickBot="1" x14ac:dyDescent="0.3">
      <c r="J41" s="85" t="s">
        <v>19</v>
      </c>
      <c r="K41" s="89">
        <f ref="K41" si="42" t="shared">K27-B27</f>
        <v>-6.6166887953881259E-3</v>
      </c>
      <c r="L41" s="89">
        <f ref="L41" si="43" t="shared">L27-C27</f>
        <v>6.6166887953879039E-3</v>
      </c>
      <c r="M41" s="89">
        <f ref="M41" si="44" t="shared">M27-D27</f>
        <v>-4.6517694731566195E-2</v>
      </c>
      <c r="N41" s="89">
        <f ref="N41" si="45" t="shared">N27-E27</f>
        <v>4.6517694731566056E-2</v>
      </c>
      <c r="O41" s="89">
        <f ref="O41" si="46" t="shared">O27-F27</f>
        <v>-2.6243068286579407E-2</v>
      </c>
      <c r="P41" s="89">
        <f ref="P41" si="47" t="shared">P27-G27</f>
        <v>2.6243068286579123E-2</v>
      </c>
      <c r="Q41" s="89">
        <f ref="Q41" si="48" t="shared">Q27-H27</f>
        <v>0</v>
      </c>
      <c r="S41" s="93" t="s">
        <v>19</v>
      </c>
      <c r="T41" s="94">
        <f ref="T41" si="49" t="shared">H27</f>
        <v>1</v>
      </c>
      <c r="U41" s="94">
        <f ref="U41" si="50" t="shared">Q27</f>
        <v>1</v>
      </c>
      <c r="V41" s="94">
        <f si="40" t="shared"/>
        <v>0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2:W41"/>
  <sheetViews>
    <sheetView topLeftCell="F1" workbookViewId="0">
      <selection activeCell="S13" sqref="S13"/>
    </sheetView>
  </sheetViews>
  <sheetFormatPr defaultRowHeight="15" x14ac:dyDescent="0.25"/>
  <cols>
    <col min="1" max="8" customWidth="true" width="16.7109375" collapsed="true"/>
    <col min="10" max="17" customWidth="true" width="16.7109375" collapsed="true"/>
    <col min="19" max="19" customWidth="true" width="16.7109375" collapsed="true"/>
    <col min="20" max="22" customWidth="true" width="11.85546875" collapsed="true"/>
  </cols>
  <sheetData>
    <row ht="15.75" r="2" spans="1:17" thickBot="1" x14ac:dyDescent="0.3">
      <c r="A2" s="1" t="s">
        <v>48</v>
      </c>
      <c r="B2" s="1"/>
      <c r="C2" s="3"/>
      <c r="D2" s="3"/>
      <c r="E2" s="3"/>
      <c r="F2" s="3"/>
      <c r="G2" s="3"/>
      <c r="H2" s="3"/>
      <c r="J2" s="1" t="s">
        <v>13</v>
      </c>
      <c r="K2" s="1"/>
      <c r="L2" s="3"/>
      <c r="M2" s="3"/>
      <c r="N2" s="3"/>
      <c r="O2" s="3"/>
      <c r="P2" s="3"/>
      <c r="Q2" s="3"/>
    </row>
    <row r="3" spans="1:17" x14ac:dyDescent="0.25">
      <c r="A3" s="2" t="s">
        <v>0</v>
      </c>
      <c r="B3" s="4" t="s">
        <v>9</v>
      </c>
      <c r="C3" s="4" t="s">
        <v>10</v>
      </c>
      <c r="D3" s="7" t="s">
        <v>248</v>
      </c>
      <c r="E3" s="7" t="s">
        <v>247</v>
      </c>
      <c r="F3" s="7" t="s">
        <v>249</v>
      </c>
      <c r="G3" s="7" t="s">
        <v>250</v>
      </c>
      <c r="H3" s="7" t="s">
        <v>19</v>
      </c>
      <c r="J3" s="2" t="s">
        <v>0</v>
      </c>
      <c r="K3" s="4" t="s">
        <v>9</v>
      </c>
      <c r="L3" s="4" t="s">
        <v>10</v>
      </c>
      <c r="M3" s="7" t="s">
        <v>248</v>
      </c>
      <c r="N3" s="7" t="s">
        <v>247</v>
      </c>
      <c r="O3" s="7" t="s">
        <v>249</v>
      </c>
      <c r="P3" s="7" t="s">
        <v>250</v>
      </c>
      <c r="Q3" s="7" t="s">
        <v>19</v>
      </c>
    </row>
    <row r="4" spans="1:17" x14ac:dyDescent="0.25">
      <c r="A4" s="9" t="s">
        <v>1</v>
      </c>
      <c r="B4" s="9" t="n">
        <v>0.0</v>
      </c>
      <c r="C4" s="9" t="n">
        <v>4864.963547943529</v>
      </c>
      <c r="D4" s="9" t="n">
        <v>4600.833634895054</v>
      </c>
      <c r="E4" s="9" t="n">
        <v>264.12991304847424</v>
      </c>
      <c r="F4" s="9" t="n">
        <v>4864.963547943529</v>
      </c>
      <c r="G4" s="9" t="n">
        <v>0.0</v>
      </c>
      <c r="H4" s="9">
        <f>SUM(B4:C4)-B4</f>
        <v>4864.9635479435292</v>
      </c>
      <c r="J4" s="9" t="s">
        <v>1</v>
      </c>
      <c r="K4" s="9" t="n">
        <v>0.0</v>
      </c>
      <c r="L4" s="9" t="n">
        <v>5092.0</v>
      </c>
      <c r="M4" s="9" t="n">
        <v>4354.0</v>
      </c>
      <c r="N4" s="9" t="n">
        <v>738.0</v>
      </c>
      <c r="O4" s="9" t="n">
        <v>4957.0</v>
      </c>
      <c r="P4" s="9" t="n">
        <v>135.0</v>
      </c>
      <c r="Q4" s="9">
        <f>SUM(K4:L4)</f>
        <v>4756</v>
      </c>
    </row>
    <row r="5" spans="1:17" x14ac:dyDescent="0.25">
      <c r="A5" s="9" t="s">
        <v>2</v>
      </c>
      <c r="B5" s="9" t="n">
        <v>22.9471960734532</v>
      </c>
      <c r="C5" s="9" t="n">
        <v>105795.1346441612</v>
      </c>
      <c r="D5" s="9" t="n">
        <v>84273.27457909026</v>
      </c>
      <c r="E5" s="9" t="n">
        <v>21544.807261144397</v>
      </c>
      <c r="F5" s="9" t="n">
        <v>100555.01942169196</v>
      </c>
      <c r="G5" s="9" t="n">
        <v>5263.062418542687</v>
      </c>
      <c r="H5" s="9">
        <f>SUM(B5:C5)+0.5*B4</f>
        <v>105818.08184023465</v>
      </c>
      <c r="J5" s="9" t="s">
        <v>2</v>
      </c>
      <c r="K5" s="9" t="n">
        <v>1269.0</v>
      </c>
      <c r="L5" s="9" t="n">
        <v>99456.0</v>
      </c>
      <c r="M5" s="9" t="n">
        <v>68404.0</v>
      </c>
      <c r="N5" s="9" t="n">
        <v>32321.0</v>
      </c>
      <c r="O5" s="9" t="n">
        <v>92520.0</v>
      </c>
      <c r="P5" s="9" t="n">
        <v>8205.0</v>
      </c>
      <c r="Q5" s="9">
        <f ref="Q5:Q12" si="0" t="shared">SUM(K5:L5)</f>
        <v>100624</v>
      </c>
    </row>
    <row r="6" spans="1:17" x14ac:dyDescent="0.25">
      <c r="A6" s="9" t="s">
        <v>3</v>
      </c>
      <c r="B6" s="9" t="n">
        <v>1218.1315651445566</v>
      </c>
      <c r="C6" s="9" t="n">
        <v>101609.05029955282</v>
      </c>
      <c r="D6" s="9" t="n">
        <v>84715.14968774517</v>
      </c>
      <c r="E6" s="9" t="n">
        <v>18112.032176952212</v>
      </c>
      <c r="F6" s="9" t="n">
        <v>100751.02134260366</v>
      </c>
      <c r="G6" s="9" t="n">
        <v>2076.160522093713</v>
      </c>
      <c r="H6" s="9">
        <f>SUM(B6:C6)+0.5*B4</f>
        <v>102827.18186469738</v>
      </c>
      <c r="J6" s="9" t="s">
        <v>3</v>
      </c>
      <c r="K6" s="9" t="n">
        <v>4553.0</v>
      </c>
      <c r="L6" s="9" t="n">
        <v>111518.0</v>
      </c>
      <c r="M6" s="9" t="n">
        <v>77826.0</v>
      </c>
      <c r="N6" s="9" t="n">
        <v>38245.0</v>
      </c>
      <c r="O6" s="9" t="n">
        <v>106259.0</v>
      </c>
      <c r="P6" s="9" t="n">
        <v>9812.0</v>
      </c>
      <c r="Q6" s="9">
        <f si="0" t="shared"/>
        <v>116661</v>
      </c>
    </row>
    <row r="7" spans="1:17" x14ac:dyDescent="0.25">
      <c r="A7" s="9" t="s">
        <v>4</v>
      </c>
      <c r="B7" s="117" t="n">
        <v>0.0</v>
      </c>
      <c r="C7" s="117" t="n">
        <v>679.123002631924</v>
      </c>
      <c r="D7" s="117" t="n">
        <v>679.123002631924</v>
      </c>
      <c r="E7" s="117" t="n">
        <v>0.0</v>
      </c>
      <c r="F7" s="117" t="n">
        <v>679.123002631924</v>
      </c>
      <c r="G7" s="117" t="n">
        <v>0.0</v>
      </c>
      <c r="H7" s="117">
        <f ref="H7:H12" si="1" t="shared">SUM(B7:C7)</f>
        <v>679.12300263192401</v>
      </c>
      <c r="J7" s="9" t="s">
        <v>4</v>
      </c>
      <c r="K7" s="9" t="n">
        <v>0.0</v>
      </c>
      <c r="L7" s="9" t="n">
        <v>0.0</v>
      </c>
      <c r="M7" s="9" t="n">
        <v>0.0</v>
      </c>
      <c r="N7" s="9" t="n">
        <v>0.0</v>
      </c>
      <c r="O7" s="9" t="n">
        <v>0.0</v>
      </c>
      <c r="P7" s="9" t="n">
        <v>0.0</v>
      </c>
      <c r="Q7" s="9">
        <f si="0" t="shared"/>
        <v>0</v>
      </c>
    </row>
    <row r="8" spans="1:17" x14ac:dyDescent="0.25">
      <c r="A8" s="9" t="s">
        <v>5</v>
      </c>
      <c r="B8" s="117" t="n">
        <v>324.5772723676445</v>
      </c>
      <c r="C8" s="117" t="n">
        <v>420.275335794403</v>
      </c>
      <c r="D8" s="117" t="n">
        <v>744.8526081620475</v>
      </c>
      <c r="E8" s="117" t="n">
        <v>0.0</v>
      </c>
      <c r="F8" s="117" t="n">
        <v>744.8526081620475</v>
      </c>
      <c r="G8" s="117" t="n">
        <v>0.0</v>
      </c>
      <c r="H8" s="117">
        <f si="1" t="shared"/>
        <v>744.85260816204755</v>
      </c>
      <c r="J8" s="9" t="s">
        <v>5</v>
      </c>
      <c r="K8" s="9" t="n">
        <v>0.0</v>
      </c>
      <c r="L8" s="9" t="n">
        <v>0.0</v>
      </c>
      <c r="M8" s="9" t="n">
        <v>0.0</v>
      </c>
      <c r="N8" s="9" t="n">
        <v>0.0</v>
      </c>
      <c r="O8" s="9" t="n">
        <v>0.0</v>
      </c>
      <c r="P8" s="9" t="n">
        <v>0.0</v>
      </c>
      <c r="Q8" s="9">
        <f si="0" t="shared"/>
        <v>0</v>
      </c>
    </row>
    <row r="9" spans="1:17" x14ac:dyDescent="0.25">
      <c r="A9" s="9" t="s">
        <v>6</v>
      </c>
      <c r="B9" s="9" t="n">
        <v>0.0</v>
      </c>
      <c r="C9" s="9" t="n">
        <v>0.0</v>
      </c>
      <c r="D9" s="9" t="n">
        <v>0.0</v>
      </c>
      <c r="E9" s="9" t="n">
        <v>0.0</v>
      </c>
      <c r="F9" s="9" t="n">
        <v>0.0</v>
      </c>
      <c r="G9" s="9" t="n">
        <v>0.0</v>
      </c>
      <c r="H9" s="9">
        <f si="1" t="shared"/>
        <v>0</v>
      </c>
      <c r="J9" s="9" t="s">
        <v>6</v>
      </c>
      <c r="K9" s="9" t="n">
        <v>129.0</v>
      </c>
      <c r="L9" s="9" t="n">
        <v>10.0</v>
      </c>
      <c r="M9" s="9" t="n">
        <v>134.0</v>
      </c>
      <c r="N9" s="9" t="n">
        <v>5.0</v>
      </c>
      <c r="O9" s="9" t="n">
        <v>138.0</v>
      </c>
      <c r="P9" s="9" t="n">
        <v>1.0</v>
      </c>
      <c r="Q9" s="9">
        <f si="0" t="shared"/>
        <v>137</v>
      </c>
    </row>
    <row r="10" spans="1:17" x14ac:dyDescent="0.25">
      <c r="A10" s="9" t="s">
        <v>7</v>
      </c>
      <c r="B10" s="9" t="n">
        <v>293.1794341394367</v>
      </c>
      <c r="C10" s="9" t="n">
        <v>5558.0347935481805</v>
      </c>
      <c r="D10" s="9" t="n">
        <v>4085.6327323554888</v>
      </c>
      <c r="E10" s="9" t="n">
        <v>1765.581495332128</v>
      </c>
      <c r="F10" s="9" t="n">
        <v>5731.763553957218</v>
      </c>
      <c r="G10" s="9" t="n">
        <v>119.45067373039831</v>
      </c>
      <c r="H10" s="9">
        <f si="1" t="shared"/>
        <v>5851.2142276876175</v>
      </c>
      <c r="J10" s="9" t="s">
        <v>7</v>
      </c>
      <c r="K10" s="9" t="n">
        <v>900.0</v>
      </c>
      <c r="L10" s="9" t="n">
        <v>5110.0</v>
      </c>
      <c r="M10" s="9" t="n">
        <v>3754.0</v>
      </c>
      <c r="N10" s="9" t="n">
        <v>2256.0</v>
      </c>
      <c r="O10" s="9" t="n">
        <v>5425.0</v>
      </c>
      <c r="P10" s="9" t="n">
        <v>585.0</v>
      </c>
      <c r="Q10" s="9">
        <f si="0" t="shared"/>
        <v>5751</v>
      </c>
    </row>
    <row r="11" spans="1:17" x14ac:dyDescent="0.25">
      <c r="A11" s="84" t="s">
        <v>8</v>
      </c>
      <c r="B11" s="84" t="n">
        <v>0.0</v>
      </c>
      <c r="C11" s="84" t="n">
        <v>540.526738500325</v>
      </c>
      <c r="D11" s="84" t="n">
        <v>540.526738500325</v>
      </c>
      <c r="E11" s="84" t="n">
        <v>0.0</v>
      </c>
      <c r="F11" s="84" t="n">
        <v>540.526738500325</v>
      </c>
      <c r="G11" s="84" t="n">
        <v>0.0</v>
      </c>
      <c r="H11" s="84">
        <f si="1" t="shared"/>
        <v>540.526738500325</v>
      </c>
      <c r="J11" s="84" t="s">
        <v>8</v>
      </c>
      <c r="K11" s="84" t="n">
        <v>0.0</v>
      </c>
      <c r="L11" s="84" t="n">
        <v>0.0</v>
      </c>
      <c r="M11" s="84" t="n">
        <v>0.0</v>
      </c>
      <c r="N11" s="84" t="n">
        <v>0.0</v>
      </c>
      <c r="O11" s="84" t="n">
        <v>0.0</v>
      </c>
      <c r="P11" s="84" t="n">
        <v>0.0</v>
      </c>
      <c r="Q11" s="84">
        <f si="0" t="shared"/>
        <v>0</v>
      </c>
    </row>
    <row r="12" spans="1:17" x14ac:dyDescent="0.25">
      <c r="A12" s="12" t="s">
        <v>302</v>
      </c>
      <c r="B12" s="12" t="n">
        <v>0.0</v>
      </c>
      <c r="C12" s="12" t="n">
        <v>0.0</v>
      </c>
      <c r="D12" s="12" t="n">
        <v>0.0</v>
      </c>
      <c r="E12" s="12" t="n">
        <v>0.0</v>
      </c>
      <c r="F12" s="12" t="n">
        <v>0.0</v>
      </c>
      <c r="G12" s="12" t="n">
        <v>0.0</v>
      </c>
      <c r="H12" s="84">
        <f si="1" t="shared"/>
        <v>0</v>
      </c>
      <c r="J12" s="12" t="s">
        <v>302</v>
      </c>
      <c r="K12" s="12" t="n">
        <v>0.0</v>
      </c>
      <c r="L12" s="12" t="n">
        <v>0.0</v>
      </c>
      <c r="M12" s="12" t="n">
        <v>0.0</v>
      </c>
      <c r="N12" s="12" t="n">
        <v>0.0</v>
      </c>
      <c r="O12" s="12" t="n">
        <v>0.0</v>
      </c>
      <c r="P12" s="12" t="n">
        <v>0.0</v>
      </c>
      <c r="Q12" s="84">
        <f si="0" t="shared"/>
        <v>0</v>
      </c>
    </row>
    <row ht="15.75" r="13" spans="1:17" thickBot="1" x14ac:dyDescent="0.3">
      <c r="A13" s="85" t="s">
        <v>19</v>
      </c>
      <c r="B13" s="85">
        <f>SUM(B4:B12)</f>
        <v>1858.8354677250909</v>
      </c>
      <c r="C13" s="85">
        <f ref="C13:H13" si="2" t="shared">SUM(C4:C12)</f>
        <v>219467.10836213236</v>
      </c>
      <c r="D13" s="85">
        <f si="2" t="shared"/>
        <v>179639.39298338027</v>
      </c>
      <c r="E13" s="85">
        <f si="2" t="shared"/>
        <v>41686.550846477214</v>
      </c>
      <c r="F13" s="85">
        <f si="2" t="shared"/>
        <v>213867.27021549066</v>
      </c>
      <c r="G13" s="85">
        <f si="2" t="shared"/>
        <v>7458.6736143667986</v>
      </c>
      <c r="H13" s="85">
        <f si="2" t="shared"/>
        <v>221325.94382985748</v>
      </c>
      <c r="J13" s="85" t="s">
        <v>19</v>
      </c>
      <c r="K13" s="85">
        <f>SUM(K4:K12)</f>
        <v>6865</v>
      </c>
      <c r="L13" s="85">
        <f ref="L13" si="3" t="shared">SUM(L4:L12)</f>
        <v>221064</v>
      </c>
      <c r="M13" s="85">
        <f ref="M13" si="4" t="shared">SUM(M4:M12)</f>
        <v>154489</v>
      </c>
      <c r="N13" s="85">
        <f ref="N13" si="5" t="shared">SUM(N4:N12)</f>
        <v>73440</v>
      </c>
      <c r="O13" s="85">
        <f ref="O13" si="6" t="shared">SUM(O4:O12)</f>
        <v>209184</v>
      </c>
      <c r="P13" s="85">
        <f ref="P13" si="7" t="shared">SUM(P4:P12)</f>
        <v>18745</v>
      </c>
      <c r="Q13" s="85">
        <f ref="Q13" si="8" t="shared">SUM(Q4:Q12)</f>
        <v>227929</v>
      </c>
    </row>
    <row ht="15.75" r="16" spans="1:17" thickBot="1" x14ac:dyDescent="0.3">
      <c r="A16" s="1" t="s">
        <v>48</v>
      </c>
      <c r="B16" s="1"/>
      <c r="C16" s="3"/>
      <c r="D16" s="3"/>
      <c r="E16" s="3"/>
      <c r="F16" s="3"/>
      <c r="G16" s="3"/>
      <c r="H16" s="3"/>
      <c r="J16" s="1" t="s">
        <v>13</v>
      </c>
      <c r="K16" s="1"/>
      <c r="L16" s="3"/>
      <c r="M16" s="3"/>
      <c r="N16" s="3"/>
      <c r="O16" s="3"/>
      <c r="P16" s="3"/>
      <c r="Q16" s="3"/>
    </row>
    <row r="17" spans="1:22" x14ac:dyDescent="0.25">
      <c r="A17" s="2" t="s">
        <v>0</v>
      </c>
      <c r="B17" s="4" t="s">
        <v>9</v>
      </c>
      <c r="C17" s="4" t="s">
        <v>10</v>
      </c>
      <c r="D17" s="7" t="s">
        <v>248</v>
      </c>
      <c r="E17" s="7" t="s">
        <v>247</v>
      </c>
      <c r="F17" s="7" t="s">
        <v>249</v>
      </c>
      <c r="G17" s="7" t="s">
        <v>250</v>
      </c>
      <c r="H17" s="7" t="s">
        <v>19</v>
      </c>
      <c r="J17" s="2" t="s">
        <v>0</v>
      </c>
      <c r="K17" s="4" t="s">
        <v>9</v>
      </c>
      <c r="L17" s="4" t="s">
        <v>10</v>
      </c>
      <c r="M17" s="7" t="s">
        <v>248</v>
      </c>
      <c r="N17" s="7" t="s">
        <v>247</v>
      </c>
      <c r="O17" s="7" t="s">
        <v>249</v>
      </c>
      <c r="P17" s="7" t="s">
        <v>250</v>
      </c>
      <c r="Q17" s="7" t="s">
        <v>19</v>
      </c>
    </row>
    <row r="18" spans="1:22" x14ac:dyDescent="0.25">
      <c r="A18" s="84" t="s">
        <v>1</v>
      </c>
      <c r="B18" s="86">
        <f ref="B18:C27" si="9" t="shared">B4/$H$13</f>
        <v>0</v>
      </c>
      <c r="C18" s="86">
        <f si="9" t="shared"/>
        <v>2.1980990857915106E-2</v>
      </c>
      <c r="D18" s="86">
        <f ref="D18:G18" si="10" t="shared">D4/$H$13</f>
        <v>2.0787592973880675E-2</v>
      </c>
      <c r="E18" s="86">
        <f si="10" t="shared"/>
        <v>1.1933978840344265E-3</v>
      </c>
      <c r="F18" s="86">
        <f si="10" t="shared"/>
        <v>2.1980990857915106E-2</v>
      </c>
      <c r="G18" s="86">
        <f si="10" t="shared"/>
        <v>0</v>
      </c>
      <c r="H18" s="86">
        <f ref="H18:H27" si="11" t="shared">H4/$H$13</f>
        <v>2.1980990857915106E-2</v>
      </c>
      <c r="J18" s="84" t="s">
        <v>1</v>
      </c>
      <c r="K18" s="86">
        <f ref="K18:L27" si="12" t="shared">K4/$Q$13</f>
        <v>0</v>
      </c>
      <c r="L18" s="86">
        <f si="12" t="shared"/>
        <v>2.0866146914170641E-2</v>
      </c>
      <c r="M18" s="86">
        <f ref="M18:P18" si="13" t="shared">M4/$Q$13</f>
        <v>1.7641458524365043E-2</v>
      </c>
      <c r="N18" s="86">
        <f si="13" t="shared"/>
        <v>3.2246883898055974E-3</v>
      </c>
      <c r="O18" s="86">
        <f si="13" t="shared"/>
        <v>2.0449350455624338E-2</v>
      </c>
      <c r="P18" s="86">
        <f si="13" t="shared"/>
        <v>4.1679645854630172E-4</v>
      </c>
      <c r="Q18" s="86">
        <f ref="Q18:Q27" si="14" t="shared">Q4/$Q$13</f>
        <v>2.0866146914170641E-2</v>
      </c>
    </row>
    <row r="19" spans="1:22" x14ac:dyDescent="0.25">
      <c r="A19" s="84" t="s">
        <v>2</v>
      </c>
      <c r="B19" s="86">
        <f si="9" t="shared"/>
        <v>1.0368055220446126E-4</v>
      </c>
      <c r="C19" s="86">
        <f si="9" t="shared"/>
        <v>0.47800602502113509</v>
      </c>
      <c r="D19" s="86">
        <f ref="D19:G19" si="15" t="shared">D5/$H$13</f>
        <v>0.38076545894626185</v>
      </c>
      <c r="E19" s="86">
        <f si="15" t="shared"/>
        <v>9.7344246627077718E-2</v>
      </c>
      <c r="F19" s="86">
        <f si="15" t="shared"/>
        <v>0.45433001518788424</v>
      </c>
      <c r="G19" s="86">
        <f si="15" t="shared"/>
        <v>2.3779690385455323E-2</v>
      </c>
      <c r="H19" s="86">
        <f si="11" t="shared"/>
        <v>0.47810970557333954</v>
      </c>
      <c r="J19" s="84" t="s">
        <v>2</v>
      </c>
      <c r="K19" s="86">
        <f si="12" t="shared"/>
        <v>5.5850725445204426E-3</v>
      </c>
      <c r="L19" s="86">
        <f si="12" t="shared"/>
        <v>0.43588573634772232</v>
      </c>
      <c r="M19" s="86">
        <f ref="M19:P19" si="16" t="shared">M5/$Q$13</f>
        <v>0.30060676789702057</v>
      </c>
      <c r="N19" s="86">
        <f si="16" t="shared"/>
        <v>0.14086404099522221</v>
      </c>
      <c r="O19" s="86">
        <f si="16" t="shared"/>
        <v>0.40534552426413489</v>
      </c>
      <c r="P19" s="86">
        <f si="16" t="shared"/>
        <v>3.6125284628107879E-2</v>
      </c>
      <c r="Q19" s="86">
        <f si="14" t="shared"/>
        <v>0.44147080889224277</v>
      </c>
    </row>
    <row r="20" spans="1:22" x14ac:dyDescent="0.25">
      <c r="A20" s="84" t="s">
        <v>3</v>
      </c>
      <c r="B20" s="86">
        <f si="9" t="shared"/>
        <v>5.5037902202779501E-3</v>
      </c>
      <c r="C20" s="86">
        <f si="9" t="shared"/>
        <v>0.45909236188625024</v>
      </c>
      <c r="D20" s="86">
        <f ref="D20:G20" si="17" t="shared">D6/$H$13</f>
        <v>0.38276194928539087</v>
      </c>
      <c r="E20" s="86">
        <f si="17" t="shared"/>
        <v>8.1834202821137361E-2</v>
      </c>
      <c r="F20" s="86">
        <f si="17" t="shared"/>
        <v>0.45521559560163988</v>
      </c>
      <c r="G20" s="86">
        <f si="17" t="shared"/>
        <v>9.3805565048883047E-3</v>
      </c>
      <c r="H20" s="86">
        <f si="11" t="shared"/>
        <v>0.46459615210652822</v>
      </c>
      <c r="J20" s="84" t="s">
        <v>3</v>
      </c>
      <c r="K20" s="86">
        <f si="12" t="shared"/>
        <v>2.0186110587068779E-2</v>
      </c>
      <c r="L20" s="86">
        <f si="12" t="shared"/>
        <v>0.4916443278389323</v>
      </c>
      <c r="M20" s="86">
        <f ref="M20:P20" si="18" t="shared">M6/$Q$13</f>
        <v>0.34344466917329519</v>
      </c>
      <c r="N20" s="86">
        <f si="18" t="shared"/>
        <v>0.16838576925270587</v>
      </c>
      <c r="O20" s="86">
        <f si="18" t="shared"/>
        <v>0.46853625471089683</v>
      </c>
      <c r="P20" s="86">
        <f si="18" t="shared"/>
        <v>4.3294183715104267E-2</v>
      </c>
      <c r="Q20" s="86">
        <f si="14" t="shared"/>
        <v>0.51183043842600107</v>
      </c>
    </row>
    <row r="21" spans="1:22" x14ac:dyDescent="0.25">
      <c r="A21" s="84" t="s">
        <v>4</v>
      </c>
      <c r="B21" s="86">
        <f si="9" t="shared"/>
        <v>0</v>
      </c>
      <c r="C21" s="86">
        <f si="9" t="shared"/>
        <v>3.0684292626534299E-3</v>
      </c>
      <c r="D21" s="86">
        <f ref="D21:G21" si="19" t="shared">D7/$H$13</f>
        <v>3.0684292626534299E-3</v>
      </c>
      <c r="E21" s="86">
        <f si="19" t="shared"/>
        <v>0</v>
      </c>
      <c r="F21" s="86">
        <f si="19" t="shared"/>
        <v>3.0684292626534299E-3</v>
      </c>
      <c r="G21" s="86">
        <f si="19" t="shared"/>
        <v>0</v>
      </c>
      <c r="H21" s="86">
        <f si="11" t="shared"/>
        <v>3.0684292626534299E-3</v>
      </c>
      <c r="J21" s="84" t="s">
        <v>4</v>
      </c>
      <c r="K21" s="86">
        <f si="12" t="shared"/>
        <v>0</v>
      </c>
      <c r="L21" s="86">
        <f si="12" t="shared"/>
        <v>0</v>
      </c>
      <c r="M21" s="86">
        <f ref="M21:P21" si="20" t="shared">M7/$Q$13</f>
        <v>0</v>
      </c>
      <c r="N21" s="86">
        <f si="20" t="shared"/>
        <v>0</v>
      </c>
      <c r="O21" s="86">
        <f si="20" t="shared"/>
        <v>0</v>
      </c>
      <c r="P21" s="86">
        <f si="20" t="shared"/>
        <v>0</v>
      </c>
      <c r="Q21" s="86">
        <f si="14" t="shared"/>
        <v>0</v>
      </c>
    </row>
    <row r="22" spans="1:22" x14ac:dyDescent="0.25">
      <c r="A22" s="84" t="s">
        <v>5</v>
      </c>
      <c r="B22" s="86">
        <f si="9" t="shared"/>
        <v>1.4665125414179219E-3</v>
      </c>
      <c r="C22" s="86">
        <f si="9" t="shared"/>
        <v>1.8988977456591634E-3</v>
      </c>
      <c r="D22" s="86">
        <f ref="D22:G22" si="21" t="shared">D8/$H$13</f>
        <v>3.3654102870770853E-3</v>
      </c>
      <c r="E22" s="86">
        <f si="21" t="shared"/>
        <v>0</v>
      </c>
      <c r="F22" s="86">
        <f si="21" t="shared"/>
        <v>3.3654102870770853E-3</v>
      </c>
      <c r="G22" s="86">
        <f si="21" t="shared"/>
        <v>0</v>
      </c>
      <c r="H22" s="86">
        <f si="11" t="shared"/>
        <v>3.3654102870770853E-3</v>
      </c>
      <c r="J22" s="84" t="s">
        <v>5</v>
      </c>
      <c r="K22" s="86">
        <f si="12" t="shared"/>
        <v>0</v>
      </c>
      <c r="L22" s="86">
        <f si="12" t="shared"/>
        <v>0</v>
      </c>
      <c r="M22" s="86">
        <f ref="M22:P22" si="22" t="shared">M8/$Q$13</f>
        <v>0</v>
      </c>
      <c r="N22" s="86">
        <f si="22" t="shared"/>
        <v>0</v>
      </c>
      <c r="O22" s="86">
        <f si="22" t="shared"/>
        <v>0</v>
      </c>
      <c r="P22" s="86">
        <f si="22" t="shared"/>
        <v>0</v>
      </c>
      <c r="Q22" s="86">
        <f si="14" t="shared"/>
        <v>0</v>
      </c>
    </row>
    <row r="23" spans="1:22" x14ac:dyDescent="0.25">
      <c r="A23" s="84" t="s">
        <v>6</v>
      </c>
      <c r="B23" s="86">
        <f si="9" t="shared"/>
        <v>0</v>
      </c>
      <c r="C23" s="86">
        <f si="9" t="shared"/>
        <v>0</v>
      </c>
      <c r="D23" s="86">
        <f ref="D23:G23" si="23" t="shared">D9/$H$13</f>
        <v>0</v>
      </c>
      <c r="E23" s="86">
        <f si="23" t="shared"/>
        <v>0</v>
      </c>
      <c r="F23" s="86">
        <f si="23" t="shared"/>
        <v>0</v>
      </c>
      <c r="G23" s="86">
        <f si="23" t="shared"/>
        <v>0</v>
      </c>
      <c r="H23" s="86">
        <f si="11" t="shared"/>
        <v>0</v>
      </c>
      <c r="J23" s="84" t="s">
        <v>6</v>
      </c>
      <c r="K23" s="86">
        <f si="12" t="shared"/>
        <v>5.5280372396667387E-4</v>
      </c>
      <c r="L23" s="86">
        <f si="12" t="shared"/>
        <v>4.8260642568519141E-5</v>
      </c>
      <c r="M23" s="86">
        <f ref="M23:P23" si="24" t="shared">M9/$Q$13</f>
        <v>5.7474037967963703E-4</v>
      </c>
      <c r="N23" s="86">
        <f si="24" t="shared"/>
        <v>2.6323986855555897E-5</v>
      </c>
      <c r="O23" s="86">
        <f si="24" t="shared"/>
        <v>5.966770353926003E-4</v>
      </c>
      <c r="P23" s="86">
        <f si="24" t="shared"/>
        <v>4.3873311425926495E-6</v>
      </c>
      <c r="Q23" s="86">
        <f si="14" t="shared"/>
        <v>6.0106436653519293E-4</v>
      </c>
    </row>
    <row r="24" spans="1:22" x14ac:dyDescent="0.25">
      <c r="A24" s="84" t="s">
        <v>7</v>
      </c>
      <c r="B24" s="86">
        <f si="9" t="shared"/>
        <v>1.3246501023161388E-3</v>
      </c>
      <c r="C24" s="86">
        <f si="9" t="shared"/>
        <v>2.5112441394673887E-2</v>
      </c>
      <c r="D24" s="86">
        <f ref="D24:G24" si="25" t="shared">D10/$H$13</f>
        <v>1.8459800336359508E-2</v>
      </c>
      <c r="E24" s="86">
        <f si="25" t="shared"/>
        <v>7.977291160630515E-3</v>
      </c>
      <c r="F24" s="86">
        <f si="25" t="shared"/>
        <v>2.5897386699335459E-2</v>
      </c>
      <c r="G24" s="86">
        <f si="25" t="shared"/>
        <v>5.3970479765456253E-4</v>
      </c>
      <c r="H24" s="86">
        <f si="11" t="shared"/>
        <v>2.6437091496990028E-2</v>
      </c>
      <c r="J24" s="84" t="s">
        <v>7</v>
      </c>
      <c r="K24" s="86">
        <f si="12" t="shared"/>
        <v>3.795041438342642E-3</v>
      </c>
      <c r="L24" s="86">
        <f si="12" t="shared"/>
        <v>2.1436499962707686E-2</v>
      </c>
      <c r="M24" s="86">
        <f ref="M24:P24" si="26" t="shared">M10/$Q$13</f>
        <v>1.5526764913635386E-2</v>
      </c>
      <c r="N24" s="86">
        <f si="26" t="shared"/>
        <v>9.70477648741494E-3</v>
      </c>
      <c r="O24" s="86">
        <f si="26" t="shared"/>
        <v>2.2831671266052147E-2</v>
      </c>
      <c r="P24" s="86">
        <f si="26" t="shared"/>
        <v>2.3998701349981794E-3</v>
      </c>
      <c r="Q24" s="86">
        <f si="14" t="shared"/>
        <v>2.5231541401050328E-2</v>
      </c>
    </row>
    <row r="25" spans="1:22" x14ac:dyDescent="0.25">
      <c r="A25" s="84" t="s">
        <v>8</v>
      </c>
      <c r="B25" s="86">
        <f si="9" t="shared"/>
        <v>0</v>
      </c>
      <c r="C25" s="86">
        <f si="9" t="shared"/>
        <v>2.4422204154965696E-3</v>
      </c>
      <c r="D25" s="86">
        <f ref="D25:G26" si="27" t="shared">D11/$H$13</f>
        <v>2.4422204154965696E-3</v>
      </c>
      <c r="E25" s="86">
        <f si="27" t="shared"/>
        <v>0</v>
      </c>
      <c r="F25" s="86">
        <f si="27" t="shared"/>
        <v>2.4422204154965696E-3</v>
      </c>
      <c r="G25" s="86">
        <f si="27" t="shared"/>
        <v>0</v>
      </c>
      <c r="H25" s="86">
        <f si="11" t="shared"/>
        <v>2.4422204154965696E-3</v>
      </c>
      <c r="J25" s="84" t="s">
        <v>8</v>
      </c>
      <c r="K25" s="86">
        <f si="12" t="shared"/>
        <v>0</v>
      </c>
      <c r="L25" s="86">
        <f si="12" t="shared"/>
        <v>0</v>
      </c>
      <c r="M25" s="86">
        <f ref="M25:P26" si="28" t="shared">M11/$Q$13</f>
        <v>0</v>
      </c>
      <c r="N25" s="86">
        <f si="28" t="shared"/>
        <v>0</v>
      </c>
      <c r="O25" s="86">
        <f si="28" t="shared"/>
        <v>0</v>
      </c>
      <c r="P25" s="86">
        <f si="28" t="shared"/>
        <v>0</v>
      </c>
      <c r="Q25" s="86">
        <f si="14" t="shared"/>
        <v>0</v>
      </c>
    </row>
    <row r="26" spans="1:22" x14ac:dyDescent="0.25">
      <c r="A26" s="12" t="s">
        <v>302</v>
      </c>
      <c r="B26" s="14">
        <f si="9" t="shared"/>
        <v>0</v>
      </c>
      <c r="C26" s="14">
        <f si="9" t="shared"/>
        <v>0</v>
      </c>
      <c r="D26" s="14">
        <f si="27" t="shared"/>
        <v>0</v>
      </c>
      <c r="E26" s="14">
        <f si="27" t="shared"/>
        <v>0</v>
      </c>
      <c r="F26" s="14">
        <f si="27" t="shared"/>
        <v>0</v>
      </c>
      <c r="G26" s="14">
        <f si="27" t="shared"/>
        <v>0</v>
      </c>
      <c r="H26" s="14">
        <f si="11" t="shared"/>
        <v>0</v>
      </c>
      <c r="J26" s="12" t="s">
        <v>302</v>
      </c>
      <c r="K26" s="14">
        <f si="12" t="shared"/>
        <v>0</v>
      </c>
      <c r="L26" s="14">
        <f si="12" t="shared"/>
        <v>0</v>
      </c>
      <c r="M26" s="14">
        <f si="28" t="shared"/>
        <v>0</v>
      </c>
      <c r="N26" s="14">
        <f si="28" t="shared"/>
        <v>0</v>
      </c>
      <c r="O26" s="14">
        <f si="28" t="shared"/>
        <v>0</v>
      </c>
      <c r="P26" s="14">
        <f si="28" t="shared"/>
        <v>0</v>
      </c>
      <c r="Q26" s="14">
        <f si="14" t="shared"/>
        <v>0</v>
      </c>
    </row>
    <row ht="15.75" r="27" spans="1:22" thickBot="1" x14ac:dyDescent="0.3">
      <c r="A27" s="85" t="s">
        <v>19</v>
      </c>
      <c r="B27" s="89">
        <f si="9" t="shared"/>
        <v>8.3986334162164718E-3</v>
      </c>
      <c r="C27" s="89">
        <f si="9" t="shared"/>
        <v>0.99160136658378339</v>
      </c>
      <c r="D27" s="89">
        <f ref="D27:G27" si="29" t="shared">D13/$H$13</f>
        <v>0.81165086150711996</v>
      </c>
      <c r="E27" s="89">
        <f si="29" t="shared"/>
        <v>0.18834913849288004</v>
      </c>
      <c r="F27" s="89">
        <f si="29" t="shared"/>
        <v>0.96630004831200167</v>
      </c>
      <c r="G27" s="89">
        <f si="29" t="shared"/>
        <v>3.3699951687998192E-2</v>
      </c>
      <c r="H27" s="89">
        <f si="11" t="shared"/>
        <v>1</v>
      </c>
      <c r="J27" s="85" t="s">
        <v>19</v>
      </c>
      <c r="K27" s="89">
        <f si="12" t="shared"/>
        <v>3.011902829389854E-2</v>
      </c>
      <c r="L27" s="89">
        <f si="12" t="shared"/>
        <v>0.96988097170610144</v>
      </c>
      <c r="M27" s="89">
        <f ref="M27:P27" si="30" t="shared">M13/$Q$13</f>
        <v>0.67779440088799581</v>
      </c>
      <c r="N27" s="89">
        <f si="30" t="shared"/>
        <v>0.32220559911200419</v>
      </c>
      <c r="O27" s="89">
        <f si="30" t="shared"/>
        <v>0.91775947773210076</v>
      </c>
      <c r="P27" s="89">
        <f si="30" t="shared"/>
        <v>8.2240522267899213E-2</v>
      </c>
      <c r="Q27" s="89">
        <f si="14" t="shared"/>
        <v>1</v>
      </c>
    </row>
    <row ht="15.75" r="30" spans="1:22" thickBot="1" x14ac:dyDescent="0.3">
      <c r="J30" s="1" t="s">
        <v>28</v>
      </c>
      <c r="K30" s="1"/>
      <c r="L30" s="3"/>
      <c r="M30" s="3"/>
      <c r="N30" s="3"/>
      <c r="O30" s="3"/>
      <c r="P30" s="3"/>
      <c r="Q30" s="3"/>
      <c r="S30" s="15" t="s">
        <v>37</v>
      </c>
      <c r="T30" s="15"/>
      <c r="U30" s="16"/>
      <c r="V30" s="16"/>
    </row>
    <row r="31" spans="1:22" x14ac:dyDescent="0.25">
      <c r="J31" s="2" t="s">
        <v>0</v>
      </c>
      <c r="K31" s="4" t="s">
        <v>9</v>
      </c>
      <c r="L31" s="4" t="s">
        <v>10</v>
      </c>
      <c r="M31" s="7" t="s">
        <v>248</v>
      </c>
      <c r="N31" s="7" t="s">
        <v>247</v>
      </c>
      <c r="O31" s="7" t="s">
        <v>249</v>
      </c>
      <c r="P31" s="7" t="s">
        <v>250</v>
      </c>
      <c r="Q31" s="7" t="s">
        <v>19</v>
      </c>
      <c r="S31" s="18" t="s">
        <v>0</v>
      </c>
      <c r="T31" s="19" t="s">
        <v>46</v>
      </c>
      <c r="U31" s="19" t="s">
        <v>33</v>
      </c>
      <c r="V31" s="20" t="s">
        <v>34</v>
      </c>
    </row>
    <row r="32" spans="1:22" x14ac:dyDescent="0.25">
      <c r="J32" s="84" t="s">
        <v>1</v>
      </c>
      <c r="K32" s="86">
        <f ref="K32:K40" si="31" t="shared">K18-B18</f>
        <v>0</v>
      </c>
      <c r="L32" s="86">
        <f ref="L32:L40" si="32" t="shared">L18-C18</f>
        <v>-1.1148439437444653E-3</v>
      </c>
      <c r="M32" s="86">
        <f ref="M32:M40" si="33" t="shared">M18-D18</f>
        <v>-3.1461344495156314E-3</v>
      </c>
      <c r="N32" s="86">
        <f ref="N32:N40" si="34" t="shared">N18-E18</f>
        <v>2.0312905057711709E-3</v>
      </c>
      <c r="O32" s="86">
        <f ref="O32:O40" si="35" t="shared">O18-F18</f>
        <v>-1.5316404022907674E-3</v>
      </c>
      <c r="P32" s="86">
        <f ref="P32:P40" si="36" t="shared">P18-G18</f>
        <v>4.1679645854630172E-4</v>
      </c>
      <c r="Q32" s="86">
        <f ref="Q32:Q40" si="37" t="shared">Q18-H18</f>
        <v>-1.1148439437444653E-3</v>
      </c>
      <c r="S32" s="82" t="s">
        <v>1</v>
      </c>
      <c r="T32" s="90">
        <f ref="T32:T40" si="38" t="shared">H18</f>
        <v>2.1980990857915106E-2</v>
      </c>
      <c r="U32" s="90">
        <f ref="U32:U40" si="39" t="shared">Q18</f>
        <v>2.0866146914170641E-2</v>
      </c>
      <c r="V32" s="90">
        <f>U32-T32</f>
        <v>-1.1148439437444653E-3</v>
      </c>
    </row>
    <row r="33" spans="10:22" x14ac:dyDescent="0.25">
      <c r="J33" s="84" t="s">
        <v>2</v>
      </c>
      <c r="K33" s="86">
        <f si="31" t="shared"/>
        <v>5.4813919923159815E-3</v>
      </c>
      <c r="L33" s="86">
        <f si="32" t="shared"/>
        <v>-4.2120288673412776E-2</v>
      </c>
      <c r="M33" s="86">
        <f si="33" t="shared"/>
        <v>-8.0158691049241282E-2</v>
      </c>
      <c r="N33" s="86">
        <f si="34" t="shared"/>
        <v>4.3519794368144488E-2</v>
      </c>
      <c r="O33" s="86">
        <f si="35" t="shared"/>
        <v>-4.8984490923749346E-2</v>
      </c>
      <c r="P33" s="86">
        <f si="36" t="shared"/>
        <v>1.2345594242652556E-2</v>
      </c>
      <c r="Q33" s="86">
        <f si="37" t="shared"/>
        <v>-3.6638896681096766E-2</v>
      </c>
      <c r="S33" s="87" t="s">
        <v>2</v>
      </c>
      <c r="T33" s="88">
        <f si="38" t="shared"/>
        <v>0.47810970557333954</v>
      </c>
      <c r="U33" s="88">
        <f si="39" t="shared"/>
        <v>0.44147080889224277</v>
      </c>
      <c r="V33" s="88">
        <f ref="V33:V41" si="40" t="shared">U33-T33</f>
        <v>-3.6638896681096766E-2</v>
      </c>
    </row>
    <row r="34" spans="10:22" x14ac:dyDescent="0.25">
      <c r="J34" s="84" t="s">
        <v>3</v>
      </c>
      <c r="K34" s="86">
        <f si="31" t="shared"/>
        <v>1.4682320366790829E-2</v>
      </c>
      <c r="L34" s="86">
        <f si="32" t="shared"/>
        <v>3.255196595268206E-2</v>
      </c>
      <c r="M34" s="86">
        <f si="33" t="shared"/>
        <v>-3.9317280112095676E-2</v>
      </c>
      <c r="N34" s="86">
        <f si="34" t="shared"/>
        <v>8.6551566431568513E-2</v>
      </c>
      <c r="O34" s="86">
        <f si="35" t="shared"/>
        <v>1.3320659109256949E-2</v>
      </c>
      <c r="P34" s="86">
        <f si="36" t="shared"/>
        <v>3.3913627210215964E-2</v>
      </c>
      <c r="Q34" s="86">
        <f si="37" t="shared"/>
        <v>4.7234286319472851E-2</v>
      </c>
      <c r="S34" s="83" t="s">
        <v>3</v>
      </c>
      <c r="T34" s="91">
        <f si="38" t="shared"/>
        <v>0.46459615210652822</v>
      </c>
      <c r="U34" s="91">
        <f si="39" t="shared"/>
        <v>0.51183043842600107</v>
      </c>
      <c r="V34" s="91">
        <f si="40" t="shared"/>
        <v>4.7234286319472851E-2</v>
      </c>
    </row>
    <row r="35" spans="10:22" x14ac:dyDescent="0.25">
      <c r="J35" s="84" t="s">
        <v>4</v>
      </c>
      <c r="K35" s="86">
        <f si="31" t="shared"/>
        <v>0</v>
      </c>
      <c r="L35" s="86">
        <f si="32" t="shared"/>
        <v>-3.0684292626534299E-3</v>
      </c>
      <c r="M35" s="86">
        <f si="33" t="shared"/>
        <v>-3.0684292626534299E-3</v>
      </c>
      <c r="N35" s="86">
        <f si="34" t="shared"/>
        <v>0</v>
      </c>
      <c r="O35" s="86">
        <f si="35" t="shared"/>
        <v>-3.0684292626534299E-3</v>
      </c>
      <c r="P35" s="86">
        <f si="36" t="shared"/>
        <v>0</v>
      </c>
      <c r="Q35" s="86">
        <f si="37" t="shared"/>
        <v>-3.0684292626534299E-3</v>
      </c>
      <c r="S35" s="87" t="s">
        <v>4</v>
      </c>
      <c r="T35" s="88">
        <f si="38" t="shared"/>
        <v>3.0684292626534299E-3</v>
      </c>
      <c r="U35" s="88">
        <f si="39" t="shared"/>
        <v>0</v>
      </c>
      <c r="V35" s="88">
        <f si="40" t="shared"/>
        <v>-3.0684292626534299E-3</v>
      </c>
    </row>
    <row r="36" spans="10:22" x14ac:dyDescent="0.25">
      <c r="J36" s="84" t="s">
        <v>5</v>
      </c>
      <c r="K36" s="86">
        <f si="31" t="shared"/>
        <v>-1.4665125414179219E-3</v>
      </c>
      <c r="L36" s="86">
        <f si="32" t="shared"/>
        <v>-1.8988977456591634E-3</v>
      </c>
      <c r="M36" s="86">
        <f si="33" t="shared"/>
        <v>-3.3654102870770853E-3</v>
      </c>
      <c r="N36" s="86">
        <f si="34" t="shared"/>
        <v>0</v>
      </c>
      <c r="O36" s="86">
        <f si="35" t="shared"/>
        <v>-3.3654102870770853E-3</v>
      </c>
      <c r="P36" s="86">
        <f si="36" t="shared"/>
        <v>0</v>
      </c>
      <c r="Q36" s="86">
        <f si="37" t="shared"/>
        <v>-3.3654102870770853E-3</v>
      </c>
      <c r="S36" s="83" t="s">
        <v>5</v>
      </c>
      <c r="T36" s="91">
        <f si="38" t="shared"/>
        <v>3.3654102870770853E-3</v>
      </c>
      <c r="U36" s="91">
        <f si="39" t="shared"/>
        <v>0</v>
      </c>
      <c r="V36" s="91">
        <f si="40" t="shared"/>
        <v>-3.3654102870770853E-3</v>
      </c>
    </row>
    <row r="37" spans="10:22" x14ac:dyDescent="0.25">
      <c r="J37" s="84" t="s">
        <v>6</v>
      </c>
      <c r="K37" s="86">
        <f si="31" t="shared"/>
        <v>5.5280372396667387E-4</v>
      </c>
      <c r="L37" s="86">
        <f si="32" t="shared"/>
        <v>4.8260642568519141E-5</v>
      </c>
      <c r="M37" s="86">
        <f si="33" t="shared"/>
        <v>5.7474037967963703E-4</v>
      </c>
      <c r="N37" s="86">
        <f si="34" t="shared"/>
        <v>2.6323986855555897E-5</v>
      </c>
      <c r="O37" s="86">
        <f si="35" t="shared"/>
        <v>5.966770353926003E-4</v>
      </c>
      <c r="P37" s="86">
        <f si="36" t="shared"/>
        <v>4.3873311425926495E-6</v>
      </c>
      <c r="Q37" s="86">
        <f si="37" t="shared"/>
        <v>6.0106436653519293E-4</v>
      </c>
      <c r="S37" s="87" t="s">
        <v>6</v>
      </c>
      <c r="T37" s="88">
        <f si="38" t="shared"/>
        <v>0</v>
      </c>
      <c r="U37" s="88">
        <f si="39" t="shared"/>
        <v>6.0106436653519293E-4</v>
      </c>
      <c r="V37" s="88">
        <f si="40" t="shared"/>
        <v>6.0106436653519293E-4</v>
      </c>
    </row>
    <row r="38" spans="10:22" x14ac:dyDescent="0.25">
      <c r="J38" s="84" t="s">
        <v>7</v>
      </c>
      <c r="K38" s="86">
        <f si="31" t="shared"/>
        <v>2.4703913360265032E-3</v>
      </c>
      <c r="L38" s="86">
        <f si="32" t="shared"/>
        <v>-3.6759414319662009E-3</v>
      </c>
      <c r="M38" s="86">
        <f si="33" t="shared"/>
        <v>-2.9330354227241218E-3</v>
      </c>
      <c r="N38" s="86">
        <f si="34" t="shared"/>
        <v>1.727485326784425E-3</v>
      </c>
      <c r="O38" s="86">
        <f si="35" t="shared"/>
        <v>-3.0657154332833121E-3</v>
      </c>
      <c r="P38" s="86">
        <f si="36" t="shared"/>
        <v>1.860165337343617E-3</v>
      </c>
      <c r="Q38" s="86">
        <f si="37" t="shared"/>
        <v>-1.2055500959397003E-3</v>
      </c>
      <c r="S38" s="83" t="s">
        <v>7</v>
      </c>
      <c r="T38" s="91">
        <f si="38" t="shared"/>
        <v>2.6437091496990028E-2</v>
      </c>
      <c r="U38" s="91">
        <f si="39" t="shared"/>
        <v>2.5231541401050328E-2</v>
      </c>
      <c r="V38" s="91">
        <f si="40" t="shared"/>
        <v>-1.2055500959397003E-3</v>
      </c>
    </row>
    <row r="39" spans="10:22" x14ac:dyDescent="0.25">
      <c r="J39" s="84" t="s">
        <v>8</v>
      </c>
      <c r="K39" s="86">
        <f si="31" t="shared"/>
        <v>0</v>
      </c>
      <c r="L39" s="86">
        <f si="32" t="shared"/>
        <v>-2.4422204154965696E-3</v>
      </c>
      <c r="M39" s="86">
        <f si="33" t="shared"/>
        <v>-2.4422204154965696E-3</v>
      </c>
      <c r="N39" s="86">
        <f si="34" t="shared"/>
        <v>0</v>
      </c>
      <c r="O39" s="86">
        <f si="35" t="shared"/>
        <v>-2.4422204154965696E-3</v>
      </c>
      <c r="P39" s="86">
        <f si="36" t="shared"/>
        <v>0</v>
      </c>
      <c r="Q39" s="86">
        <f si="37" t="shared"/>
        <v>-2.4422204154965696E-3</v>
      </c>
      <c r="S39" s="87" t="s">
        <v>8</v>
      </c>
      <c r="T39" s="88">
        <f si="38" t="shared"/>
        <v>2.4422204154965696E-3</v>
      </c>
      <c r="U39" s="88">
        <f si="39" t="shared"/>
        <v>0</v>
      </c>
      <c r="V39" s="88">
        <f si="40" t="shared"/>
        <v>-2.4422204154965696E-3</v>
      </c>
    </row>
    <row r="40" spans="10:22" x14ac:dyDescent="0.25">
      <c r="J40" s="12" t="s">
        <v>302</v>
      </c>
      <c r="K40" s="14">
        <f si="31" t="shared"/>
        <v>0</v>
      </c>
      <c r="L40" s="14">
        <f si="32" t="shared"/>
        <v>0</v>
      </c>
      <c r="M40" s="14">
        <f si="33" t="shared"/>
        <v>0</v>
      </c>
      <c r="N40" s="14">
        <f si="34" t="shared"/>
        <v>0</v>
      </c>
      <c r="O40" s="14">
        <f si="35" t="shared"/>
        <v>0</v>
      </c>
      <c r="P40" s="14">
        <f si="36" t="shared"/>
        <v>0</v>
      </c>
      <c r="Q40" s="14">
        <f si="37" t="shared"/>
        <v>0</v>
      </c>
      <c r="S40" s="69" t="s">
        <v>302</v>
      </c>
      <c r="T40" s="92">
        <f si="38" t="shared"/>
        <v>0</v>
      </c>
      <c r="U40" s="92">
        <f si="39" t="shared"/>
        <v>0</v>
      </c>
      <c r="V40" s="92">
        <f ref="V40" si="41" t="shared">U40-T40</f>
        <v>0</v>
      </c>
    </row>
    <row ht="15.75" r="41" spans="10:22" thickBot="1" x14ac:dyDescent="0.3">
      <c r="J41" s="85" t="s">
        <v>19</v>
      </c>
      <c r="K41" s="89">
        <f ref="K41" si="42" t="shared">K27-B27</f>
        <v>2.172039487768207E-2</v>
      </c>
      <c r="L41" s="89">
        <f ref="L41" si="43" t="shared">L27-C27</f>
        <v>-2.1720394877681959E-2</v>
      </c>
      <c r="M41" s="89">
        <f ref="M41" si="44" t="shared">M27-D27</f>
        <v>-0.13385646061912415</v>
      </c>
      <c r="N41" s="89">
        <f ref="N41" si="45" t="shared">N27-E27</f>
        <v>0.13385646061912415</v>
      </c>
      <c r="O41" s="89">
        <f ref="O41" si="46" t="shared">O27-F27</f>
        <v>-4.854057057990091E-2</v>
      </c>
      <c r="P41" s="89">
        <f ref="P41" si="47" t="shared">P27-G27</f>
        <v>4.8540570579901021E-2</v>
      </c>
      <c r="Q41" s="89">
        <f ref="Q41" si="48" t="shared">Q27-H27</f>
        <v>0</v>
      </c>
      <c r="S41" s="93" t="s">
        <v>19</v>
      </c>
      <c r="T41" s="94">
        <f ref="T41" si="49" t="shared">H27</f>
        <v>1</v>
      </c>
      <c r="U41" s="94">
        <f ref="U41" si="50" t="shared">Q27</f>
        <v>1</v>
      </c>
      <c r="V41" s="94">
        <f si="40" t="shared"/>
        <v>0</v>
      </c>
    </row>
  </sheetData>
  <pageMargins bottom="0.75" footer="0.3" header="0.3" left="0.7" right="0.7" top="0.75"/>
  <pageSetup horizontalDpi="4294967293" orientation="portrait"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2:W41"/>
  <sheetViews>
    <sheetView topLeftCell="E1" workbookViewId="0">
      <selection activeCell="Q11" sqref="Q11:Q12"/>
    </sheetView>
  </sheetViews>
  <sheetFormatPr defaultRowHeight="15" x14ac:dyDescent="0.25"/>
  <cols>
    <col min="1" max="8" customWidth="true" width="16.7109375" collapsed="true"/>
    <col min="10" max="17" customWidth="true" width="16.7109375" collapsed="true"/>
    <col min="19" max="19" customWidth="true" width="16.7109375" collapsed="true"/>
    <col min="20" max="22" customWidth="true" width="11.85546875" collapsed="true"/>
  </cols>
  <sheetData>
    <row ht="15.75" r="2" spans="1:17" thickBot="1" x14ac:dyDescent="0.3">
      <c r="A2" s="1" t="s">
        <v>49</v>
      </c>
      <c r="B2" s="1"/>
      <c r="C2" s="3"/>
      <c r="D2" s="3"/>
      <c r="E2" s="3"/>
      <c r="F2" s="3"/>
      <c r="G2" s="3"/>
      <c r="H2" s="3"/>
      <c r="J2" s="1" t="s">
        <v>17</v>
      </c>
      <c r="K2" s="1"/>
      <c r="L2" s="3"/>
      <c r="M2" s="3"/>
      <c r="N2" s="3"/>
      <c r="O2" s="3"/>
      <c r="P2" s="3"/>
      <c r="Q2" s="3"/>
    </row>
    <row r="3" spans="1:17" x14ac:dyDescent="0.25">
      <c r="A3" s="2" t="s">
        <v>0</v>
      </c>
      <c r="B3" s="4" t="s">
        <v>9</v>
      </c>
      <c r="C3" s="4" t="s">
        <v>10</v>
      </c>
      <c r="D3" s="7" t="s">
        <v>248</v>
      </c>
      <c r="E3" s="7" t="s">
        <v>247</v>
      </c>
      <c r="F3" s="7" t="s">
        <v>249</v>
      </c>
      <c r="G3" s="7" t="s">
        <v>250</v>
      </c>
      <c r="H3" s="7" t="s">
        <v>19</v>
      </c>
      <c r="J3" s="2" t="s">
        <v>0</v>
      </c>
      <c r="K3" s="4" t="s">
        <v>9</v>
      </c>
      <c r="L3" s="4" t="s">
        <v>10</v>
      </c>
      <c r="M3" s="7" t="s">
        <v>248</v>
      </c>
      <c r="N3" s="7" t="s">
        <v>247</v>
      </c>
      <c r="O3" s="7" t="s">
        <v>249</v>
      </c>
      <c r="P3" s="7" t="s">
        <v>250</v>
      </c>
      <c r="Q3" s="7" t="s">
        <v>19</v>
      </c>
    </row>
    <row r="4" spans="1:17" x14ac:dyDescent="0.25">
      <c r="A4" s="9" t="s">
        <v>1</v>
      </c>
      <c r="B4" s="9" t="n">
        <v>284.99604901039004</v>
      </c>
      <c r="C4" s="9" t="n">
        <v>121243.29754015096</v>
      </c>
      <c r="D4" s="9" t="n">
        <v>103180.31891837655</v>
      </c>
      <c r="E4" s="9" t="n">
        <v>18347.9746707848</v>
      </c>
      <c r="F4" s="9" t="n">
        <v>118590.89996902292</v>
      </c>
      <c r="G4" s="9" t="n">
        <v>2937.3936201384236</v>
      </c>
      <c r="H4" s="9">
        <f>SUM(B4:C4)-B4</f>
        <v>121243.29754015096</v>
      </c>
      <c r="I4" s="9"/>
      <c r="J4" s="9" t="s">
        <v>1</v>
      </c>
      <c r="K4" s="9" t="n">
        <v>0.0</v>
      </c>
      <c r="L4" s="9" t="n">
        <v>140915.0</v>
      </c>
      <c r="M4" s="9" t="n">
        <v>118327.0</v>
      </c>
      <c r="N4" s="9" t="n">
        <v>22588.0</v>
      </c>
      <c r="O4" s="9" t="n">
        <v>135660.0</v>
      </c>
      <c r="P4" s="9" t="n">
        <v>5255.0</v>
      </c>
      <c r="Q4" s="9">
        <f>SUM(K4:L4)</f>
        <v>139764</v>
      </c>
    </row>
    <row r="5" spans="1:17" x14ac:dyDescent="0.25">
      <c r="A5" s="9" t="s">
        <v>2</v>
      </c>
      <c r="B5" s="9" t="n">
        <v>4840.277983533194</v>
      </c>
      <c r="C5" s="9" t="n">
        <v>78333.6170536651</v>
      </c>
      <c r="D5" s="9" t="n">
        <v>63888.21280621593</v>
      </c>
      <c r="E5" s="9" t="n">
        <v>19285.682230982362</v>
      </c>
      <c r="F5" s="9" t="n">
        <v>82426.5364733451</v>
      </c>
      <c r="G5" s="9" t="n">
        <v>747.3585638531869</v>
      </c>
      <c r="H5" s="9">
        <f>SUM(B5:C5)+0.5*B4</f>
        <v>83316.393061703493</v>
      </c>
      <c r="I5" s="9"/>
      <c r="J5" s="9" t="s">
        <v>2</v>
      </c>
      <c r="K5" s="9" t="n">
        <v>3649.0</v>
      </c>
      <c r="L5" s="9" t="n">
        <v>75400.0</v>
      </c>
      <c r="M5" s="9" t="n">
        <v>55780.0</v>
      </c>
      <c r="N5" s="9" t="n">
        <v>23269.0</v>
      </c>
      <c r="O5" s="9" t="n">
        <v>73637.0</v>
      </c>
      <c r="P5" s="9" t="n">
        <v>5412.0</v>
      </c>
      <c r="Q5" s="9">
        <f ref="Q5:Q12" si="0" t="shared">SUM(K5:L5)</f>
        <v>79704</v>
      </c>
    </row>
    <row r="6" spans="1:17" x14ac:dyDescent="0.25">
      <c r="A6" s="9" t="s">
        <v>3</v>
      </c>
      <c r="B6" s="9" t="n">
        <v>1746.632590169932</v>
      </c>
      <c r="C6" s="9" t="n">
        <v>44743.82094679945</v>
      </c>
      <c r="D6" s="9" t="n">
        <v>38199.15867812148</v>
      </c>
      <c r="E6" s="9" t="n">
        <v>8291.294858847908</v>
      </c>
      <c r="F6" s="9" t="n">
        <v>46437.2539090392</v>
      </c>
      <c r="G6" s="9" t="n">
        <v>53.1996279301831</v>
      </c>
      <c r="H6" s="9">
        <f>SUM(B6:C6)+0.5*B4</f>
        <v>46632.951561474576</v>
      </c>
      <c r="I6" s="9"/>
      <c r="J6" s="9" t="s">
        <v>3</v>
      </c>
      <c r="K6" s="9" t="n">
        <v>1102.0</v>
      </c>
      <c r="L6" s="9" t="n">
        <v>45336.0</v>
      </c>
      <c r="M6" s="9" t="n">
        <v>30851.0</v>
      </c>
      <c r="N6" s="9" t="n">
        <v>15587.0</v>
      </c>
      <c r="O6" s="9" t="n">
        <v>45153.0</v>
      </c>
      <c r="P6" s="9" t="n">
        <v>1285.0</v>
      </c>
      <c r="Q6" s="9">
        <f si="0" t="shared"/>
        <v>47086</v>
      </c>
    </row>
    <row r="7" spans="1:17" x14ac:dyDescent="0.25">
      <c r="A7" s="9" t="s">
        <v>4</v>
      </c>
      <c r="B7" s="117" t="n">
        <v>27.1803860026869</v>
      </c>
      <c r="C7" s="117" t="n">
        <v>350.9023900557305</v>
      </c>
      <c r="D7" s="117" t="n">
        <v>378.0827760584174</v>
      </c>
      <c r="E7" s="117" t="n">
        <v>0.0</v>
      </c>
      <c r="F7" s="117" t="n">
        <v>378.0827760584174</v>
      </c>
      <c r="G7" s="117" t="n">
        <v>0.0</v>
      </c>
      <c r="H7" s="117">
        <f ref="H7:H12" si="1" t="shared">SUM(B7:C7)</f>
        <v>378.08277605841738</v>
      </c>
      <c r="I7" s="9"/>
      <c r="J7" s="9" t="s">
        <v>4</v>
      </c>
      <c r="K7" s="9" t="n">
        <v>0.0</v>
      </c>
      <c r="L7" s="9" t="n">
        <v>0.0</v>
      </c>
      <c r="M7" s="9" t="n">
        <v>0.0</v>
      </c>
      <c r="N7" s="9" t="n">
        <v>0.0</v>
      </c>
      <c r="O7" s="9" t="n">
        <v>0.0</v>
      </c>
      <c r="P7" s="9" t="n">
        <v>0.0</v>
      </c>
      <c r="Q7" s="9">
        <f si="0" t="shared"/>
        <v>0</v>
      </c>
    </row>
    <row r="8" spans="1:17" x14ac:dyDescent="0.25">
      <c r="A8" s="9" t="s">
        <v>5</v>
      </c>
      <c r="B8" s="117" t="n">
        <v>3871.389584315748</v>
      </c>
      <c r="C8" s="117" t="n">
        <v>729.8862313281952</v>
      </c>
      <c r="D8" s="117" t="n">
        <v>4233.1011442835925</v>
      </c>
      <c r="E8" s="117" t="n">
        <v>368.1746713603505</v>
      </c>
      <c r="F8" s="117" t="n">
        <v>4555.577458571411</v>
      </c>
      <c r="G8" s="117" t="n">
        <v>45.6983570725321</v>
      </c>
      <c r="H8" s="117">
        <f si="1" t="shared"/>
        <v>4601.2758156439431</v>
      </c>
      <c r="I8" s="9"/>
      <c r="J8" s="9" t="s">
        <v>5</v>
      </c>
      <c r="K8" s="9" t="n">
        <v>2404.0</v>
      </c>
      <c r="L8" s="9" t="n">
        <v>1022.0</v>
      </c>
      <c r="M8" s="9" t="n">
        <v>3057.0</v>
      </c>
      <c r="N8" s="9" t="n">
        <v>369.0</v>
      </c>
      <c r="O8" s="9" t="n">
        <v>3338.0</v>
      </c>
      <c r="P8" s="9" t="n">
        <v>88.0</v>
      </c>
      <c r="Q8" s="9">
        <f si="0" t="shared"/>
        <v>3416</v>
      </c>
    </row>
    <row r="9" spans="1:17" x14ac:dyDescent="0.25">
      <c r="A9" s="9" t="s">
        <v>6</v>
      </c>
      <c r="B9" s="9" t="n">
        <v>35.5013426149301</v>
      </c>
      <c r="C9" s="9" t="n">
        <v>1071.9445198521041</v>
      </c>
      <c r="D9" s="9" t="n">
        <v>1107.4458624670342</v>
      </c>
      <c r="E9" s="9" t="n">
        <v>0.0</v>
      </c>
      <c r="F9" s="9" t="n">
        <v>1107.4458624670342</v>
      </c>
      <c r="G9" s="9" t="n">
        <v>0.0</v>
      </c>
      <c r="H9" s="9">
        <f si="1" t="shared"/>
        <v>1107.4458624670342</v>
      </c>
      <c r="I9" s="9"/>
      <c r="J9" s="9" t="s">
        <v>6</v>
      </c>
      <c r="K9" s="9" t="n">
        <v>221.0</v>
      </c>
      <c r="L9" s="9" t="n">
        <v>1750.0</v>
      </c>
      <c r="M9" s="9" t="n">
        <v>1358.0</v>
      </c>
      <c r="N9" s="9" t="n">
        <v>613.0</v>
      </c>
      <c r="O9" s="9" t="n">
        <v>1802.0</v>
      </c>
      <c r="P9" s="9" t="n">
        <v>169.0</v>
      </c>
      <c r="Q9" s="9">
        <f si="0" t="shared"/>
        <v>1904</v>
      </c>
    </row>
    <row r="10" spans="1:17" x14ac:dyDescent="0.25">
      <c r="A10" s="9" t="s">
        <v>7</v>
      </c>
      <c r="B10" s="9" t="n">
        <v>1108.7953712389783</v>
      </c>
      <c r="C10" s="9" t="n">
        <v>8666.18433978645</v>
      </c>
      <c r="D10" s="9" t="n">
        <v>7566.859421055872</v>
      </c>
      <c r="E10" s="9" t="n">
        <v>2208.120289969556</v>
      </c>
      <c r="F10" s="9" t="n">
        <v>9348.699995640633</v>
      </c>
      <c r="G10" s="9" t="n">
        <v>426.2797153847952</v>
      </c>
      <c r="H10" s="9">
        <f si="1" t="shared"/>
        <v>9774.9797110254294</v>
      </c>
      <c r="I10" s="9"/>
      <c r="J10" s="9" t="s">
        <v>7</v>
      </c>
      <c r="K10" s="9" t="n">
        <v>1632.0</v>
      </c>
      <c r="L10" s="9" t="n">
        <v>11371.0</v>
      </c>
      <c r="M10" s="9" t="n">
        <v>9554.0</v>
      </c>
      <c r="N10" s="9" t="n">
        <v>3449.0</v>
      </c>
      <c r="O10" s="9" t="n">
        <v>12212.0</v>
      </c>
      <c r="P10" s="9" t="n">
        <v>791.0</v>
      </c>
      <c r="Q10" s="9">
        <f si="0" t="shared"/>
        <v>12318</v>
      </c>
    </row>
    <row r="11" spans="1:17" x14ac:dyDescent="0.25">
      <c r="A11" s="84" t="s">
        <v>8</v>
      </c>
      <c r="B11" s="84" t="n">
        <v>52.4037208040866</v>
      </c>
      <c r="C11" s="84" t="n">
        <v>84.6791841628138</v>
      </c>
      <c r="D11" s="84" t="n">
        <v>52.4037208040866</v>
      </c>
      <c r="E11" s="84" t="n">
        <v>84.6791841628138</v>
      </c>
      <c r="F11" s="84" t="n">
        <v>137.0829049669004</v>
      </c>
      <c r="G11" s="84" t="n">
        <v>0.0</v>
      </c>
      <c r="H11" s="84">
        <f si="1" t="shared"/>
        <v>137.0829049669004</v>
      </c>
      <c r="I11" s="9"/>
      <c r="J11" s="84" t="s">
        <v>8</v>
      </c>
      <c r="K11" s="84" t="n">
        <v>0.0</v>
      </c>
      <c r="L11" s="84" t="n">
        <v>0.0</v>
      </c>
      <c r="M11" s="84" t="n">
        <v>0.0</v>
      </c>
      <c r="N11" s="84" t="n">
        <v>0.0</v>
      </c>
      <c r="O11" s="84" t="n">
        <v>0.0</v>
      </c>
      <c r="P11" s="84" t="n">
        <v>0.0</v>
      </c>
      <c r="Q11" s="84">
        <f si="0" t="shared"/>
        <v>0</v>
      </c>
    </row>
    <row r="12" spans="1:17" x14ac:dyDescent="0.25">
      <c r="A12" s="12" t="s">
        <v>302</v>
      </c>
      <c r="B12" s="12" t="n">
        <v>0.0</v>
      </c>
      <c r="C12" s="12" t="n">
        <v>0.0</v>
      </c>
      <c r="D12" s="12" t="n">
        <v>0.0</v>
      </c>
      <c r="E12" s="12" t="n">
        <v>0.0</v>
      </c>
      <c r="F12" s="12" t="n">
        <v>0.0</v>
      </c>
      <c r="G12" s="12" t="n">
        <v>0.0</v>
      </c>
      <c r="H12" s="84">
        <f si="1" t="shared"/>
        <v>0</v>
      </c>
      <c r="I12" s="9"/>
      <c r="J12" s="12" t="s">
        <v>302</v>
      </c>
      <c r="K12" s="12" t="n">
        <v>0.0</v>
      </c>
      <c r="L12" s="12" t="n">
        <v>0.0</v>
      </c>
      <c r="M12" s="12" t="n">
        <v>0.0</v>
      </c>
      <c r="N12" s="12" t="n">
        <v>0.0</v>
      </c>
      <c r="O12" s="12" t="n">
        <v>0.0</v>
      </c>
      <c r="P12" s="12" t="n">
        <v>0.0</v>
      </c>
      <c r="Q12" s="84">
        <f si="0" t="shared"/>
        <v>0</v>
      </c>
    </row>
    <row ht="15.75" r="13" spans="1:17" thickBot="1" x14ac:dyDescent="0.3">
      <c r="A13" s="85" t="s">
        <v>19</v>
      </c>
      <c r="B13" s="85">
        <f>SUM(B4:B12)</f>
        <v>11967.177027689948</v>
      </c>
      <c r="C13" s="85">
        <f ref="C13:H13" si="2" t="shared">SUM(C4:C12)</f>
        <v>255224.33220580081</v>
      </c>
      <c r="D13" s="85">
        <f si="2" t="shared"/>
        <v>218605.58332738298</v>
      </c>
      <c r="E13" s="85">
        <f si="2" t="shared"/>
        <v>48585.925906107783</v>
      </c>
      <c r="F13" s="85">
        <f si="2" t="shared"/>
        <v>262981.57934911159</v>
      </c>
      <c r="G13" s="85">
        <f si="2" t="shared"/>
        <v>4209.9298843791203</v>
      </c>
      <c r="H13" s="85">
        <f si="2" t="shared"/>
        <v>267191.5092334908</v>
      </c>
      <c r="J13" s="85" t="s">
        <v>19</v>
      </c>
      <c r="K13" s="85">
        <f>SUM(K4:K12)</f>
        <v>9051</v>
      </c>
      <c r="L13" s="85">
        <f ref="L13" si="3" t="shared">SUM(L4:L12)</f>
        <v>275141</v>
      </c>
      <c r="M13" s="85">
        <f ref="M13" si="4" t="shared">SUM(M4:M12)</f>
        <v>218774</v>
      </c>
      <c r="N13" s="85">
        <f ref="N13" si="5" t="shared">SUM(N4:N12)</f>
        <v>65418</v>
      </c>
      <c r="O13" s="85">
        <f ref="O13" si="6" t="shared">SUM(O4:O12)</f>
        <v>271451</v>
      </c>
      <c r="P13" s="85">
        <f ref="P13" si="7" t="shared">SUM(P4:P12)</f>
        <v>12741</v>
      </c>
      <c r="Q13" s="85">
        <f ref="Q13" si="8" t="shared">SUM(Q4:Q12)</f>
        <v>284192</v>
      </c>
    </row>
    <row ht="15.75" r="16" spans="1:17" thickBot="1" x14ac:dyDescent="0.3">
      <c r="A16" s="1" t="s">
        <v>50</v>
      </c>
      <c r="B16" s="1"/>
      <c r="C16" s="3"/>
      <c r="D16" s="3"/>
      <c r="E16" s="3"/>
      <c r="F16" s="3"/>
      <c r="G16" s="3"/>
      <c r="H16" s="3"/>
      <c r="J16" s="1" t="s">
        <v>29</v>
      </c>
      <c r="K16" s="1"/>
      <c r="L16" s="3"/>
      <c r="M16" s="3"/>
      <c r="N16" s="3"/>
      <c r="O16" s="3"/>
      <c r="P16" s="3"/>
      <c r="Q16" s="3"/>
    </row>
    <row r="17" spans="1:22" x14ac:dyDescent="0.25">
      <c r="A17" s="2" t="s">
        <v>0</v>
      </c>
      <c r="B17" s="4" t="s">
        <v>9</v>
      </c>
      <c r="C17" s="4" t="s">
        <v>10</v>
      </c>
      <c r="D17" s="7" t="s">
        <v>248</v>
      </c>
      <c r="E17" s="7" t="s">
        <v>247</v>
      </c>
      <c r="F17" s="7" t="s">
        <v>249</v>
      </c>
      <c r="G17" s="7" t="s">
        <v>250</v>
      </c>
      <c r="H17" s="7" t="s">
        <v>19</v>
      </c>
      <c r="J17" s="2" t="s">
        <v>0</v>
      </c>
      <c r="K17" s="4" t="s">
        <v>9</v>
      </c>
      <c r="L17" s="4" t="s">
        <v>10</v>
      </c>
      <c r="M17" s="7" t="s">
        <v>248</v>
      </c>
      <c r="N17" s="7" t="s">
        <v>247</v>
      </c>
      <c r="O17" s="7" t="s">
        <v>249</v>
      </c>
      <c r="P17" s="7" t="s">
        <v>250</v>
      </c>
      <c r="Q17" s="7" t="s">
        <v>19</v>
      </c>
    </row>
    <row r="18" spans="1:22" x14ac:dyDescent="0.25">
      <c r="A18" s="84" t="s">
        <v>1</v>
      </c>
      <c r="B18" s="86">
        <f ref="B18:C27" si="9" t="shared">B4/$H$13</f>
        <v>1.0666358741263009E-3</v>
      </c>
      <c r="C18" s="86">
        <f si="9" t="shared"/>
        <v>0.45376927540837392</v>
      </c>
      <c r="D18" s="86">
        <f ref="D18:G18" si="10" t="shared">D4/$H$13</f>
        <v>0.38616615930040765</v>
      </c>
      <c r="E18" s="86">
        <f si="10" t="shared"/>
        <v>6.8669751982092533E-2</v>
      </c>
      <c r="F18" s="86">
        <f si="10" t="shared"/>
        <v>0.44384232234486848</v>
      </c>
      <c r="G18" s="86">
        <f si="10" t="shared"/>
        <v>1.0993588937631704E-2</v>
      </c>
      <c r="H18" s="86">
        <f ref="H18:H27" si="11" t="shared">H4/$H$13</f>
        <v>0.45376927540837392</v>
      </c>
      <c r="J18" s="84" t="s">
        <v>1</v>
      </c>
      <c r="K18" s="86">
        <f ref="K18:L27" si="12" t="shared">K4/$Q$13</f>
        <v>0</v>
      </c>
      <c r="L18" s="86">
        <f si="12" t="shared"/>
        <v>0.49179427992343205</v>
      </c>
      <c r="M18" s="86">
        <f ref="M18:P18" si="13" t="shared">M4/$Q$13</f>
        <v>0.41328397702961378</v>
      </c>
      <c r="N18" s="86">
        <f si="13" t="shared"/>
        <v>7.851030289381826E-2</v>
      </c>
      <c r="O18" s="86">
        <f si="13" t="shared"/>
        <v>0.47349679090192548</v>
      </c>
      <c r="P18" s="86">
        <f si="13" t="shared"/>
        <v>1.8297489021506588E-2</v>
      </c>
      <c r="Q18" s="86">
        <f ref="Q18:Q27" si="14" t="shared">Q4/$Q$13</f>
        <v>0.49179427992343205</v>
      </c>
    </row>
    <row r="19" spans="1:22" x14ac:dyDescent="0.25">
      <c r="A19" s="84" t="s">
        <v>2</v>
      </c>
      <c r="B19" s="86">
        <f si="9" t="shared"/>
        <v>1.8115388462076529E-2</v>
      </c>
      <c r="C19" s="86">
        <f si="9" t="shared"/>
        <v>0.29317405062154001</v>
      </c>
      <c r="D19" s="86">
        <f ref="D19:G19" si="15" t="shared">D5/$H$13</f>
        <v>0.23911019099931766</v>
      </c>
      <c r="E19" s="86">
        <f si="15" t="shared"/>
        <v>7.2179248084298861E-2</v>
      </c>
      <c r="F19" s="86">
        <f si="15" t="shared"/>
        <v>0.30849234958778188</v>
      </c>
      <c r="G19" s="86">
        <f si="15" t="shared"/>
        <v>2.7970894958345861E-3</v>
      </c>
      <c r="H19" s="86">
        <f si="11" t="shared"/>
        <v>0.31182275702067969</v>
      </c>
      <c r="J19" s="84" t="s">
        <v>2</v>
      </c>
      <c r="K19" s="86">
        <f si="12" t="shared"/>
        <v>1.3156598356040987E-2</v>
      </c>
      <c r="L19" s="86">
        <f si="12" t="shared"/>
        <v>0.26730168336898996</v>
      </c>
      <c r="M19" s="86">
        <f ref="M19:P19" si="16" t="shared">M5/$Q$13</f>
        <v>0.19889722441166535</v>
      </c>
      <c r="N19" s="86">
        <f si="16" t="shared"/>
        <v>8.1561057313365617E-2</v>
      </c>
      <c r="O19" s="86">
        <f si="16" t="shared"/>
        <v>0.26195318657808803</v>
      </c>
      <c r="P19" s="86">
        <f si="16" t="shared"/>
        <v>1.8505095146942912E-2</v>
      </c>
      <c r="Q19" s="86">
        <f si="14" t="shared"/>
        <v>0.28045828172503096</v>
      </c>
    </row>
    <row r="20" spans="1:22" x14ac:dyDescent="0.25">
      <c r="A20" s="84" t="s">
        <v>3</v>
      </c>
      <c r="B20" s="86">
        <f si="9" t="shared"/>
        <v>6.5370063411842967E-3</v>
      </c>
      <c r="C20" s="86">
        <f si="9" t="shared"/>
        <v>0.16745974104925296</v>
      </c>
      <c r="D20" s="86">
        <f ref="D20:G20" si="17" t="shared">D6/$H$13</f>
        <v>0.14296546618455738</v>
      </c>
      <c r="E20" s="86">
        <f si="17" t="shared"/>
        <v>3.1031281205879901E-2</v>
      </c>
      <c r="F20" s="86">
        <f si="17" t="shared"/>
        <v>0.17379764065952805</v>
      </c>
      <c r="G20" s="86">
        <f si="17" t="shared"/>
        <v>1.9910673090922776E-4</v>
      </c>
      <c r="H20" s="86">
        <f si="11" t="shared"/>
        <v>0.1745300653275004</v>
      </c>
      <c r="J20" s="84" t="s">
        <v>3</v>
      </c>
      <c r="K20" s="86">
        <f si="12" t="shared"/>
        <v>3.9409976354014189E-3</v>
      </c>
      <c r="L20" s="86">
        <f si="12" t="shared"/>
        <v>0.16174276545434071</v>
      </c>
      <c r="M20" s="86">
        <f ref="M20:P20" si="18" t="shared">M6/$Q$13</f>
        <v>0.1102845963292422</v>
      </c>
      <c r="N20" s="86">
        <f si="18" t="shared"/>
        <v>5.539916676049994E-2</v>
      </c>
      <c r="O20" s="86">
        <f si="18" t="shared"/>
        <v>0.16104605337236796</v>
      </c>
      <c r="P20" s="86">
        <f si="18" t="shared"/>
        <v>4.6377097173741699E-3</v>
      </c>
      <c r="Q20" s="86">
        <f si="14" t="shared"/>
        <v>0.16568376308974214</v>
      </c>
    </row>
    <row r="21" spans="1:22" x14ac:dyDescent="0.25">
      <c r="A21" s="84" t="s">
        <v>4</v>
      </c>
      <c r="B21" s="86">
        <f si="9" t="shared"/>
        <v>1.0172623404336835E-4</v>
      </c>
      <c r="C21" s="86">
        <f si="9" t="shared"/>
        <v>1.3132991802860294E-3</v>
      </c>
      <c r="D21" s="86">
        <f ref="D21:G21" si="19" t="shared">D7/$H$13</f>
        <v>1.4150254143293977E-3</v>
      </c>
      <c r="E21" s="86">
        <f si="19" t="shared"/>
        <v>0</v>
      </c>
      <c r="F21" s="86">
        <f si="19" t="shared"/>
        <v>1.4150254143293977E-3</v>
      </c>
      <c r="G21" s="86">
        <f si="19" t="shared"/>
        <v>0</v>
      </c>
      <c r="H21" s="86">
        <f si="11" t="shared"/>
        <v>1.4150254143293977E-3</v>
      </c>
      <c r="J21" s="84" t="s">
        <v>4</v>
      </c>
      <c r="K21" s="86">
        <f si="12" t="shared"/>
        <v>0</v>
      </c>
      <c r="L21" s="86">
        <f si="12" t="shared"/>
        <v>0</v>
      </c>
      <c r="M21" s="86">
        <f ref="M21:P21" si="20" t="shared">M7/$Q$13</f>
        <v>0</v>
      </c>
      <c r="N21" s="86">
        <f si="20" t="shared"/>
        <v>0</v>
      </c>
      <c r="O21" s="86">
        <f si="20" t="shared"/>
        <v>0</v>
      </c>
      <c r="P21" s="86">
        <f si="20" t="shared"/>
        <v>0</v>
      </c>
      <c r="Q21" s="86">
        <f si="14" t="shared"/>
        <v>0</v>
      </c>
    </row>
    <row r="22" spans="1:22" x14ac:dyDescent="0.25">
      <c r="A22" s="84" t="s">
        <v>5</v>
      </c>
      <c r="B22" s="86">
        <f si="9" t="shared"/>
        <v>1.448919389475305E-2</v>
      </c>
      <c r="C22" s="86">
        <f si="9" t="shared"/>
        <v>2.73169695183079E-3</v>
      </c>
      <c r="D22" s="86">
        <f ref="D22:G22" si="21" t="shared">D8/$H$13</f>
        <v>1.5842947840772927E-2</v>
      </c>
      <c r="E22" s="86">
        <f si="21" t="shared"/>
        <v>1.3779430058109125E-3</v>
      </c>
      <c r="F22" s="86">
        <f si="21" t="shared"/>
        <v>1.7049858626272535E-2</v>
      </c>
      <c r="G22" s="86">
        <f si="21" t="shared"/>
        <v>1.7103222031130357E-4</v>
      </c>
      <c r="H22" s="86">
        <f si="11" t="shared"/>
        <v>1.722089084658384E-2</v>
      </c>
      <c r="J22" s="84" t="s">
        <v>5</v>
      </c>
      <c r="K22" s="86">
        <f si="12" t="shared"/>
        <v>8.504813647111812E-3</v>
      </c>
      <c r="L22" s="86">
        <f si="12" t="shared"/>
        <v>3.5152291408625156E-3</v>
      </c>
      <c r="M22" s="86">
        <f ref="M22:P22" si="22" t="shared">M8/$Q$13</f>
        <v>1.0791999774800136E-2</v>
      </c>
      <c r="N22" s="86">
        <f si="22" t="shared"/>
        <v>1.228043013174192E-3</v>
      </c>
      <c r="O22" s="86">
        <f si="22" t="shared"/>
        <v>1.1759655444206733E-2</v>
      </c>
      <c r="P22" s="86">
        <f si="22" t="shared"/>
        <v>2.6038734376759376E-4</v>
      </c>
      <c r="Q22" s="86">
        <f si="14" t="shared"/>
        <v>1.2020042787974328E-2</v>
      </c>
    </row>
    <row r="23" spans="1:22" x14ac:dyDescent="0.25">
      <c r="A23" s="84" t="s">
        <v>6</v>
      </c>
      <c r="B23" s="86">
        <f si="9" t="shared"/>
        <v>1.3286852833301123E-4</v>
      </c>
      <c r="C23" s="86">
        <f si="9" t="shared"/>
        <v>4.0118958979170382E-3</v>
      </c>
      <c r="D23" s="86">
        <f ref="D23:G23" si="23" t="shared">D9/$H$13</f>
        <v>4.1447644262500496E-3</v>
      </c>
      <c r="E23" s="86">
        <f si="23" t="shared"/>
        <v>0</v>
      </c>
      <c r="F23" s="86">
        <f si="23" t="shared"/>
        <v>4.1447644262500496E-3</v>
      </c>
      <c r="G23" s="86">
        <f si="23" t="shared"/>
        <v>0</v>
      </c>
      <c r="H23" s="86">
        <f si="11" t="shared"/>
        <v>4.1447644262500496E-3</v>
      </c>
      <c r="J23" s="84" t="s">
        <v>6</v>
      </c>
      <c r="K23" s="86">
        <f si="12" t="shared"/>
        <v>7.3189956086026344E-4</v>
      </c>
      <c r="L23" s="86">
        <f si="12" t="shared"/>
        <v>5.9677964193221482E-3</v>
      </c>
      <c r="M23" s="86">
        <f ref="M23:P23" si="24" t="shared">M9/$Q$13</f>
        <v>4.6975284314829408E-3</v>
      </c>
      <c r="N23" s="86">
        <f si="24" t="shared"/>
        <v>2.0021675486994709E-3</v>
      </c>
      <c r="O23" s="86">
        <f si="24" t="shared"/>
        <v>6.1507713095372146E-3</v>
      </c>
      <c r="P23" s="86">
        <f si="24" t="shared"/>
        <v>5.4892467064519758E-4</v>
      </c>
      <c r="Q23" s="86">
        <f si="14" t="shared"/>
        <v>6.6996959801824121E-3</v>
      </c>
    </row>
    <row r="24" spans="1:22" x14ac:dyDescent="0.25">
      <c r="A24" s="84" t="s">
        <v>7</v>
      </c>
      <c r="B24" s="86">
        <f si="9" t="shared"/>
        <v>4.1498151435270152E-3</v>
      </c>
      <c r="C24" s="86">
        <f si="9" t="shared"/>
        <v>3.243435528564393E-2</v>
      </c>
      <c r="D24" s="86">
        <f ref="D24:G24" si="25" t="shared">D10/$H$13</f>
        <v>2.831998457871435E-2</v>
      </c>
      <c r="E24" s="86">
        <f si="25" t="shared"/>
        <v>8.2641858504565891E-3</v>
      </c>
      <c r="F24" s="86">
        <f si="25" t="shared"/>
        <v>3.4988761515887389E-2</v>
      </c>
      <c r="G24" s="86">
        <f si="25" t="shared"/>
        <v>1.5954089132835501E-3</v>
      </c>
      <c r="H24" s="86">
        <f si="11" t="shared"/>
        <v>3.6584170429170948E-2</v>
      </c>
      <c r="J24" s="84" t="s">
        <v>7</v>
      </c>
      <c r="K24" s="86">
        <f si="12" t="shared"/>
        <v>5.5138779416732354E-3</v>
      </c>
      <c r="L24" s="86">
        <f si="12" t="shared"/>
        <v>3.7830058551964869E-2</v>
      </c>
      <c r="M24" s="86">
        <f ref="M24:P24" si="26" t="shared">M10/$Q$13</f>
        <v>3.1855224636865215E-2</v>
      </c>
      <c r="N24" s="86">
        <f si="26" t="shared"/>
        <v>1.1488711856772886E-2</v>
      </c>
      <c r="O24" s="86">
        <f si="26" t="shared"/>
        <v>4.0761175543294677E-2</v>
      </c>
      <c r="P24" s="86">
        <f si="26" t="shared"/>
        <v>2.5827609503434297E-3</v>
      </c>
      <c r="Q24" s="86">
        <f si="14" t="shared"/>
        <v>4.3343936493638102E-2</v>
      </c>
    </row>
    <row r="25" spans="1:22" x14ac:dyDescent="0.25">
      <c r="A25" s="84" t="s">
        <v>8</v>
      </c>
      <c r="B25" s="86">
        <f si="9" t="shared"/>
        <v>1.9612794191859045E-4</v>
      </c>
      <c r="C25" s="86">
        <f si="9" t="shared"/>
        <v>3.1692318519304128E-4</v>
      </c>
      <c r="D25" s="86">
        <f ref="D25:G26" si="27" t="shared">D11/$H$13</f>
        <v>1.9612794191859045E-4</v>
      </c>
      <c r="E25" s="86">
        <f si="27" t="shared"/>
        <v>3.1692318519304128E-4</v>
      </c>
      <c r="F25" s="86">
        <f si="27" t="shared"/>
        <v>5.130511271116317E-4</v>
      </c>
      <c r="G25" s="86">
        <f si="27" t="shared"/>
        <v>0</v>
      </c>
      <c r="H25" s="86">
        <f si="11" t="shared"/>
        <v>5.130511271116317E-4</v>
      </c>
      <c r="J25" s="84" t="s">
        <v>8</v>
      </c>
      <c r="K25" s="86">
        <f si="12" t="shared"/>
        <v>0</v>
      </c>
      <c r="L25" s="86">
        <f si="12" t="shared"/>
        <v>0</v>
      </c>
      <c r="M25" s="86">
        <f ref="M25:P26" si="28" t="shared">M11/$Q$13</f>
        <v>0</v>
      </c>
      <c r="N25" s="86">
        <f si="28" t="shared"/>
        <v>0</v>
      </c>
      <c r="O25" s="86">
        <f si="28" t="shared"/>
        <v>0</v>
      </c>
      <c r="P25" s="86">
        <f si="28" t="shared"/>
        <v>0</v>
      </c>
      <c r="Q25" s="86">
        <f si="14" t="shared"/>
        <v>0</v>
      </c>
    </row>
    <row r="26" spans="1:22" x14ac:dyDescent="0.25">
      <c r="A26" s="12" t="s">
        <v>302</v>
      </c>
      <c r="B26" s="14">
        <f si="9" t="shared"/>
        <v>0</v>
      </c>
      <c r="C26" s="14">
        <f si="9" t="shared"/>
        <v>0</v>
      </c>
      <c r="D26" s="14">
        <f si="27" t="shared"/>
        <v>0</v>
      </c>
      <c r="E26" s="14">
        <f si="27" t="shared"/>
        <v>0</v>
      </c>
      <c r="F26" s="14">
        <f si="27" t="shared"/>
        <v>0</v>
      </c>
      <c r="G26" s="14">
        <f si="27" t="shared"/>
        <v>0</v>
      </c>
      <c r="H26" s="14">
        <f si="11" t="shared"/>
        <v>0</v>
      </c>
      <c r="J26" s="12" t="s">
        <v>302</v>
      </c>
      <c r="K26" s="14">
        <f si="12" t="shared"/>
        <v>0</v>
      </c>
      <c r="L26" s="14">
        <f si="12" t="shared"/>
        <v>0</v>
      </c>
      <c r="M26" s="14">
        <f si="28" t="shared"/>
        <v>0</v>
      </c>
      <c r="N26" s="14">
        <f si="28" t="shared"/>
        <v>0</v>
      </c>
      <c r="O26" s="14">
        <f si="28" t="shared"/>
        <v>0</v>
      </c>
      <c r="P26" s="14">
        <f si="28" t="shared"/>
        <v>0</v>
      </c>
      <c r="Q26" s="14">
        <f si="14" t="shared"/>
        <v>0</v>
      </c>
    </row>
    <row ht="15.75" r="27" spans="1:22" thickBot="1" x14ac:dyDescent="0.3">
      <c r="A27" s="85" t="s">
        <v>19</v>
      </c>
      <c r="B27" s="89">
        <f si="9" t="shared"/>
        <v>4.4788762419962172E-2</v>
      </c>
      <c r="C27" s="89">
        <f si="9" t="shared"/>
        <v>0.95521123758003768</v>
      </c>
      <c r="D27" s="89">
        <f ref="D27:G27" si="29" t="shared">D13/$H$13</f>
        <v>0.81816066668626808</v>
      </c>
      <c r="E27" s="89">
        <f si="29" t="shared"/>
        <v>0.18183933331373181</v>
      </c>
      <c r="F27" s="89">
        <f si="29" t="shared"/>
        <v>0.98424377370202931</v>
      </c>
      <c r="G27" s="89">
        <f si="29" t="shared"/>
        <v>1.5756226297970369E-2</v>
      </c>
      <c r="H27" s="89">
        <f si="11" t="shared"/>
        <v>1</v>
      </c>
      <c r="J27" s="85" t="s">
        <v>19</v>
      </c>
      <c r="K27" s="89">
        <f si="12" t="shared"/>
        <v>3.1848187141087718E-2</v>
      </c>
      <c r="L27" s="89">
        <f si="12" t="shared"/>
        <v>0.96815181285891228</v>
      </c>
      <c r="M27" s="89">
        <f ref="M27:P27" si="30" t="shared">M13/$Q$13</f>
        <v>0.76981055061366965</v>
      </c>
      <c r="N27" s="89">
        <f si="30" t="shared"/>
        <v>0.23018944938633037</v>
      </c>
      <c r="O27" s="89">
        <f si="30" t="shared"/>
        <v>0.9551676331494201</v>
      </c>
      <c r="P27" s="89">
        <f si="30" t="shared"/>
        <v>4.483236685057989E-2</v>
      </c>
      <c r="Q27" s="89">
        <f si="14" t="shared"/>
        <v>1</v>
      </c>
    </row>
    <row ht="15.75" r="30" spans="1:22" thickBot="1" x14ac:dyDescent="0.3">
      <c r="J30" s="1" t="s">
        <v>30</v>
      </c>
      <c r="K30" s="1"/>
      <c r="L30" s="3"/>
      <c r="M30" s="3"/>
      <c r="N30" s="3"/>
      <c r="O30" s="3"/>
      <c r="P30" s="3"/>
      <c r="Q30" s="3"/>
      <c r="S30" s="15" t="s">
        <v>38</v>
      </c>
      <c r="T30" s="15"/>
      <c r="U30" s="16"/>
      <c r="V30" s="16"/>
    </row>
    <row r="31" spans="1:22" x14ac:dyDescent="0.25">
      <c r="J31" s="2" t="s">
        <v>0</v>
      </c>
      <c r="K31" s="4" t="s">
        <v>9</v>
      </c>
      <c r="L31" s="4" t="s">
        <v>10</v>
      </c>
      <c r="M31" s="7" t="s">
        <v>248</v>
      </c>
      <c r="N31" s="7" t="s">
        <v>247</v>
      </c>
      <c r="O31" s="7" t="s">
        <v>249</v>
      </c>
      <c r="P31" s="7" t="s">
        <v>250</v>
      </c>
      <c r="Q31" s="7" t="s">
        <v>19</v>
      </c>
      <c r="S31" s="18" t="s">
        <v>0</v>
      </c>
      <c r="T31" s="19" t="s">
        <v>46</v>
      </c>
      <c r="U31" s="19" t="s">
        <v>33</v>
      </c>
      <c r="V31" s="20" t="s">
        <v>34</v>
      </c>
    </row>
    <row r="32" spans="1:22" x14ac:dyDescent="0.25">
      <c r="J32" s="84" t="s">
        <v>1</v>
      </c>
      <c r="K32" s="86">
        <f ref="K32:K40" si="31" t="shared">K18-B18</f>
        <v>-1.0666358741263009E-3</v>
      </c>
      <c r="L32" s="86">
        <f ref="L32:L40" si="32" t="shared">L18-C18</f>
        <v>3.8025004515058136E-2</v>
      </c>
      <c r="M32" s="86">
        <f ref="M32:M40" si="33" t="shared">M18-D18</f>
        <v>2.7117817729206128E-2</v>
      </c>
      <c r="N32" s="86">
        <f ref="N32:N40" si="34" t="shared">N18-E18</f>
        <v>9.8405509117257262E-3</v>
      </c>
      <c r="O32" s="86">
        <f ref="O32:O40" si="35" t="shared">O18-F18</f>
        <v>2.9654468557057001E-2</v>
      </c>
      <c r="P32" s="86">
        <f ref="P32:P40" si="36" t="shared">P18-G18</f>
        <v>7.3039000838748848E-3</v>
      </c>
      <c r="Q32" s="86">
        <f ref="Q32:Q40" si="37" t="shared">Q18-H18</f>
        <v>3.8025004515058136E-2</v>
      </c>
      <c r="S32" s="82" t="s">
        <v>1</v>
      </c>
      <c r="T32" s="90">
        <f ref="T32:T40" si="38" t="shared">H18</f>
        <v>0.45376927540837392</v>
      </c>
      <c r="U32" s="90">
        <f ref="U32:U40" si="39" t="shared">Q18</f>
        <v>0.49179427992343205</v>
      </c>
      <c r="V32" s="90">
        <f>U32-T32</f>
        <v>3.8025004515058136E-2</v>
      </c>
    </row>
    <row r="33" spans="10:22" x14ac:dyDescent="0.25">
      <c r="J33" s="84" t="s">
        <v>2</v>
      </c>
      <c r="K33" s="86">
        <f si="31" t="shared"/>
        <v>-4.9587901060355426E-3</v>
      </c>
      <c r="L33" s="86">
        <f si="32" t="shared"/>
        <v>-2.5872367252550044E-2</v>
      </c>
      <c r="M33" s="86">
        <f si="33" t="shared"/>
        <v>-4.0212966587652305E-2</v>
      </c>
      <c r="N33" s="86">
        <f si="34" t="shared"/>
        <v>9.3818092290667565E-3</v>
      </c>
      <c r="O33" s="86">
        <f si="35" t="shared"/>
        <v>-4.6539163009693851E-2</v>
      </c>
      <c r="P33" s="86">
        <f si="36" t="shared"/>
        <v>1.5708005651108324E-2</v>
      </c>
      <c r="Q33" s="86">
        <f si="37" t="shared"/>
        <v>-3.136447529564873E-2</v>
      </c>
      <c r="S33" s="87" t="s">
        <v>2</v>
      </c>
      <c r="T33" s="88">
        <f si="38" t="shared"/>
        <v>0.31182275702067969</v>
      </c>
      <c r="U33" s="88">
        <f si="39" t="shared"/>
        <v>0.28045828172503096</v>
      </c>
      <c r="V33" s="88">
        <f ref="V33:V41" si="40" t="shared">U33-T33</f>
        <v>-3.136447529564873E-2</v>
      </c>
    </row>
    <row r="34" spans="10:22" x14ac:dyDescent="0.25">
      <c r="J34" s="84" t="s">
        <v>3</v>
      </c>
      <c r="K34" s="86">
        <f si="31" t="shared"/>
        <v>-2.5960087057828778E-3</v>
      </c>
      <c r="L34" s="86">
        <f si="32" t="shared"/>
        <v>-5.7169755949122436E-3</v>
      </c>
      <c r="M34" s="86">
        <f si="33" t="shared"/>
        <v>-3.2680869855315181E-2</v>
      </c>
      <c r="N34" s="86">
        <f si="34" t="shared"/>
        <v>2.436788555462004E-2</v>
      </c>
      <c r="O34" s="86">
        <f si="35" t="shared"/>
        <v>-1.2751587287160082E-2</v>
      </c>
      <c r="P34" s="86">
        <f si="36" t="shared"/>
        <v>4.4386029864649425E-3</v>
      </c>
      <c r="Q34" s="86">
        <f si="37" t="shared"/>
        <v>-8.8463022377582579E-3</v>
      </c>
      <c r="S34" s="83" t="s">
        <v>3</v>
      </c>
      <c r="T34" s="91">
        <f si="38" t="shared"/>
        <v>0.1745300653275004</v>
      </c>
      <c r="U34" s="91">
        <f si="39" t="shared"/>
        <v>0.16568376308974214</v>
      </c>
      <c r="V34" s="91">
        <f si="40" t="shared"/>
        <v>-8.8463022377582579E-3</v>
      </c>
    </row>
    <row r="35" spans="10:22" x14ac:dyDescent="0.25">
      <c r="J35" s="84" t="s">
        <v>4</v>
      </c>
      <c r="K35" s="86">
        <f si="31" t="shared"/>
        <v>-1.0172623404336835E-4</v>
      </c>
      <c r="L35" s="86">
        <f si="32" t="shared"/>
        <v>-1.3132991802860294E-3</v>
      </c>
      <c r="M35" s="86">
        <f si="33" t="shared"/>
        <v>-1.4150254143293977E-3</v>
      </c>
      <c r="N35" s="86">
        <f si="34" t="shared"/>
        <v>0</v>
      </c>
      <c r="O35" s="86">
        <f si="35" t="shared"/>
        <v>-1.4150254143293977E-3</v>
      </c>
      <c r="P35" s="86">
        <f si="36" t="shared"/>
        <v>0</v>
      </c>
      <c r="Q35" s="86">
        <f si="37" t="shared"/>
        <v>-1.4150254143293977E-3</v>
      </c>
      <c r="S35" s="87" t="s">
        <v>4</v>
      </c>
      <c r="T35" s="88">
        <f si="38" t="shared"/>
        <v>1.4150254143293977E-3</v>
      </c>
      <c r="U35" s="88">
        <f si="39" t="shared"/>
        <v>0</v>
      </c>
      <c r="V35" s="88">
        <f si="40" t="shared"/>
        <v>-1.4150254143293977E-3</v>
      </c>
    </row>
    <row r="36" spans="10:22" x14ac:dyDescent="0.25">
      <c r="J36" s="84" t="s">
        <v>5</v>
      </c>
      <c r="K36" s="86">
        <f si="31" t="shared"/>
        <v>-5.9843802476412383E-3</v>
      </c>
      <c r="L36" s="86">
        <f si="32" t="shared"/>
        <v>7.8353218903172558E-4</v>
      </c>
      <c r="M36" s="86">
        <f si="33" t="shared"/>
        <v>-5.050948065972791E-3</v>
      </c>
      <c r="N36" s="86">
        <f si="34" t="shared"/>
        <v>-1.4989999263672043E-4</v>
      </c>
      <c r="O36" s="86">
        <f si="35" t="shared"/>
        <v>-5.2902031820658019E-3</v>
      </c>
      <c r="P36" s="86">
        <f si="36" t="shared"/>
        <v>8.9355123456290195E-5</v>
      </c>
      <c r="Q36" s="86">
        <f si="37" t="shared"/>
        <v>-5.2008480586095123E-3</v>
      </c>
      <c r="S36" s="83" t="s">
        <v>5</v>
      </c>
      <c r="T36" s="91">
        <f si="38" t="shared"/>
        <v>1.722089084658384E-2</v>
      </c>
      <c r="U36" s="91">
        <f si="39" t="shared"/>
        <v>1.2020042787974328E-2</v>
      </c>
      <c r="V36" s="91">
        <f si="40" t="shared"/>
        <v>-5.2008480586095123E-3</v>
      </c>
    </row>
    <row r="37" spans="10:22" x14ac:dyDescent="0.25">
      <c r="J37" s="84" t="s">
        <v>6</v>
      </c>
      <c r="K37" s="86">
        <f si="31" t="shared"/>
        <v>5.9903103252725225E-4</v>
      </c>
      <c r="L37" s="86">
        <f si="32" t="shared"/>
        <v>1.9559005214051101E-3</v>
      </c>
      <c r="M37" s="86">
        <f si="33" t="shared"/>
        <v>5.5276400523289124E-4</v>
      </c>
      <c r="N37" s="86">
        <f si="34" t="shared"/>
        <v>2.0021675486994709E-3</v>
      </c>
      <c r="O37" s="86">
        <f si="35" t="shared"/>
        <v>2.006006883287165E-3</v>
      </c>
      <c r="P37" s="86">
        <f si="36" t="shared"/>
        <v>5.4892467064519758E-4</v>
      </c>
      <c r="Q37" s="86">
        <f si="37" t="shared"/>
        <v>2.5549315539323625E-3</v>
      </c>
      <c r="S37" s="87" t="s">
        <v>6</v>
      </c>
      <c r="T37" s="88">
        <f si="38" t="shared"/>
        <v>4.1447644262500496E-3</v>
      </c>
      <c r="U37" s="88">
        <f si="39" t="shared"/>
        <v>6.6996959801824121E-3</v>
      </c>
      <c r="V37" s="88">
        <f si="40" t="shared"/>
        <v>2.5549315539323625E-3</v>
      </c>
    </row>
    <row r="38" spans="10:22" x14ac:dyDescent="0.25">
      <c r="J38" s="84" t="s">
        <v>7</v>
      </c>
      <c r="K38" s="86">
        <f si="31" t="shared"/>
        <v>1.3640627981462202E-3</v>
      </c>
      <c r="L38" s="86">
        <f si="32" t="shared"/>
        <v>5.3957032663209392E-3</v>
      </c>
      <c r="M38" s="86">
        <f si="33" t="shared"/>
        <v>3.5352400581508646E-3</v>
      </c>
      <c r="N38" s="86">
        <f si="34" t="shared"/>
        <v>3.2245260063162966E-3</v>
      </c>
      <c r="O38" s="86">
        <f si="35" t="shared"/>
        <v>5.7724140274072883E-3</v>
      </c>
      <c r="P38" s="86">
        <f si="36" t="shared"/>
        <v>9.8735203705987962E-4</v>
      </c>
      <c r="Q38" s="86">
        <f si="37" t="shared"/>
        <v>6.7597660644671542E-3</v>
      </c>
      <c r="S38" s="83" t="s">
        <v>7</v>
      </c>
      <c r="T38" s="91">
        <f si="38" t="shared"/>
        <v>3.6584170429170948E-2</v>
      </c>
      <c r="U38" s="91">
        <f si="39" t="shared"/>
        <v>4.3343936493638102E-2</v>
      </c>
      <c r="V38" s="91">
        <f si="40" t="shared"/>
        <v>6.7597660644671542E-3</v>
      </c>
    </row>
    <row r="39" spans="10:22" x14ac:dyDescent="0.25">
      <c r="J39" s="84" t="s">
        <v>8</v>
      </c>
      <c r="K39" s="86">
        <f si="31" t="shared"/>
        <v>-1.9612794191859045E-4</v>
      </c>
      <c r="L39" s="86">
        <f si="32" t="shared"/>
        <v>-3.1692318519304128E-4</v>
      </c>
      <c r="M39" s="86">
        <f si="33" t="shared"/>
        <v>-1.9612794191859045E-4</v>
      </c>
      <c r="N39" s="86">
        <f si="34" t="shared"/>
        <v>-3.1692318519304128E-4</v>
      </c>
      <c r="O39" s="86">
        <f si="35" t="shared"/>
        <v>-5.130511271116317E-4</v>
      </c>
      <c r="P39" s="86">
        <f si="36" t="shared"/>
        <v>0</v>
      </c>
      <c r="Q39" s="86">
        <f si="37" t="shared"/>
        <v>-5.130511271116317E-4</v>
      </c>
      <c r="S39" s="87" t="s">
        <v>8</v>
      </c>
      <c r="T39" s="88">
        <f si="38" t="shared"/>
        <v>5.130511271116317E-4</v>
      </c>
      <c r="U39" s="88">
        <f si="39" t="shared"/>
        <v>0</v>
      </c>
      <c r="V39" s="88">
        <f si="40" t="shared"/>
        <v>-5.130511271116317E-4</v>
      </c>
    </row>
    <row r="40" spans="10:22" x14ac:dyDescent="0.25">
      <c r="J40" s="12" t="s">
        <v>302</v>
      </c>
      <c r="K40" s="14">
        <f si="31" t="shared"/>
        <v>0</v>
      </c>
      <c r="L40" s="14">
        <f si="32" t="shared"/>
        <v>0</v>
      </c>
      <c r="M40" s="14">
        <f si="33" t="shared"/>
        <v>0</v>
      </c>
      <c r="N40" s="14">
        <f si="34" t="shared"/>
        <v>0</v>
      </c>
      <c r="O40" s="14">
        <f si="35" t="shared"/>
        <v>0</v>
      </c>
      <c r="P40" s="14">
        <f si="36" t="shared"/>
        <v>0</v>
      </c>
      <c r="Q40" s="14">
        <f si="37" t="shared"/>
        <v>0</v>
      </c>
      <c r="S40" s="69" t="s">
        <v>302</v>
      </c>
      <c r="T40" s="92">
        <f si="38" t="shared"/>
        <v>0</v>
      </c>
      <c r="U40" s="92">
        <f si="39" t="shared"/>
        <v>0</v>
      </c>
      <c r="V40" s="92">
        <f ref="V40" si="41" t="shared">U40-T40</f>
        <v>0</v>
      </c>
    </row>
    <row ht="15.75" r="41" spans="10:22" thickBot="1" x14ac:dyDescent="0.3">
      <c r="J41" s="85" t="s">
        <v>19</v>
      </c>
      <c r="K41" s="89">
        <f ref="K41" si="42" t="shared">K27-B27</f>
        <v>-1.2940575278874454E-2</v>
      </c>
      <c r="L41" s="89">
        <f ref="L41" si="43" t="shared">L27-C27</f>
        <v>1.29405752788746E-2</v>
      </c>
      <c r="M41" s="89">
        <f ref="M41" si="44" t="shared">M27-D27</f>
        <v>-4.8350116072598426E-2</v>
      </c>
      <c r="N41" s="89">
        <f ref="N41" si="45" t="shared">N27-E27</f>
        <v>4.8350116072598565E-2</v>
      </c>
      <c r="O41" s="89">
        <f ref="O41" si="46" t="shared">O27-F27</f>
        <v>-2.9076140552609209E-2</v>
      </c>
      <c r="P41" s="89">
        <f ref="P41" si="47" t="shared">P27-G27</f>
        <v>2.9076140552609521E-2</v>
      </c>
      <c r="Q41" s="89">
        <f ref="Q41" si="48" t="shared">Q27-H27</f>
        <v>0</v>
      </c>
      <c r="S41" s="93" t="s">
        <v>19</v>
      </c>
      <c r="T41" s="94">
        <f ref="T41" si="49" t="shared">H27</f>
        <v>1</v>
      </c>
      <c r="U41" s="94">
        <f ref="U41" si="50" t="shared">Q27</f>
        <v>1</v>
      </c>
      <c r="V41" s="94">
        <f si="40" t="shared"/>
        <v>0</v>
      </c>
    </row>
  </sheetData>
  <pageMargins bottom="0.75" footer="0.3" header="0.3" left="0.7" right="0.7" top="0.75"/>
  <pageSetup orientation="portrait" r:id="rId1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2:W41"/>
  <sheetViews>
    <sheetView topLeftCell="E1" workbookViewId="0">
      <selection activeCell="Q11" sqref="Q11:Q12"/>
    </sheetView>
  </sheetViews>
  <sheetFormatPr defaultRowHeight="15" x14ac:dyDescent="0.25"/>
  <cols>
    <col min="1" max="8" customWidth="true" width="16.7109375" collapsed="true"/>
    <col min="10" max="17" customWidth="true" width="16.7109375" collapsed="true"/>
    <col min="19" max="19" customWidth="true" width="16.7109375" collapsed="true"/>
    <col min="20" max="22" customWidth="true" width="11.85546875" collapsed="true"/>
  </cols>
  <sheetData>
    <row ht="15.75" r="2" spans="1:17" thickBot="1" x14ac:dyDescent="0.3">
      <c r="A2" s="1" t="s">
        <v>51</v>
      </c>
      <c r="B2" s="1"/>
      <c r="C2" s="3"/>
      <c r="D2" s="3"/>
      <c r="E2" s="3"/>
      <c r="F2" s="3"/>
      <c r="G2" s="3"/>
      <c r="H2" s="3"/>
      <c r="J2" s="1" t="s">
        <v>15</v>
      </c>
      <c r="K2" s="1"/>
      <c r="L2" s="3"/>
      <c r="M2" s="3"/>
      <c r="N2" s="3"/>
      <c r="O2" s="3"/>
      <c r="P2" s="3"/>
      <c r="Q2" s="3"/>
    </row>
    <row r="3" spans="1:17" x14ac:dyDescent="0.25">
      <c r="A3" s="2" t="s">
        <v>0</v>
      </c>
      <c r="B3" s="4" t="s">
        <v>9</v>
      </c>
      <c r="C3" s="4" t="s">
        <v>10</v>
      </c>
      <c r="D3" s="7" t="s">
        <v>248</v>
      </c>
      <c r="E3" s="7" t="s">
        <v>247</v>
      </c>
      <c r="F3" s="7" t="s">
        <v>249</v>
      </c>
      <c r="G3" s="7" t="s">
        <v>250</v>
      </c>
      <c r="H3" s="7" t="s">
        <v>19</v>
      </c>
      <c r="J3" s="2" t="s">
        <v>0</v>
      </c>
      <c r="K3" s="4" t="s">
        <v>9</v>
      </c>
      <c r="L3" s="4" t="s">
        <v>10</v>
      </c>
      <c r="M3" s="7" t="s">
        <v>248</v>
      </c>
      <c r="N3" s="7" t="s">
        <v>247</v>
      </c>
      <c r="O3" s="7" t="s">
        <v>249</v>
      </c>
      <c r="P3" s="7" t="s">
        <v>250</v>
      </c>
      <c r="Q3" s="7" t="s">
        <v>19</v>
      </c>
    </row>
    <row r="4" spans="1:17" x14ac:dyDescent="0.25">
      <c r="A4" s="9" t="s">
        <v>1</v>
      </c>
      <c r="B4" s="9" t="n">
        <v>383.3253820286308</v>
      </c>
      <c r="C4" s="9" t="n">
        <v>93149.36034003194</v>
      </c>
      <c r="D4" s="9" t="n">
        <v>80100.51371564982</v>
      </c>
      <c r="E4" s="9" t="n">
        <v>13432.172006410747</v>
      </c>
      <c r="F4" s="9" t="n">
        <v>92081.12828248706</v>
      </c>
      <c r="G4" s="9" t="n">
        <v>1451.5574395735182</v>
      </c>
      <c r="H4" s="9">
        <f>SUM(B4:C4)-B4</f>
        <v>93149.360340031941</v>
      </c>
      <c r="I4" s="9"/>
      <c r="J4" s="9" t="s">
        <v>1</v>
      </c>
      <c r="K4" s="9" t="n">
        <v>0.0</v>
      </c>
      <c r="L4" s="9" t="n">
        <v>95420.0</v>
      </c>
      <c r="M4" s="9" t="n">
        <v>79644.0</v>
      </c>
      <c r="N4" s="9" t="n">
        <v>15776.0</v>
      </c>
      <c r="O4" s="9" t="n">
        <v>91798.0</v>
      </c>
      <c r="P4" s="9" t="n">
        <v>3622.0</v>
      </c>
      <c r="Q4" s="9">
        <f>SUM(K4:L4)</f>
        <v>95284</v>
      </c>
    </row>
    <row r="5" spans="1:17" x14ac:dyDescent="0.25">
      <c r="A5" s="9" t="s">
        <v>2</v>
      </c>
      <c r="B5" s="9" t="n">
        <v>1924.616537066672</v>
      </c>
      <c r="C5" s="9" t="n">
        <v>54879.3298095645</v>
      </c>
      <c r="D5" s="9" t="n">
        <v>35921.838880694384</v>
      </c>
      <c r="E5" s="9" t="n">
        <v>20882.10746593679</v>
      </c>
      <c r="F5" s="9" t="n">
        <v>52935.75694378171</v>
      </c>
      <c r="G5" s="9" t="n">
        <v>3868.189402849468</v>
      </c>
      <c r="H5" s="9">
        <f>SUM(B5:C5)+0.5*B4</f>
        <v>56995.609037645489</v>
      </c>
      <c r="I5" s="9"/>
      <c r="J5" s="9" t="s">
        <v>2</v>
      </c>
      <c r="K5" s="9" t="n">
        <v>2891.0</v>
      </c>
      <c r="L5" s="9" t="n">
        <v>49677.0</v>
      </c>
      <c r="M5" s="9" t="n">
        <v>36676.0</v>
      </c>
      <c r="N5" s="9" t="n">
        <v>15892.0</v>
      </c>
      <c r="O5" s="9" t="n">
        <v>48956.0</v>
      </c>
      <c r="P5" s="9" t="n">
        <v>3612.0</v>
      </c>
      <c r="Q5" s="9">
        <f ref="Q5:Q12" si="0" t="shared">SUM(K5:L5)</f>
        <v>52953</v>
      </c>
    </row>
    <row r="6" spans="1:17" x14ac:dyDescent="0.25">
      <c r="A6" s="9" t="s">
        <v>3</v>
      </c>
      <c r="B6" s="9" t="n">
        <v>1317.0467649424602</v>
      </c>
      <c r="C6" s="9" t="n">
        <v>18526.93077099239</v>
      </c>
      <c r="D6" s="9" t="n">
        <v>15645.019997039784</v>
      </c>
      <c r="E6" s="9" t="n">
        <v>4198.9575388950625</v>
      </c>
      <c r="F6" s="9" t="n">
        <v>19594.58242394135</v>
      </c>
      <c r="G6" s="9" t="n">
        <v>249.3951119934999</v>
      </c>
      <c r="H6" s="9">
        <f>SUM(B6:C6)+0.5*B4</f>
        <v>20035.640226949166</v>
      </c>
      <c r="I6" s="9"/>
      <c r="J6" s="9" t="s">
        <v>3</v>
      </c>
      <c r="K6" s="9" t="n">
        <v>902.0</v>
      </c>
      <c r="L6" s="9" t="n">
        <v>30320.0</v>
      </c>
      <c r="M6" s="9" t="n">
        <v>20101.0</v>
      </c>
      <c r="N6" s="9" t="n">
        <v>11121.0</v>
      </c>
      <c r="O6" s="9" t="n">
        <v>30302.0</v>
      </c>
      <c r="P6" s="9" t="n">
        <v>920.0</v>
      </c>
      <c r="Q6" s="9">
        <f si="0" t="shared"/>
        <v>31402</v>
      </c>
    </row>
    <row r="7" spans="1:17" x14ac:dyDescent="0.25">
      <c r="A7" s="9" t="s">
        <v>4</v>
      </c>
      <c r="B7" s="9" t="n">
        <v>148.743159546752</v>
      </c>
      <c r="C7" s="9" t="n">
        <v>89.4055401262576</v>
      </c>
      <c r="D7" s="9" t="n">
        <v>148.743159546752</v>
      </c>
      <c r="E7" s="9" t="n">
        <v>89.4055401262576</v>
      </c>
      <c r="F7" s="9" t="n">
        <v>148.743159546752</v>
      </c>
      <c r="G7" s="9" t="n">
        <v>89.4055401262576</v>
      </c>
      <c r="H7" s="9">
        <f ref="H7:H12" si="1" t="shared">SUM(B7:C7)</f>
        <v>238.14869967300962</v>
      </c>
      <c r="I7" s="9"/>
      <c r="J7" s="9" t="s">
        <v>4</v>
      </c>
      <c r="K7" s="9" t="n">
        <v>0.0</v>
      </c>
      <c r="L7" s="9" t="n">
        <v>0.0</v>
      </c>
      <c r="M7" s="9" t="n">
        <v>0.0</v>
      </c>
      <c r="N7" s="9" t="n">
        <v>0.0</v>
      </c>
      <c r="O7" s="9" t="n">
        <v>0.0</v>
      </c>
      <c r="P7" s="9" t="n">
        <v>0.0</v>
      </c>
      <c r="Q7" s="9">
        <f si="0" t="shared"/>
        <v>0</v>
      </c>
    </row>
    <row r="8" spans="1:17" x14ac:dyDescent="0.25">
      <c r="A8" s="9" t="s">
        <v>5</v>
      </c>
      <c r="B8" s="9" t="n">
        <v>3497.0204934639114</v>
      </c>
      <c r="C8" s="9" t="n">
        <v>403.01721250731214</v>
      </c>
      <c r="D8" s="9" t="n">
        <v>3809.202121854482</v>
      </c>
      <c r="E8" s="9" t="n">
        <v>90.8355841167418</v>
      </c>
      <c r="F8" s="9" t="n">
        <v>3900.0377059712237</v>
      </c>
      <c r="G8" s="9" t="n">
        <v>0.0</v>
      </c>
      <c r="H8" s="9">
        <f si="1" t="shared"/>
        <v>3900.0377059712237</v>
      </c>
      <c r="I8" s="9"/>
      <c r="J8" s="9" t="s">
        <v>5</v>
      </c>
      <c r="K8" s="9" t="n">
        <v>1615.0</v>
      </c>
      <c r="L8" s="9" t="n">
        <v>253.0</v>
      </c>
      <c r="M8" s="9" t="n">
        <v>1792.0</v>
      </c>
      <c r="N8" s="9" t="n">
        <v>76.0</v>
      </c>
      <c r="O8" s="9" t="n">
        <v>1853.0</v>
      </c>
      <c r="P8" s="9" t="n">
        <v>15.0</v>
      </c>
      <c r="Q8" s="9">
        <f si="0" t="shared"/>
        <v>1827</v>
      </c>
    </row>
    <row r="9" spans="1:17" x14ac:dyDescent="0.25">
      <c r="A9" s="9" t="s">
        <v>6</v>
      </c>
      <c r="B9" s="9" t="n">
        <v>345.288069975385</v>
      </c>
      <c r="C9" s="9" t="n">
        <v>285.9312984407436</v>
      </c>
      <c r="D9" s="9" t="n">
        <v>572.82370626339</v>
      </c>
      <c r="E9" s="9" t="n">
        <v>58.3956621527386</v>
      </c>
      <c r="F9" s="9" t="n">
        <v>631.2193684161286</v>
      </c>
      <c r="G9" s="9" t="n">
        <v>0.0</v>
      </c>
      <c r="H9" s="9">
        <f si="1" t="shared"/>
        <v>631.21936841612865</v>
      </c>
      <c r="I9" s="9"/>
      <c r="J9" s="9" t="s">
        <v>6</v>
      </c>
      <c r="K9" s="9" t="n">
        <v>144.0</v>
      </c>
      <c r="L9" s="9" t="n">
        <v>1023.0</v>
      </c>
      <c r="M9" s="9" t="n">
        <v>794.0</v>
      </c>
      <c r="N9" s="9" t="n">
        <v>373.0</v>
      </c>
      <c r="O9" s="9" t="n">
        <v>1065.0</v>
      </c>
      <c r="P9" s="9" t="n">
        <v>102.0</v>
      </c>
      <c r="Q9" s="9">
        <f si="0" t="shared"/>
        <v>1134</v>
      </c>
    </row>
    <row r="10" spans="1:17" x14ac:dyDescent="0.25">
      <c r="A10" s="9" t="s">
        <v>7</v>
      </c>
      <c r="B10" s="9" t="n">
        <v>1490.7088065587864</v>
      </c>
      <c r="C10" s="9" t="n">
        <v>3514.3636367919275</v>
      </c>
      <c r="D10" s="9" t="n">
        <v>2574.643206788696</v>
      </c>
      <c r="E10" s="9" t="n">
        <v>2430.429236562018</v>
      </c>
      <c r="F10" s="9" t="n">
        <v>4462.281999013281</v>
      </c>
      <c r="G10" s="9" t="n">
        <v>542.7904443374327</v>
      </c>
      <c r="H10" s="9">
        <f si="1" t="shared"/>
        <v>5005.0724433507139</v>
      </c>
      <c r="I10" s="9"/>
      <c r="J10" s="9" t="s">
        <v>7</v>
      </c>
      <c r="K10" s="9" t="n">
        <v>1211.0</v>
      </c>
      <c r="L10" s="9" t="n">
        <v>4715.0</v>
      </c>
      <c r="M10" s="9" t="n">
        <v>4204.0</v>
      </c>
      <c r="N10" s="9" t="n">
        <v>1722.0</v>
      </c>
      <c r="O10" s="9" t="n">
        <v>5515.0</v>
      </c>
      <c r="P10" s="9" t="n">
        <v>411.0</v>
      </c>
      <c r="Q10" s="9">
        <f si="0" t="shared"/>
        <v>5642</v>
      </c>
    </row>
    <row r="11" spans="1:17" x14ac:dyDescent="0.25">
      <c r="A11" s="84" t="s">
        <v>8</v>
      </c>
      <c r="B11" s="84" t="n">
        <v>0.0</v>
      </c>
      <c r="C11" s="84" t="n">
        <v>0.0</v>
      </c>
      <c r="D11" s="84" t="n">
        <v>0.0</v>
      </c>
      <c r="E11" s="84" t="n">
        <v>0.0</v>
      </c>
      <c r="F11" s="84" t="n">
        <v>0.0</v>
      </c>
      <c r="G11" s="84" t="n">
        <v>0.0</v>
      </c>
      <c r="H11" s="84">
        <f si="1" t="shared"/>
        <v>0</v>
      </c>
      <c r="I11" s="9"/>
      <c r="J11" s="84" t="s">
        <v>8</v>
      </c>
      <c r="K11" s="84" t="n">
        <v>0.0</v>
      </c>
      <c r="L11" s="84" t="n">
        <v>0.0</v>
      </c>
      <c r="M11" s="84" t="n">
        <v>0.0</v>
      </c>
      <c r="N11" s="84" t="n">
        <v>0.0</v>
      </c>
      <c r="O11" s="84" t="n">
        <v>0.0</v>
      </c>
      <c r="P11" s="84" t="n">
        <v>0.0</v>
      </c>
      <c r="Q11" s="84">
        <f si="0" t="shared"/>
        <v>0</v>
      </c>
    </row>
    <row r="12" spans="1:17" x14ac:dyDescent="0.25">
      <c r="A12" s="12" t="s">
        <v>302</v>
      </c>
      <c r="B12" s="12" t="n">
        <v>0.0</v>
      </c>
      <c r="C12" s="12" t="n">
        <v>0.0</v>
      </c>
      <c r="D12" s="12" t="n">
        <v>0.0</v>
      </c>
      <c r="E12" s="12" t="n">
        <v>0.0</v>
      </c>
      <c r="F12" s="12" t="n">
        <v>0.0</v>
      </c>
      <c r="G12" s="12" t="n">
        <v>0.0</v>
      </c>
      <c r="H12" s="84">
        <f si="1" t="shared"/>
        <v>0</v>
      </c>
      <c r="I12" s="9"/>
      <c r="J12" s="12" t="s">
        <v>302</v>
      </c>
      <c r="K12" s="12" t="n">
        <v>0.0</v>
      </c>
      <c r="L12" s="12" t="n">
        <v>0.0</v>
      </c>
      <c r="M12" s="12" t="n">
        <v>0.0</v>
      </c>
      <c r="N12" s="12" t="n">
        <v>0.0</v>
      </c>
      <c r="O12" s="12" t="n">
        <v>0.0</v>
      </c>
      <c r="P12" s="12" t="n">
        <v>0.0</v>
      </c>
      <c r="Q12" s="84">
        <f si="0" t="shared"/>
        <v>0</v>
      </c>
    </row>
    <row ht="15.75" r="13" spans="1:17" thickBot="1" x14ac:dyDescent="0.3">
      <c r="A13" s="85" t="s">
        <v>19</v>
      </c>
      <c r="B13" s="85">
        <f>SUM(B4:B12)</f>
        <v>9106.7492135825978</v>
      </c>
      <c r="C13" s="85">
        <f ref="C13:H13" si="2" t="shared">SUM(C4:C12)</f>
        <v>170848.33860845506</v>
      </c>
      <c r="D13" s="85">
        <f si="2" t="shared"/>
        <v>138772.7847878373</v>
      </c>
      <c r="E13" s="85">
        <f si="2" t="shared"/>
        <v>41182.303034200362</v>
      </c>
      <c r="F13" s="85">
        <f si="2" t="shared"/>
        <v>173753.74988315746</v>
      </c>
      <c r="G13" s="85">
        <f si="2" t="shared"/>
        <v>6201.3379388801768</v>
      </c>
      <c r="H13" s="85">
        <f si="2" t="shared"/>
        <v>179955.08782203766</v>
      </c>
      <c r="J13" s="85" t="s">
        <v>19</v>
      </c>
      <c r="K13" s="85">
        <f>SUM(K4:K12)</f>
        <v>6848</v>
      </c>
      <c r="L13" s="85">
        <f ref="L13" si="3" t="shared">SUM(L4:L12)</f>
        <v>181394</v>
      </c>
      <c r="M13" s="85">
        <f ref="M13" si="4" t="shared">SUM(M4:M12)</f>
        <v>143480</v>
      </c>
      <c r="N13" s="85">
        <f ref="N13" si="5" t="shared">SUM(N4:N12)</f>
        <v>44762</v>
      </c>
      <c r="O13" s="85">
        <f ref="O13" si="6" t="shared">SUM(O4:O12)</f>
        <v>179619</v>
      </c>
      <c r="P13" s="85">
        <f ref="P13" si="7" t="shared">SUM(P4:P12)</f>
        <v>8623</v>
      </c>
      <c r="Q13" s="85">
        <f ref="Q13" si="8" t="shared">SUM(Q4:Q12)</f>
        <v>188242</v>
      </c>
    </row>
    <row ht="15.75" r="16" spans="1:17" thickBot="1" x14ac:dyDescent="0.3">
      <c r="A16" s="1" t="s">
        <v>51</v>
      </c>
      <c r="B16" s="1"/>
      <c r="C16" s="3"/>
      <c r="D16" s="3"/>
      <c r="E16" s="3"/>
      <c r="F16" s="3"/>
      <c r="G16" s="3"/>
      <c r="H16" s="3"/>
      <c r="J16" s="1" t="s">
        <v>15</v>
      </c>
      <c r="K16" s="1"/>
      <c r="L16" s="3"/>
      <c r="M16" s="3"/>
      <c r="N16" s="3"/>
      <c r="O16" s="3"/>
      <c r="P16" s="3"/>
      <c r="Q16" s="3"/>
    </row>
    <row r="17" spans="1:22" x14ac:dyDescent="0.25">
      <c r="A17" s="2" t="s">
        <v>0</v>
      </c>
      <c r="B17" s="4" t="s">
        <v>9</v>
      </c>
      <c r="C17" s="4" t="s">
        <v>10</v>
      </c>
      <c r="D17" s="7" t="s">
        <v>248</v>
      </c>
      <c r="E17" s="7" t="s">
        <v>247</v>
      </c>
      <c r="F17" s="7" t="s">
        <v>249</v>
      </c>
      <c r="G17" s="7" t="s">
        <v>250</v>
      </c>
      <c r="H17" s="7" t="s">
        <v>19</v>
      </c>
      <c r="J17" s="2" t="s">
        <v>0</v>
      </c>
      <c r="K17" s="4" t="s">
        <v>9</v>
      </c>
      <c r="L17" s="4" t="s">
        <v>10</v>
      </c>
      <c r="M17" s="7" t="s">
        <v>248</v>
      </c>
      <c r="N17" s="7" t="s">
        <v>247</v>
      </c>
      <c r="O17" s="7" t="s">
        <v>249</v>
      </c>
      <c r="P17" s="7" t="s">
        <v>250</v>
      </c>
      <c r="Q17" s="7" t="s">
        <v>19</v>
      </c>
    </row>
    <row r="18" spans="1:22" x14ac:dyDescent="0.25">
      <c r="A18" s="84" t="s">
        <v>1</v>
      </c>
      <c r="B18" s="86">
        <f ref="B18:C27" si="9" t="shared">B4/$H$13</f>
        <v>2.1301169456665291E-3</v>
      </c>
      <c r="C18" s="86">
        <f si="9" t="shared"/>
        <v>0.51762560018391812</v>
      </c>
      <c r="D18" s="86">
        <f ref="D18:G18" si="10" t="shared">D4/$H$13</f>
        <v>0.44511391528348082</v>
      </c>
      <c r="E18" s="86">
        <f si="10" t="shared"/>
        <v>7.464180184610382E-2</v>
      </c>
      <c r="F18" s="86">
        <f si="10" t="shared"/>
        <v>0.51168949651231044</v>
      </c>
      <c r="G18" s="86">
        <f si="10" t="shared"/>
        <v>8.066220617274248E-3</v>
      </c>
      <c r="H18" s="86">
        <f ref="H18:H27" si="11" t="shared">H4/$H$13</f>
        <v>0.51762560018391812</v>
      </c>
      <c r="J18" s="84" t="s">
        <v>1</v>
      </c>
      <c r="K18" s="86">
        <f ref="K18:L27" si="12" t="shared">K4/$Q$13</f>
        <v>0</v>
      </c>
      <c r="L18" s="86">
        <f si="12" t="shared"/>
        <v>0.5061782174010051</v>
      </c>
      <c r="M18" s="86">
        <f ref="M18:P18" si="13" t="shared">M4/$Q$13</f>
        <v>0.42273244015681943</v>
      </c>
      <c r="N18" s="86">
        <f si="13" t="shared"/>
        <v>8.344577724418567E-2</v>
      </c>
      <c r="O18" s="86">
        <f si="13" t="shared"/>
        <v>0.48738326197129228</v>
      </c>
      <c r="P18" s="86">
        <f si="13" t="shared"/>
        <v>1.8794955429712816E-2</v>
      </c>
      <c r="Q18" s="86">
        <f ref="Q18:Q27" si="14" t="shared">Q4/$Q$13</f>
        <v>0.5061782174010051</v>
      </c>
    </row>
    <row r="19" spans="1:22" x14ac:dyDescent="0.25">
      <c r="A19" s="84" t="s">
        <v>2</v>
      </c>
      <c r="B19" s="86">
        <f si="9" t="shared"/>
        <v>1.0694982622386181E-2</v>
      </c>
      <c r="C19" s="86">
        <f si="9" t="shared"/>
        <v>0.30496125713231359</v>
      </c>
      <c r="D19" s="86">
        <f ref="D19:G19" si="15" t="shared">D5/$H$13</f>
        <v>0.19961557806144631</v>
      </c>
      <c r="E19" s="86">
        <f si="15" t="shared"/>
        <v>0.11604066169325349</v>
      </c>
      <c r="F19" s="86">
        <f si="15" t="shared"/>
        <v>0.29416093528920545</v>
      </c>
      <c r="G19" s="86">
        <f si="15" t="shared"/>
        <v>2.1495304465494317E-2</v>
      </c>
      <c r="H19" s="86">
        <f si="11" t="shared"/>
        <v>0.31672129822753303</v>
      </c>
      <c r="J19" s="84" t="s">
        <v>2</v>
      </c>
      <c r="K19" s="86">
        <f si="12" t="shared"/>
        <v>1.5814749099563329E-2</v>
      </c>
      <c r="L19" s="86">
        <f si="12" t="shared"/>
        <v>0.26548804198850418</v>
      </c>
      <c r="M19" s="86">
        <f ref="M19:P19" si="16" t="shared">M5/$Q$13</f>
        <v>0.19637487914493046</v>
      </c>
      <c r="N19" s="86">
        <f si="16" t="shared"/>
        <v>8.4927911943137022E-2</v>
      </c>
      <c r="O19" s="86">
        <f si="16" t="shared"/>
        <v>0.2617747367750024</v>
      </c>
      <c r="P19" s="86">
        <f si="16" t="shared"/>
        <v>1.9528054313065098E-2</v>
      </c>
      <c r="Q19" s="86">
        <f si="14" t="shared"/>
        <v>0.28130279108806749</v>
      </c>
    </row>
    <row r="20" spans="1:22" x14ac:dyDescent="0.25">
      <c r="A20" s="84" t="s">
        <v>3</v>
      </c>
      <c r="B20" s="86">
        <f si="9" t="shared"/>
        <v>7.3187525892289438E-3</v>
      </c>
      <c r="C20" s="86">
        <f si="9" t="shared"/>
        <v>0.10295308121165299</v>
      </c>
      <c r="D20" s="86">
        <f ref="D20:G20" si="17" t="shared">D6/$H$13</f>
        <v>8.6938469961524836E-2</v>
      </c>
      <c r="E20" s="86">
        <f si="17" t="shared"/>
        <v>2.3333363839357087E-2</v>
      </c>
      <c r="F20" s="86">
        <f si="17" t="shared"/>
        <v>0.10888595960853827</v>
      </c>
      <c r="G20" s="86">
        <f si="17" t="shared"/>
        <v>1.385874192343666E-3</v>
      </c>
      <c r="H20" s="86">
        <f si="11" t="shared"/>
        <v>0.11133689227371521</v>
      </c>
      <c r="J20" s="84" t="s">
        <v>3</v>
      </c>
      <c r="K20" s="86">
        <f si="12" t="shared"/>
        <v>4.9616982395002179E-3</v>
      </c>
      <c r="L20" s="86">
        <f si="12" t="shared"/>
        <v>0.16185548389838611</v>
      </c>
      <c r="M20" s="86">
        <f ref="M20:P20" si="18" t="shared">M6/$Q$13</f>
        <v>0.1084030131426568</v>
      </c>
      <c r="N20" s="86">
        <f si="18" t="shared"/>
        <v>5.8414168995229547E-2</v>
      </c>
      <c r="O20" s="86">
        <f si="18" t="shared"/>
        <v>0.16191391931662436</v>
      </c>
      <c r="P20" s="86">
        <f si="18" t="shared"/>
        <v>4.9032628212619927E-3</v>
      </c>
      <c r="Q20" s="86">
        <f si="14" t="shared"/>
        <v>0.16681718213788635</v>
      </c>
    </row>
    <row r="21" spans="1:22" x14ac:dyDescent="0.25">
      <c r="A21" s="84" t="s">
        <v>4</v>
      </c>
      <c r="B21" s="86">
        <f si="9" t="shared"/>
        <v>8.2655712237404504E-4</v>
      </c>
      <c r="C21" s="86">
        <f si="9" t="shared"/>
        <v>4.9682140809863132E-4</v>
      </c>
      <c r="D21" s="86">
        <f ref="D21:G21" si="19" t="shared">D7/$H$13</f>
        <v>8.2655712237404504E-4</v>
      </c>
      <c r="E21" s="86">
        <f si="19" t="shared"/>
        <v>4.9682140809863132E-4</v>
      </c>
      <c r="F21" s="86">
        <f si="19" t="shared"/>
        <v>8.2655712237404504E-4</v>
      </c>
      <c r="G21" s="86">
        <f si="19" t="shared"/>
        <v>4.9682140809863132E-4</v>
      </c>
      <c r="H21" s="86">
        <f si="11" t="shared"/>
        <v>1.3233785304726763E-3</v>
      </c>
      <c r="J21" s="84" t="s">
        <v>4</v>
      </c>
      <c r="K21" s="86">
        <f si="12" t="shared"/>
        <v>0</v>
      </c>
      <c r="L21" s="86">
        <f si="12" t="shared"/>
        <v>0</v>
      </c>
      <c r="M21" s="86">
        <f ref="M21:P21" si="20" t="shared">M7/$Q$13</f>
        <v>0</v>
      </c>
      <c r="N21" s="86">
        <f si="20" t="shared"/>
        <v>0</v>
      </c>
      <c r="O21" s="86">
        <f si="20" t="shared"/>
        <v>0</v>
      </c>
      <c r="P21" s="86">
        <f si="20" t="shared"/>
        <v>0</v>
      </c>
      <c r="Q21" s="86">
        <f si="14" t="shared"/>
        <v>0</v>
      </c>
    </row>
    <row r="22" spans="1:22" x14ac:dyDescent="0.25">
      <c r="A22" s="84" t="s">
        <v>5</v>
      </c>
      <c r="B22" s="86">
        <f si="9" t="shared"/>
        <v>1.9432740334200539E-2</v>
      </c>
      <c r="C22" s="86">
        <f si="9" t="shared"/>
        <v>2.2395433070826346E-3</v>
      </c>
      <c r="D22" s="86">
        <f ref="D22:G22" si="21" t="shared">D8/$H$13</f>
        <v>2.1167515561557795E-2</v>
      </c>
      <c r="E22" s="86">
        <f si="21" t="shared"/>
        <v>5.0476807972537848E-4</v>
      </c>
      <c r="F22" s="86">
        <f si="21" t="shared"/>
        <v>2.1672283641283173E-2</v>
      </c>
      <c r="G22" s="86">
        <f si="21" t="shared"/>
        <v>0</v>
      </c>
      <c r="H22" s="86">
        <f si="11" t="shared"/>
        <v>2.1672283641283173E-2</v>
      </c>
      <c r="J22" s="84" t="s">
        <v>5</v>
      </c>
      <c r="K22" s="86">
        <f si="12" t="shared"/>
        <v>8.5421956842787472E-3</v>
      </c>
      <c r="L22" s="86">
        <f si="12" t="shared"/>
        <v>1.1633960540155758E-3</v>
      </c>
      <c r="M22" s="86">
        <f ref="M22:P22" si="22" t="shared">M8/$Q$13</f>
        <v>9.3284176751203245E-3</v>
      </c>
      <c r="N22" s="86">
        <f si="22" t="shared"/>
        <v>3.7717406317399943E-4</v>
      </c>
      <c r="O22" s="86">
        <f si="22" t="shared"/>
        <v>9.6365316985582393E-3</v>
      </c>
      <c r="P22" s="86">
        <f si="22" t="shared"/>
        <v>6.9060039736084397E-5</v>
      </c>
      <c r="Q22" s="86">
        <f si="14" t="shared"/>
        <v>9.7055917382943228E-3</v>
      </c>
    </row>
    <row r="23" spans="1:22" x14ac:dyDescent="0.25">
      <c r="A23" s="84" t="s">
        <v>6</v>
      </c>
      <c r="B23" s="86">
        <f si="9" t="shared"/>
        <v>1.9187458057137539E-3</v>
      </c>
      <c r="C23" s="86">
        <f si="9" t="shared"/>
        <v>1.5889036642493188E-3</v>
      </c>
      <c r="D23" s="86">
        <f ref="D23:G23" si="23" t="shared">D9/$H$13</f>
        <v>3.1831481576662644E-3</v>
      </c>
      <c r="E23" s="86">
        <f si="23" t="shared"/>
        <v>3.2450131229680825E-4</v>
      </c>
      <c r="F23" s="86">
        <f si="23" t="shared"/>
        <v>3.5076494699630731E-3</v>
      </c>
      <c r="G23" s="86">
        <f si="23" t="shared"/>
        <v>0</v>
      </c>
      <c r="H23" s="86">
        <f si="11" t="shared"/>
        <v>3.5076494699630731E-3</v>
      </c>
      <c r="J23" s="84" t="s">
        <v>6</v>
      </c>
      <c r="K23" s="86">
        <f si="12" t="shared"/>
        <v>7.0122501885870321E-4</v>
      </c>
      <c r="L23" s="86">
        <f si="12" t="shared"/>
        <v>5.3229353704274283E-3</v>
      </c>
      <c r="M23" s="86">
        <f ref="M23:P23" si="24" t="shared">M9/$Q$13</f>
        <v>4.0267315476886136E-3</v>
      </c>
      <c r="N23" s="86">
        <f si="24" t="shared"/>
        <v>1.9974288415975181E-3</v>
      </c>
      <c r="O23" s="86">
        <f si="24" t="shared"/>
        <v>5.4663677606485266E-3</v>
      </c>
      <c r="P23" s="86">
        <f si="24" t="shared"/>
        <v>5.5779262863760474E-4</v>
      </c>
      <c r="Q23" s="86">
        <f si="14" t="shared"/>
        <v>6.0241603892861317E-3</v>
      </c>
    </row>
    <row r="24" spans="1:22" x14ac:dyDescent="0.25">
      <c r="A24" s="84" t="s">
        <v>7</v>
      </c>
      <c r="B24" s="86">
        <f si="9" t="shared"/>
        <v>8.2837824959580333E-3</v>
      </c>
      <c r="C24" s="86">
        <f si="9" t="shared"/>
        <v>1.9529115177156726E-2</v>
      </c>
      <c r="D24" s="86">
        <f ref="D24:G24" si="25" t="shared">D10/$H$13</f>
        <v>1.4307143176384257E-2</v>
      </c>
      <c r="E24" s="86">
        <f si="25" t="shared"/>
        <v>1.3505754496730506E-2</v>
      </c>
      <c r="F24" s="86">
        <f si="25" t="shared"/>
        <v>2.4796642612439777E-2</v>
      </c>
      <c r="G24" s="86">
        <f si="25" t="shared"/>
        <v>3.0162550606749865E-3</v>
      </c>
      <c r="H24" s="86">
        <f si="11" t="shared"/>
        <v>2.7812897673114761E-2</v>
      </c>
      <c r="J24" s="84" t="s">
        <v>7</v>
      </c>
      <c r="K24" s="86">
        <f si="12" t="shared"/>
        <v>6.3588359664686943E-3</v>
      </c>
      <c r="L24" s="86">
        <f si="12" t="shared"/>
        <v>2.3613221278991937E-2</v>
      </c>
      <c r="M24" s="86">
        <f ref="M24:P24" si="26" t="shared">M10/$Q$13</f>
        <v>2.1344864589199011E-2</v>
      </c>
      <c r="N24" s="86">
        <f si="26" t="shared"/>
        <v>8.6271926562616202E-3</v>
      </c>
      <c r="O24" s="86">
        <f si="26" t="shared"/>
        <v>2.8017126889854548E-2</v>
      </c>
      <c r="P24" s="86">
        <f si="26" t="shared"/>
        <v>1.9549303556060816E-3</v>
      </c>
      <c r="Q24" s="86">
        <f si="14" t="shared"/>
        <v>2.9972057245460631E-2</v>
      </c>
    </row>
    <row r="25" spans="1:22" x14ac:dyDescent="0.25">
      <c r="A25" s="84" t="s">
        <v>8</v>
      </c>
      <c r="B25" s="86">
        <f si="9" t="shared"/>
        <v>0</v>
      </c>
      <c r="C25" s="86">
        <f si="9" t="shared"/>
        <v>0</v>
      </c>
      <c r="D25" s="86">
        <f ref="D25:G26" si="27" t="shared">D11/$H$13</f>
        <v>0</v>
      </c>
      <c r="E25" s="86">
        <f si="27" t="shared"/>
        <v>0</v>
      </c>
      <c r="F25" s="86">
        <f si="27" t="shared"/>
        <v>0</v>
      </c>
      <c r="G25" s="86">
        <f si="27" t="shared"/>
        <v>0</v>
      </c>
      <c r="H25" s="86">
        <f si="11" t="shared"/>
        <v>0</v>
      </c>
      <c r="J25" s="84" t="s">
        <v>8</v>
      </c>
      <c r="K25" s="86">
        <f si="12" t="shared"/>
        <v>0</v>
      </c>
      <c r="L25" s="86">
        <f si="12" t="shared"/>
        <v>0</v>
      </c>
      <c r="M25" s="86">
        <f ref="M25:P26" si="28" t="shared">M11/$Q$13</f>
        <v>0</v>
      </c>
      <c r="N25" s="86">
        <f si="28" t="shared"/>
        <v>0</v>
      </c>
      <c r="O25" s="86">
        <f si="28" t="shared"/>
        <v>0</v>
      </c>
      <c r="P25" s="86">
        <f si="28" t="shared"/>
        <v>0</v>
      </c>
      <c r="Q25" s="86">
        <f si="14" t="shared"/>
        <v>0</v>
      </c>
    </row>
    <row r="26" spans="1:22" x14ac:dyDescent="0.25">
      <c r="A26" s="12" t="s">
        <v>302</v>
      </c>
      <c r="B26" s="14">
        <f si="9" t="shared"/>
        <v>0</v>
      </c>
      <c r="C26" s="14">
        <f si="9" t="shared"/>
        <v>0</v>
      </c>
      <c r="D26" s="14">
        <f si="27" t="shared"/>
        <v>0</v>
      </c>
      <c r="E26" s="14">
        <f si="27" t="shared"/>
        <v>0</v>
      </c>
      <c r="F26" s="14">
        <f si="27" t="shared"/>
        <v>0</v>
      </c>
      <c r="G26" s="14">
        <f si="27" t="shared"/>
        <v>0</v>
      </c>
      <c r="H26" s="14">
        <f si="11" t="shared"/>
        <v>0</v>
      </c>
      <c r="J26" s="12" t="s">
        <v>302</v>
      </c>
      <c r="K26" s="14">
        <f si="12" t="shared"/>
        <v>0</v>
      </c>
      <c r="L26" s="14">
        <f si="12" t="shared"/>
        <v>0</v>
      </c>
      <c r="M26" s="14">
        <f si="28" t="shared"/>
        <v>0</v>
      </c>
      <c r="N26" s="14">
        <f si="28" t="shared"/>
        <v>0</v>
      </c>
      <c r="O26" s="14">
        <f si="28" t="shared"/>
        <v>0</v>
      </c>
      <c r="P26" s="14">
        <f si="28" t="shared"/>
        <v>0</v>
      </c>
      <c r="Q26" s="14">
        <f si="14" t="shared"/>
        <v>0</v>
      </c>
    </row>
    <row ht="15.75" r="27" spans="1:22" thickBot="1" x14ac:dyDescent="0.3">
      <c r="A27" s="85" t="s">
        <v>19</v>
      </c>
      <c r="B27" s="89">
        <f si="9" t="shared"/>
        <v>5.0605677915528023E-2</v>
      </c>
      <c r="C27" s="89">
        <f si="9" t="shared"/>
        <v>0.94939432208447194</v>
      </c>
      <c r="D27" s="89">
        <f ref="D27:G27" si="29" t="shared">D13/$H$13</f>
        <v>0.77115232732443428</v>
      </c>
      <c r="E27" s="89">
        <f si="29" t="shared"/>
        <v>0.22884767267556574</v>
      </c>
      <c r="F27" s="89">
        <f si="29" t="shared"/>
        <v>0.965539524256114</v>
      </c>
      <c r="G27" s="89">
        <f si="29" t="shared"/>
        <v>3.4460475743885853E-2</v>
      </c>
      <c r="H27" s="89">
        <f si="11" t="shared"/>
        <v>1</v>
      </c>
      <c r="J27" s="85" t="s">
        <v>19</v>
      </c>
      <c r="K27" s="89">
        <f si="12" t="shared"/>
        <v>3.6378704008669688E-2</v>
      </c>
      <c r="L27" s="89">
        <f si="12" t="shared"/>
        <v>0.96362129599133028</v>
      </c>
      <c r="M27" s="89">
        <f ref="M27:P27" si="30" t="shared">M13/$Q$13</f>
        <v>0.76221034625641459</v>
      </c>
      <c r="N27" s="89">
        <f si="30" t="shared"/>
        <v>0.23778965374358538</v>
      </c>
      <c r="O27" s="89">
        <f si="30" t="shared"/>
        <v>0.9541919444119803</v>
      </c>
      <c r="P27" s="89">
        <f si="30" t="shared"/>
        <v>4.5808055588019675E-2</v>
      </c>
      <c r="Q27" s="89">
        <f si="14" t="shared"/>
        <v>1</v>
      </c>
    </row>
    <row ht="15.75" r="30" spans="1:22" thickBot="1" x14ac:dyDescent="0.3">
      <c r="J30" s="1" t="s">
        <v>31</v>
      </c>
      <c r="K30" s="1"/>
      <c r="L30" s="3"/>
      <c r="M30" s="3"/>
      <c r="N30" s="3"/>
      <c r="O30" s="3"/>
      <c r="P30" s="3"/>
      <c r="Q30" s="3"/>
      <c r="S30" s="15" t="s">
        <v>39</v>
      </c>
      <c r="T30" s="15"/>
      <c r="U30" s="16"/>
      <c r="V30" s="16"/>
    </row>
    <row r="31" spans="1:22" x14ac:dyDescent="0.25">
      <c r="J31" s="2" t="s">
        <v>0</v>
      </c>
      <c r="K31" s="4" t="s">
        <v>9</v>
      </c>
      <c r="L31" s="4" t="s">
        <v>10</v>
      </c>
      <c r="M31" s="7" t="s">
        <v>248</v>
      </c>
      <c r="N31" s="7" t="s">
        <v>247</v>
      </c>
      <c r="O31" s="7" t="s">
        <v>249</v>
      </c>
      <c r="P31" s="7" t="s">
        <v>250</v>
      </c>
      <c r="Q31" s="7" t="s">
        <v>19</v>
      </c>
      <c r="S31" s="18" t="s">
        <v>0</v>
      </c>
      <c r="T31" s="19" t="s">
        <v>46</v>
      </c>
      <c r="U31" s="19" t="s">
        <v>33</v>
      </c>
      <c r="V31" s="20" t="s">
        <v>34</v>
      </c>
    </row>
    <row r="32" spans="1:22" x14ac:dyDescent="0.25">
      <c r="J32" s="84" t="s">
        <v>1</v>
      </c>
      <c r="K32" s="86">
        <f ref="K32:K40" si="31" t="shared">K18-B18</f>
        <v>-2.1301169456665291E-3</v>
      </c>
      <c r="L32" s="86">
        <f ref="L32:L40" si="32" t="shared">L18-C18</f>
        <v>-1.1447382782913018E-2</v>
      </c>
      <c r="M32" s="86">
        <f ref="M32:M40" si="33" t="shared">M18-D18</f>
        <v>-2.2381475126661388E-2</v>
      </c>
      <c r="N32" s="86">
        <f ref="N32:N40" si="34" t="shared">N18-E18</f>
        <v>8.8039753980818508E-3</v>
      </c>
      <c r="O32" s="86">
        <f ref="O32:O40" si="35" t="shared">O18-F18</f>
        <v>-2.4306234541018157E-2</v>
      </c>
      <c r="P32" s="86">
        <f ref="P32:P40" si="36" t="shared">P18-G18</f>
        <v>1.0728734812438568E-2</v>
      </c>
      <c r="Q32" s="86">
        <f ref="Q32:Q40" si="37" t="shared">Q18-H18</f>
        <v>-1.1447382782913018E-2</v>
      </c>
      <c r="S32" s="82" t="s">
        <v>1</v>
      </c>
      <c r="T32" s="90">
        <f ref="T32:T40" si="38" t="shared">H18</f>
        <v>0.51762560018391812</v>
      </c>
      <c r="U32" s="90">
        <f ref="U32:U40" si="39" t="shared">Q18</f>
        <v>0.5061782174010051</v>
      </c>
      <c r="V32" s="90">
        <f>U32-T32</f>
        <v>-1.1447382782913018E-2</v>
      </c>
    </row>
    <row r="33" spans="10:22" x14ac:dyDescent="0.25">
      <c r="J33" s="84" t="s">
        <v>2</v>
      </c>
      <c r="K33" s="86">
        <f si="31" t="shared"/>
        <v>5.119766477177148E-3</v>
      </c>
      <c r="L33" s="86">
        <f si="32" t="shared"/>
        <v>-3.9473215143809415E-2</v>
      </c>
      <c r="M33" s="86">
        <f si="33" t="shared"/>
        <v>-3.2406989165158495E-3</v>
      </c>
      <c r="N33" s="86">
        <f si="34" t="shared"/>
        <v>-3.1112749750116464E-2</v>
      </c>
      <c r="O33" s="86">
        <f si="35" t="shared"/>
        <v>-3.2386198514203046E-2</v>
      </c>
      <c r="P33" s="86">
        <f si="36" t="shared"/>
        <v>-1.9672501524292188E-3</v>
      </c>
      <c r="Q33" s="86">
        <f si="37" t="shared"/>
        <v>-3.5418507139465538E-2</v>
      </c>
      <c r="S33" s="87" t="s">
        <v>2</v>
      </c>
      <c r="T33" s="88">
        <f si="38" t="shared"/>
        <v>0.31672129822753303</v>
      </c>
      <c r="U33" s="88">
        <f si="39" t="shared"/>
        <v>0.28130279108806749</v>
      </c>
      <c r="V33" s="88">
        <f ref="V33:V41" si="40" t="shared">U33-T33</f>
        <v>-3.5418507139465538E-2</v>
      </c>
    </row>
    <row r="34" spans="10:22" x14ac:dyDescent="0.25">
      <c r="J34" s="84" t="s">
        <v>3</v>
      </c>
      <c r="K34" s="86">
        <f si="31" t="shared"/>
        <v>-2.3570543497287259E-3</v>
      </c>
      <c r="L34" s="86">
        <f si="32" t="shared"/>
        <v>5.8902402686733121E-2</v>
      </c>
      <c r="M34" s="86">
        <f si="33" t="shared"/>
        <v>2.1464543181131959E-2</v>
      </c>
      <c r="N34" s="86">
        <f si="34" t="shared"/>
        <v>3.508080515587246E-2</v>
      </c>
      <c r="O34" s="86">
        <f si="35" t="shared"/>
        <v>5.3027959708086089E-2</v>
      </c>
      <c r="P34" s="86">
        <f si="36" t="shared"/>
        <v>3.5173886289183269E-3</v>
      </c>
      <c r="Q34" s="86">
        <f si="37" t="shared"/>
        <v>5.548028986417114E-2</v>
      </c>
      <c r="S34" s="83" t="s">
        <v>3</v>
      </c>
      <c r="T34" s="91">
        <f si="38" t="shared"/>
        <v>0.11133689227371521</v>
      </c>
      <c r="U34" s="91">
        <f si="39" t="shared"/>
        <v>0.16681718213788635</v>
      </c>
      <c r="V34" s="91">
        <f si="40" t="shared"/>
        <v>5.548028986417114E-2</v>
      </c>
    </row>
    <row r="35" spans="10:22" x14ac:dyDescent="0.25">
      <c r="J35" s="84" t="s">
        <v>4</v>
      </c>
      <c r="K35" s="86">
        <f si="31" t="shared"/>
        <v>-8.2655712237404504E-4</v>
      </c>
      <c r="L35" s="86">
        <f si="32" t="shared"/>
        <v>-4.9682140809863132E-4</v>
      </c>
      <c r="M35" s="86">
        <f si="33" t="shared"/>
        <v>-8.2655712237404504E-4</v>
      </c>
      <c r="N35" s="86">
        <f si="34" t="shared"/>
        <v>-4.9682140809863132E-4</v>
      </c>
      <c r="O35" s="86">
        <f si="35" t="shared"/>
        <v>-8.2655712237404504E-4</v>
      </c>
      <c r="P35" s="86">
        <f si="36" t="shared"/>
        <v>-4.9682140809863132E-4</v>
      </c>
      <c r="Q35" s="86">
        <f si="37" t="shared"/>
        <v>-1.3233785304726763E-3</v>
      </c>
      <c r="S35" s="87" t="s">
        <v>4</v>
      </c>
      <c r="T35" s="88">
        <f si="38" t="shared"/>
        <v>1.3233785304726763E-3</v>
      </c>
      <c r="U35" s="88">
        <f si="39" t="shared"/>
        <v>0</v>
      </c>
      <c r="V35" s="88">
        <f si="40" t="shared"/>
        <v>-1.3233785304726763E-3</v>
      </c>
    </row>
    <row r="36" spans="10:22" x14ac:dyDescent="0.25">
      <c r="J36" s="84" t="s">
        <v>5</v>
      </c>
      <c r="K36" s="86">
        <f si="31" t="shared"/>
        <v>-1.0890544649921792E-2</v>
      </c>
      <c r="L36" s="86">
        <f si="32" t="shared"/>
        <v>-1.0761472530670588E-3</v>
      </c>
      <c r="M36" s="86">
        <f si="33" t="shared"/>
        <v>-1.183909788643747E-2</v>
      </c>
      <c r="N36" s="86">
        <f si="34" t="shared"/>
        <v>-1.2759401655137905E-4</v>
      </c>
      <c r="O36" s="86">
        <f si="35" t="shared"/>
        <v>-1.2035751942724934E-2</v>
      </c>
      <c r="P36" s="86">
        <f si="36" t="shared"/>
        <v>6.9060039736084397E-5</v>
      </c>
      <c r="Q36" s="86">
        <f si="37" t="shared"/>
        <v>-1.196669190298885E-2</v>
      </c>
      <c r="S36" s="83" t="s">
        <v>5</v>
      </c>
      <c r="T36" s="91">
        <f si="38" t="shared"/>
        <v>2.1672283641283173E-2</v>
      </c>
      <c r="U36" s="91">
        <f si="39" t="shared"/>
        <v>9.7055917382943228E-3</v>
      </c>
      <c r="V36" s="91">
        <f si="40" t="shared"/>
        <v>-1.196669190298885E-2</v>
      </c>
    </row>
    <row r="37" spans="10:22" x14ac:dyDescent="0.25">
      <c r="J37" s="84" t="s">
        <v>6</v>
      </c>
      <c r="K37" s="86">
        <f si="31" t="shared"/>
        <v>-1.2175207868550507E-3</v>
      </c>
      <c r="L37" s="86">
        <f si="32" t="shared"/>
        <v>3.7340317061781095E-3</v>
      </c>
      <c r="M37" s="86">
        <f si="33" t="shared"/>
        <v>8.4358339002234923E-4</v>
      </c>
      <c r="N37" s="86">
        <f si="34" t="shared"/>
        <v>1.6729275293007099E-3</v>
      </c>
      <c r="O37" s="86">
        <f si="35" t="shared"/>
        <v>1.9587182906854535E-3</v>
      </c>
      <c r="P37" s="86">
        <f si="36" t="shared"/>
        <v>5.5779262863760474E-4</v>
      </c>
      <c r="Q37" s="86">
        <f si="37" t="shared"/>
        <v>2.5165109193230587E-3</v>
      </c>
      <c r="S37" s="87" t="s">
        <v>6</v>
      </c>
      <c r="T37" s="88">
        <f si="38" t="shared"/>
        <v>3.5076494699630731E-3</v>
      </c>
      <c r="U37" s="88">
        <f si="39" t="shared"/>
        <v>6.0241603892861317E-3</v>
      </c>
      <c r="V37" s="88">
        <f si="40" t="shared"/>
        <v>2.5165109193230587E-3</v>
      </c>
    </row>
    <row r="38" spans="10:22" x14ac:dyDescent="0.25">
      <c r="J38" s="84" t="s">
        <v>7</v>
      </c>
      <c r="K38" s="86">
        <f si="31" t="shared"/>
        <v>-1.924946529489339E-3</v>
      </c>
      <c r="L38" s="86">
        <f si="32" t="shared"/>
        <v>4.0841061018352109E-3</v>
      </c>
      <c r="M38" s="86">
        <f si="33" t="shared"/>
        <v>7.0377214128147531E-3</v>
      </c>
      <c r="N38" s="86">
        <f si="34" t="shared"/>
        <v>-4.8785618404688855E-3</v>
      </c>
      <c r="O38" s="86">
        <f si="35" t="shared"/>
        <v>3.2204842774147709E-3</v>
      </c>
      <c r="P38" s="86">
        <f si="36" t="shared"/>
        <v>-1.0613247050689049E-3</v>
      </c>
      <c r="Q38" s="86">
        <f si="37" t="shared"/>
        <v>2.1591595723458694E-3</v>
      </c>
      <c r="S38" s="83" t="s">
        <v>7</v>
      </c>
      <c r="T38" s="91">
        <f si="38" t="shared"/>
        <v>2.7812897673114761E-2</v>
      </c>
      <c r="U38" s="91">
        <f si="39" t="shared"/>
        <v>2.9972057245460631E-2</v>
      </c>
      <c r="V38" s="91">
        <f si="40" t="shared"/>
        <v>2.1591595723458694E-3</v>
      </c>
    </row>
    <row r="39" spans="10:22" x14ac:dyDescent="0.25">
      <c r="J39" s="84" t="s">
        <v>8</v>
      </c>
      <c r="K39" s="86">
        <f si="31" t="shared"/>
        <v>0</v>
      </c>
      <c r="L39" s="86">
        <f si="32" t="shared"/>
        <v>0</v>
      </c>
      <c r="M39" s="86">
        <f si="33" t="shared"/>
        <v>0</v>
      </c>
      <c r="N39" s="86">
        <f si="34" t="shared"/>
        <v>0</v>
      </c>
      <c r="O39" s="86">
        <f si="35" t="shared"/>
        <v>0</v>
      </c>
      <c r="P39" s="86">
        <f si="36" t="shared"/>
        <v>0</v>
      </c>
      <c r="Q39" s="86">
        <f si="37" t="shared"/>
        <v>0</v>
      </c>
      <c r="S39" s="87" t="s">
        <v>8</v>
      </c>
      <c r="T39" s="88">
        <f si="38" t="shared"/>
        <v>0</v>
      </c>
      <c r="U39" s="88">
        <f si="39" t="shared"/>
        <v>0</v>
      </c>
      <c r="V39" s="88">
        <f si="40" t="shared"/>
        <v>0</v>
      </c>
    </row>
    <row r="40" spans="10:22" x14ac:dyDescent="0.25">
      <c r="J40" s="12" t="s">
        <v>302</v>
      </c>
      <c r="K40" s="14">
        <f si="31" t="shared"/>
        <v>0</v>
      </c>
      <c r="L40" s="14">
        <f si="32" t="shared"/>
        <v>0</v>
      </c>
      <c r="M40" s="14">
        <f si="33" t="shared"/>
        <v>0</v>
      </c>
      <c r="N40" s="14">
        <f si="34" t="shared"/>
        <v>0</v>
      </c>
      <c r="O40" s="14">
        <f si="35" t="shared"/>
        <v>0</v>
      </c>
      <c r="P40" s="14">
        <f si="36" t="shared"/>
        <v>0</v>
      </c>
      <c r="Q40" s="14">
        <f si="37" t="shared"/>
        <v>0</v>
      </c>
      <c r="S40" s="69" t="s">
        <v>302</v>
      </c>
      <c r="T40" s="92">
        <f si="38" t="shared"/>
        <v>0</v>
      </c>
      <c r="U40" s="92">
        <f si="39" t="shared"/>
        <v>0</v>
      </c>
      <c r="V40" s="92">
        <f ref="V40" si="41" t="shared">U40-T40</f>
        <v>0</v>
      </c>
    </row>
    <row ht="15.75" r="41" spans="10:22" thickBot="1" x14ac:dyDescent="0.3">
      <c r="J41" s="85" t="s">
        <v>19</v>
      </c>
      <c r="K41" s="89">
        <f ref="K41" si="42" t="shared">K27-B27</f>
        <v>-1.4226973906858335E-2</v>
      </c>
      <c r="L41" s="89">
        <f ref="L41" si="43" t="shared">L27-C27</f>
        <v>1.4226973906858342E-2</v>
      </c>
      <c r="M41" s="89">
        <f ref="M41" si="44" t="shared">M27-D27</f>
        <v>-8.9419810680196887E-3</v>
      </c>
      <c r="N41" s="89">
        <f ref="N41" si="45" t="shared">N27-E27</f>
        <v>8.9419810680196332E-3</v>
      </c>
      <c r="O41" s="89">
        <f ref="O41" si="46" t="shared">O27-F27</f>
        <v>-1.1347579844133704E-2</v>
      </c>
      <c r="P41" s="89">
        <f ref="P41" si="47" t="shared">P27-G27</f>
        <v>1.1347579844133822E-2</v>
      </c>
      <c r="Q41" s="89">
        <f ref="Q41" si="48" t="shared">Q27-H27</f>
        <v>0</v>
      </c>
      <c r="S41" s="93" t="s">
        <v>19</v>
      </c>
      <c r="T41" s="94">
        <f ref="T41" si="49" t="shared">H27</f>
        <v>1</v>
      </c>
      <c r="U41" s="94">
        <f ref="U41" si="50" t="shared">Q27</f>
        <v>1</v>
      </c>
      <c r="V41" s="94">
        <f si="40" t="shared"/>
        <v>0</v>
      </c>
    </row>
  </sheetData>
  <pageMargins bottom="0.75" footer="0.3" header="0.3" left="0.7" right="0.7" top="0.75"/>
  <pageSetup orientation="portrait" r:id="rId1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2:W41"/>
  <sheetViews>
    <sheetView topLeftCell="H1" workbookViewId="0">
      <selection activeCell="Q11" sqref="Q11:Q12"/>
    </sheetView>
  </sheetViews>
  <sheetFormatPr defaultRowHeight="15" x14ac:dyDescent="0.25"/>
  <cols>
    <col min="1" max="8" customWidth="true" width="16.7109375" collapsed="true"/>
    <col min="10" max="17" customWidth="true" width="16.7109375" collapsed="true"/>
    <col min="19" max="19" customWidth="true" width="16.7109375" collapsed="true"/>
    <col min="20" max="22" customWidth="true" width="11.85546875" collapsed="true"/>
  </cols>
  <sheetData>
    <row ht="15.75" r="2" spans="1:17" thickBot="1" x14ac:dyDescent="0.3">
      <c r="A2" s="1" t="s">
        <v>52</v>
      </c>
      <c r="B2" s="1"/>
      <c r="C2" s="3"/>
      <c r="D2" s="3"/>
      <c r="E2" s="3"/>
      <c r="F2" s="3"/>
      <c r="G2" s="3"/>
      <c r="H2" s="3"/>
      <c r="J2" s="1" t="s">
        <v>14</v>
      </c>
      <c r="K2" s="1"/>
      <c r="L2" s="3"/>
      <c r="M2" s="3"/>
      <c r="N2" s="3"/>
      <c r="O2" s="3"/>
      <c r="P2" s="3"/>
      <c r="Q2" s="3"/>
    </row>
    <row r="3" spans="1:17" x14ac:dyDescent="0.25">
      <c r="A3" s="2" t="s">
        <v>0</v>
      </c>
      <c r="B3" s="4" t="s">
        <v>9</v>
      </c>
      <c r="C3" s="4" t="s">
        <v>10</v>
      </c>
      <c r="D3" s="7" t="s">
        <v>248</v>
      </c>
      <c r="E3" s="7" t="s">
        <v>247</v>
      </c>
      <c r="F3" s="7" t="s">
        <v>249</v>
      </c>
      <c r="G3" s="7" t="s">
        <v>250</v>
      </c>
      <c r="H3" s="7" t="s">
        <v>19</v>
      </c>
      <c r="J3" s="2" t="s">
        <v>0</v>
      </c>
      <c r="K3" s="4" t="s">
        <v>9</v>
      </c>
      <c r="L3" s="4" t="s">
        <v>10</v>
      </c>
      <c r="M3" s="7" t="s">
        <v>248</v>
      </c>
      <c r="N3" s="7" t="s">
        <v>247</v>
      </c>
      <c r="O3" s="7" t="s">
        <v>249</v>
      </c>
      <c r="P3" s="7" t="s">
        <v>250</v>
      </c>
      <c r="Q3" s="7" t="s">
        <v>19</v>
      </c>
    </row>
    <row r="4" spans="1:17" x14ac:dyDescent="0.25">
      <c r="A4" s="9" t="s">
        <v>1</v>
      </c>
      <c r="B4" s="9" t="n">
        <v>46.6076630545135</v>
      </c>
      <c r="C4" s="9" t="n">
        <v>20602.21958112119</v>
      </c>
      <c r="D4" s="9" t="n">
        <v>18464.503513139596</v>
      </c>
      <c r="E4" s="9" t="n">
        <v>2184.323731036107</v>
      </c>
      <c r="F4" s="9" t="n">
        <v>20285.768961045895</v>
      </c>
      <c r="G4" s="9" t="n">
        <v>363.0582831298097</v>
      </c>
      <c r="H4" s="9">
        <f>SUM(B4:C4)-B4</f>
        <v>20602.21958112119</v>
      </c>
      <c r="I4" s="9"/>
      <c r="J4" s="9" t="s">
        <v>1</v>
      </c>
      <c r="K4" s="9" t="n">
        <v>0.0</v>
      </c>
      <c r="L4" s="9" t="n">
        <v>25463.0</v>
      </c>
      <c r="M4" s="9" t="n">
        <v>22963.0</v>
      </c>
      <c r="N4" s="9" t="n">
        <v>2500.0</v>
      </c>
      <c r="O4" s="9" t="n">
        <v>24625.0</v>
      </c>
      <c r="P4" s="9" t="n">
        <v>838.0</v>
      </c>
      <c r="Q4" s="9">
        <f>SUM(K4:L4)</f>
        <v>25629</v>
      </c>
    </row>
    <row r="5" spans="1:17" x14ac:dyDescent="0.25">
      <c r="A5" s="9" t="s">
        <v>2</v>
      </c>
      <c r="B5" s="9" t="n">
        <v>1152.4132222102323</v>
      </c>
      <c r="C5" s="9" t="n">
        <v>50283.03446499574</v>
      </c>
      <c r="D5" s="9" t="n">
        <v>38523.0954925003</v>
      </c>
      <c r="E5" s="9" t="n">
        <v>12912.352194705669</v>
      </c>
      <c r="F5" s="9" t="n">
        <v>47239.18685854918</v>
      </c>
      <c r="G5" s="9" t="n">
        <v>4196.260828656784</v>
      </c>
      <c r="H5" s="9">
        <f>SUM(B5:C5)+0.5*B4</f>
        <v>51458.751518733232</v>
      </c>
      <c r="I5" s="9"/>
      <c r="J5" s="9" t="s">
        <v>2</v>
      </c>
      <c r="K5" s="9" t="n">
        <v>1616.0</v>
      </c>
      <c r="L5" s="9" t="n">
        <v>54213.0</v>
      </c>
      <c r="M5" s="9" t="n">
        <v>42851.0</v>
      </c>
      <c r="N5" s="9" t="n">
        <v>12978.0</v>
      </c>
      <c r="O5" s="9" t="n">
        <v>51962.0</v>
      </c>
      <c r="P5" s="9" t="n">
        <v>3867.0</v>
      </c>
      <c r="Q5" s="9">
        <f ref="Q5:Q12" si="0" t="shared">SUM(K5:L5)</f>
        <v>55867</v>
      </c>
    </row>
    <row r="6" spans="1:17" x14ac:dyDescent="0.25">
      <c r="A6" s="9" t="s">
        <v>3</v>
      </c>
      <c r="B6" s="9" t="n">
        <v>0.0</v>
      </c>
      <c r="C6" s="9" t="n">
        <v>31156.368183928273</v>
      </c>
      <c r="D6" s="9" t="n">
        <v>27080.92989074553</v>
      </c>
      <c r="E6" s="9" t="n">
        <v>4075.438293182741</v>
      </c>
      <c r="F6" s="9" t="n">
        <v>30359.80506640352</v>
      </c>
      <c r="G6" s="9" t="n">
        <v>796.5631175247502</v>
      </c>
      <c r="H6" s="9">
        <f>SUM(B6:C6)+0.5*B4</f>
        <v>31179.67201545553</v>
      </c>
      <c r="I6" s="9"/>
      <c r="J6" s="9" t="s">
        <v>3</v>
      </c>
      <c r="K6" s="9" t="n">
        <v>479.0</v>
      </c>
      <c r="L6" s="9" t="n">
        <v>27826.0</v>
      </c>
      <c r="M6" s="9" t="n">
        <v>20471.0</v>
      </c>
      <c r="N6" s="9" t="n">
        <v>7834.0</v>
      </c>
      <c r="O6" s="9" t="n">
        <v>27431.0</v>
      </c>
      <c r="P6" s="9" t="n">
        <v>874.0</v>
      </c>
      <c r="Q6" s="9">
        <f si="0" t="shared"/>
        <v>28306</v>
      </c>
    </row>
    <row r="7" spans="1:17" x14ac:dyDescent="0.25">
      <c r="A7" s="9" t="s">
        <v>4</v>
      </c>
      <c r="B7" s="117" t="n">
        <v>0.0</v>
      </c>
      <c r="C7" s="117" t="n">
        <v>0.0</v>
      </c>
      <c r="D7" s="117" t="n">
        <v>0.0</v>
      </c>
      <c r="E7" s="117" t="n">
        <v>0.0</v>
      </c>
      <c r="F7" s="117" t="n">
        <v>0.0</v>
      </c>
      <c r="G7" s="117" t="n">
        <v>0.0</v>
      </c>
      <c r="H7" s="117">
        <f ref="H7:H12" si="1" t="shared">SUM(B7:C7)</f>
        <v>0</v>
      </c>
      <c r="I7" s="9"/>
      <c r="J7" s="9" t="s">
        <v>4</v>
      </c>
      <c r="K7" s="9" t="n">
        <v>0.0</v>
      </c>
      <c r="L7" s="9" t="n">
        <v>0.0</v>
      </c>
      <c r="M7" s="9" t="n">
        <v>0.0</v>
      </c>
      <c r="N7" s="9" t="n">
        <v>0.0</v>
      </c>
      <c r="O7" s="9" t="n">
        <v>0.0</v>
      </c>
      <c r="P7" s="9" t="n">
        <v>0.0</v>
      </c>
      <c r="Q7" s="9">
        <f si="0" t="shared"/>
        <v>0</v>
      </c>
    </row>
    <row r="8" spans="1:17" x14ac:dyDescent="0.25">
      <c r="A8" s="9" t="s">
        <v>5</v>
      </c>
      <c r="B8" s="117" t="n">
        <v>0.0</v>
      </c>
      <c r="C8" s="117" t="n">
        <v>29.4546476355877</v>
      </c>
      <c r="D8" s="117" t="n">
        <v>29.4546476355877</v>
      </c>
      <c r="E8" s="117" t="n">
        <v>0.0</v>
      </c>
      <c r="F8" s="117" t="n">
        <v>29.4546476355877</v>
      </c>
      <c r="G8" s="117" t="n">
        <v>0.0</v>
      </c>
      <c r="H8" s="117">
        <f si="1" t="shared"/>
        <v>29.454647635587701</v>
      </c>
      <c r="I8" s="9"/>
      <c r="J8" s="9" t="s">
        <v>5</v>
      </c>
      <c r="K8" s="9" t="n">
        <v>565.0</v>
      </c>
      <c r="L8" s="9" t="n">
        <v>234.0</v>
      </c>
      <c r="M8" s="9" t="n">
        <v>743.0</v>
      </c>
      <c r="N8" s="9" t="n">
        <v>56.0</v>
      </c>
      <c r="O8" s="9" t="n">
        <v>777.0</v>
      </c>
      <c r="P8" s="9" t="n">
        <v>22.0</v>
      </c>
      <c r="Q8" s="9">
        <f si="0" t="shared"/>
        <v>778</v>
      </c>
    </row>
    <row r="9" spans="1:17" x14ac:dyDescent="0.25">
      <c r="A9" s="9" t="s">
        <v>6</v>
      </c>
      <c r="B9" s="9" t="n">
        <v>0.0</v>
      </c>
      <c r="C9" s="9" t="n">
        <v>615.3553183261204</v>
      </c>
      <c r="D9" s="9" t="n">
        <v>110.33037477814341</v>
      </c>
      <c r="E9" s="9" t="n">
        <v>505.024943547977</v>
      </c>
      <c r="F9" s="9" t="n">
        <v>615.3553183261204</v>
      </c>
      <c r="G9" s="9" t="n">
        <v>0.0</v>
      </c>
      <c r="H9" s="9">
        <f si="1" t="shared"/>
        <v>615.35531832612037</v>
      </c>
      <c r="I9" s="9"/>
      <c r="J9" s="9" t="s">
        <v>6</v>
      </c>
      <c r="K9" s="9" t="n">
        <v>18.0</v>
      </c>
      <c r="L9" s="9" t="n">
        <v>282.0</v>
      </c>
      <c r="M9" s="9" t="n">
        <v>241.0</v>
      </c>
      <c r="N9" s="9" t="n">
        <v>59.0</v>
      </c>
      <c r="O9" s="9" t="n">
        <v>277.0</v>
      </c>
      <c r="P9" s="9" t="n">
        <v>23.0</v>
      </c>
      <c r="Q9" s="9">
        <f si="0" t="shared"/>
        <v>310</v>
      </c>
    </row>
    <row r="10" spans="1:17" x14ac:dyDescent="0.25">
      <c r="A10" s="9" t="s">
        <v>7</v>
      </c>
      <c r="B10" s="9" t="n">
        <v>281.44021780094033</v>
      </c>
      <c r="C10" s="9" t="n">
        <v>2619.3790649233197</v>
      </c>
      <c r="D10" s="9" t="n">
        <v>1026.6697355045667</v>
      </c>
      <c r="E10" s="9" t="n">
        <v>1874.1495472196932</v>
      </c>
      <c r="F10" s="9" t="n">
        <v>1782.520414402039</v>
      </c>
      <c r="G10" s="9" t="n">
        <v>1118.2988683222209</v>
      </c>
      <c r="H10" s="9">
        <f si="1" t="shared"/>
        <v>2900.8192827242601</v>
      </c>
      <c r="I10" s="9"/>
      <c r="J10" s="9" t="s">
        <v>7</v>
      </c>
      <c r="K10" s="9" t="n">
        <v>374.0</v>
      </c>
      <c r="L10" s="9" t="n">
        <v>2481.0</v>
      </c>
      <c r="M10" s="9" t="n">
        <v>2180.0</v>
      </c>
      <c r="N10" s="9" t="n">
        <v>675.0</v>
      </c>
      <c r="O10" s="9" t="n">
        <v>2637.0</v>
      </c>
      <c r="P10" s="9" t="n">
        <v>218.0</v>
      </c>
      <c r="Q10" s="9">
        <f si="0" t="shared"/>
        <v>2768</v>
      </c>
    </row>
    <row r="11" spans="1:17" x14ac:dyDescent="0.25">
      <c r="A11" s="84" t="s">
        <v>8</v>
      </c>
      <c r="B11" s="84" t="n">
        <v>0.0</v>
      </c>
      <c r="C11" s="84" t="n">
        <v>259.857489227615</v>
      </c>
      <c r="D11" s="84" t="n">
        <v>259.857489227615</v>
      </c>
      <c r="E11" s="84" t="n">
        <v>0.0</v>
      </c>
      <c r="F11" s="84" t="n">
        <v>259.857489227615</v>
      </c>
      <c r="G11" s="84" t="n">
        <v>0.0</v>
      </c>
      <c r="H11" s="84">
        <f si="1" t="shared"/>
        <v>259.85748922761502</v>
      </c>
      <c r="I11" s="9"/>
      <c r="J11" s="84" t="s">
        <v>8</v>
      </c>
      <c r="K11" s="84" t="n">
        <v>0.0</v>
      </c>
      <c r="L11" s="84" t="n">
        <v>0.0</v>
      </c>
      <c r="M11" s="84" t="n">
        <v>0.0</v>
      </c>
      <c r="N11" s="84" t="n">
        <v>0.0</v>
      </c>
      <c r="O11" s="84" t="n">
        <v>0.0</v>
      </c>
      <c r="P11" s="84" t="n">
        <v>0.0</v>
      </c>
      <c r="Q11" s="84">
        <f si="0" t="shared"/>
        <v>0</v>
      </c>
    </row>
    <row r="12" spans="1:17" x14ac:dyDescent="0.25">
      <c r="A12" s="12" t="s">
        <v>302</v>
      </c>
      <c r="B12" s="12" t="n">
        <v>0.0</v>
      </c>
      <c r="C12" s="12" t="n">
        <v>0.0</v>
      </c>
      <c r="D12" s="12" t="n">
        <v>0.0</v>
      </c>
      <c r="E12" s="12" t="n">
        <v>0.0</v>
      </c>
      <c r="F12" s="12" t="n">
        <v>0.0</v>
      </c>
      <c r="G12" s="12" t="n">
        <v>0.0</v>
      </c>
      <c r="H12" s="84">
        <f si="1" t="shared"/>
        <v>0</v>
      </c>
      <c r="I12" s="9"/>
      <c r="J12" s="12" t="s">
        <v>302</v>
      </c>
      <c r="K12" s="12" t="n">
        <v>0.0</v>
      </c>
      <c r="L12" s="12" t="n">
        <v>0.0</v>
      </c>
      <c r="M12" s="12" t="n">
        <v>0.0</v>
      </c>
      <c r="N12" s="12" t="n">
        <v>0.0</v>
      </c>
      <c r="O12" s="12" t="n">
        <v>0.0</v>
      </c>
      <c r="P12" s="12" t="n">
        <v>0.0</v>
      </c>
      <c r="Q12" s="84">
        <f si="0" t="shared"/>
        <v>0</v>
      </c>
    </row>
    <row ht="15.75" r="13" spans="1:17" thickBot="1" x14ac:dyDescent="0.3">
      <c r="A13" s="85" t="s">
        <v>19</v>
      </c>
      <c r="B13" s="85">
        <f>SUM(B4:B12)</f>
        <v>1480.4611030656861</v>
      </c>
      <c r="C13" s="85">
        <f ref="C13:H13" si="2" t="shared">SUM(C4:C12)</f>
        <v>105565.66875015784</v>
      </c>
      <c r="D13" s="85">
        <f si="2" t="shared"/>
        <v>85494.841143531332</v>
      </c>
      <c r="E13" s="85">
        <f si="2" t="shared"/>
        <v>21551.288709692191</v>
      </c>
      <c r="F13" s="85">
        <f si="2" t="shared"/>
        <v>100571.94875558997</v>
      </c>
      <c r="G13" s="85">
        <f si="2" t="shared"/>
        <v>6474.1810976335646</v>
      </c>
      <c r="H13" s="85">
        <f si="2" t="shared"/>
        <v>107046.12985322352</v>
      </c>
      <c r="J13" s="85" t="s">
        <v>19</v>
      </c>
      <c r="K13" s="85">
        <f>SUM(K4:K12)</f>
        <v>3083</v>
      </c>
      <c r="L13" s="85">
        <f ref="L13" si="3" t="shared">SUM(L4:L12)</f>
        <v>110575</v>
      </c>
      <c r="M13" s="85">
        <f ref="M13" si="4" t="shared">SUM(M4:M12)</f>
        <v>89861</v>
      </c>
      <c r="N13" s="85">
        <f ref="N13" si="5" t="shared">SUM(N4:N12)</f>
        <v>23797</v>
      </c>
      <c r="O13" s="85">
        <f ref="O13" si="6" t="shared">SUM(O4:O12)</f>
        <v>107954</v>
      </c>
      <c r="P13" s="85">
        <f ref="P13" si="7" t="shared">SUM(P4:P12)</f>
        <v>5704</v>
      </c>
      <c r="Q13" s="85">
        <f ref="Q13" si="8" t="shared">SUM(Q4:Q12)</f>
        <v>113658</v>
      </c>
    </row>
    <row ht="15.75" r="16" spans="1:17" thickBot="1" x14ac:dyDescent="0.3">
      <c r="A16" s="1" t="s">
        <v>52</v>
      </c>
      <c r="B16" s="1"/>
      <c r="C16" s="3"/>
      <c r="D16" s="3"/>
      <c r="E16" s="3"/>
      <c r="F16" s="3"/>
      <c r="G16" s="3"/>
      <c r="H16" s="3"/>
      <c r="J16" s="1" t="s">
        <v>14</v>
      </c>
      <c r="K16" s="1"/>
      <c r="L16" s="3"/>
      <c r="M16" s="3"/>
      <c r="N16" s="3"/>
      <c r="O16" s="3"/>
      <c r="P16" s="3"/>
      <c r="Q16" s="3"/>
    </row>
    <row r="17" spans="1:22" x14ac:dyDescent="0.25">
      <c r="A17" s="2" t="s">
        <v>0</v>
      </c>
      <c r="B17" s="4" t="s">
        <v>9</v>
      </c>
      <c r="C17" s="4" t="s">
        <v>10</v>
      </c>
      <c r="D17" s="7" t="s">
        <v>248</v>
      </c>
      <c r="E17" s="7" t="s">
        <v>247</v>
      </c>
      <c r="F17" s="7" t="s">
        <v>249</v>
      </c>
      <c r="G17" s="7" t="s">
        <v>250</v>
      </c>
      <c r="H17" s="7" t="s">
        <v>19</v>
      </c>
      <c r="J17" s="2" t="s">
        <v>0</v>
      </c>
      <c r="K17" s="4" t="s">
        <v>9</v>
      </c>
      <c r="L17" s="4" t="s">
        <v>10</v>
      </c>
      <c r="M17" s="7" t="s">
        <v>248</v>
      </c>
      <c r="N17" s="7" t="s">
        <v>247</v>
      </c>
      <c r="O17" s="7" t="s">
        <v>249</v>
      </c>
      <c r="P17" s="7" t="s">
        <v>250</v>
      </c>
      <c r="Q17" s="7" t="s">
        <v>19</v>
      </c>
    </row>
    <row r="18" spans="1:22" x14ac:dyDescent="0.25">
      <c r="A18" s="84" t="s">
        <v>1</v>
      </c>
      <c r="B18" s="86">
        <f ref="B18:C27" si="9" t="shared">B4/$H$13</f>
        <v>4.3539792721530125E-4</v>
      </c>
      <c r="C18" s="86">
        <f si="9" t="shared"/>
        <v>0.19246113436674411</v>
      </c>
      <c r="D18" s="86">
        <f ref="D18:G18" si="10" t="shared">D4/$H$13</f>
        <v>0.172491089014215</v>
      </c>
      <c r="E18" s="86">
        <f si="10" t="shared"/>
        <v>2.0405443279744404E-2</v>
      </c>
      <c r="F18" s="86">
        <f si="10" t="shared"/>
        <v>0.18950492641687056</v>
      </c>
      <c r="G18" s="86">
        <f si="10" t="shared"/>
        <v>3.3916058770888558E-3</v>
      </c>
      <c r="H18" s="86">
        <f ref="H18:H27" si="11" t="shared">H4/$H$13</f>
        <v>0.19246113436674411</v>
      </c>
      <c r="J18" s="84" t="s">
        <v>1</v>
      </c>
      <c r="K18" s="86">
        <f ref="K18:L27" si="12" t="shared">K4/$Q$13</f>
        <v>0</v>
      </c>
      <c r="L18" s="86">
        <f si="12" t="shared"/>
        <v>0.22549226627250171</v>
      </c>
      <c r="M18" s="86">
        <f ref="M18:P18" si="13" t="shared">M4/$Q$13</f>
        <v>0.20306533635995708</v>
      </c>
      <c r="N18" s="86">
        <f si="13" t="shared"/>
        <v>2.2426929912544653E-2</v>
      </c>
      <c r="O18" s="86">
        <f si="13" t="shared"/>
        <v>0.21806648014218094</v>
      </c>
      <c r="P18" s="86">
        <f si="13" t="shared"/>
        <v>7.4257861303207873E-3</v>
      </c>
      <c r="Q18" s="86">
        <f ref="Q18:Q27" si="14" t="shared">Q4/$Q$13</f>
        <v>0.22549226627250171</v>
      </c>
    </row>
    <row r="19" spans="1:22" x14ac:dyDescent="0.25">
      <c r="A19" s="84" t="s">
        <v>2</v>
      </c>
      <c r="B19" s="86">
        <f si="9" t="shared"/>
        <v>1.0765575773644181E-2</v>
      </c>
      <c r="C19" s="86">
        <f si="9" t="shared"/>
        <v>0.4697323904557914</v>
      </c>
      <c r="D19" s="86">
        <f ref="D19:G19" si="15" t="shared">D5/$H$13</f>
        <v>0.35987378100750872</v>
      </c>
      <c r="E19" s="86">
        <f si="15" t="shared"/>
        <v>0.12062418522192686</v>
      </c>
      <c r="F19" s="86">
        <f si="15" t="shared"/>
        <v>0.44129747542784847</v>
      </c>
      <c r="G19" s="86">
        <f si="15" t="shared"/>
        <v>3.9200490801587072E-2</v>
      </c>
      <c r="H19" s="86">
        <f si="11" t="shared"/>
        <v>0.48071566519304326</v>
      </c>
      <c r="J19" s="84" t="s">
        <v>2</v>
      </c>
      <c r="K19" s="86">
        <f si="12" t="shared"/>
        <v>1.4570025867074909E-2</v>
      </c>
      <c r="L19" s="86">
        <f si="12" t="shared"/>
        <v>0.47696598567632725</v>
      </c>
      <c r="M19" s="86">
        <f ref="M19:P19" si="16" t="shared">M5/$Q$13</f>
        <v>0.37953333685266327</v>
      </c>
      <c r="N19" s="86">
        <f si="16" t="shared"/>
        <v>0.11200267469073888</v>
      </c>
      <c r="O19" s="86">
        <f si="16" t="shared"/>
        <v>0.45808478065776276</v>
      </c>
      <c r="P19" s="86">
        <f si="16" t="shared"/>
        <v>3.3451230885639373E-2</v>
      </c>
      <c r="Q19" s="86">
        <f si="14" t="shared"/>
        <v>0.49153601154340215</v>
      </c>
    </row>
    <row r="20" spans="1:22" x14ac:dyDescent="0.25">
      <c r="A20" s="84" t="s">
        <v>3</v>
      </c>
      <c r="B20" s="86">
        <f si="9" t="shared"/>
        <v>0</v>
      </c>
      <c r="C20" s="86">
        <f si="9" t="shared"/>
        <v>0.29105553116818306</v>
      </c>
      <c r="D20" s="86">
        <f ref="D20:G20" si="17" t="shared">D6/$H$13</f>
        <v>0.25298373633757326</v>
      </c>
      <c r="E20" s="86">
        <f si="17" t="shared"/>
        <v>3.8071794830609802E-2</v>
      </c>
      <c r="F20" s="86">
        <f si="17" t="shared"/>
        <v>0.28361422414833137</v>
      </c>
      <c r="G20" s="86">
        <f si="17" t="shared"/>
        <v>7.4413070198517126E-3</v>
      </c>
      <c r="H20" s="86">
        <f si="11" t="shared"/>
        <v>0.29127323013179074</v>
      </c>
      <c r="J20" s="84" t="s">
        <v>3</v>
      </c>
      <c r="K20" s="86">
        <f si="12" t="shared"/>
        <v>4.4167590490770559E-3</v>
      </c>
      <c r="L20" s="86">
        <f si="12" t="shared"/>
        <v>0.24462862271023597</v>
      </c>
      <c r="M20" s="86">
        <f ref="M20:P20" si="18" t="shared">M6/$Q$13</f>
        <v>0.1809991377641697</v>
      </c>
      <c r="N20" s="86">
        <f si="18" t="shared"/>
        <v>6.8046243995143321E-2</v>
      </c>
      <c r="O20" s="86">
        <f si="18" t="shared"/>
        <v>0.24180436044977036</v>
      </c>
      <c r="P20" s="86">
        <f si="18" t="shared"/>
        <v>7.2410213095426635E-3</v>
      </c>
      <c r="Q20" s="86">
        <f si="14" t="shared"/>
        <v>0.24904538175931304</v>
      </c>
    </row>
    <row r="21" spans="1:22" x14ac:dyDescent="0.25">
      <c r="A21" s="84" t="s">
        <v>4</v>
      </c>
      <c r="B21" s="86">
        <f si="9" t="shared"/>
        <v>0</v>
      </c>
      <c r="C21" s="86">
        <f si="9" t="shared"/>
        <v>0</v>
      </c>
      <c r="D21" s="86">
        <f ref="D21:G21" si="19" t="shared">D7/$H$13</f>
        <v>0</v>
      </c>
      <c r="E21" s="86">
        <f si="19" t="shared"/>
        <v>0</v>
      </c>
      <c r="F21" s="86">
        <f si="19" t="shared"/>
        <v>0</v>
      </c>
      <c r="G21" s="86">
        <f si="19" t="shared"/>
        <v>0</v>
      </c>
      <c r="H21" s="86">
        <f si="11" t="shared"/>
        <v>0</v>
      </c>
      <c r="J21" s="84" t="s">
        <v>4</v>
      </c>
      <c r="K21" s="86">
        <f si="12" t="shared"/>
        <v>0</v>
      </c>
      <c r="L21" s="86">
        <f si="12" t="shared"/>
        <v>0</v>
      </c>
      <c r="M21" s="86">
        <f ref="M21:P21" si="20" t="shared">M7/$Q$13</f>
        <v>0</v>
      </c>
      <c r="N21" s="86">
        <f si="20" t="shared"/>
        <v>0</v>
      </c>
      <c r="O21" s="86">
        <f si="20" t="shared"/>
        <v>0</v>
      </c>
      <c r="P21" s="86">
        <f si="20" t="shared"/>
        <v>0</v>
      </c>
      <c r="Q21" s="86">
        <f si="14" t="shared"/>
        <v>0</v>
      </c>
    </row>
    <row r="22" spans="1:22" x14ac:dyDescent="0.25">
      <c r="A22" s="84" t="s">
        <v>5</v>
      </c>
      <c r="B22" s="86">
        <f si="9" t="shared"/>
        <v>0</v>
      </c>
      <c r="C22" s="86">
        <f si="9" t="shared"/>
        <v>2.7515845435957835E-4</v>
      </c>
      <c r="D22" s="86">
        <f ref="D22:G22" si="21" t="shared">D8/$H$13</f>
        <v>2.7515845435957835E-4</v>
      </c>
      <c r="E22" s="86">
        <f si="21" t="shared"/>
        <v>0</v>
      </c>
      <c r="F22" s="86">
        <f si="21" t="shared"/>
        <v>2.7515845435957835E-4</v>
      </c>
      <c r="G22" s="86">
        <f si="21" t="shared"/>
        <v>0</v>
      </c>
      <c r="H22" s="86">
        <f si="11" t="shared"/>
        <v>2.7515845435957835E-4</v>
      </c>
      <c r="J22" s="84" t="s">
        <v>5</v>
      </c>
      <c r="K22" s="86">
        <f si="12" t="shared"/>
        <v>4.8126836650301784E-3</v>
      </c>
      <c r="L22" s="86">
        <f si="12" t="shared"/>
        <v>2.0324130285593622E-3</v>
      </c>
      <c r="M22" s="86">
        <f ref="M22:P22" si="22" t="shared">M8/$Q$13</f>
        <v>6.3347938552499603E-3</v>
      </c>
      <c r="N22" s="86">
        <f si="22" t="shared"/>
        <v>5.1030283833958018E-4</v>
      </c>
      <c r="O22" s="86">
        <f si="22" t="shared"/>
        <v>6.5811469496207921E-3</v>
      </c>
      <c r="P22" s="86">
        <f si="22" t="shared"/>
        <v>2.6394974396874835E-4</v>
      </c>
      <c r="Q22" s="86">
        <f si="14" t="shared"/>
        <v>6.8450966935895401E-3</v>
      </c>
    </row>
    <row r="23" spans="1:22" x14ac:dyDescent="0.25">
      <c r="A23" s="84" t="s">
        <v>6</v>
      </c>
      <c r="B23" s="86">
        <f si="9" t="shared"/>
        <v>0</v>
      </c>
      <c r="C23" s="86">
        <f si="9" t="shared"/>
        <v>5.7485059868102265E-3</v>
      </c>
      <c r="D23" s="86">
        <f ref="D23:G23" si="23" t="shared">D9/$H$13</f>
        <v>1.0306806507570435E-3</v>
      </c>
      <c r="E23" s="86">
        <f si="23" t="shared"/>
        <v>4.7178253360531837E-3</v>
      </c>
      <c r="F23" s="86">
        <f si="23" t="shared"/>
        <v>5.7485059868102265E-3</v>
      </c>
      <c r="G23" s="86">
        <f si="23" t="shared"/>
        <v>0</v>
      </c>
      <c r="H23" s="86">
        <f si="11" t="shared"/>
        <v>5.7485059868102265E-3</v>
      </c>
      <c r="J23" s="84" t="s">
        <v>6</v>
      </c>
      <c r="K23" s="86">
        <f si="12" t="shared"/>
        <v>1.7596649597916556E-4</v>
      </c>
      <c r="L23" s="86">
        <f si="12" t="shared"/>
        <v>2.5515141916979006E-3</v>
      </c>
      <c r="M23" s="86">
        <f ref="M23:P23" si="24" t="shared">M9/$Q$13</f>
        <v>2.1379929261468615E-3</v>
      </c>
      <c r="N23" s="86">
        <f si="24" t="shared"/>
        <v>5.8948776153020465E-4</v>
      </c>
      <c r="O23" s="86">
        <f si="24" t="shared"/>
        <v>2.4987242429041511E-3</v>
      </c>
      <c r="P23" s="86">
        <f si="24" t="shared"/>
        <v>2.2875644477291524E-4</v>
      </c>
      <c r="Q23" s="86">
        <f si="14" t="shared"/>
        <v>2.7274806876770663E-3</v>
      </c>
    </row>
    <row r="24" spans="1:22" x14ac:dyDescent="0.25">
      <c r="A24" s="84" t="s">
        <v>7</v>
      </c>
      <c r="B24" s="86">
        <f si="9" t="shared"/>
        <v>2.6291489303428115E-3</v>
      </c>
      <c r="C24" s="86">
        <f si="9" t="shared"/>
        <v>2.4469628827449304E-2</v>
      </c>
      <c r="D24" s="86">
        <f ref="D24:G24" si="25" t="shared">D10/$H$13</f>
        <v>9.5909094229962976E-3</v>
      </c>
      <c r="E24" s="86">
        <f si="25" t="shared"/>
        <v>1.7507868334795815E-2</v>
      </c>
      <c r="F24" s="86">
        <f si="25" t="shared"/>
        <v>1.6651890328460681E-2</v>
      </c>
      <c r="G24" s="86">
        <f si="25" t="shared"/>
        <v>1.0446887429331432E-2</v>
      </c>
      <c r="H24" s="86">
        <f si="11" t="shared"/>
        <v>2.7098777757792115E-2</v>
      </c>
      <c r="J24" s="84" t="s">
        <v>7</v>
      </c>
      <c r="K24" s="86">
        <f si="12" t="shared"/>
        <v>3.1498002780270635E-3</v>
      </c>
      <c r="L24" s="86">
        <f si="12" t="shared"/>
        <v>2.1203962765489449E-2</v>
      </c>
      <c r="M24" s="86">
        <f ref="M24:P24" si="26" t="shared">M10/$Q$13</f>
        <v>1.8555667001003008E-2</v>
      </c>
      <c r="N24" s="86">
        <f si="26" t="shared"/>
        <v>5.7980960425135057E-3</v>
      </c>
      <c r="O24" s="86">
        <f si="26" t="shared"/>
        <v>2.2778862904502983E-2</v>
      </c>
      <c r="P24" s="86">
        <f si="26" t="shared"/>
        <v>1.5749001390135318E-3</v>
      </c>
      <c r="Q24" s="86">
        <f si="14" t="shared"/>
        <v>2.4353763043516514E-2</v>
      </c>
    </row>
    <row r="25" spans="1:22" x14ac:dyDescent="0.25">
      <c r="A25" s="84" t="s">
        <v>8</v>
      </c>
      <c r="B25" s="86">
        <f si="9" t="shared"/>
        <v>0</v>
      </c>
      <c r="C25" s="86">
        <f si="9" t="shared"/>
        <v>2.4275281094600903E-3</v>
      </c>
      <c r="D25" s="86">
        <f ref="D25:G26" si="27" t="shared">D11/$H$13</f>
        <v>2.4275281094600903E-3</v>
      </c>
      <c r="E25" s="86">
        <f si="27" t="shared"/>
        <v>0</v>
      </c>
      <c r="F25" s="86">
        <f si="27" t="shared"/>
        <v>2.4275281094600903E-3</v>
      </c>
      <c r="G25" s="86">
        <f si="27" t="shared"/>
        <v>0</v>
      </c>
      <c r="H25" s="86">
        <f si="11" t="shared"/>
        <v>2.4275281094600903E-3</v>
      </c>
      <c r="J25" s="84" t="s">
        <v>8</v>
      </c>
      <c r="K25" s="86">
        <f si="12" t="shared"/>
        <v>0</v>
      </c>
      <c r="L25" s="86">
        <f si="12" t="shared"/>
        <v>0</v>
      </c>
      <c r="M25" s="86">
        <f ref="M25:P26" si="28" t="shared">M11/$Q$13</f>
        <v>0</v>
      </c>
      <c r="N25" s="86">
        <f si="28" t="shared"/>
        <v>0</v>
      </c>
      <c r="O25" s="86">
        <f si="28" t="shared"/>
        <v>0</v>
      </c>
      <c r="P25" s="86">
        <f si="28" t="shared"/>
        <v>0</v>
      </c>
      <c r="Q25" s="86">
        <f si="14" t="shared"/>
        <v>0</v>
      </c>
    </row>
    <row r="26" spans="1:22" x14ac:dyDescent="0.25">
      <c r="A26" s="12" t="s">
        <v>302</v>
      </c>
      <c r="B26" s="14">
        <f si="9" t="shared"/>
        <v>0</v>
      </c>
      <c r="C26" s="14">
        <f si="9" t="shared"/>
        <v>0</v>
      </c>
      <c r="D26" s="14">
        <f si="27" t="shared"/>
        <v>0</v>
      </c>
      <c r="E26" s="14">
        <f si="27" t="shared"/>
        <v>0</v>
      </c>
      <c r="F26" s="14">
        <f si="27" t="shared"/>
        <v>0</v>
      </c>
      <c r="G26" s="14">
        <f si="27" t="shared"/>
        <v>0</v>
      </c>
      <c r="H26" s="14">
        <f si="11" t="shared"/>
        <v>0</v>
      </c>
      <c r="J26" s="12" t="s">
        <v>302</v>
      </c>
      <c r="K26" s="14">
        <f si="12" t="shared"/>
        <v>0</v>
      </c>
      <c r="L26" s="14">
        <f si="12" t="shared"/>
        <v>0</v>
      </c>
      <c r="M26" s="14">
        <f si="28" t="shared"/>
        <v>0</v>
      </c>
      <c r="N26" s="14">
        <f si="28" t="shared"/>
        <v>0</v>
      </c>
      <c r="O26" s="14">
        <f si="28" t="shared"/>
        <v>0</v>
      </c>
      <c r="P26" s="14">
        <f si="28" t="shared"/>
        <v>0</v>
      </c>
      <c r="Q26" s="14">
        <f si="14" t="shared"/>
        <v>0</v>
      </c>
    </row>
    <row ht="15.75" r="27" spans="1:22" thickBot="1" x14ac:dyDescent="0.3">
      <c r="A27" s="85" t="s">
        <v>19</v>
      </c>
      <c r="B27" s="89">
        <f si="9" t="shared"/>
        <v>1.3830122631202294E-2</v>
      </c>
      <c r="C27" s="89">
        <f si="9" t="shared"/>
        <v>0.9861698773687978</v>
      </c>
      <c r="D27" s="89">
        <f ref="D27:G27" si="29" t="shared">D13/$H$13</f>
        <v>0.79867288299686989</v>
      </c>
      <c r="E27" s="89">
        <f si="29" t="shared"/>
        <v>0.20132711700313011</v>
      </c>
      <c r="F27" s="89">
        <f si="29" t="shared"/>
        <v>0.93951970887214098</v>
      </c>
      <c r="G27" s="89">
        <f si="29" t="shared"/>
        <v>6.0480291127859069E-2</v>
      </c>
      <c r="H27" s="89">
        <f si="11" t="shared"/>
        <v>1</v>
      </c>
      <c r="J27" s="85" t="s">
        <v>19</v>
      </c>
      <c r="K27" s="89">
        <f si="12" t="shared"/>
        <v>2.7125235355188373E-2</v>
      </c>
      <c r="L27" s="89">
        <f si="12" t="shared"/>
        <v>0.9728747646448116</v>
      </c>
      <c r="M27" s="89">
        <f ref="M27:P27" si="30" t="shared">M13/$Q$13</f>
        <v>0.79062626475918985</v>
      </c>
      <c r="N27" s="89">
        <f si="30" t="shared"/>
        <v>0.20937373524081015</v>
      </c>
      <c r="O27" s="89">
        <f si="30" t="shared"/>
        <v>0.94981435534674197</v>
      </c>
      <c r="P27" s="89">
        <f si="30" t="shared"/>
        <v>5.0185644653258019E-2</v>
      </c>
      <c r="Q27" s="89">
        <f si="14" t="shared"/>
        <v>1</v>
      </c>
    </row>
    <row ht="15.75" r="30" spans="1:22" thickBot="1" x14ac:dyDescent="0.3">
      <c r="J30" s="1" t="s">
        <v>32</v>
      </c>
      <c r="K30" s="1"/>
      <c r="L30" s="3"/>
      <c r="M30" s="3"/>
      <c r="N30" s="3"/>
      <c r="O30" s="3"/>
      <c r="P30" s="3"/>
      <c r="Q30" s="3"/>
      <c r="S30" s="15" t="s">
        <v>40</v>
      </c>
      <c r="T30" s="15"/>
      <c r="U30" s="16"/>
      <c r="V30" s="16"/>
    </row>
    <row r="31" spans="1:22" x14ac:dyDescent="0.25">
      <c r="J31" s="2" t="s">
        <v>0</v>
      </c>
      <c r="K31" s="4" t="s">
        <v>9</v>
      </c>
      <c r="L31" s="4" t="s">
        <v>10</v>
      </c>
      <c r="M31" s="7" t="s">
        <v>248</v>
      </c>
      <c r="N31" s="7" t="s">
        <v>247</v>
      </c>
      <c r="O31" s="7" t="s">
        <v>249</v>
      </c>
      <c r="P31" s="7" t="s">
        <v>250</v>
      </c>
      <c r="Q31" s="7" t="s">
        <v>19</v>
      </c>
      <c r="S31" s="18" t="s">
        <v>0</v>
      </c>
      <c r="T31" s="19" t="s">
        <v>46</v>
      </c>
      <c r="U31" s="19" t="s">
        <v>33</v>
      </c>
      <c r="V31" s="20" t="s">
        <v>34</v>
      </c>
    </row>
    <row r="32" spans="1:22" x14ac:dyDescent="0.25">
      <c r="J32" s="84" t="s">
        <v>1</v>
      </c>
      <c r="K32" s="86">
        <f ref="K32:K40" si="31" t="shared">K18-B18</f>
        <v>-4.3539792721530125E-4</v>
      </c>
      <c r="L32" s="86">
        <f ref="L32:L40" si="32" t="shared">L18-C18</f>
        <v>3.3031131905757599E-2</v>
      </c>
      <c r="M32" s="86">
        <f ref="M32:M40" si="33" t="shared">M18-D18</f>
        <v>3.0574247345742073E-2</v>
      </c>
      <c r="N32" s="86">
        <f ref="N32:N40" si="34" t="shared">N18-E18</f>
        <v>2.0214866328002491E-3</v>
      </c>
      <c r="O32" s="86">
        <f ref="O32:O40" si="35" t="shared">O18-F18</f>
        <v>2.8561553725310385E-2</v>
      </c>
      <c r="P32" s="86">
        <f ref="P32:P40" si="36" t="shared">P18-G18</f>
        <v>4.034180253231932E-3</v>
      </c>
      <c r="Q32" s="86">
        <f ref="Q32:Q40" si="37" t="shared">Q18-H18</f>
        <v>3.3031131905757599E-2</v>
      </c>
      <c r="S32" s="82" t="s">
        <v>1</v>
      </c>
      <c r="T32" s="90">
        <f ref="T32:T40" si="38" t="shared">H18</f>
        <v>0.19246113436674411</v>
      </c>
      <c r="U32" s="90">
        <f ref="U32:U40" si="39" t="shared">Q18</f>
        <v>0.22549226627250171</v>
      </c>
      <c r="V32" s="90">
        <f>U32-T32</f>
        <v>3.3031131905757599E-2</v>
      </c>
    </row>
    <row r="33" spans="10:22" x14ac:dyDescent="0.25">
      <c r="J33" s="84" t="s">
        <v>2</v>
      </c>
      <c r="K33" s="86">
        <f si="31" t="shared"/>
        <v>3.8044500934307276E-3</v>
      </c>
      <c r="L33" s="86">
        <f si="32" t="shared"/>
        <v>7.2335952205358489E-3</v>
      </c>
      <c r="M33" s="86">
        <f si="33" t="shared"/>
        <v>1.9659555845154553E-2</v>
      </c>
      <c r="N33" s="86">
        <f si="34" t="shared"/>
        <v>-8.6215105311879814E-3</v>
      </c>
      <c r="O33" s="86">
        <f si="35" t="shared"/>
        <v>1.6787305229914284E-2</v>
      </c>
      <c r="P33" s="86">
        <f si="36" t="shared"/>
        <v>-5.7492599159476993E-3</v>
      </c>
      <c r="Q33" s="86">
        <f si="37" t="shared"/>
        <v>1.0820346350358889E-2</v>
      </c>
      <c r="S33" s="87" t="s">
        <v>2</v>
      </c>
      <c r="T33" s="88">
        <f si="38" t="shared"/>
        <v>0.48071566519304326</v>
      </c>
      <c r="U33" s="88">
        <f si="39" t="shared"/>
        <v>0.49153601154340215</v>
      </c>
      <c r="V33" s="88">
        <f ref="V33:V41" si="40" t="shared">U33-T33</f>
        <v>1.0820346350358889E-2</v>
      </c>
    </row>
    <row r="34" spans="10:22" x14ac:dyDescent="0.25">
      <c r="J34" s="84" t="s">
        <v>3</v>
      </c>
      <c r="K34" s="86">
        <f si="31" t="shared"/>
        <v>4.4167590490770559E-3</v>
      </c>
      <c r="L34" s="86">
        <f si="32" t="shared"/>
        <v>-4.6426908457947086E-2</v>
      </c>
      <c r="M34" s="86">
        <f si="33" t="shared"/>
        <v>-7.1984598573403558E-2</v>
      </c>
      <c r="N34" s="86">
        <f si="34" t="shared"/>
        <v>2.9974449164533519E-2</v>
      </c>
      <c r="O34" s="86">
        <f si="35" t="shared"/>
        <v>-4.1809863698561017E-2</v>
      </c>
      <c r="P34" s="86">
        <f si="36" t="shared"/>
        <v>-2.0028571030904913E-4</v>
      </c>
      <c r="Q34" s="86">
        <f si="37" t="shared"/>
        <v>-4.22278483724777E-2</v>
      </c>
      <c r="S34" s="83" t="s">
        <v>3</v>
      </c>
      <c r="T34" s="91">
        <f si="38" t="shared"/>
        <v>0.29127323013179074</v>
      </c>
      <c r="U34" s="91">
        <f si="39" t="shared"/>
        <v>0.24904538175931304</v>
      </c>
      <c r="V34" s="91">
        <f si="40" t="shared"/>
        <v>-4.22278483724777E-2</v>
      </c>
    </row>
    <row r="35" spans="10:22" x14ac:dyDescent="0.25">
      <c r="J35" s="84" t="s">
        <v>4</v>
      </c>
      <c r="K35" s="86">
        <f si="31" t="shared"/>
        <v>0</v>
      </c>
      <c r="L35" s="86">
        <f si="32" t="shared"/>
        <v>0</v>
      </c>
      <c r="M35" s="86">
        <f si="33" t="shared"/>
        <v>0</v>
      </c>
      <c r="N35" s="86">
        <f si="34" t="shared"/>
        <v>0</v>
      </c>
      <c r="O35" s="86">
        <f si="35" t="shared"/>
        <v>0</v>
      </c>
      <c r="P35" s="86">
        <f si="36" t="shared"/>
        <v>0</v>
      </c>
      <c r="Q35" s="86">
        <f si="37" t="shared"/>
        <v>0</v>
      </c>
      <c r="S35" s="87" t="s">
        <v>4</v>
      </c>
      <c r="T35" s="88">
        <f si="38" t="shared"/>
        <v>0</v>
      </c>
      <c r="U35" s="88">
        <f si="39" t="shared"/>
        <v>0</v>
      </c>
      <c r="V35" s="88">
        <f si="40" t="shared"/>
        <v>0</v>
      </c>
    </row>
    <row r="36" spans="10:22" x14ac:dyDescent="0.25">
      <c r="J36" s="84" t="s">
        <v>5</v>
      </c>
      <c r="K36" s="86">
        <f si="31" t="shared"/>
        <v>4.8126836650301784E-3</v>
      </c>
      <c r="L36" s="86">
        <f si="32" t="shared"/>
        <v>1.7572545741997838E-3</v>
      </c>
      <c r="M36" s="86">
        <f si="33" t="shared"/>
        <v>6.0596354008903824E-3</v>
      </c>
      <c r="N36" s="86">
        <f si="34" t="shared"/>
        <v>5.1030283833958018E-4</v>
      </c>
      <c r="O36" s="86">
        <f si="35" t="shared"/>
        <v>6.3059884952612142E-3</v>
      </c>
      <c r="P36" s="86">
        <f si="36" t="shared"/>
        <v>2.6394974396874835E-4</v>
      </c>
      <c r="Q36" s="86">
        <f si="37" t="shared"/>
        <v>6.5699382392299614E-3</v>
      </c>
      <c r="S36" s="83" t="s">
        <v>5</v>
      </c>
      <c r="T36" s="91">
        <f si="38" t="shared"/>
        <v>2.7515845435957835E-4</v>
      </c>
      <c r="U36" s="91">
        <f si="39" t="shared"/>
        <v>6.8450966935895401E-3</v>
      </c>
      <c r="V36" s="91">
        <f si="40" t="shared"/>
        <v>6.5699382392299614E-3</v>
      </c>
    </row>
    <row r="37" spans="10:22" x14ac:dyDescent="0.25">
      <c r="J37" s="84" t="s">
        <v>6</v>
      </c>
      <c r="K37" s="86">
        <f si="31" t="shared"/>
        <v>1.7596649597916556E-4</v>
      </c>
      <c r="L37" s="86">
        <f si="32" t="shared"/>
        <v>-3.196991795112326E-3</v>
      </c>
      <c r="M37" s="86">
        <f si="33" t="shared"/>
        <v>1.107312275389818E-3</v>
      </c>
      <c r="N37" s="86">
        <f si="34" t="shared"/>
        <v>-4.1283375745229788E-3</v>
      </c>
      <c r="O37" s="86">
        <f si="35" t="shared"/>
        <v>-3.2497817439060754E-3</v>
      </c>
      <c r="P37" s="86">
        <f si="36" t="shared"/>
        <v>2.2875644477291524E-4</v>
      </c>
      <c r="Q37" s="86">
        <f si="37" t="shared"/>
        <v>-3.0210252991331602E-3</v>
      </c>
      <c r="S37" s="87" t="s">
        <v>6</v>
      </c>
      <c r="T37" s="88">
        <f si="38" t="shared"/>
        <v>5.7485059868102265E-3</v>
      </c>
      <c r="U37" s="88">
        <f si="39" t="shared"/>
        <v>2.7274806876770663E-3</v>
      </c>
      <c r="V37" s="88">
        <f si="40" t="shared"/>
        <v>-3.0210252991331602E-3</v>
      </c>
    </row>
    <row r="38" spans="10:22" x14ac:dyDescent="0.25">
      <c r="J38" s="84" t="s">
        <v>7</v>
      </c>
      <c r="K38" s="86">
        <f si="31" t="shared"/>
        <v>5.2065134768425206E-4</v>
      </c>
      <c r="L38" s="86">
        <f si="32" t="shared"/>
        <v>-3.2656660619598543E-3</v>
      </c>
      <c r="M38" s="86">
        <f si="33" t="shared"/>
        <v>8.9647575780067105E-3</v>
      </c>
      <c r="N38" s="86">
        <f si="34" t="shared"/>
        <v>-1.170977229228231E-2</v>
      </c>
      <c r="O38" s="86">
        <f si="35" t="shared"/>
        <v>6.126972576042302E-3</v>
      </c>
      <c r="P38" s="86">
        <f si="36" t="shared"/>
        <v>-8.8719872903178995E-3</v>
      </c>
      <c r="Q38" s="86">
        <f si="37" t="shared"/>
        <v>-2.745014714275601E-3</v>
      </c>
      <c r="S38" s="83" t="s">
        <v>7</v>
      </c>
      <c r="T38" s="91">
        <f si="38" t="shared"/>
        <v>2.7098777757792115E-2</v>
      </c>
      <c r="U38" s="91">
        <f si="39" t="shared"/>
        <v>2.4353763043516514E-2</v>
      </c>
      <c r="V38" s="91">
        <f si="40" t="shared"/>
        <v>-2.745014714275601E-3</v>
      </c>
    </row>
    <row r="39" spans="10:22" x14ac:dyDescent="0.25">
      <c r="J39" s="84" t="s">
        <v>8</v>
      </c>
      <c r="K39" s="86">
        <f si="31" t="shared"/>
        <v>0</v>
      </c>
      <c r="L39" s="86">
        <f si="32" t="shared"/>
        <v>-2.4275281094600903E-3</v>
      </c>
      <c r="M39" s="86">
        <f si="33" t="shared"/>
        <v>-2.4275281094600903E-3</v>
      </c>
      <c r="N39" s="86">
        <f si="34" t="shared"/>
        <v>0</v>
      </c>
      <c r="O39" s="86">
        <f si="35" t="shared"/>
        <v>-2.4275281094600903E-3</v>
      </c>
      <c r="P39" s="86">
        <f si="36" t="shared"/>
        <v>0</v>
      </c>
      <c r="Q39" s="86">
        <f si="37" t="shared"/>
        <v>-2.4275281094600903E-3</v>
      </c>
      <c r="S39" s="87" t="s">
        <v>8</v>
      </c>
      <c r="T39" s="88">
        <f si="38" t="shared"/>
        <v>2.4275281094600903E-3</v>
      </c>
      <c r="U39" s="88">
        <f si="39" t="shared"/>
        <v>0</v>
      </c>
      <c r="V39" s="88">
        <f si="40" t="shared"/>
        <v>-2.4275281094600903E-3</v>
      </c>
    </row>
    <row r="40" spans="10:22" x14ac:dyDescent="0.25">
      <c r="J40" s="12" t="s">
        <v>302</v>
      </c>
      <c r="K40" s="14">
        <f si="31" t="shared"/>
        <v>0</v>
      </c>
      <c r="L40" s="14">
        <f si="32" t="shared"/>
        <v>0</v>
      </c>
      <c r="M40" s="14">
        <f si="33" t="shared"/>
        <v>0</v>
      </c>
      <c r="N40" s="14">
        <f si="34" t="shared"/>
        <v>0</v>
      </c>
      <c r="O40" s="14">
        <f si="35" t="shared"/>
        <v>0</v>
      </c>
      <c r="P40" s="14">
        <f si="36" t="shared"/>
        <v>0</v>
      </c>
      <c r="Q40" s="14">
        <f si="37" t="shared"/>
        <v>0</v>
      </c>
      <c r="S40" s="69" t="s">
        <v>302</v>
      </c>
      <c r="T40" s="92">
        <f si="38" t="shared"/>
        <v>0</v>
      </c>
      <c r="U40" s="92">
        <f si="39" t="shared"/>
        <v>0</v>
      </c>
      <c r="V40" s="92">
        <f ref="V40" si="41" t="shared">U40-T40</f>
        <v>0</v>
      </c>
    </row>
    <row ht="15.75" r="41" spans="10:22" thickBot="1" x14ac:dyDescent="0.3">
      <c r="J41" s="85" t="s">
        <v>19</v>
      </c>
      <c r="K41" s="89">
        <f ref="K41" si="42" t="shared">K27-B27</f>
        <v>1.3295112723986079E-2</v>
      </c>
      <c r="L41" s="89">
        <f ref="L41" si="43" t="shared">L27-C27</f>
        <v>-1.3295112723986202E-2</v>
      </c>
      <c r="M41" s="89">
        <f ref="M41" si="44" t="shared">M27-D27</f>
        <v>-8.0466182376800477E-3</v>
      </c>
      <c r="N41" s="89">
        <f ref="N41" si="45" t="shared">N27-E27</f>
        <v>8.0466182376800477E-3</v>
      </c>
      <c r="O41" s="89">
        <f ref="O41" si="46" t="shared">O27-F27</f>
        <v>1.0294646474600988E-2</v>
      </c>
      <c r="P41" s="89">
        <f ref="P41" si="47" t="shared">P27-G27</f>
        <v>-1.029464647460105E-2</v>
      </c>
      <c r="Q41" s="89">
        <f ref="Q41" si="48" t="shared">Q27-H27</f>
        <v>0</v>
      </c>
      <c r="S41" s="93" t="s">
        <v>19</v>
      </c>
      <c r="T41" s="94">
        <f ref="T41" si="49" t="shared">H27</f>
        <v>1</v>
      </c>
      <c r="U41" s="94">
        <f ref="U41" si="50" t="shared">Q27</f>
        <v>1</v>
      </c>
      <c r="V41" s="94">
        <f si="40" t="shared"/>
        <v>0</v>
      </c>
    </row>
  </sheetData>
  <pageMargins bottom="0.75" footer="0.3" header="0.3" left="0.7" right="0.7" top="0.75"/>
  <pageSetup orientation="portrait" r:id="rId1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W41"/>
  <sheetViews>
    <sheetView topLeftCell="F1" workbookViewId="0">
      <selection activeCell="S16" sqref="S16"/>
    </sheetView>
  </sheetViews>
  <sheetFormatPr defaultRowHeight="15" x14ac:dyDescent="0.25"/>
  <cols>
    <col min="1" max="8" customWidth="true" width="16.7109375" collapsed="true"/>
    <col min="10" max="17" customWidth="true" width="16.7109375" collapsed="true"/>
    <col min="19" max="19" customWidth="true" width="16.7109375" collapsed="true"/>
    <col min="20" max="22" customWidth="true" width="11.85546875" collapsed="true"/>
  </cols>
  <sheetData>
    <row ht="15.75" r="2" spans="1:17" thickBot="1" x14ac:dyDescent="0.3">
      <c r="A2" s="1" t="s">
        <v>53</v>
      </c>
      <c r="B2" s="1"/>
      <c r="C2" s="3"/>
      <c r="D2" s="3"/>
      <c r="E2" s="3"/>
      <c r="F2" s="3"/>
      <c r="G2" s="3"/>
      <c r="H2" s="3"/>
      <c r="J2" s="1" t="s">
        <v>16</v>
      </c>
      <c r="K2" s="1"/>
      <c r="L2" s="3"/>
      <c r="M2" s="3"/>
      <c r="N2" s="3"/>
      <c r="O2" s="3"/>
      <c r="P2" s="3"/>
      <c r="Q2" s="3"/>
    </row>
    <row r="3" spans="1:17" x14ac:dyDescent="0.25">
      <c r="A3" s="2" t="s">
        <v>0</v>
      </c>
      <c r="B3" s="4" t="s">
        <v>9</v>
      </c>
      <c r="C3" s="4" t="s">
        <v>10</v>
      </c>
      <c r="D3" s="7" t="s">
        <v>248</v>
      </c>
      <c r="E3" s="7" t="s">
        <v>247</v>
      </c>
      <c r="F3" s="7" t="s">
        <v>249</v>
      </c>
      <c r="G3" s="7" t="s">
        <v>250</v>
      </c>
      <c r="H3" s="7" t="s">
        <v>19</v>
      </c>
      <c r="J3" s="2" t="s">
        <v>0</v>
      </c>
      <c r="K3" s="4" t="s">
        <v>9</v>
      </c>
      <c r="L3" s="4" t="s">
        <v>10</v>
      </c>
      <c r="M3" s="7" t="s">
        <v>248</v>
      </c>
      <c r="N3" s="7" t="s">
        <v>247</v>
      </c>
      <c r="O3" s="7" t="s">
        <v>249</v>
      </c>
      <c r="P3" s="7" t="s">
        <v>250</v>
      </c>
      <c r="Q3" s="7" t="s">
        <v>19</v>
      </c>
    </row>
    <row r="4" spans="1:17" x14ac:dyDescent="0.25">
      <c r="A4" s="9" t="s">
        <v>1</v>
      </c>
      <c r="B4" s="9" t="n">
        <v>145.7788918794926</v>
      </c>
      <c r="C4" s="9" t="n">
        <v>83573.54493266053</v>
      </c>
      <c r="D4" s="9" t="n">
        <v>76165.98118799571</v>
      </c>
      <c r="E4" s="9" t="n">
        <v>7553.342636544307</v>
      </c>
      <c r="F4" s="9" t="n">
        <v>81839.18831705488</v>
      </c>
      <c r="G4" s="9" t="n">
        <v>1880.1355074851444</v>
      </c>
      <c r="H4" s="9">
        <f>SUM(B4:C4)-B4</f>
        <v>83573.54493266053</v>
      </c>
      <c r="I4" s="9"/>
      <c r="J4" s="9" t="s">
        <v>1</v>
      </c>
      <c r="K4" s="9" t="n">
        <v>0.0</v>
      </c>
      <c r="L4" s="9" t="n">
        <v>86536.0</v>
      </c>
      <c r="M4" s="9" t="n">
        <v>73854.0</v>
      </c>
      <c r="N4" s="9" t="n">
        <v>12682.0</v>
      </c>
      <c r="O4" s="9" t="n">
        <v>82728.0</v>
      </c>
      <c r="P4" s="9" t="n">
        <v>3808.0</v>
      </c>
      <c r="Q4" s="9">
        <f>SUM(K4:L4)</f>
        <v>86104</v>
      </c>
    </row>
    <row r="5" spans="1:17" x14ac:dyDescent="0.25">
      <c r="A5" s="9" t="s">
        <v>2</v>
      </c>
      <c r="B5" s="9" t="n">
        <v>1473.1415093879605</v>
      </c>
      <c r="C5" s="9" t="n">
        <v>72746.16870830944</v>
      </c>
      <c r="D5" s="9" t="n">
        <v>60865.169544128</v>
      </c>
      <c r="E5" s="9" t="n">
        <v>13354.140673569402</v>
      </c>
      <c r="F5" s="9" t="n">
        <v>70086.46450940342</v>
      </c>
      <c r="G5" s="9" t="n">
        <v>4132.845708293988</v>
      </c>
      <c r="H5" s="9">
        <f>SUM(B5:C5)+0.5*B4</f>
        <v>74292.199663637148</v>
      </c>
      <c r="I5" s="9"/>
      <c r="J5" s="9" t="s">
        <v>2</v>
      </c>
      <c r="K5" s="9" t="n">
        <v>2487.0</v>
      </c>
      <c r="L5" s="9" t="n">
        <v>88064.0</v>
      </c>
      <c r="M5" s="9" t="n">
        <v>66075.0</v>
      </c>
      <c r="N5" s="9" t="n">
        <v>24476.0</v>
      </c>
      <c r="O5" s="9" t="n">
        <v>82931.0</v>
      </c>
      <c r="P5" s="9" t="n">
        <v>7620.0</v>
      </c>
      <c r="Q5" s="9">
        <f ref="Q5:Q12" si="0" t="shared">SUM(K5:L5)</f>
        <v>91022</v>
      </c>
    </row>
    <row r="6" spans="1:17" x14ac:dyDescent="0.25">
      <c r="A6" s="9" t="s">
        <v>3</v>
      </c>
      <c r="B6" s="9" t="n">
        <v>1021.92101399454</v>
      </c>
      <c r="C6" s="9" t="n">
        <v>62812.773842506234</v>
      </c>
      <c r="D6" s="9" t="n">
        <v>55922.222712024646</v>
      </c>
      <c r="E6" s="9" t="n">
        <v>7912.472144476128</v>
      </c>
      <c r="F6" s="9" t="n">
        <v>63179.770336555775</v>
      </c>
      <c r="G6" s="9" t="n">
        <v>654.9245199449955</v>
      </c>
      <c r="H6" s="9">
        <f>SUM(B6:C6)+0.5*B4</f>
        <v>63907.584302440526</v>
      </c>
      <c r="I6" s="9"/>
      <c r="J6" s="9" t="s">
        <v>3</v>
      </c>
      <c r="K6" s="9" t="n">
        <v>919.0</v>
      </c>
      <c r="L6" s="9" t="n">
        <v>62222.0</v>
      </c>
      <c r="M6" s="9" t="n">
        <v>45745.0</v>
      </c>
      <c r="N6" s="9" t="n">
        <v>17396.0</v>
      </c>
      <c r="O6" s="9" t="n">
        <v>61224.0</v>
      </c>
      <c r="P6" s="9" t="n">
        <v>1917.0</v>
      </c>
      <c r="Q6" s="9">
        <f si="0" t="shared"/>
        <v>63692</v>
      </c>
    </row>
    <row r="7" spans="1:17" x14ac:dyDescent="0.25">
      <c r="A7" s="9" t="s">
        <v>4</v>
      </c>
      <c r="B7" s="117" t="n">
        <v>0.0</v>
      </c>
      <c r="C7" s="117" t="n">
        <v>272.24302571085</v>
      </c>
      <c r="D7" s="117" t="n">
        <v>272.24302571085</v>
      </c>
      <c r="E7" s="117" t="n">
        <v>0.0</v>
      </c>
      <c r="F7" s="117" t="n">
        <v>272.24302571085</v>
      </c>
      <c r="G7" s="117" t="n">
        <v>0.0</v>
      </c>
      <c r="H7" s="117">
        <f ref="H7:H12" si="1" t="shared">SUM(B7:C7)</f>
        <v>272.24302571085002</v>
      </c>
      <c r="I7" s="9"/>
      <c r="J7" s="9" t="s">
        <v>4</v>
      </c>
      <c r="K7" s="9" t="n">
        <v>0.0</v>
      </c>
      <c r="L7" s="9" t="n">
        <v>0.0</v>
      </c>
      <c r="M7" s="9" t="n">
        <v>0.0</v>
      </c>
      <c r="N7" s="9" t="n">
        <v>0.0</v>
      </c>
      <c r="O7" s="9" t="n">
        <v>0.0</v>
      </c>
      <c r="P7" s="9" t="n">
        <v>0.0</v>
      </c>
      <c r="Q7" s="9">
        <f si="0" t="shared"/>
        <v>0</v>
      </c>
    </row>
    <row r="8" spans="1:17" x14ac:dyDescent="0.25">
      <c r="A8" s="9" t="s">
        <v>5</v>
      </c>
      <c r="B8" s="117" t="n">
        <v>285.1517922394783</v>
      </c>
      <c r="C8" s="117" t="n">
        <v>229.03137549528358</v>
      </c>
      <c r="D8" s="117" t="n">
        <v>434.513618104958</v>
      </c>
      <c r="E8" s="117" t="n">
        <v>79.6695496298039</v>
      </c>
      <c r="F8" s="117" t="n">
        <v>468.4848106622298</v>
      </c>
      <c r="G8" s="117" t="n">
        <v>45.6983570725321</v>
      </c>
      <c r="H8" s="117">
        <f si="1" t="shared"/>
        <v>514.18316773476192</v>
      </c>
      <c r="I8" s="9"/>
      <c r="J8" s="9" t="s">
        <v>5</v>
      </c>
      <c r="K8" s="9" t="n">
        <v>1189.0</v>
      </c>
      <c r="L8" s="9" t="n">
        <v>520.0</v>
      </c>
      <c r="M8" s="9" t="n">
        <v>1545.0</v>
      </c>
      <c r="N8" s="9" t="n">
        <v>164.0</v>
      </c>
      <c r="O8" s="9" t="n">
        <v>1649.0</v>
      </c>
      <c r="P8" s="9" t="n">
        <v>60.0</v>
      </c>
      <c r="Q8" s="9">
        <f si="0" t="shared"/>
        <v>1688</v>
      </c>
    </row>
    <row r="9" spans="1:17" x14ac:dyDescent="0.25">
      <c r="A9" s="9" t="s">
        <v>6</v>
      </c>
      <c r="B9" s="9" t="n">
        <v>0.0</v>
      </c>
      <c r="C9" s="9" t="n">
        <v>2953.7288466992454</v>
      </c>
      <c r="D9" s="9" t="n">
        <v>2431.8027317854826</v>
      </c>
      <c r="E9" s="9" t="n">
        <v>521.9261149137628</v>
      </c>
      <c r="F9" s="9" t="n">
        <v>2953.7288466992454</v>
      </c>
      <c r="G9" s="9" t="n">
        <v>0.0</v>
      </c>
      <c r="H9" s="9">
        <f si="1" t="shared"/>
        <v>2953.7288466992454</v>
      </c>
      <c r="I9" s="9"/>
      <c r="J9" s="9" t="s">
        <v>6</v>
      </c>
      <c r="K9" s="9" t="n">
        <v>202.0</v>
      </c>
      <c r="L9" s="9" t="n">
        <v>2861.0</v>
      </c>
      <c r="M9" s="9" t="n">
        <v>2135.0</v>
      </c>
      <c r="N9" s="9" t="n">
        <v>928.0</v>
      </c>
      <c r="O9" s="9" t="n">
        <v>2731.0</v>
      </c>
      <c r="P9" s="9" t="n">
        <v>332.0</v>
      </c>
      <c r="Q9" s="9">
        <f si="0" t="shared"/>
        <v>2971</v>
      </c>
    </row>
    <row r="10" spans="1:17" x14ac:dyDescent="0.25">
      <c r="A10" s="9" t="s">
        <v>7</v>
      </c>
      <c r="B10" s="9" t="n">
        <v>3068.0098579341984</v>
      </c>
      <c r="C10" s="9" t="n">
        <v>21678.102798642667</v>
      </c>
      <c r="D10" s="9" t="n">
        <v>21556.808326237147</v>
      </c>
      <c r="E10" s="9" t="n">
        <v>3189.3043303397185</v>
      </c>
      <c r="F10" s="9" t="n">
        <v>24457.685233821518</v>
      </c>
      <c r="G10" s="9" t="n">
        <v>288.4274227553475</v>
      </c>
      <c r="H10" s="9">
        <f si="1" t="shared"/>
        <v>24746.112656576865</v>
      </c>
      <c r="I10" s="9"/>
      <c r="J10" s="9" t="s">
        <v>7</v>
      </c>
      <c r="K10" s="9" t="n">
        <v>1326.0</v>
      </c>
      <c r="L10" s="9" t="n">
        <v>14715.0</v>
      </c>
      <c r="M10" s="9" t="n">
        <v>11880.0</v>
      </c>
      <c r="N10" s="9" t="n">
        <v>4161.0</v>
      </c>
      <c r="O10" s="9" t="n">
        <v>14849.0</v>
      </c>
      <c r="P10" s="9" t="n">
        <v>1192.0</v>
      </c>
      <c r="Q10" s="9">
        <f si="0" t="shared"/>
        <v>14866</v>
      </c>
    </row>
    <row r="11" spans="1:17" x14ac:dyDescent="0.25">
      <c r="A11" s="84" t="s">
        <v>8</v>
      </c>
      <c r="B11" s="84" t="n">
        <v>39.465972524549</v>
      </c>
      <c r="C11" s="84" t="n">
        <v>3117.2130236060666</v>
      </c>
      <c r="D11" s="84" t="n">
        <v>1558.7862986591497</v>
      </c>
      <c r="E11" s="84" t="n">
        <v>1597.892697471466</v>
      </c>
      <c r="F11" s="84" t="n">
        <v>2832.5013301630224</v>
      </c>
      <c r="G11" s="84" t="n">
        <v>324.1776659675934</v>
      </c>
      <c r="H11" s="84">
        <f si="1" t="shared"/>
        <v>3156.6789961306158</v>
      </c>
      <c r="I11" s="9"/>
      <c r="J11" s="84" t="s">
        <v>8</v>
      </c>
      <c r="K11" s="84" t="n">
        <v>0.0</v>
      </c>
      <c r="L11" s="84" t="n">
        <v>0.0</v>
      </c>
      <c r="M11" s="84" t="n">
        <v>0.0</v>
      </c>
      <c r="N11" s="84" t="n">
        <v>0.0</v>
      </c>
      <c r="O11" s="84" t="n">
        <v>0.0</v>
      </c>
      <c r="P11" s="84" t="n">
        <v>0.0</v>
      </c>
      <c r="Q11" s="84">
        <f si="0" t="shared"/>
        <v>0</v>
      </c>
    </row>
    <row r="12" spans="1:17" x14ac:dyDescent="0.25">
      <c r="A12" s="12" t="s">
        <v>302</v>
      </c>
      <c r="B12" s="12" t="n">
        <v>0.0</v>
      </c>
      <c r="C12" s="12" t="n">
        <v>0.0</v>
      </c>
      <c r="D12" s="12" t="n">
        <v>0.0</v>
      </c>
      <c r="E12" s="12" t="n">
        <v>0.0</v>
      </c>
      <c r="F12" s="12" t="n">
        <v>0.0</v>
      </c>
      <c r="G12" s="12" t="n">
        <v>0.0</v>
      </c>
      <c r="H12" s="84">
        <f si="1" t="shared"/>
        <v>0</v>
      </c>
      <c r="I12" s="9"/>
      <c r="J12" s="12" t="s">
        <v>302</v>
      </c>
      <c r="K12" s="12" t="n">
        <v>0.0</v>
      </c>
      <c r="L12" s="12" t="n">
        <v>0.0</v>
      </c>
      <c r="M12" s="12" t="n">
        <v>0.0</v>
      </c>
      <c r="N12" s="12" t="n">
        <v>0.0</v>
      </c>
      <c r="O12" s="12" t="n">
        <v>0.0</v>
      </c>
      <c r="P12" s="12" t="n">
        <v>0.0</v>
      </c>
      <c r="Q12" s="84">
        <f si="0" t="shared"/>
        <v>0</v>
      </c>
    </row>
    <row ht="15.75" r="13" spans="1:17" thickBot="1" x14ac:dyDescent="0.3">
      <c r="A13" s="85" t="s">
        <v>19</v>
      </c>
      <c r="B13" s="85">
        <f>SUM(B4:B12)</f>
        <v>6033.4690379602189</v>
      </c>
      <c r="C13" s="85">
        <f ref="C13:H13" si="2" t="shared">SUM(C4:C12)</f>
        <v>247382.80655363033</v>
      </c>
      <c r="D13" s="85">
        <f si="2" t="shared"/>
        <v>219207.52744464591</v>
      </c>
      <c r="E13" s="85">
        <f si="2" t="shared"/>
        <v>34208.748146944585</v>
      </c>
      <c r="F13" s="85">
        <f si="2" t="shared"/>
        <v>246090.06641007093</v>
      </c>
      <c r="G13" s="85">
        <f si="2" t="shared"/>
        <v>7326.2091815196009</v>
      </c>
      <c r="H13" s="85">
        <f si="2" t="shared"/>
        <v>253416.27559159053</v>
      </c>
      <c r="J13" s="85" t="s">
        <v>19</v>
      </c>
      <c r="K13" s="85">
        <f>SUM(K4:K12)</f>
        <v>6053</v>
      </c>
      <c r="L13" s="85">
        <f ref="L13" si="3" t="shared">SUM(L4:L12)</f>
        <v>254290</v>
      </c>
      <c r="M13" s="85">
        <f ref="M13" si="4" t="shared">SUM(M4:M12)</f>
        <v>200647</v>
      </c>
      <c r="N13" s="85">
        <f ref="N13" si="5" t="shared">SUM(N4:N12)</f>
        <v>59696</v>
      </c>
      <c r="O13" s="85">
        <f ref="O13" si="6" t="shared">SUM(O4:O12)</f>
        <v>245486</v>
      </c>
      <c r="P13" s="85">
        <f ref="P13" si="7" t="shared">SUM(P4:P12)</f>
        <v>14857</v>
      </c>
      <c r="Q13" s="85">
        <f ref="Q13" si="8" t="shared">SUM(Q4:Q12)</f>
        <v>260343</v>
      </c>
    </row>
    <row ht="15.75" r="16" spans="1:17" thickBot="1" x14ac:dyDescent="0.3">
      <c r="A16" s="1" t="s">
        <v>54</v>
      </c>
      <c r="B16" s="1"/>
      <c r="C16" s="3"/>
      <c r="D16" s="3"/>
      <c r="E16" s="3"/>
      <c r="F16" s="3"/>
      <c r="G16" s="3"/>
      <c r="H16" s="3"/>
      <c r="J16" s="1" t="s">
        <v>22</v>
      </c>
      <c r="K16" s="1"/>
      <c r="L16" s="3"/>
      <c r="M16" s="3"/>
      <c r="N16" s="3"/>
      <c r="O16" s="3"/>
      <c r="P16" s="3"/>
      <c r="Q16" s="3"/>
    </row>
    <row r="17" spans="1:22" x14ac:dyDescent="0.25">
      <c r="A17" s="2" t="s">
        <v>0</v>
      </c>
      <c r="B17" s="4" t="s">
        <v>9</v>
      </c>
      <c r="C17" s="4" t="s">
        <v>10</v>
      </c>
      <c r="D17" s="7" t="s">
        <v>248</v>
      </c>
      <c r="E17" s="7" t="s">
        <v>247</v>
      </c>
      <c r="F17" s="7" t="s">
        <v>249</v>
      </c>
      <c r="G17" s="7" t="s">
        <v>250</v>
      </c>
      <c r="H17" s="7" t="s">
        <v>19</v>
      </c>
      <c r="J17" s="2" t="s">
        <v>0</v>
      </c>
      <c r="K17" s="4" t="s">
        <v>9</v>
      </c>
      <c r="L17" s="4" t="s">
        <v>10</v>
      </c>
      <c r="M17" s="7" t="s">
        <v>248</v>
      </c>
      <c r="N17" s="7" t="s">
        <v>247</v>
      </c>
      <c r="O17" s="7" t="s">
        <v>249</v>
      </c>
      <c r="P17" s="7" t="s">
        <v>250</v>
      </c>
      <c r="Q17" s="7" t="s">
        <v>19</v>
      </c>
    </row>
    <row r="18" spans="1:22" x14ac:dyDescent="0.25">
      <c r="A18" s="84" t="s">
        <v>1</v>
      </c>
      <c r="B18" s="86">
        <f ref="B18:C27" si="9" t="shared">B4/$H$13</f>
        <v>5.7525465378724155E-4</v>
      </c>
      <c r="C18" s="86">
        <f si="9" t="shared"/>
        <v>0.32978759843881894</v>
      </c>
      <c r="D18" s="86">
        <f ref="D18:G18" si="10" t="shared">D4/$H$13</f>
        <v>0.30055678551106935</v>
      </c>
      <c r="E18" s="86">
        <f si="10" t="shared"/>
        <v>2.9806067581536821E-2</v>
      </c>
      <c r="F18" s="86">
        <f si="10" t="shared"/>
        <v>0.32294369462263012</v>
      </c>
      <c r="G18" s="86">
        <f si="10" t="shared"/>
        <v>7.4191584699760922E-3</v>
      </c>
      <c r="H18" s="86">
        <f ref="H18:H27" si="11" t="shared">H4/$H$13</f>
        <v>0.32978759843881894</v>
      </c>
      <c r="J18" s="84" t="s">
        <v>1</v>
      </c>
      <c r="K18" s="86">
        <f ref="K18:L27" si="12" t="shared">K4/$Q$13</f>
        <v>0</v>
      </c>
      <c r="L18" s="86">
        <f si="12" t="shared"/>
        <v>0.33073291772776681</v>
      </c>
      <c r="M18" s="86">
        <f ref="M18:P18" si="13" t="shared">M4/$Q$13</f>
        <v>0.2820663509293509</v>
      </c>
      <c r="N18" s="86">
        <f si="13" t="shared"/>
        <v>4.8666566798415939E-2</v>
      </c>
      <c r="O18" s="86">
        <f si="13" t="shared"/>
        <v>0.31588327706141511</v>
      </c>
      <c r="P18" s="86">
        <f si="13" t="shared"/>
        <v>1.4849640666351697E-2</v>
      </c>
      <c r="Q18" s="86">
        <f ref="Q18:Q27" si="14" t="shared">Q4/$Q$13</f>
        <v>0.33073291772776681</v>
      </c>
    </row>
    <row r="19" spans="1:22" x14ac:dyDescent="0.25">
      <c r="A19" s="84" t="s">
        <v>2</v>
      </c>
      <c r="B19" s="86">
        <f si="9" t="shared"/>
        <v>5.8131290342302144E-3</v>
      </c>
      <c r="C19" s="86">
        <f si="9" t="shared"/>
        <v>0.28706194398322016</v>
      </c>
      <c r="D19" s="86">
        <f ref="D19:G19" si="15" t="shared">D5/$H$13</f>
        <v>0.24017861284576381</v>
      </c>
      <c r="E19" s="86">
        <f si="15" t="shared"/>
        <v>5.2696460171686589E-2</v>
      </c>
      <c r="F19" s="86">
        <f si="15" t="shared"/>
        <v>0.27656654785013024</v>
      </c>
      <c r="G19" s="86">
        <f si="15" t="shared"/>
        <v>1.6308525167320127E-2</v>
      </c>
      <c r="H19" s="86">
        <f si="11" t="shared"/>
        <v>0.293162700344344</v>
      </c>
      <c r="J19" s="84" t="s">
        <v>2</v>
      </c>
      <c r="K19" s="86">
        <f si="12" t="shared"/>
        <v>9.7333133596831864E-3</v>
      </c>
      <c r="L19" s="86">
        <f si="12" t="shared"/>
        <v>0.3398900681024648</v>
      </c>
      <c r="M19" s="86">
        <f ref="M19:P19" si="16" t="shared">M5/$Q$13</f>
        <v>0.25570497382299506</v>
      </c>
      <c r="N19" s="86">
        <f si="16" t="shared"/>
        <v>9.3918407639152962E-2</v>
      </c>
      <c r="O19" s="86">
        <f si="16" t="shared"/>
        <v>0.32020834053537067</v>
      </c>
      <c r="P19" s="86">
        <f si="16" t="shared"/>
        <v>2.9415040926777367E-2</v>
      </c>
      <c r="Q19" s="86">
        <f si="14" t="shared"/>
        <v>0.349623381462148</v>
      </c>
    </row>
    <row r="20" spans="1:22" x14ac:dyDescent="0.25">
      <c r="A20" s="84" t="s">
        <v>3</v>
      </c>
      <c r="B20" s="86">
        <f si="9" t="shared"/>
        <v>4.0325784585417994E-3</v>
      </c>
      <c r="C20" s="86">
        <f si="9" t="shared"/>
        <v>0.24786400832334954</v>
      </c>
      <c r="D20" s="86">
        <f ref="D20:G20" si="17" t="shared">D6/$H$13</f>
        <v>0.22067336670257809</v>
      </c>
      <c r="E20" s="86">
        <f si="17" t="shared"/>
        <v>3.1223220079313243E-2</v>
      </c>
      <c r="F20" s="86">
        <f si="17" t="shared"/>
        <v>0.24931220454986577</v>
      </c>
      <c r="G20" s="86">
        <f si="17" t="shared"/>
        <v>2.5843822320255456E-3</v>
      </c>
      <c r="H20" s="86">
        <f si="11" t="shared"/>
        <v>0.252184214108785</v>
      </c>
      <c r="J20" s="84" t="s">
        <v>3</v>
      </c>
      <c r="K20" s="86">
        <f si="12" t="shared"/>
        <v>3.57989268004133E-3</v>
      </c>
      <c r="L20" s="86">
        <f si="12" t="shared"/>
        <v>0.24106659291780458</v>
      </c>
      <c r="M20" s="86">
        <f ref="M20:P20" si="18" t="shared">M6/$Q$13</f>
        <v>0.17680905574568934</v>
      </c>
      <c r="N20" s="86">
        <f si="18" t="shared"/>
        <v>6.7837429852156572E-2</v>
      </c>
      <c r="O20" s="86">
        <f si="18" t="shared"/>
        <v>0.2372523939572026</v>
      </c>
      <c r="P20" s="86">
        <f si="18" t="shared"/>
        <v>7.3940916406433051E-3</v>
      </c>
      <c r="Q20" s="86">
        <f si="14" t="shared"/>
        <v>0.24464648559784591</v>
      </c>
    </row>
    <row r="21" spans="1:22" x14ac:dyDescent="0.25">
      <c r="A21" s="84" t="s">
        <v>4</v>
      </c>
      <c r="B21" s="86">
        <f si="9" t="shared"/>
        <v>0</v>
      </c>
      <c r="C21" s="86">
        <f si="9" t="shared"/>
        <v>1.074291795486731E-3</v>
      </c>
      <c r="D21" s="86">
        <f ref="D21:G21" si="19" t="shared">D7/$H$13</f>
        <v>1.074291795486731E-3</v>
      </c>
      <c r="E21" s="86">
        <f si="19" t="shared"/>
        <v>0</v>
      </c>
      <c r="F21" s="86">
        <f si="19" t="shared"/>
        <v>1.074291795486731E-3</v>
      </c>
      <c r="G21" s="86">
        <f si="19" t="shared"/>
        <v>0</v>
      </c>
      <c r="H21" s="86">
        <f si="11" t="shared"/>
        <v>1.074291795486731E-3</v>
      </c>
      <c r="J21" s="84" t="s">
        <v>4</v>
      </c>
      <c r="K21" s="86">
        <f si="12" t="shared"/>
        <v>0</v>
      </c>
      <c r="L21" s="86">
        <f si="12" t="shared"/>
        <v>0</v>
      </c>
      <c r="M21" s="86">
        <f ref="M21:P21" si="20" t="shared">M7/$Q$13</f>
        <v>0</v>
      </c>
      <c r="N21" s="86">
        <f si="20" t="shared"/>
        <v>0</v>
      </c>
      <c r="O21" s="86">
        <f si="20" t="shared"/>
        <v>0</v>
      </c>
      <c r="P21" s="86">
        <f si="20" t="shared"/>
        <v>0</v>
      </c>
      <c r="Q21" s="86">
        <f si="14" t="shared"/>
        <v>0</v>
      </c>
    </row>
    <row r="22" spans="1:22" x14ac:dyDescent="0.25">
      <c r="A22" s="84" t="s">
        <v>5</v>
      </c>
      <c r="B22" s="86">
        <f si="9" t="shared"/>
        <v>1.1252307752286329E-3</v>
      </c>
      <c r="C22" s="86">
        <f si="9" t="shared"/>
        <v>9.0377531972095587E-4</v>
      </c>
      <c r="D22" s="86">
        <f ref="D22:G22" si="21" t="shared">D8/$H$13</f>
        <v>1.7146239604800548E-3</v>
      </c>
      <c r="E22" s="86">
        <f si="21" t="shared"/>
        <v>3.1438213446953396E-4</v>
      </c>
      <c r="F22" s="86">
        <f si="21" t="shared"/>
        <v>1.8486768837896069E-3</v>
      </c>
      <c r="G22" s="86">
        <f si="21" t="shared"/>
        <v>1.803292111599819E-4</v>
      </c>
      <c r="H22" s="86">
        <f si="11" t="shared"/>
        <v>2.0290060949495889E-3</v>
      </c>
      <c r="J22" s="84" t="s">
        <v>5</v>
      </c>
      <c r="K22" s="86">
        <f si="12" t="shared"/>
        <v>4.509435629150774E-3</v>
      </c>
      <c r="L22" s="86">
        <f si="12" t="shared"/>
        <v>1.9743184952159265E-3</v>
      </c>
      <c r="M22" s="86">
        <f ref="M22:P22" si="22" t="shared">M8/$Q$13</f>
        <v>5.8538159274495573E-3</v>
      </c>
      <c r="N22" s="86">
        <f si="22" t="shared"/>
        <v>6.2993819691714397E-4</v>
      </c>
      <c r="O22" s="86">
        <f si="22" t="shared"/>
        <v>6.3147463154377111E-3</v>
      </c>
      <c r="P22" s="86">
        <f si="22" t="shared"/>
        <v>1.6900780892898984E-4</v>
      </c>
      <c r="Q22" s="86">
        <f si="14" t="shared"/>
        <v>6.4837541243667005E-3</v>
      </c>
    </row>
    <row r="23" spans="1:22" x14ac:dyDescent="0.25">
      <c r="A23" s="84" t="s">
        <v>6</v>
      </c>
      <c r="B23" s="86">
        <f si="9" t="shared"/>
        <v>0</v>
      </c>
      <c r="C23" s="86">
        <f si="9" t="shared"/>
        <v>1.1655639874762895E-2</v>
      </c>
      <c r="D23" s="86">
        <f ref="D23:G23" si="23" t="shared">D9/$H$13</f>
        <v>9.5960795182098418E-3</v>
      </c>
      <c r="E23" s="86">
        <f si="23" t="shared"/>
        <v>2.0595603565530525E-3</v>
      </c>
      <c r="F23" s="86">
        <f si="23" t="shared"/>
        <v>1.1655639874762895E-2</v>
      </c>
      <c r="G23" s="86">
        <f si="23" t="shared"/>
        <v>0</v>
      </c>
      <c r="H23" s="86">
        <f si="11" t="shared"/>
        <v>1.1655639874762895E-2</v>
      </c>
      <c r="J23" s="84" t="s">
        <v>6</v>
      </c>
      <c r="K23" s="86">
        <f si="12" t="shared"/>
        <v>7.1828318794820681E-4</v>
      </c>
      <c r="L23" s="86">
        <f si="12" t="shared"/>
        <v>1.0693585001325175E-2</v>
      </c>
      <c r="M23" s="86">
        <f ref="M23:P23" si="24" t="shared">M9/$Q$13</f>
        <v>8.0624407032261289E-3</v>
      </c>
      <c r="N23" s="86">
        <f si="24" t="shared"/>
        <v>3.3494274860472531E-3</v>
      </c>
      <c r="O23" s="86">
        <f si="24" t="shared"/>
        <v>1.0324840690934652E-2</v>
      </c>
      <c r="P23" s="86">
        <f si="24" t="shared"/>
        <v>1.08702749833873E-3</v>
      </c>
      <c r="Q23" s="86">
        <f si="14" t="shared"/>
        <v>1.1411868189273382E-2</v>
      </c>
    </row>
    <row r="24" spans="1:22" x14ac:dyDescent="0.25">
      <c r="A24" s="84" t="s">
        <v>7</v>
      </c>
      <c r="B24" s="86">
        <f si="9" t="shared"/>
        <v>1.2106601483160652E-2</v>
      </c>
      <c r="C24" s="86">
        <f si="9" t="shared"/>
        <v>8.554345117745879E-2</v>
      </c>
      <c r="D24" s="86">
        <f ref="D24:G24" si="25" t="shared">D10/$H$13</f>
        <v>8.506481391502424E-2</v>
      </c>
      <c r="E24" s="86">
        <f si="25" t="shared"/>
        <v>1.2585238745595209E-2</v>
      </c>
      <c r="F24" s="86">
        <f si="25" t="shared"/>
        <v>9.6511895996916508E-2</v>
      </c>
      <c r="G24" s="86">
        <f si="25" t="shared"/>
        <v>1.1381566637029322E-3</v>
      </c>
      <c r="H24" s="86">
        <f si="11" t="shared"/>
        <v>9.7650052660619435E-2</v>
      </c>
      <c r="J24" s="84" t="s">
        <v>7</v>
      </c>
      <c r="K24" s="86">
        <f si="12" t="shared"/>
        <v>4.7091721306123076E-3</v>
      </c>
      <c r="L24" s="86">
        <f si="12" t="shared"/>
        <v>5.239242076798685E-2</v>
      </c>
      <c r="M24" s="86">
        <f ref="M24:P24" si="26" t="shared">M10/$Q$13</f>
        <v>4.2205859193448644E-2</v>
      </c>
      <c r="N24" s="86">
        <f si="26" t="shared"/>
        <v>1.4895733705150512E-2</v>
      </c>
      <c r="O24" s="86">
        <f si="26" t="shared"/>
        <v>5.2949378320139198E-2</v>
      </c>
      <c r="P24" s="86">
        <f si="26" t="shared"/>
        <v>4.1522145784599548E-3</v>
      </c>
      <c r="Q24" s="86">
        <f si="14" t="shared"/>
        <v>5.7101592898599153E-2</v>
      </c>
    </row>
    <row r="25" spans="1:22" x14ac:dyDescent="0.25">
      <c r="A25" s="84" t="s">
        <v>8</v>
      </c>
      <c r="B25" s="86">
        <f si="9" t="shared"/>
        <v>1.5573574519796415E-4</v>
      </c>
      <c r="C25" s="86">
        <f si="9" t="shared"/>
        <v>1.2300760937035528E-2</v>
      </c>
      <c r="D25" s="86">
        <f ref="D25:G26" si="27" t="shared">D11/$H$13</f>
        <v>6.1510899211987199E-3</v>
      </c>
      <c r="E25" s="86">
        <f si="27" t="shared"/>
        <v>6.305406761034772E-3</v>
      </c>
      <c r="F25" s="86">
        <f si="27" t="shared"/>
        <v>1.1177266825308112E-2</v>
      </c>
      <c r="G25" s="86">
        <f si="27" t="shared"/>
        <v>1.2792298569253813E-3</v>
      </c>
      <c r="H25" s="86">
        <f si="11" t="shared"/>
        <v>1.2456496682233493E-2</v>
      </c>
      <c r="J25" s="84" t="s">
        <v>8</v>
      </c>
      <c r="K25" s="86">
        <f si="12" t="shared"/>
        <v>0</v>
      </c>
      <c r="L25" s="86">
        <f si="12" t="shared"/>
        <v>0</v>
      </c>
      <c r="M25" s="86">
        <f ref="M25:P26" si="28" t="shared">M11/$Q$13</f>
        <v>0</v>
      </c>
      <c r="N25" s="86">
        <f si="28" t="shared"/>
        <v>0</v>
      </c>
      <c r="O25" s="86">
        <f si="28" t="shared"/>
        <v>0</v>
      </c>
      <c r="P25" s="86">
        <f si="28" t="shared"/>
        <v>0</v>
      </c>
      <c r="Q25" s="86">
        <f si="14" t="shared"/>
        <v>0</v>
      </c>
    </row>
    <row r="26" spans="1:22" x14ac:dyDescent="0.25">
      <c r="A26" s="12" t="s">
        <v>302</v>
      </c>
      <c r="B26" s="14">
        <f si="9" t="shared"/>
        <v>0</v>
      </c>
      <c r="C26" s="14">
        <f si="9" t="shared"/>
        <v>0</v>
      </c>
      <c r="D26" s="14">
        <f si="27" t="shared"/>
        <v>0</v>
      </c>
      <c r="E26" s="14">
        <f si="27" t="shared"/>
        <v>0</v>
      </c>
      <c r="F26" s="14">
        <f si="27" t="shared"/>
        <v>0</v>
      </c>
      <c r="G26" s="14">
        <f si="27" t="shared"/>
        <v>0</v>
      </c>
      <c r="H26" s="14">
        <f si="11" t="shared"/>
        <v>0</v>
      </c>
      <c r="J26" s="12" t="s">
        <v>302</v>
      </c>
      <c r="K26" s="14">
        <f si="12" t="shared"/>
        <v>0</v>
      </c>
      <c r="L26" s="14">
        <f si="12" t="shared"/>
        <v>0</v>
      </c>
      <c r="M26" s="14">
        <f si="28" t="shared"/>
        <v>0</v>
      </c>
      <c r="N26" s="14">
        <f si="28" t="shared"/>
        <v>0</v>
      </c>
      <c r="O26" s="14">
        <f si="28" t="shared"/>
        <v>0</v>
      </c>
      <c r="P26" s="14">
        <f si="28" t="shared"/>
        <v>0</v>
      </c>
      <c r="Q26" s="14">
        <f si="14" t="shared"/>
        <v>0</v>
      </c>
    </row>
    <row ht="15.75" r="27" spans="1:22" thickBot="1" x14ac:dyDescent="0.3">
      <c r="A27" s="85" t="s">
        <v>19</v>
      </c>
      <c r="B27" s="89">
        <f si="9" t="shared"/>
        <v>2.3808530150146504E-2</v>
      </c>
      <c r="C27" s="89">
        <f si="9" t="shared"/>
        <v>0.97619146984985361</v>
      </c>
      <c r="D27" s="89">
        <f ref="D27:G27" si="29" t="shared">D13/$H$13</f>
        <v>0.86500966416981062</v>
      </c>
      <c r="E27" s="89">
        <f si="29" t="shared"/>
        <v>0.13499033583018921</v>
      </c>
      <c r="F27" s="89">
        <f si="29" t="shared"/>
        <v>0.97109021839888998</v>
      </c>
      <c r="G27" s="89">
        <f si="29" t="shared"/>
        <v>2.8909781601110063E-2</v>
      </c>
      <c r="H27" s="89">
        <f si="11" t="shared"/>
        <v>1</v>
      </c>
      <c r="J27" s="85" t="s">
        <v>19</v>
      </c>
      <c r="K27" s="89">
        <f si="12" t="shared"/>
        <v>2.3250096987435805E-2</v>
      </c>
      <c r="L27" s="89">
        <f si="12" t="shared"/>
        <v>0.97674990301256415</v>
      </c>
      <c r="M27" s="89">
        <f ref="M27:P27" si="30" t="shared">M13/$Q$13</f>
        <v>0.77070249632215959</v>
      </c>
      <c r="N27" s="89">
        <f si="30" t="shared"/>
        <v>0.22929750367784038</v>
      </c>
      <c r="O27" s="89">
        <f si="30" t="shared"/>
        <v>0.94293297688049993</v>
      </c>
      <c r="P27" s="89">
        <f si="30" t="shared"/>
        <v>5.7067023119500043E-2</v>
      </c>
      <c r="Q27" s="89">
        <f si="14" t="shared"/>
        <v>1</v>
      </c>
    </row>
    <row ht="15.75" r="30" spans="1:22" thickBot="1" x14ac:dyDescent="0.3">
      <c r="J30" s="1" t="s">
        <v>23</v>
      </c>
      <c r="K30" s="1"/>
      <c r="L30" s="3"/>
      <c r="M30" s="3"/>
      <c r="N30" s="3"/>
      <c r="O30" s="3"/>
      <c r="P30" s="3"/>
      <c r="Q30" s="3"/>
      <c r="S30" s="15" t="s">
        <v>41</v>
      </c>
      <c r="T30" s="15"/>
      <c r="U30" s="16"/>
      <c r="V30" s="16"/>
    </row>
    <row r="31" spans="1:22" x14ac:dyDescent="0.25">
      <c r="J31" s="2" t="s">
        <v>0</v>
      </c>
      <c r="K31" s="4" t="s">
        <v>9</v>
      </c>
      <c r="L31" s="4" t="s">
        <v>10</v>
      </c>
      <c r="M31" s="7" t="s">
        <v>248</v>
      </c>
      <c r="N31" s="7" t="s">
        <v>247</v>
      </c>
      <c r="O31" s="7" t="s">
        <v>249</v>
      </c>
      <c r="P31" s="7" t="s">
        <v>250</v>
      </c>
      <c r="Q31" s="7" t="s">
        <v>19</v>
      </c>
      <c r="S31" s="18" t="s">
        <v>0</v>
      </c>
      <c r="T31" s="19" t="s">
        <v>46</v>
      </c>
      <c r="U31" s="19" t="s">
        <v>33</v>
      </c>
      <c r="V31" s="20" t="s">
        <v>34</v>
      </c>
    </row>
    <row r="32" spans="1:22" x14ac:dyDescent="0.25">
      <c r="J32" s="84" t="s">
        <v>1</v>
      </c>
      <c r="K32" s="86">
        <f ref="K32:K40" si="31" t="shared">K18-B18</f>
        <v>-5.7525465378724155E-4</v>
      </c>
      <c r="L32" s="86">
        <f ref="L32:L40" si="32" t="shared">L18-C18</f>
        <v>9.4531928894786565E-4</v>
      </c>
      <c r="M32" s="86">
        <f ref="M32:M40" si="33" t="shared">M18-D18</f>
        <v>-1.8490434581718451E-2</v>
      </c>
      <c r="N32" s="86">
        <f ref="N32:N40" si="34" t="shared">N18-E18</f>
        <v>1.8860499216879118E-2</v>
      </c>
      <c r="O32" s="86">
        <f ref="O32:O40" si="35" t="shared">O18-F18</f>
        <v>-7.0604175612150044E-3</v>
      </c>
      <c r="P32" s="86">
        <f ref="P32:P40" si="36" t="shared">P18-G18</f>
        <v>7.4304821963756046E-3</v>
      </c>
      <c r="Q32" s="86">
        <f ref="Q32:Q40" si="37" t="shared">Q18-H18</f>
        <v>9.4531928894786565E-4</v>
      </c>
      <c r="S32" s="82" t="s">
        <v>1</v>
      </c>
      <c r="T32" s="90">
        <f ref="T32:T40" si="38" t="shared">H18</f>
        <v>0.32978759843881894</v>
      </c>
      <c r="U32" s="90">
        <f ref="U32:U40" si="39" t="shared">Q18</f>
        <v>0.33073291772776681</v>
      </c>
      <c r="V32" s="90">
        <f>U32-T32</f>
        <v>9.4531928894786565E-4</v>
      </c>
    </row>
    <row r="33" spans="10:22" x14ac:dyDescent="0.25">
      <c r="J33" s="84" t="s">
        <v>2</v>
      </c>
      <c r="K33" s="86">
        <f si="31" t="shared"/>
        <v>3.920184325452972E-3</v>
      </c>
      <c r="L33" s="86">
        <f si="32" t="shared"/>
        <v>5.2828124119244646E-2</v>
      </c>
      <c r="M33" s="86">
        <f si="33" t="shared"/>
        <v>1.5526360977231257E-2</v>
      </c>
      <c r="N33" s="86">
        <f si="34" t="shared"/>
        <v>4.1221947467466373E-2</v>
      </c>
      <c r="O33" s="86">
        <f si="35" t="shared"/>
        <v>4.3641792685240433E-2</v>
      </c>
      <c r="P33" s="86">
        <f si="36" t="shared"/>
        <v>1.3106515759457239E-2</v>
      </c>
      <c r="Q33" s="86">
        <f si="37" t="shared"/>
        <v>5.6460681117804001E-2</v>
      </c>
      <c r="S33" s="87" t="s">
        <v>2</v>
      </c>
      <c r="T33" s="88">
        <f si="38" t="shared"/>
        <v>0.293162700344344</v>
      </c>
      <c r="U33" s="88">
        <f si="39" t="shared"/>
        <v>0.349623381462148</v>
      </c>
      <c r="V33" s="88">
        <f ref="V33:V41" si="40" t="shared">U33-T33</f>
        <v>5.6460681117804001E-2</v>
      </c>
    </row>
    <row r="34" spans="10:22" x14ac:dyDescent="0.25">
      <c r="J34" s="84" t="s">
        <v>3</v>
      </c>
      <c r="K34" s="86">
        <f si="31" t="shared"/>
        <v>-4.5268577850046936E-4</v>
      </c>
      <c r="L34" s="86">
        <f si="32" t="shared"/>
        <v>-6.7974154055449598E-3</v>
      </c>
      <c r="M34" s="86">
        <f si="33" t="shared"/>
        <v>-4.3864310956888752E-2</v>
      </c>
      <c r="N34" s="86">
        <f si="34" t="shared"/>
        <v>3.6614209772843326E-2</v>
      </c>
      <c r="O34" s="86">
        <f si="35" t="shared"/>
        <v>-1.2059810592663173E-2</v>
      </c>
      <c r="P34" s="86">
        <f si="36" t="shared"/>
        <v>4.80970940861776E-3</v>
      </c>
      <c r="Q34" s="86">
        <f si="37" t="shared"/>
        <v>-7.5377285109390901E-3</v>
      </c>
      <c r="S34" s="83" t="s">
        <v>3</v>
      </c>
      <c r="T34" s="91">
        <f si="38" t="shared"/>
        <v>0.252184214108785</v>
      </c>
      <c r="U34" s="91">
        <f si="39" t="shared"/>
        <v>0.24464648559784591</v>
      </c>
      <c r="V34" s="91">
        <f si="40" t="shared"/>
        <v>-7.5377285109390901E-3</v>
      </c>
    </row>
    <row r="35" spans="10:22" x14ac:dyDescent="0.25">
      <c r="J35" s="84" t="s">
        <v>4</v>
      </c>
      <c r="K35" s="86">
        <f si="31" t="shared"/>
        <v>0</v>
      </c>
      <c r="L35" s="86">
        <f si="32" t="shared"/>
        <v>-1.074291795486731E-3</v>
      </c>
      <c r="M35" s="86">
        <f si="33" t="shared"/>
        <v>-1.074291795486731E-3</v>
      </c>
      <c r="N35" s="86">
        <f si="34" t="shared"/>
        <v>0</v>
      </c>
      <c r="O35" s="86">
        <f si="35" t="shared"/>
        <v>-1.074291795486731E-3</v>
      </c>
      <c r="P35" s="86">
        <f si="36" t="shared"/>
        <v>0</v>
      </c>
      <c r="Q35" s="86">
        <f si="37" t="shared"/>
        <v>-1.074291795486731E-3</v>
      </c>
      <c r="S35" s="87" t="s">
        <v>4</v>
      </c>
      <c r="T35" s="88">
        <f si="38" t="shared"/>
        <v>1.074291795486731E-3</v>
      </c>
      <c r="U35" s="88">
        <f si="39" t="shared"/>
        <v>0</v>
      </c>
      <c r="V35" s="88">
        <f si="40" t="shared"/>
        <v>-1.074291795486731E-3</v>
      </c>
    </row>
    <row r="36" spans="10:22" x14ac:dyDescent="0.25">
      <c r="J36" s="84" t="s">
        <v>5</v>
      </c>
      <c r="K36" s="86">
        <f si="31" t="shared"/>
        <v>3.3842048539221414E-3</v>
      </c>
      <c r="L36" s="86">
        <f si="32" t="shared"/>
        <v>1.0705431754949707E-3</v>
      </c>
      <c r="M36" s="86">
        <f si="33" t="shared"/>
        <v>4.1391919669695023E-3</v>
      </c>
      <c r="N36" s="86">
        <f si="34" t="shared"/>
        <v>3.1555606244761E-4</v>
      </c>
      <c r="O36" s="86">
        <f si="35" t="shared"/>
        <v>4.466069431648104E-3</v>
      </c>
      <c r="P36" s="86">
        <f si="36" t="shared"/>
        <v>-1.1321402230992067E-5</v>
      </c>
      <c r="Q36" s="86">
        <f si="37" t="shared"/>
        <v>4.4547480294171117E-3</v>
      </c>
      <c r="S36" s="83" t="s">
        <v>5</v>
      </c>
      <c r="T36" s="91">
        <f si="38" t="shared"/>
        <v>2.0290060949495889E-3</v>
      </c>
      <c r="U36" s="91">
        <f si="39" t="shared"/>
        <v>6.4837541243667005E-3</v>
      </c>
      <c r="V36" s="91">
        <f si="40" t="shared"/>
        <v>4.4547480294171117E-3</v>
      </c>
    </row>
    <row r="37" spans="10:22" x14ac:dyDescent="0.25">
      <c r="J37" s="84" t="s">
        <v>6</v>
      </c>
      <c r="K37" s="86">
        <f si="31" t="shared"/>
        <v>7.1828318794820681E-4</v>
      </c>
      <c r="L37" s="86">
        <f si="32" t="shared"/>
        <v>-9.620548734377201E-4</v>
      </c>
      <c r="M37" s="86">
        <f si="33" t="shared"/>
        <v>-1.5336388149837128E-3</v>
      </c>
      <c r="N37" s="86">
        <f si="34" t="shared"/>
        <v>1.2898671294942006E-3</v>
      </c>
      <c r="O37" s="86">
        <f si="35" t="shared"/>
        <v>-1.3307991838282431E-3</v>
      </c>
      <c r="P37" s="86">
        <f si="36" t="shared"/>
        <v>1.08702749833873E-3</v>
      </c>
      <c r="Q37" s="86">
        <f si="37" t="shared"/>
        <v>-2.4377168548951264E-4</v>
      </c>
      <c r="S37" s="87" t="s">
        <v>6</v>
      </c>
      <c r="T37" s="88">
        <f si="38" t="shared"/>
        <v>1.1655639874762895E-2</v>
      </c>
      <c r="U37" s="88">
        <f si="39" t="shared"/>
        <v>1.1411868189273382E-2</v>
      </c>
      <c r="V37" s="88">
        <f si="40" t="shared"/>
        <v>-2.4377168548951264E-4</v>
      </c>
    </row>
    <row r="38" spans="10:22" x14ac:dyDescent="0.25">
      <c r="J38" s="84" t="s">
        <v>7</v>
      </c>
      <c r="K38" s="86">
        <f si="31" t="shared"/>
        <v>-7.3974293525483443E-3</v>
      </c>
      <c r="L38" s="86">
        <f si="32" t="shared"/>
        <v>-3.315103040947194E-2</v>
      </c>
      <c r="M38" s="86">
        <f si="33" t="shared"/>
        <v>-4.2858954721575596E-2</v>
      </c>
      <c r="N38" s="86">
        <f si="34" t="shared"/>
        <v>2.310494959555303E-3</v>
      </c>
      <c r="O38" s="86">
        <f si="35" t="shared"/>
        <v>-4.356251767677731E-2</v>
      </c>
      <c r="P38" s="86">
        <f si="36" t="shared"/>
        <v>3.0140579147570224E-3</v>
      </c>
      <c r="Q38" s="86">
        <f si="37" t="shared"/>
        <v>-4.0548459762020282E-2</v>
      </c>
      <c r="S38" s="83" t="s">
        <v>7</v>
      </c>
      <c r="T38" s="91">
        <f si="38" t="shared"/>
        <v>9.7650052660619435E-2</v>
      </c>
      <c r="U38" s="91">
        <f si="39" t="shared"/>
        <v>5.7101592898599153E-2</v>
      </c>
      <c r="V38" s="91">
        <f si="40" t="shared"/>
        <v>-4.0548459762020282E-2</v>
      </c>
    </row>
    <row r="39" spans="10:22" x14ac:dyDescent="0.25">
      <c r="J39" s="84" t="s">
        <v>8</v>
      </c>
      <c r="K39" s="86">
        <f si="31" t="shared"/>
        <v>-1.5573574519796415E-4</v>
      </c>
      <c r="L39" s="86">
        <f si="32" t="shared"/>
        <v>-1.2300760937035528E-2</v>
      </c>
      <c r="M39" s="86">
        <f si="33" t="shared"/>
        <v>-6.1510899211987199E-3</v>
      </c>
      <c r="N39" s="86">
        <f si="34" t="shared"/>
        <v>-6.305406761034772E-3</v>
      </c>
      <c r="O39" s="86">
        <f si="35" t="shared"/>
        <v>-1.1177266825308112E-2</v>
      </c>
      <c r="P39" s="86">
        <f si="36" t="shared"/>
        <v>-1.2792298569253813E-3</v>
      </c>
      <c r="Q39" s="86">
        <f si="37" t="shared"/>
        <v>-1.2456496682233493E-2</v>
      </c>
      <c r="S39" s="87" t="s">
        <v>8</v>
      </c>
      <c r="T39" s="88">
        <f si="38" t="shared"/>
        <v>1.2456496682233493E-2</v>
      </c>
      <c r="U39" s="88">
        <f si="39" t="shared"/>
        <v>0</v>
      </c>
      <c r="V39" s="88">
        <f si="40" t="shared"/>
        <v>-1.2456496682233493E-2</v>
      </c>
    </row>
    <row r="40" spans="10:22" x14ac:dyDescent="0.25">
      <c r="J40" s="12" t="s">
        <v>302</v>
      </c>
      <c r="K40" s="14">
        <f si="31" t="shared"/>
        <v>0</v>
      </c>
      <c r="L40" s="14">
        <f si="32" t="shared"/>
        <v>0</v>
      </c>
      <c r="M40" s="14">
        <f si="33" t="shared"/>
        <v>0</v>
      </c>
      <c r="N40" s="14">
        <f si="34" t="shared"/>
        <v>0</v>
      </c>
      <c r="O40" s="14">
        <f si="35" t="shared"/>
        <v>0</v>
      </c>
      <c r="P40" s="14">
        <f si="36" t="shared"/>
        <v>0</v>
      </c>
      <c r="Q40" s="14">
        <f si="37" t="shared"/>
        <v>0</v>
      </c>
      <c r="S40" s="69" t="s">
        <v>302</v>
      </c>
      <c r="T40" s="92">
        <f si="38" t="shared"/>
        <v>0</v>
      </c>
      <c r="U40" s="92">
        <f si="39" t="shared"/>
        <v>0</v>
      </c>
      <c r="V40" s="92">
        <f ref="V40" si="41" t="shared">U40-T40</f>
        <v>0</v>
      </c>
    </row>
    <row ht="15.75" r="41" spans="10:22" thickBot="1" x14ac:dyDescent="0.3">
      <c r="J41" s="85" t="s">
        <v>19</v>
      </c>
      <c r="K41" s="89">
        <f ref="K41" si="42" t="shared">K27-B27</f>
        <v>-5.5843316271069962E-4</v>
      </c>
      <c r="L41" s="89">
        <f ref="L41" si="43" t="shared">L27-C27</f>
        <v>5.5843316271053656E-4</v>
      </c>
      <c r="M41" s="89">
        <f ref="M41" si="44" t="shared">M27-D27</f>
        <v>-9.430716784765103E-2</v>
      </c>
      <c r="N41" s="89">
        <f ref="N41" si="45" t="shared">N27-E27</f>
        <v>9.4307167847651169E-2</v>
      </c>
      <c r="O41" s="89">
        <f ref="O41" si="46" t="shared">O27-F27</f>
        <v>-2.8157241518390053E-2</v>
      </c>
      <c r="P41" s="89">
        <f ref="P41" si="47" t="shared">P27-G27</f>
        <v>2.815724151838998E-2</v>
      </c>
      <c r="Q41" s="89">
        <f ref="Q41" si="48" t="shared">Q27-H27</f>
        <v>0</v>
      </c>
      <c r="S41" s="93" t="s">
        <v>19</v>
      </c>
      <c r="T41" s="94">
        <f ref="T41" si="49" t="shared">H27</f>
        <v>1</v>
      </c>
      <c r="U41" s="94">
        <f ref="U41" si="50" t="shared">Q27</f>
        <v>1</v>
      </c>
      <c r="V41" s="94">
        <f si="40" t="shared"/>
        <v>0</v>
      </c>
    </row>
  </sheetData>
  <pageMargins bottom="0.75" footer="0.3" header="0.3" left="0.7" right="0.7" top="0.75"/>
  <pageSetup orientation="portrait" r:id="rId1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9"/>
  <dimension ref="A2:T41"/>
  <sheetViews>
    <sheetView topLeftCell="C1" workbookViewId="0">
      <selection activeCell="F12" sqref="F12"/>
    </sheetView>
  </sheetViews>
  <sheetFormatPr defaultRowHeight="15" x14ac:dyDescent="0.25"/>
  <cols>
    <col min="1" max="1" customWidth="true" width="16.7109375" collapsed="true"/>
    <col min="2" max="9" customWidth="true" width="12.7109375" collapsed="true"/>
    <col min="10" max="10" customWidth="true" width="3.7109375" collapsed="true"/>
    <col min="11" max="11" customWidth="true" width="16.7109375" collapsed="true"/>
    <col min="12" max="20" customWidth="true" width="12.7109375" collapsed="true"/>
  </cols>
  <sheetData>
    <row ht="15.75" r="2" spans="1:19" thickBot="1" x14ac:dyDescent="0.3">
      <c r="A2" s="1" t="s">
        <v>55</v>
      </c>
      <c r="B2" s="1"/>
      <c r="C2" s="3"/>
      <c r="D2" s="3"/>
      <c r="E2" s="3"/>
      <c r="F2" s="3"/>
      <c r="G2" s="3"/>
      <c r="H2" s="3"/>
      <c r="I2" s="3"/>
      <c r="K2" s="1" t="s">
        <v>56</v>
      </c>
      <c r="L2" s="1"/>
      <c r="M2" s="3"/>
      <c r="N2" s="3"/>
      <c r="O2" s="3"/>
      <c r="P2" s="3"/>
      <c r="Q2" s="3"/>
      <c r="R2" s="3"/>
      <c r="S2" s="3"/>
    </row>
    <row r="3" spans="1:19" x14ac:dyDescent="0.25">
      <c r="A3" s="5"/>
      <c r="B3" s="121" t="s">
        <v>18</v>
      </c>
      <c r="C3" s="121"/>
      <c r="D3" s="121"/>
      <c r="E3" s="121"/>
      <c r="F3" s="121"/>
      <c r="G3" s="121"/>
      <c r="H3" s="121"/>
      <c r="I3" s="11"/>
      <c r="K3" s="5"/>
      <c r="L3" s="121" t="s">
        <v>18</v>
      </c>
      <c r="M3" s="121"/>
      <c r="N3" s="121"/>
      <c r="O3" s="121"/>
      <c r="P3" s="121"/>
      <c r="Q3" s="121"/>
      <c r="R3" s="121"/>
      <c r="S3" s="121"/>
    </row>
    <row r="4" spans="1:19" x14ac:dyDescent="0.25">
      <c r="A4" s="6" t="s">
        <v>0</v>
      </c>
      <c r="B4" s="7" t="s">
        <v>1</v>
      </c>
      <c r="C4" s="7" t="s">
        <v>2</v>
      </c>
      <c r="D4" s="7" t="s">
        <v>3</v>
      </c>
      <c r="E4" s="7" t="s">
        <v>4</v>
      </c>
      <c r="F4" s="7" t="s">
        <v>5</v>
      </c>
      <c r="G4" s="7" t="s">
        <v>6</v>
      </c>
      <c r="H4" s="7" t="s">
        <v>7</v>
      </c>
      <c r="I4" s="7" t="s">
        <v>19</v>
      </c>
      <c r="K4" s="6" t="s">
        <v>0</v>
      </c>
      <c r="L4" s="7" t="s">
        <v>1</v>
      </c>
      <c r="M4" s="7" t="s">
        <v>2</v>
      </c>
      <c r="N4" s="7" t="s">
        <v>3</v>
      </c>
      <c r="O4" s="7" t="s">
        <v>4</v>
      </c>
      <c r="P4" s="7" t="s">
        <v>5</v>
      </c>
      <c r="Q4" s="7" t="s">
        <v>6</v>
      </c>
      <c r="R4" s="7" t="s">
        <v>7</v>
      </c>
      <c r="S4" s="7" t="s">
        <v>19</v>
      </c>
    </row>
    <row r="5" spans="1:19" x14ac:dyDescent="0.25">
      <c r="A5" t="s">
        <v>1</v>
      </c>
      <c r="B5" s="9" t="n">
        <v>48225.128949056794</v>
      </c>
      <c r="C5" s="9" t="n">
        <v>11144.834941090407</v>
      </c>
      <c r="D5" s="9" t="n">
        <v>3205.166344007347</v>
      </c>
      <c r="E5" s="9" t="n">
        <v>0.0</v>
      </c>
      <c r="F5" s="9" t="n">
        <v>0.0</v>
      </c>
      <c r="G5" s="9" t="n">
        <v>0.0</v>
      </c>
      <c r="H5" s="9" t="n">
        <v>77.162200434556</v>
      </c>
      <c r="I5" s="9">
        <f>SUM(B5:H5)</f>
        <v>62652.292434589101</v>
      </c>
      <c r="J5" s="9"/>
      <c r="K5" t="s">
        <v>1</v>
      </c>
      <c r="L5" s="9" t="n">
        <v>54202.0</v>
      </c>
      <c r="M5" s="9" t="n">
        <v>7758.0</v>
      </c>
      <c r="N5" s="9" t="n">
        <v>1665.0</v>
      </c>
      <c r="O5" s="9" t="n">
        <v>61.0</v>
      </c>
      <c r="P5" s="9" t="n">
        <v>66.0</v>
      </c>
      <c r="Q5" s="9" t="n">
        <v>170.0</v>
      </c>
      <c r="R5" s="9" t="n">
        <v>36.0</v>
      </c>
      <c r="S5" s="9">
        <f>SUM(L5:R5)</f>
        <v>64238</v>
      </c>
    </row>
    <row r="6" spans="1:19" x14ac:dyDescent="0.25">
      <c r="A6" s="95" t="s">
        <v>2</v>
      </c>
      <c r="B6" s="84" t="n">
        <v>13475.362379917862</v>
      </c>
      <c r="C6" s="84" t="n">
        <v>11671.310890861852</v>
      </c>
      <c r="D6" s="84" t="n">
        <v>1455.7318879796906</v>
      </c>
      <c r="E6" s="84" t="n">
        <v>0.0</v>
      </c>
      <c r="F6" s="84" t="n">
        <v>110.476290871488</v>
      </c>
      <c r="G6" s="84" t="n">
        <v>103.355173542079</v>
      </c>
      <c r="H6" s="84" t="n">
        <v>0.0</v>
      </c>
      <c r="I6" s="84">
        <f ref="I6:I11" si="0" t="shared">SUM(B6:H6)</f>
        <v>26816.236623172972</v>
      </c>
      <c r="J6" s="9"/>
      <c r="K6" s="95" t="s">
        <v>2</v>
      </c>
      <c r="L6" s="84" t="n">
        <v>8557.0</v>
      </c>
      <c r="M6" s="84" t="n">
        <v>10907.0</v>
      </c>
      <c r="N6" s="84" t="n">
        <v>4707.0</v>
      </c>
      <c r="O6" s="84" t="n">
        <v>254.0</v>
      </c>
      <c r="P6" s="84" t="n">
        <v>358.0</v>
      </c>
      <c r="Q6" s="84" t="n">
        <v>600.0</v>
      </c>
      <c r="R6" s="84" t="n">
        <v>128.0</v>
      </c>
      <c r="S6" s="84">
        <f ref="S6:S11" si="1" t="shared">SUM(L6:R6)</f>
        <v>26092</v>
      </c>
    </row>
    <row r="7" spans="1:19" x14ac:dyDescent="0.25">
      <c r="A7" s="95" t="s">
        <v>3</v>
      </c>
      <c r="B7" s="84" t="n">
        <v>8525.462302694701</v>
      </c>
      <c r="C7" s="84" t="n">
        <v>1122.0892680495097</v>
      </c>
      <c r="D7" s="84" t="n">
        <v>1307.6417387457473</v>
      </c>
      <c r="E7" s="84" t="n">
        <v>56.6962745173523</v>
      </c>
      <c r="F7" s="84" t="n">
        <v>0.0</v>
      </c>
      <c r="G7" s="84" t="n">
        <v>0.0</v>
      </c>
      <c r="H7" s="84" t="n">
        <v>0.0</v>
      </c>
      <c r="I7" s="84">
        <f si="0" t="shared"/>
        <v>11011.889584007309</v>
      </c>
      <c r="J7" s="9"/>
      <c r="K7" s="95" t="s">
        <v>3</v>
      </c>
      <c r="L7" s="84" t="n">
        <v>3232.0</v>
      </c>
      <c r="M7" s="84" t="n">
        <v>3962.0</v>
      </c>
      <c r="N7" s="84" t="n">
        <v>1651.0</v>
      </c>
      <c r="O7" s="84" t="n">
        <v>86.0</v>
      </c>
      <c r="P7" s="84" t="n">
        <v>138.0</v>
      </c>
      <c r="Q7" s="84" t="n">
        <v>246.0</v>
      </c>
      <c r="R7" s="84" t="n">
        <v>49.0</v>
      </c>
      <c r="S7" s="84">
        <f si="1" t="shared"/>
        <v>9695</v>
      </c>
    </row>
    <row r="8" spans="1:19" x14ac:dyDescent="0.25">
      <c r="A8" s="95" t="s">
        <v>4</v>
      </c>
      <c r="B8" s="118" t="n">
        <v>0.0</v>
      </c>
      <c r="C8" s="118" t="n">
        <v>0.0</v>
      </c>
      <c r="D8" s="118" t="n">
        <v>0.0</v>
      </c>
      <c r="E8" s="118" t="n">
        <v>0.0</v>
      </c>
      <c r="F8" s="118" t="n">
        <v>0.0</v>
      </c>
      <c r="G8" s="118" t="n">
        <v>0.0</v>
      </c>
      <c r="H8" s="118" t="n">
        <v>0.0</v>
      </c>
      <c r="I8" s="118">
        <f si="0" t="shared"/>
        <v>0</v>
      </c>
      <c r="J8" s="9"/>
      <c r="K8" s="95" t="s">
        <v>4</v>
      </c>
      <c r="L8" s="84" t="n">
        <v>0.0</v>
      </c>
      <c r="M8" s="84" t="n">
        <v>0.0</v>
      </c>
      <c r="N8" s="84" t="n">
        <v>0.0</v>
      </c>
      <c r="O8" s="84" t="n">
        <v>0.0</v>
      </c>
      <c r="P8" s="84" t="n">
        <v>0.0</v>
      </c>
      <c r="Q8" s="84" t="n">
        <v>0.0</v>
      </c>
      <c r="R8" s="84" t="n">
        <v>0.0</v>
      </c>
      <c r="S8" s="84">
        <f si="1" t="shared"/>
        <v>0</v>
      </c>
    </row>
    <row r="9" spans="1:19" x14ac:dyDescent="0.25">
      <c r="A9" s="95" t="s">
        <v>5</v>
      </c>
      <c r="B9" s="118" t="n">
        <v>45.8663714539534</v>
      </c>
      <c r="C9" s="118" t="n">
        <v>0.0</v>
      </c>
      <c r="D9" s="118" t="n">
        <v>0.0</v>
      </c>
      <c r="E9" s="118" t="n">
        <v>89.9968879909445</v>
      </c>
      <c r="F9" s="118" t="n">
        <v>69.021600198116</v>
      </c>
      <c r="G9" s="118" t="n">
        <v>0.0</v>
      </c>
      <c r="H9" s="118" t="n">
        <v>0.0</v>
      </c>
      <c r="I9" s="118">
        <f si="0" t="shared"/>
        <v>204.8848596430139</v>
      </c>
      <c r="J9" s="9"/>
      <c r="K9" s="95" t="s">
        <v>5</v>
      </c>
      <c r="L9" s="84" t="n">
        <v>426.0</v>
      </c>
      <c r="M9" s="84" t="n">
        <v>104.0</v>
      </c>
      <c r="N9" s="84" t="n">
        <v>152.0</v>
      </c>
      <c r="O9" s="84" t="n">
        <v>11.0</v>
      </c>
      <c r="P9" s="84" t="n">
        <v>32.0</v>
      </c>
      <c r="Q9" s="84" t="n">
        <v>33.0</v>
      </c>
      <c r="R9" s="84" t="n">
        <v>2.0</v>
      </c>
      <c r="S9" s="84">
        <f si="1" t="shared"/>
        <v>783</v>
      </c>
    </row>
    <row r="10" spans="1:19" x14ac:dyDescent="0.25">
      <c r="A10" s="95" t="s">
        <v>6</v>
      </c>
      <c r="B10" s="84" t="n">
        <v>110.0739098967895</v>
      </c>
      <c r="C10" s="84" t="n">
        <v>0.0</v>
      </c>
      <c r="D10" s="84" t="n">
        <v>0.0</v>
      </c>
      <c r="E10" s="84" t="n">
        <v>0.0</v>
      </c>
      <c r="F10" s="84" t="n">
        <v>0.0</v>
      </c>
      <c r="G10" s="84" t="n">
        <v>314.847569994547</v>
      </c>
      <c r="H10" s="84" t="n">
        <v>0.0</v>
      </c>
      <c r="I10" s="84">
        <f si="0" t="shared"/>
        <v>424.9214798913365</v>
      </c>
      <c r="J10" s="9"/>
      <c r="K10" s="95" t="s">
        <v>6</v>
      </c>
      <c r="L10" s="84" t="n">
        <v>35.0</v>
      </c>
      <c r="M10" s="84" t="n">
        <v>6.0</v>
      </c>
      <c r="N10" s="84" t="n">
        <v>26.0</v>
      </c>
      <c r="O10" s="84" t="n">
        <v>2.0</v>
      </c>
      <c r="P10" s="84" t="n">
        <v>1.0</v>
      </c>
      <c r="Q10" s="84" t="n">
        <v>144.0</v>
      </c>
      <c r="R10" s="84" t="n">
        <v>1.0</v>
      </c>
      <c r="S10" s="84">
        <f si="1" t="shared"/>
        <v>207</v>
      </c>
    </row>
    <row r="11" spans="1:19" x14ac:dyDescent="0.25">
      <c r="A11" s="95" t="s">
        <v>7</v>
      </c>
      <c r="B11" s="84" t="n">
        <v>9481.052355261363</v>
      </c>
      <c r="C11" s="84" t="n">
        <v>3413.8135667937454</v>
      </c>
      <c r="D11" s="84" t="n">
        <v>728.4983954923933</v>
      </c>
      <c r="E11" s="84" t="n">
        <v>2025.0777999434772</v>
      </c>
      <c r="F11" s="84" t="n">
        <v>2365.72674963895</v>
      </c>
      <c r="G11" s="84" t="n">
        <v>282.702758317224</v>
      </c>
      <c r="H11" s="84" t="n">
        <v>84.4474716712314</v>
      </c>
      <c r="I11" s="84">
        <f si="0" t="shared"/>
        <v>18381.319097118387</v>
      </c>
      <c r="J11" s="9"/>
      <c r="K11" s="95" t="s">
        <v>7</v>
      </c>
      <c r="L11" s="84" t="n">
        <v>3853.0</v>
      </c>
      <c r="M11" s="84" t="n">
        <v>1224.0</v>
      </c>
      <c r="N11" s="84" t="n">
        <v>944.0</v>
      </c>
      <c r="O11" s="84" t="n">
        <v>24.0</v>
      </c>
      <c r="P11" s="84" t="n">
        <v>45.0</v>
      </c>
      <c r="Q11" s="84" t="n">
        <v>85.0</v>
      </c>
      <c r="R11" s="84" t="n">
        <v>293.0</v>
      </c>
      <c r="S11" s="84">
        <f si="1" t="shared"/>
        <v>6417</v>
      </c>
    </row>
    <row r="12" spans="1:19" x14ac:dyDescent="0.25">
      <c r="A12" s="96" t="s">
        <v>302</v>
      </c>
      <c r="B12" s="84"/>
      <c r="C12" s="84"/>
      <c r="D12" s="84"/>
      <c r="E12" s="84"/>
      <c r="F12" s="84"/>
      <c r="G12" s="84"/>
      <c r="H12" s="84"/>
      <c r="I12" s="9"/>
      <c r="J12" s="9"/>
      <c r="K12" s="96" t="s">
        <v>302</v>
      </c>
      <c r="L12" s="84"/>
      <c r="M12" s="84"/>
      <c r="N12" s="84"/>
      <c r="O12" s="84"/>
      <c r="P12" s="84"/>
      <c r="Q12" s="84"/>
      <c r="R12" s="84"/>
      <c r="S12" s="9"/>
    </row>
    <row ht="15.75" r="13" spans="1:19" thickBot="1" x14ac:dyDescent="0.3">
      <c r="A13" s="97" t="s">
        <v>19</v>
      </c>
      <c r="B13" s="43">
        <f>SUM(B5:B12)</f>
        <v>79862.946268281463</v>
      </c>
      <c r="C13" s="43">
        <f ref="C13:I13" si="2" t="shared">SUM(C5:C12)</f>
        <v>27352.048666795512</v>
      </c>
      <c r="D13" s="43">
        <f si="2" t="shared"/>
        <v>6697.0383662251788</v>
      </c>
      <c r="E13" s="43">
        <f si="2" t="shared"/>
        <v>2171.7709624517738</v>
      </c>
      <c r="F13" s="43">
        <f si="2" t="shared"/>
        <v>2545.224640708554</v>
      </c>
      <c r="G13" s="43">
        <f si="2" t="shared"/>
        <v>700.90550185384996</v>
      </c>
      <c r="H13" s="43">
        <f si="2" t="shared"/>
        <v>161.60967210578741</v>
      </c>
      <c r="I13" s="43">
        <f si="2" t="shared"/>
        <v>119491.54407842213</v>
      </c>
      <c r="K13" s="97" t="s">
        <v>19</v>
      </c>
      <c r="L13" s="43">
        <f>SUM(L5:L12)</f>
        <v>71083</v>
      </c>
      <c r="M13" s="43">
        <f ref="M13" si="3" t="shared">SUM(M5:M12)</f>
        <v>24287</v>
      </c>
      <c r="N13" s="43">
        <f ref="N13" si="4" t="shared">SUM(N5:N12)</f>
        <v>9248</v>
      </c>
      <c r="O13" s="43">
        <f ref="O13" si="5" t="shared">SUM(O5:O12)</f>
        <v>515</v>
      </c>
      <c r="P13" s="43">
        <f ref="P13" si="6" t="shared">SUM(P5:P12)</f>
        <v>621</v>
      </c>
      <c r="Q13" s="43">
        <f ref="Q13" si="7" t="shared">SUM(Q5:Q12)</f>
        <v>1229</v>
      </c>
      <c r="R13" s="43">
        <f ref="R13" si="8" t="shared">SUM(R5:R12)</f>
        <v>449</v>
      </c>
      <c r="S13" s="43">
        <f ref="S13" si="9" t="shared">SUM(S5:S12)</f>
        <v>107432</v>
      </c>
    </row>
    <row ht="15.75" r="16" spans="1:19" thickBot="1" x14ac:dyDescent="0.3">
      <c r="A16" s="1" t="s">
        <v>57</v>
      </c>
      <c r="B16" s="1"/>
      <c r="C16" s="3"/>
      <c r="D16" s="3"/>
      <c r="E16" s="3"/>
      <c r="F16" s="3"/>
      <c r="G16" s="3"/>
      <c r="H16" s="3"/>
      <c r="I16" s="3"/>
      <c r="K16" s="1" t="s">
        <v>58</v>
      </c>
      <c r="L16" s="1"/>
      <c r="M16" s="3"/>
      <c r="N16" s="3"/>
      <c r="O16" s="3"/>
      <c r="P16" s="3"/>
      <c r="Q16" s="3"/>
      <c r="R16" s="3"/>
      <c r="S16" s="3"/>
    </row>
    <row r="17" spans="1:19" x14ac:dyDescent="0.25">
      <c r="A17" s="5"/>
      <c r="B17" s="121" t="s">
        <v>18</v>
      </c>
      <c r="C17" s="121"/>
      <c r="D17" s="121"/>
      <c r="E17" s="121"/>
      <c r="F17" s="121"/>
      <c r="G17" s="121"/>
      <c r="H17" s="121"/>
      <c r="I17" s="11"/>
      <c r="K17" s="5"/>
      <c r="L17" s="121" t="s">
        <v>18</v>
      </c>
      <c r="M17" s="121"/>
      <c r="N17" s="121"/>
      <c r="O17" s="121"/>
      <c r="P17" s="121"/>
      <c r="Q17" s="121"/>
      <c r="R17" s="121"/>
      <c r="S17" s="121"/>
    </row>
    <row r="18" spans="1:19" x14ac:dyDescent="0.25">
      <c r="A18" s="6" t="s">
        <v>0</v>
      </c>
      <c r="B18" s="7" t="s">
        <v>1</v>
      </c>
      <c r="C18" s="7" t="s">
        <v>2</v>
      </c>
      <c r="D18" s="7" t="s">
        <v>3</v>
      </c>
      <c r="E18" s="7" t="s">
        <v>4</v>
      </c>
      <c r="F18" s="7" t="s">
        <v>5</v>
      </c>
      <c r="G18" s="7" t="s">
        <v>6</v>
      </c>
      <c r="H18" s="7" t="s">
        <v>7</v>
      </c>
      <c r="I18" s="7" t="s">
        <v>19</v>
      </c>
      <c r="K18" s="6" t="s">
        <v>0</v>
      </c>
      <c r="L18" s="7" t="s">
        <v>1</v>
      </c>
      <c r="M18" s="7" t="s">
        <v>2</v>
      </c>
      <c r="N18" s="7" t="s">
        <v>3</v>
      </c>
      <c r="O18" s="7" t="s">
        <v>4</v>
      </c>
      <c r="P18" s="7" t="s">
        <v>5</v>
      </c>
      <c r="Q18" s="7" t="s">
        <v>6</v>
      </c>
      <c r="R18" s="7" t="s">
        <v>7</v>
      </c>
      <c r="S18" s="7" t="s">
        <v>19</v>
      </c>
    </row>
    <row r="19" spans="1:19" x14ac:dyDescent="0.25">
      <c r="A19" t="s">
        <v>1</v>
      </c>
      <c r="B19" s="13">
        <f>B5/$I$13</f>
        <v>0.40358612252434123</v>
      </c>
      <c r="C19" s="13">
        <f ref="C19:I19" si="10" t="shared">C5/$I$13</f>
        <v>9.3268816861016263E-2</v>
      </c>
      <c r="D19" s="13">
        <f si="10" t="shared"/>
        <v>2.6823373726795271E-2</v>
      </c>
      <c r="E19" s="13">
        <f si="10" t="shared"/>
        <v>0</v>
      </c>
      <c r="F19" s="13">
        <f si="10" t="shared"/>
        <v>0</v>
      </c>
      <c r="G19" s="13">
        <f si="10" t="shared"/>
        <v>0</v>
      </c>
      <c r="H19" s="13">
        <f si="10" t="shared"/>
        <v>6.4575448438355238E-4</v>
      </c>
      <c r="I19" s="13">
        <f si="10" t="shared"/>
        <v>0.52432406759653627</v>
      </c>
      <c r="J19" s="9"/>
      <c r="K19" t="s">
        <v>1</v>
      </c>
      <c r="L19" s="13">
        <f ref="L19:S27" si="11" t="shared">L5/$S$13</f>
        <v>0.50808883759028967</v>
      </c>
      <c r="M19" s="13">
        <f si="11" t="shared"/>
        <v>7.1096135229726715E-2</v>
      </c>
      <c r="N19" s="13">
        <f si="11" t="shared"/>
        <v>1.5507483803708392E-2</v>
      </c>
      <c r="O19" s="13">
        <f si="11" t="shared"/>
        <v>6.6088316330329886E-4</v>
      </c>
      <c r="P19" s="13">
        <f si="11" t="shared"/>
        <v>5.7710924119443001E-4</v>
      </c>
      <c r="Q19" s="13">
        <f si="11" t="shared"/>
        <v>1.5823963065008564E-3</v>
      </c>
      <c r="R19" s="13">
        <f si="11" t="shared"/>
        <v>4.2817782411199644E-4</v>
      </c>
      <c r="S19" s="13">
        <f si="11" t="shared"/>
        <v>0.59794102315883535</v>
      </c>
    </row>
    <row r="20" spans="1:19" x14ac:dyDescent="0.25">
      <c r="A20" s="95" t="s">
        <v>2</v>
      </c>
      <c r="B20" s="86">
        <f ref="B20:I20" si="12" t="shared">B6/$I$13</f>
        <v>0.11277251862335967</v>
      </c>
      <c r="C20" s="86">
        <f si="12" t="shared"/>
        <v>9.7674785114518131E-2</v>
      </c>
      <c r="D20" s="86">
        <f si="12" t="shared"/>
        <v>1.2182718862719656E-2</v>
      </c>
      <c r="E20" s="86">
        <f si="12" t="shared"/>
        <v>0</v>
      </c>
      <c r="F20" s="86">
        <f si="12" t="shared"/>
        <v>9.2455321189073071E-4</v>
      </c>
      <c r="G20" s="86">
        <f si="12" t="shared"/>
        <v>8.6495805489170976E-4</v>
      </c>
      <c r="H20" s="86">
        <f si="12" t="shared"/>
        <v>0</v>
      </c>
      <c r="I20" s="86">
        <f si="12" t="shared"/>
        <v>0.22441953386737989</v>
      </c>
      <c r="J20" s="9"/>
      <c r="K20" s="95" t="s">
        <v>2</v>
      </c>
      <c r="L20" s="86">
        <f si="11" t="shared"/>
        <v>8.261039541291236E-2</v>
      </c>
      <c r="M20" s="86">
        <f si="11" t="shared"/>
        <v>0.10426130017127112</v>
      </c>
      <c r="N20" s="86">
        <f si="11" t="shared"/>
        <v>4.372998734082955E-2</v>
      </c>
      <c r="O20" s="86">
        <f si="11" t="shared"/>
        <v>2.5690669446719787E-3</v>
      </c>
      <c r="P20" s="86">
        <f si="11" t="shared"/>
        <v>2.9693201280810186E-3</v>
      </c>
      <c r="Q20" s="86">
        <f si="11" t="shared"/>
        <v>5.6966267034030829E-3</v>
      </c>
      <c r="R20" s="86">
        <f si="11" t="shared"/>
        <v>1.0332117060093827E-3</v>
      </c>
      <c r="S20" s="86">
        <f si="11" t="shared"/>
        <v>0.24286990840717848</v>
      </c>
    </row>
    <row r="21" spans="1:19" x14ac:dyDescent="0.25">
      <c r="A21" s="95" t="s">
        <v>3</v>
      </c>
      <c r="B21" s="86">
        <f ref="B21:I21" si="13" t="shared">B7/$I$13</f>
        <v>7.1347829408744207E-2</v>
      </c>
      <c r="C21" s="86">
        <f si="13" t="shared"/>
        <v>9.3905328339642519E-3</v>
      </c>
      <c r="D21" s="86">
        <f si="13" t="shared"/>
        <v>1.0943383055520178E-2</v>
      </c>
      <c r="E21" s="86">
        <f si="13" t="shared"/>
        <v>4.7447938642539107E-4</v>
      </c>
      <c r="F21" s="86">
        <f si="13" t="shared"/>
        <v>0</v>
      </c>
      <c r="G21" s="86">
        <f si="13" t="shared"/>
        <v>0</v>
      </c>
      <c r="H21" s="86">
        <f si="13" t="shared"/>
        <v>0</v>
      </c>
      <c r="I21" s="86">
        <f si="13" t="shared"/>
        <v>9.2156224684654023E-2</v>
      </c>
      <c r="J21" s="9"/>
      <c r="K21" s="95" t="s">
        <v>3</v>
      </c>
      <c r="L21" s="86">
        <f si="11" t="shared"/>
        <v>3.0893960831037307E-2</v>
      </c>
      <c r="M21" s="86">
        <f si="11" t="shared"/>
        <v>3.8089209918832377E-2</v>
      </c>
      <c r="N21" s="86">
        <f si="11" t="shared"/>
        <v>1.6550003723285429E-2</v>
      </c>
      <c r="O21" s="86">
        <f si="11" t="shared"/>
        <v>9.122049296299054E-4</v>
      </c>
      <c r="P21" s="86">
        <f si="11" t="shared"/>
        <v>1.5172388115272917E-3</v>
      </c>
      <c r="Q21" s="86">
        <f si="11" t="shared"/>
        <v>1.8802591406657234E-3</v>
      </c>
      <c r="R21" s="86">
        <f si="11" t="shared"/>
        <v>4.0025318340904012E-4</v>
      </c>
      <c r="S21" s="86">
        <f si="11" t="shared"/>
        <v>9.0243130538387076E-2</v>
      </c>
    </row>
    <row r="22" spans="1:19" x14ac:dyDescent="0.25">
      <c r="A22" s="95" t="s">
        <v>4</v>
      </c>
      <c r="B22" s="86">
        <f ref="B22:I22" si="14" t="shared">B8/$I$13</f>
        <v>0</v>
      </c>
      <c r="C22" s="86">
        <f si="14" t="shared"/>
        <v>0</v>
      </c>
      <c r="D22" s="86">
        <f si="14" t="shared"/>
        <v>0</v>
      </c>
      <c r="E22" s="86">
        <f si="14" t="shared"/>
        <v>0</v>
      </c>
      <c r="F22" s="86">
        <f si="14" t="shared"/>
        <v>0</v>
      </c>
      <c r="G22" s="86">
        <f si="14" t="shared"/>
        <v>0</v>
      </c>
      <c r="H22" s="86">
        <f si="14" t="shared"/>
        <v>0</v>
      </c>
      <c r="I22" s="86">
        <f si="14" t="shared"/>
        <v>0</v>
      </c>
      <c r="J22" s="9"/>
      <c r="K22" s="95" t="s">
        <v>4</v>
      </c>
      <c r="L22" s="86">
        <f si="11" t="shared"/>
        <v>0</v>
      </c>
      <c r="M22" s="86">
        <f si="11" t="shared"/>
        <v>0</v>
      </c>
      <c r="N22" s="86">
        <f si="11" t="shared"/>
        <v>0</v>
      </c>
      <c r="O22" s="86">
        <f si="11" t="shared"/>
        <v>0</v>
      </c>
      <c r="P22" s="86">
        <f si="11" t="shared"/>
        <v>0</v>
      </c>
      <c r="Q22" s="86">
        <f si="11" t="shared"/>
        <v>0</v>
      </c>
      <c r="R22" s="86">
        <f si="11" t="shared"/>
        <v>0</v>
      </c>
      <c r="S22" s="86">
        <f si="11" t="shared"/>
        <v>0</v>
      </c>
    </row>
    <row r="23" spans="1:19" x14ac:dyDescent="0.25">
      <c r="A23" s="95" t="s">
        <v>5</v>
      </c>
      <c r="B23" s="86">
        <f ref="B23:I23" si="15" t="shared">B9/$I$13</f>
        <v>3.8384616926408921E-4</v>
      </c>
      <c r="C23" s="86">
        <f si="15" t="shared"/>
        <v>0</v>
      </c>
      <c r="D23" s="86">
        <f si="15" t="shared"/>
        <v>0</v>
      </c>
      <c r="E23" s="86">
        <f si="15" t="shared"/>
        <v>7.5316532801584417E-4</v>
      </c>
      <c r="F23" s="86">
        <f si="15" t="shared"/>
        <v>5.7762748594843854E-4</v>
      </c>
      <c r="G23" s="86">
        <f si="15" t="shared"/>
        <v>0</v>
      </c>
      <c r="H23" s="86">
        <f si="15" t="shared"/>
        <v>0</v>
      </c>
      <c r="I23" s="86">
        <f si="15" t="shared"/>
        <v>1.7146389832283719E-3</v>
      </c>
      <c r="J23" s="9"/>
      <c r="K23" s="95" t="s">
        <v>5</v>
      </c>
      <c r="L23" s="86">
        <f si="11" t="shared"/>
        <v>3.7325936406284906E-3</v>
      </c>
      <c r="M23" s="86">
        <f si="11" t="shared"/>
        <v>1.061136346712339E-3</v>
      </c>
      <c r="N23" s="86">
        <f si="11" t="shared"/>
        <v>1.4520813165537271E-3</v>
      </c>
      <c r="O23" s="86">
        <f si="11" t="shared"/>
        <v>2.6993819346191077E-4</v>
      </c>
      <c r="P23" s="86">
        <f si="11" t="shared"/>
        <v>2.3270533919130239E-4</v>
      </c>
      <c r="Q23" s="86">
        <f si="11" t="shared"/>
        <v>5.0264353265321319E-4</v>
      </c>
      <c r="R23" s="86">
        <f si="11" t="shared"/>
        <v>3.7232854270608387E-5</v>
      </c>
      <c r="S23" s="86">
        <f si="11" t="shared"/>
        <v>7.2883312234715914E-3</v>
      </c>
    </row>
    <row r="24" spans="1:19" x14ac:dyDescent="0.25">
      <c r="A24" s="95" t="s">
        <v>6</v>
      </c>
      <c r="B24" s="86">
        <f ref="B24:I24" si="16" t="shared">B10/$I$13</f>
        <v>9.2118576879840258E-4</v>
      </c>
      <c r="C24" s="86">
        <f si="16" t="shared"/>
        <v>0</v>
      </c>
      <c r="D24" s="86">
        <f si="16" t="shared"/>
        <v>0</v>
      </c>
      <c r="E24" s="86">
        <f si="16" t="shared"/>
        <v>0</v>
      </c>
      <c r="F24" s="86">
        <f si="16" t="shared"/>
        <v>0</v>
      </c>
      <c r="G24" s="86">
        <f si="16" t="shared"/>
        <v>2.6348941460486355E-3</v>
      </c>
      <c r="H24" s="86">
        <f si="16" t="shared"/>
        <v>0</v>
      </c>
      <c r="I24" s="86">
        <f si="16" t="shared"/>
        <v>3.5560799148470386E-3</v>
      </c>
      <c r="J24" s="9"/>
      <c r="K24" s="95" t="s">
        <v>6</v>
      </c>
      <c r="L24" s="86">
        <f si="11" t="shared"/>
        <v>5.3056817335616951E-4</v>
      </c>
      <c r="M24" s="86">
        <f si="11" t="shared"/>
        <v>9.3082135676520963E-5</v>
      </c>
      <c r="N24" s="86">
        <f si="11" t="shared"/>
        <v>1.2100677637947725E-4</v>
      </c>
      <c r="O24" s="86">
        <f si="11" t="shared"/>
        <v>1.8616427135304193E-5</v>
      </c>
      <c r="P24" s="86">
        <f si="11" t="shared"/>
        <v>2.7924640702956288E-5</v>
      </c>
      <c r="Q24" s="86">
        <f si="11" t="shared"/>
        <v>1.1262938416859037E-3</v>
      </c>
      <c r="R24" s="86">
        <f si="11" t="shared"/>
        <v>9.3082135676520966E-6</v>
      </c>
      <c r="S24" s="86">
        <f si="11" t="shared"/>
        <v>1.9268002085039838E-3</v>
      </c>
    </row>
    <row r="25" spans="1:19" x14ac:dyDescent="0.25">
      <c r="A25" s="95" t="s">
        <v>7</v>
      </c>
      <c r="B25" s="86">
        <f ref="B25:I26" si="17" t="shared">B11/$I$13</f>
        <v>7.934496477038544E-2</v>
      </c>
      <c r="C25" s="86">
        <f si="17" t="shared"/>
        <v>2.8569499148435679E-2</v>
      </c>
      <c r="D25" s="86">
        <f si="17" t="shared"/>
        <v>6.0966522870796692E-3</v>
      </c>
      <c r="E25" s="86">
        <f si="17" t="shared"/>
        <v>1.6947456956572772E-2</v>
      </c>
      <c r="F25" s="86">
        <f si="17" t="shared"/>
        <v>1.9798277508961865E-2</v>
      </c>
      <c r="G25" s="86">
        <f si="17" t="shared"/>
        <v>2.3658808704629893E-3</v>
      </c>
      <c r="H25" s="86">
        <f si="17" t="shared"/>
        <v>7.0672341145586539E-4</v>
      </c>
      <c r="I25" s="86">
        <f si="17" t="shared"/>
        <v>0.15382945495335429</v>
      </c>
      <c r="J25" s="9"/>
      <c r="K25" s="95" t="s">
        <v>7</v>
      </c>
      <c r="L25" s="86">
        <f si="11" t="shared"/>
        <v>3.5799389381189962E-2</v>
      </c>
      <c r="M25" s="86">
        <f si="11" t="shared"/>
        <v>1.1467719115347382E-2</v>
      </c>
      <c r="N25" s="86">
        <f si="11" t="shared"/>
        <v>8.7217961128900137E-3</v>
      </c>
      <c r="O25" s="86">
        <f si="11" t="shared"/>
        <v>3.6302032913843176E-4</v>
      </c>
      <c r="P25" s="86">
        <f si="11" t="shared"/>
        <v>4.561024648149527E-4</v>
      </c>
      <c r="Q25" s="86">
        <f si="11" t="shared"/>
        <v>6.5157494973564671E-4</v>
      </c>
      <c r="R25" s="86">
        <f si="11" t="shared"/>
        <v>2.2712041105071115E-3</v>
      </c>
      <c r="S25" s="86">
        <f si="11" t="shared"/>
        <v>5.9730806463623498E-2</v>
      </c>
    </row>
    <row r="26" spans="1:19" x14ac:dyDescent="0.25">
      <c r="A26" s="96" t="s">
        <v>302</v>
      </c>
      <c r="B26" s="14">
        <f>B12/$I$13</f>
        <v>0</v>
      </c>
      <c r="C26" s="14">
        <f si="17" t="shared"/>
        <v>0</v>
      </c>
      <c r="D26" s="14">
        <f si="17" t="shared"/>
        <v>0</v>
      </c>
      <c r="E26" s="14">
        <f si="17" t="shared"/>
        <v>0</v>
      </c>
      <c r="F26" s="14">
        <f si="17" t="shared"/>
        <v>0</v>
      </c>
      <c r="G26" s="14">
        <f si="17" t="shared"/>
        <v>0</v>
      </c>
      <c r="H26" s="14">
        <f si="17" t="shared"/>
        <v>0</v>
      </c>
      <c r="I26" s="13">
        <f si="17" t="shared"/>
        <v>0</v>
      </c>
      <c r="J26" s="9"/>
      <c r="K26" s="96" t="s">
        <v>302</v>
      </c>
      <c r="L26" s="14">
        <f si="11" t="shared"/>
        <v>0</v>
      </c>
      <c r="M26" s="14">
        <f si="11" t="shared"/>
        <v>0</v>
      </c>
      <c r="N26" s="14">
        <f si="11" t="shared"/>
        <v>0</v>
      </c>
      <c r="O26" s="14">
        <f si="11" t="shared"/>
        <v>0</v>
      </c>
      <c r="P26" s="14">
        <f si="11" t="shared"/>
        <v>0</v>
      </c>
      <c r="Q26" s="14">
        <f si="11" t="shared"/>
        <v>0</v>
      </c>
      <c r="R26" s="14">
        <f si="11" t="shared"/>
        <v>0</v>
      </c>
      <c r="S26" s="13">
        <f si="11" t="shared"/>
        <v>0</v>
      </c>
    </row>
    <row ht="15.75" r="27" spans="1:19" thickBot="1" x14ac:dyDescent="0.3">
      <c r="A27" s="97" t="s">
        <v>19</v>
      </c>
      <c r="B27" s="98">
        <f ref="B27:I27" si="18" t="shared">B13/$I$13</f>
        <v>0.66835646726489306</v>
      </c>
      <c r="C27" s="98">
        <f si="18" t="shared"/>
        <v>0.22890363395793431</v>
      </c>
      <c r="D27" s="98">
        <f si="18" t="shared"/>
        <v>5.6046127932114782E-2</v>
      </c>
      <c r="E27" s="98">
        <f si="18" t="shared"/>
        <v>1.8175101671014007E-2</v>
      </c>
      <c r="F27" s="98">
        <f si="18" t="shared"/>
        <v>2.1300458206801032E-2</v>
      </c>
      <c r="G27" s="98">
        <f si="18" t="shared"/>
        <v>5.8657330714033343E-3</v>
      </c>
      <c r="H27" s="98">
        <f si="18" t="shared"/>
        <v>1.3524778958394178E-3</v>
      </c>
      <c r="I27" s="98">
        <f si="18" t="shared"/>
        <v>1</v>
      </c>
      <c r="K27" s="97" t="s">
        <v>19</v>
      </c>
      <c r="L27" s="98">
        <f si="11" t="shared"/>
        <v>0.66165574502941393</v>
      </c>
      <c r="M27" s="98">
        <f si="11" t="shared"/>
        <v>0.22606858291756646</v>
      </c>
      <c r="N27" s="98">
        <f si="11" t="shared"/>
        <v>8.6082359073646586E-2</v>
      </c>
      <c r="O27" s="98">
        <f si="11" t="shared"/>
        <v>4.7937299873408298E-3</v>
      </c>
      <c r="P27" s="98">
        <f si="11" t="shared"/>
        <v>5.7804006255119519E-3</v>
      </c>
      <c r="Q27" s="98">
        <f si="11" t="shared"/>
        <v>1.1439794474644426E-2</v>
      </c>
      <c r="R27" s="98">
        <f si="11" t="shared"/>
        <v>4.1793878918757908E-3</v>
      </c>
      <c r="S27" s="98">
        <f si="11" t="shared"/>
        <v>1</v>
      </c>
    </row>
    <row ht="15.75" r="30" spans="1:19" thickBot="1" x14ac:dyDescent="0.3">
      <c r="K30" s="1" t="s">
        <v>21</v>
      </c>
      <c r="L30" s="1"/>
      <c r="M30" s="3"/>
      <c r="N30" s="3"/>
      <c r="O30" s="3"/>
      <c r="P30" s="3"/>
      <c r="Q30" s="3"/>
      <c r="R30" s="3"/>
      <c r="S30" s="3"/>
    </row>
    <row r="31" spans="1:19" x14ac:dyDescent="0.25">
      <c r="K31" s="5"/>
      <c r="L31" s="121" t="s">
        <v>18</v>
      </c>
      <c r="M31" s="121"/>
      <c r="N31" s="121"/>
      <c r="O31" s="121"/>
      <c r="P31" s="121"/>
      <c r="Q31" s="121"/>
      <c r="R31" s="121"/>
      <c r="S31" s="121"/>
    </row>
    <row r="32" spans="1:19" x14ac:dyDescent="0.25">
      <c r="K32" s="6" t="s">
        <v>0</v>
      </c>
      <c r="L32" s="7" t="s">
        <v>1</v>
      </c>
      <c r="M32" s="7" t="s">
        <v>2</v>
      </c>
      <c r="N32" s="7" t="s">
        <v>3</v>
      </c>
      <c r="O32" s="7" t="s">
        <v>4</v>
      </c>
      <c r="P32" s="7" t="s">
        <v>5</v>
      </c>
      <c r="Q32" s="7" t="s">
        <v>6</v>
      </c>
      <c r="R32" s="7" t="s">
        <v>7</v>
      </c>
      <c r="S32" s="7" t="s">
        <v>19</v>
      </c>
    </row>
    <row r="33" spans="11:19" x14ac:dyDescent="0.25">
      <c r="K33" t="s">
        <v>1</v>
      </c>
      <c r="L33" s="13">
        <f ref="L33:S35" si="19" t="shared">L19-B19</f>
        <v>0.10450271506594844</v>
      </c>
      <c r="M33" s="13">
        <f si="19" t="shared"/>
        <v>-2.2172681631289548E-2</v>
      </c>
      <c r="N33" s="13">
        <f si="19" t="shared"/>
        <v>-1.1315889923086879E-2</v>
      </c>
      <c r="O33" s="13">
        <f si="19" t="shared"/>
        <v>6.6088316330329886E-4</v>
      </c>
      <c r="P33" s="13">
        <f si="19" t="shared"/>
        <v>5.7710924119443001E-4</v>
      </c>
      <c r="Q33" s="13">
        <f si="19" t="shared"/>
        <v>1.5823963065008564E-3</v>
      </c>
      <c r="R33" s="13">
        <f si="19" t="shared"/>
        <v>-2.1757666027155594E-4</v>
      </c>
      <c r="S33" s="13">
        <f si="19" t="shared"/>
        <v>7.361695556229908E-2</v>
      </c>
    </row>
    <row r="34" spans="11:19" x14ac:dyDescent="0.25">
      <c r="K34" s="95" t="s">
        <v>2</v>
      </c>
      <c r="L34" s="86">
        <f si="19" t="shared"/>
        <v>-3.0162123210447311E-2</v>
      </c>
      <c r="M34" s="86">
        <f si="19" t="shared"/>
        <v>6.5865150567529923E-3</v>
      </c>
      <c r="N34" s="86">
        <f si="19" t="shared"/>
        <v>3.1547268478109895E-2</v>
      </c>
      <c r="O34" s="86">
        <f si="19" t="shared"/>
        <v>2.5690669446719787E-3</v>
      </c>
      <c r="P34" s="86">
        <f si="19" t="shared"/>
        <v>2.0447669161902876E-3</v>
      </c>
      <c r="Q34" s="86">
        <f si="19" t="shared"/>
        <v>4.831668648511373E-3</v>
      </c>
      <c r="R34" s="86">
        <f si="19" t="shared"/>
        <v>1.0332117060093827E-3</v>
      </c>
      <c r="S34" s="86">
        <f si="19" t="shared"/>
        <v>1.8450374539798586E-2</v>
      </c>
    </row>
    <row r="35" spans="11:19" x14ac:dyDescent="0.25">
      <c r="K35" s="95" t="s">
        <v>3</v>
      </c>
      <c r="L35" s="86">
        <f si="19" t="shared"/>
        <v>-4.04538685777069E-2</v>
      </c>
      <c r="M35" s="86">
        <f si="19" t="shared"/>
        <v>2.8698677084868125E-2</v>
      </c>
      <c r="N35" s="86">
        <f si="19" t="shared"/>
        <v>5.6066206677652507E-3</v>
      </c>
      <c r="O35" s="86">
        <f si="19" t="shared"/>
        <v>4.3772554320451433E-4</v>
      </c>
      <c r="P35" s="86">
        <f si="19" t="shared"/>
        <v>1.5172388115272917E-3</v>
      </c>
      <c r="Q35" s="86">
        <f si="19" t="shared"/>
        <v>1.8802591406657234E-3</v>
      </c>
      <c r="R35" s="86">
        <f si="19" t="shared"/>
        <v>4.0025318340904012E-4</v>
      </c>
      <c r="S35" s="86">
        <f si="19" t="shared"/>
        <v>-1.9130941462669471E-3</v>
      </c>
    </row>
    <row r="36" spans="11:19" x14ac:dyDescent="0.25">
      <c r="K36" s="95" t="s">
        <v>4</v>
      </c>
      <c r="L36" s="86">
        <f ref="L36:L41" si="20" t="shared">L22-B22</f>
        <v>0</v>
      </c>
      <c r="M36" s="86">
        <f ref="M36:S36" si="21" t="shared">M22-C22</f>
        <v>0</v>
      </c>
      <c r="N36" s="86">
        <f si="21" t="shared"/>
        <v>0</v>
      </c>
      <c r="O36" s="86">
        <f si="21" t="shared"/>
        <v>0</v>
      </c>
      <c r="P36" s="86">
        <f si="21" t="shared"/>
        <v>0</v>
      </c>
      <c r="Q36" s="86">
        <f si="21" t="shared"/>
        <v>0</v>
      </c>
      <c r="R36" s="86">
        <f si="21" t="shared"/>
        <v>0</v>
      </c>
      <c r="S36" s="86">
        <f si="21" t="shared"/>
        <v>0</v>
      </c>
    </row>
    <row r="37" spans="11:19" x14ac:dyDescent="0.25">
      <c r="K37" s="95" t="s">
        <v>5</v>
      </c>
      <c r="L37" s="86">
        <f si="20" t="shared"/>
        <v>3.3487474713644015E-3</v>
      </c>
      <c r="M37" s="86">
        <f ref="M37:S40" si="22" t="shared">M23-C23</f>
        <v>1.061136346712339E-3</v>
      </c>
      <c r="N37" s="86">
        <f si="22" t="shared"/>
        <v>1.4520813165537271E-3</v>
      </c>
      <c r="O37" s="86">
        <f si="22" t="shared"/>
        <v>-4.832271345539334E-4</v>
      </c>
      <c r="P37" s="86">
        <f si="22" t="shared"/>
        <v>-3.4492214675713618E-4</v>
      </c>
      <c r="Q37" s="86">
        <f si="22" t="shared"/>
        <v>5.0264353265321319E-4</v>
      </c>
      <c r="R37" s="86">
        <f si="22" t="shared"/>
        <v>3.7232854270608387E-5</v>
      </c>
      <c r="S37" s="86">
        <f si="22" t="shared"/>
        <v>5.5736922402432193E-3</v>
      </c>
    </row>
    <row r="38" spans="11:19" x14ac:dyDescent="0.25">
      <c r="K38" s="95" t="s">
        <v>6</v>
      </c>
      <c r="L38" s="86">
        <f si="20" t="shared"/>
        <v>-3.9061759544223307E-4</v>
      </c>
      <c r="M38" s="86">
        <f si="22" t="shared"/>
        <v>9.3082135676520963E-5</v>
      </c>
      <c r="N38" s="86">
        <f si="22" t="shared"/>
        <v>1.2100677637947725E-4</v>
      </c>
      <c r="O38" s="86">
        <f si="22" t="shared"/>
        <v>1.8616427135304193E-5</v>
      </c>
      <c r="P38" s="86">
        <f si="22" t="shared"/>
        <v>2.7924640702956288E-5</v>
      </c>
      <c r="Q38" s="86">
        <f si="22" t="shared"/>
        <v>-1.5086003043627318E-3</v>
      </c>
      <c r="R38" s="86">
        <f si="22" t="shared"/>
        <v>9.3082135676520966E-6</v>
      </c>
      <c r="S38" s="86">
        <f si="22" t="shared"/>
        <v>-1.6292797063430548E-3</v>
      </c>
    </row>
    <row r="39" spans="11:19" x14ac:dyDescent="0.25">
      <c r="K39" s="95" t="s">
        <v>7</v>
      </c>
      <c r="L39" s="86">
        <f si="20" t="shared"/>
        <v>-4.3545575389195477E-2</v>
      </c>
      <c r="M39" s="86">
        <f si="22" t="shared"/>
        <v>-1.7101780033088296E-2</v>
      </c>
      <c r="N39" s="86">
        <f si="22" t="shared"/>
        <v>2.6251438258103445E-3</v>
      </c>
      <c r="O39" s="86">
        <f si="22" t="shared"/>
        <v>-1.6584436627434342E-2</v>
      </c>
      <c r="P39" s="86">
        <f si="22" t="shared"/>
        <v>-1.9342175044146911E-2</v>
      </c>
      <c r="Q39" s="86">
        <f si="22" t="shared"/>
        <v>-1.7143059207273426E-3</v>
      </c>
      <c r="R39" s="86">
        <f si="22" t="shared"/>
        <v>1.5644806990512462E-3</v>
      </c>
      <c r="S39" s="86">
        <f si="22" t="shared"/>
        <v>-9.4098648489730791E-2</v>
      </c>
    </row>
    <row r="40" spans="11:19" x14ac:dyDescent="0.25">
      <c r="K40" s="96" t="s">
        <v>302</v>
      </c>
      <c r="L40" s="14">
        <f si="20" t="shared"/>
        <v>0</v>
      </c>
      <c r="M40" s="14">
        <f si="22" t="shared"/>
        <v>0</v>
      </c>
      <c r="N40" s="14">
        <f si="22" t="shared"/>
        <v>0</v>
      </c>
      <c r="O40" s="14">
        <f si="22" t="shared"/>
        <v>0</v>
      </c>
      <c r="P40" s="14">
        <f si="22" t="shared"/>
        <v>0</v>
      </c>
      <c r="Q40" s="14">
        <f si="22" t="shared"/>
        <v>0</v>
      </c>
      <c r="R40" s="14">
        <f si="22" t="shared"/>
        <v>0</v>
      </c>
      <c r="S40" s="13">
        <f si="22" t="shared"/>
        <v>0</v>
      </c>
    </row>
    <row ht="15.75" r="41" spans="11:19" thickBot="1" x14ac:dyDescent="0.3">
      <c r="K41" s="97" t="s">
        <v>19</v>
      </c>
      <c r="L41" s="98">
        <f si="20" t="shared"/>
        <v>-6.7007222354791285E-3</v>
      </c>
      <c r="M41" s="98">
        <f ref="M41:S41" si="23" t="shared">M27-C27</f>
        <v>-2.835051040367853E-3</v>
      </c>
      <c r="N41" s="98">
        <f si="23" t="shared"/>
        <v>3.0036231141531804E-2</v>
      </c>
      <c r="O41" s="98">
        <f si="23" t="shared"/>
        <v>-1.3381371683673177E-2</v>
      </c>
      <c r="P41" s="98">
        <f si="23" t="shared"/>
        <v>-1.552005758128908E-2</v>
      </c>
      <c r="Q41" s="98">
        <f si="23" t="shared"/>
        <v>5.5740614032410915E-3</v>
      </c>
      <c r="R41" s="98">
        <f si="23" t="shared"/>
        <v>2.826909996036373E-3</v>
      </c>
      <c r="S41" s="98">
        <f si="23" t="shared"/>
        <v>0</v>
      </c>
    </row>
  </sheetData>
  <mergeCells count="5">
    <mergeCell ref="B3:H3"/>
    <mergeCell ref="L3:S3"/>
    <mergeCell ref="B17:H17"/>
    <mergeCell ref="L17:S17"/>
    <mergeCell ref="L31:S31"/>
  </mergeCells>
  <pageMargins bottom="0.75" footer="0.3" header="0.3" left="0.7" right="0.7" top="0.75"/>
  <pageSetup orientation="portrait" r:id="rId1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B2:C3"/>
  <sheetViews>
    <sheetView workbookViewId="0"/>
  </sheetViews>
  <sheetFormatPr defaultRowHeight="15" x14ac:dyDescent="0.25"/>
  <sheetData>
    <row r="2" spans="2:2" x14ac:dyDescent="0.25">
      <c r="B2" t="s">
        <v>42</v>
      </c>
    </row>
    <row r="3" spans="2:2" x14ac:dyDescent="0.25">
      <c r="B3" t="s">
        <v>43</v>
      </c>
    </row>
  </sheetData>
  <pageMargins bottom="0.75" footer="0.3" header="0.3" left="0.7" right="0.7" top="0.75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BG47"/>
  <sheetViews>
    <sheetView workbookViewId="0">
      <selection activeCell="X6" sqref="X6"/>
    </sheetView>
  </sheetViews>
  <sheetFormatPr defaultRowHeight="15" x14ac:dyDescent="0.25"/>
  <cols>
    <col min="2" max="2" bestFit="true" customWidth="true" width="11.0" collapsed="true"/>
  </cols>
  <sheetData>
    <row r="1" spans="1:58" x14ac:dyDescent="0.25">
      <c r="A1" s="23" t="s">
        <v>108</v>
      </c>
      <c r="M1" s="23" t="s">
        <v>143</v>
      </c>
      <c r="W1" s="23" t="s">
        <v>163</v>
      </c>
      <c r="AL1" s="23" t="s">
        <v>184</v>
      </c>
      <c r="AZ1" s="23" t="s">
        <v>202</v>
      </c>
    </row>
    <row r="2" spans="1:58" x14ac:dyDescent="0.25">
      <c r="A2" t="s">
        <v>59</v>
      </c>
      <c r="B2" t="s">
        <v>60</v>
      </c>
      <c r="E2" s="21" t="s">
        <v>61</v>
      </c>
      <c r="M2" t="s">
        <v>59</v>
      </c>
      <c r="N2" t="s">
        <v>60</v>
      </c>
      <c r="Q2" s="21" t="s">
        <v>61</v>
      </c>
      <c r="W2" t="s">
        <v>59</v>
      </c>
      <c r="X2" t="s">
        <v>60</v>
      </c>
      <c r="AA2" t="s">
        <v>61</v>
      </c>
      <c r="AL2" t="s">
        <v>59</v>
      </c>
      <c r="AM2" t="s">
        <v>60</v>
      </c>
      <c r="AP2" t="s">
        <v>61</v>
      </c>
      <c r="AZ2" t="s">
        <v>59</v>
      </c>
      <c r="BA2" t="s">
        <v>60</v>
      </c>
      <c r="BD2" t="s">
        <v>61</v>
      </c>
    </row>
    <row r="3" spans="1:58" x14ac:dyDescent="0.25">
      <c r="A3">
        <v>1</v>
      </c>
      <c r="B3" t="s">
        <v>62</v>
      </c>
      <c r="C3" t="s">
        <v>63</v>
      </c>
      <c r="D3" s="22">
        <v>8.2714292376400003E-2</v>
      </c>
      <c r="E3" t="s">
        <v>114</v>
      </c>
      <c r="F3" t="s">
        <v>121</v>
      </c>
      <c r="G3" t="s">
        <v>122</v>
      </c>
      <c r="M3">
        <v>2</v>
      </c>
      <c r="N3" t="s">
        <v>64</v>
      </c>
      <c r="O3" t="s">
        <v>63</v>
      </c>
      <c r="P3">
        <v>3.3415951052600001</v>
      </c>
      <c r="Q3" t="s">
        <v>144</v>
      </c>
      <c r="W3">
        <v>1</v>
      </c>
      <c r="X3" t="s">
        <v>62</v>
      </c>
      <c r="Y3" t="s">
        <v>63</v>
      </c>
      <c r="Z3">
        <v>0.52879225620699999</v>
      </c>
      <c r="AA3" t="s">
        <v>167</v>
      </c>
      <c r="AB3" t="s">
        <v>169</v>
      </c>
      <c r="AC3" t="s">
        <v>170</v>
      </c>
      <c r="AL3">
        <v>1</v>
      </c>
      <c r="AM3" t="s">
        <v>62</v>
      </c>
      <c r="AN3" t="s">
        <v>63</v>
      </c>
      <c r="AO3">
        <v>0.37910550304899998</v>
      </c>
      <c r="AP3" t="s">
        <v>186</v>
      </c>
      <c r="AQ3" t="s">
        <v>121</v>
      </c>
      <c r="AR3" t="s">
        <v>122</v>
      </c>
      <c r="AZ3">
        <v>1</v>
      </c>
      <c r="BA3" t="s">
        <v>62</v>
      </c>
      <c r="BB3" t="s">
        <v>63</v>
      </c>
      <c r="BC3">
        <v>1.4514354035000001</v>
      </c>
      <c r="BD3" t="s">
        <v>203</v>
      </c>
      <c r="BE3" t="s">
        <v>206</v>
      </c>
      <c r="BF3" t="s">
        <v>207</v>
      </c>
    </row>
    <row r="4" spans="1:58" x14ac:dyDescent="0.25">
      <c r="A4">
        <v>2</v>
      </c>
      <c r="B4" t="s">
        <v>64</v>
      </c>
      <c r="C4" t="s">
        <v>63</v>
      </c>
      <c r="D4">
        <v>1.0220354865200001</v>
      </c>
      <c r="E4" t="s">
        <v>131</v>
      </c>
      <c r="M4">
        <v>30</v>
      </c>
      <c r="N4" t="s">
        <v>75</v>
      </c>
      <c r="O4" t="s">
        <v>63</v>
      </c>
      <c r="P4">
        <v>-2.1800862739200002</v>
      </c>
      <c r="Q4">
        <v>1</v>
      </c>
      <c r="W4">
        <v>2</v>
      </c>
      <c r="X4" t="s">
        <v>64</v>
      </c>
      <c r="Y4" t="s">
        <v>63</v>
      </c>
      <c r="Z4">
        <v>0.55879276356800001</v>
      </c>
      <c r="AA4" t="s">
        <v>192</v>
      </c>
      <c r="AL4">
        <v>2</v>
      </c>
      <c r="AM4" t="s">
        <v>64</v>
      </c>
      <c r="AN4" t="s">
        <v>63</v>
      </c>
      <c r="AO4">
        <v>2.0186908853599999</v>
      </c>
      <c r="AP4" t="s">
        <v>144</v>
      </c>
      <c r="AZ4">
        <v>2</v>
      </c>
      <c r="BA4" t="s">
        <v>64</v>
      </c>
      <c r="BB4" t="s">
        <v>63</v>
      </c>
      <c r="BC4">
        <v>1.3039408369400001</v>
      </c>
      <c r="BD4" t="s">
        <v>210</v>
      </c>
    </row>
    <row r="5" spans="1:58" x14ac:dyDescent="0.25">
      <c r="A5">
        <v>10</v>
      </c>
      <c r="B5" t="s">
        <v>65</v>
      </c>
      <c r="C5" t="s">
        <v>63</v>
      </c>
      <c r="D5">
        <v>-1.1944700928600001</v>
      </c>
      <c r="E5">
        <v>1</v>
      </c>
      <c r="G5" t="s">
        <v>8</v>
      </c>
      <c r="M5">
        <v>31</v>
      </c>
      <c r="N5" t="s">
        <v>133</v>
      </c>
      <c r="O5" t="s">
        <v>63</v>
      </c>
      <c r="P5">
        <v>1.16680397388</v>
      </c>
      <c r="Q5" t="s">
        <v>145</v>
      </c>
      <c r="W5">
        <v>10</v>
      </c>
      <c r="X5" t="s">
        <v>150</v>
      </c>
      <c r="Y5" t="s">
        <v>63</v>
      </c>
      <c r="Z5">
        <v>-1.6038121758199999</v>
      </c>
      <c r="AA5">
        <v>1</v>
      </c>
      <c r="AL5">
        <v>20</v>
      </c>
      <c r="AM5" t="s">
        <v>68</v>
      </c>
      <c r="AN5" t="s">
        <v>63</v>
      </c>
      <c r="AO5">
        <v>-4.4200798368200003</v>
      </c>
      <c r="AP5">
        <v>1</v>
      </c>
      <c r="AZ5">
        <v>20</v>
      </c>
      <c r="BA5" t="s">
        <v>68</v>
      </c>
      <c r="BB5" t="s">
        <v>63</v>
      </c>
      <c r="BC5">
        <v>-3.4980731239099998</v>
      </c>
      <c r="BD5">
        <v>1</v>
      </c>
    </row>
    <row r="6" spans="1:58" x14ac:dyDescent="0.25">
      <c r="A6">
        <v>17</v>
      </c>
      <c r="B6" t="s">
        <v>66</v>
      </c>
      <c r="C6" t="s">
        <v>63</v>
      </c>
      <c r="D6">
        <v>-0.37388358649999998</v>
      </c>
      <c r="E6" t="s">
        <v>109</v>
      </c>
      <c r="M6">
        <v>32</v>
      </c>
      <c r="N6" t="s">
        <v>134</v>
      </c>
      <c r="O6" t="s">
        <v>63</v>
      </c>
      <c r="P6">
        <v>0.48228420681</v>
      </c>
      <c r="Q6" t="s">
        <v>146</v>
      </c>
      <c r="W6">
        <v>11</v>
      </c>
      <c r="X6" t="s">
        <v>151</v>
      </c>
      <c r="Y6" t="s">
        <v>72</v>
      </c>
      <c r="Z6">
        <v>-2</v>
      </c>
      <c r="AA6" t="s">
        <v>106</v>
      </c>
      <c r="AD6" t="s">
        <v>165</v>
      </c>
      <c r="AL6">
        <v>21</v>
      </c>
      <c r="AM6" t="s">
        <v>69</v>
      </c>
      <c r="AN6" t="s">
        <v>63</v>
      </c>
      <c r="AO6">
        <v>4.94579205397</v>
      </c>
      <c r="AP6" t="s">
        <v>106</v>
      </c>
      <c r="AZ6">
        <v>30</v>
      </c>
      <c r="BA6" t="s">
        <v>75</v>
      </c>
      <c r="BB6" t="s">
        <v>63</v>
      </c>
      <c r="BC6">
        <v>-2.6353130235300002</v>
      </c>
      <c r="BD6">
        <v>1</v>
      </c>
    </row>
    <row r="7" spans="1:58" x14ac:dyDescent="0.25">
      <c r="A7">
        <v>18</v>
      </c>
      <c r="B7" t="s">
        <v>67</v>
      </c>
      <c r="C7" t="s">
        <v>63</v>
      </c>
      <c r="D7">
        <v>-2.1552189459600002</v>
      </c>
      <c r="E7" t="s">
        <v>110</v>
      </c>
      <c r="M7">
        <v>33</v>
      </c>
      <c r="N7" t="s">
        <v>135</v>
      </c>
      <c r="O7" t="s">
        <v>63</v>
      </c>
      <c r="P7" s="22">
        <v>7.7733428152199996E-2</v>
      </c>
      <c r="Q7" t="s">
        <v>147</v>
      </c>
      <c r="W7">
        <v>13</v>
      </c>
      <c r="X7" t="s">
        <v>152</v>
      </c>
      <c r="Y7" t="s">
        <v>63</v>
      </c>
      <c r="Z7">
        <v>-1.01072071817</v>
      </c>
      <c r="AA7" t="s">
        <v>164</v>
      </c>
      <c r="AL7">
        <v>30</v>
      </c>
      <c r="AM7" t="s">
        <v>75</v>
      </c>
      <c r="AN7" t="s">
        <v>63</v>
      </c>
      <c r="AO7">
        <v>-0.81129976642199997</v>
      </c>
      <c r="AP7">
        <v>1</v>
      </c>
      <c r="AZ7">
        <v>40</v>
      </c>
      <c r="BA7" t="s">
        <v>78</v>
      </c>
      <c r="BB7" t="s">
        <v>63</v>
      </c>
      <c r="BC7">
        <v>-1.7745103655700001</v>
      </c>
      <c r="BD7">
        <v>1</v>
      </c>
    </row>
    <row r="8" spans="1:58" x14ac:dyDescent="0.25">
      <c r="A8">
        <v>20</v>
      </c>
      <c r="B8" t="s">
        <v>68</v>
      </c>
      <c r="C8" t="s">
        <v>63</v>
      </c>
      <c r="D8">
        <v>-3.89062176924</v>
      </c>
      <c r="E8">
        <v>1</v>
      </c>
      <c r="G8" t="s">
        <v>132</v>
      </c>
      <c r="M8">
        <v>40</v>
      </c>
      <c r="N8" t="s">
        <v>78</v>
      </c>
      <c r="O8" t="s">
        <v>63</v>
      </c>
      <c r="P8">
        <v>-1.3015858506</v>
      </c>
      <c r="Q8">
        <v>1</v>
      </c>
      <c r="W8">
        <v>20</v>
      </c>
      <c r="X8" t="s">
        <v>68</v>
      </c>
      <c r="Y8" t="s">
        <v>63</v>
      </c>
      <c r="Z8">
        <v>-1.9181554270400001</v>
      </c>
      <c r="AA8">
        <v>1</v>
      </c>
      <c r="AL8">
        <v>31</v>
      </c>
      <c r="AM8" t="s">
        <v>153</v>
      </c>
      <c r="AN8" t="s">
        <v>63</v>
      </c>
      <c r="AO8">
        <v>0.59818794862500002</v>
      </c>
      <c r="AP8" t="s">
        <v>145</v>
      </c>
      <c r="AZ8">
        <v>50</v>
      </c>
      <c r="BA8" t="s">
        <v>83</v>
      </c>
      <c r="BB8" t="s">
        <v>63</v>
      </c>
      <c r="BC8">
        <v>-2.30718445759</v>
      </c>
      <c r="BD8">
        <v>1</v>
      </c>
    </row>
    <row r="9" spans="1:58" x14ac:dyDescent="0.25">
      <c r="A9">
        <v>21</v>
      </c>
      <c r="B9" t="s">
        <v>69</v>
      </c>
      <c r="C9" t="s">
        <v>63</v>
      </c>
      <c r="D9">
        <v>1.02924701291</v>
      </c>
      <c r="E9" t="s">
        <v>106</v>
      </c>
      <c r="M9">
        <v>41</v>
      </c>
      <c r="N9" t="s">
        <v>79</v>
      </c>
      <c r="O9" t="s">
        <v>72</v>
      </c>
      <c r="P9">
        <v>-5.9139999999999997</v>
      </c>
      <c r="Q9" t="s">
        <v>106</v>
      </c>
      <c r="W9">
        <v>30</v>
      </c>
      <c r="X9" t="s">
        <v>75</v>
      </c>
      <c r="Y9" t="s">
        <v>63</v>
      </c>
      <c r="Z9">
        <v>-0.96957991101999996</v>
      </c>
      <c r="AA9">
        <v>1</v>
      </c>
      <c r="AL9">
        <v>32</v>
      </c>
      <c r="AM9" t="s">
        <v>154</v>
      </c>
      <c r="AN9" t="s">
        <v>63</v>
      </c>
      <c r="AO9">
        <v>0.126346118476</v>
      </c>
      <c r="AP9" t="s">
        <v>146</v>
      </c>
      <c r="AZ9">
        <v>54</v>
      </c>
      <c r="BA9" t="s">
        <v>85</v>
      </c>
      <c r="BB9" t="s">
        <v>63</v>
      </c>
      <c r="BC9">
        <v>-0.13556679442799999</v>
      </c>
      <c r="BD9" t="s">
        <v>117</v>
      </c>
    </row>
    <row r="10" spans="1:58" x14ac:dyDescent="0.25">
      <c r="A10">
        <v>22</v>
      </c>
      <c r="B10" t="s">
        <v>70</v>
      </c>
      <c r="C10" t="s">
        <v>63</v>
      </c>
      <c r="D10">
        <v>0.28476332632899998</v>
      </c>
      <c r="E10" t="s">
        <v>107</v>
      </c>
      <c r="M10">
        <v>42</v>
      </c>
      <c r="N10" t="s">
        <v>136</v>
      </c>
      <c r="O10" t="s">
        <v>63</v>
      </c>
      <c r="P10" s="22">
        <v>-3.2567490020500002E-2</v>
      </c>
      <c r="Q10" t="s">
        <v>107</v>
      </c>
      <c r="W10">
        <v>31</v>
      </c>
      <c r="X10" t="s">
        <v>153</v>
      </c>
      <c r="Y10" t="s">
        <v>63</v>
      </c>
      <c r="Z10">
        <v>0.32331883684899998</v>
      </c>
      <c r="AA10" t="s">
        <v>145</v>
      </c>
      <c r="AL10">
        <v>34</v>
      </c>
      <c r="AM10" t="s">
        <v>171</v>
      </c>
      <c r="AN10" t="s">
        <v>63</v>
      </c>
      <c r="AO10">
        <v>0.182457426512</v>
      </c>
      <c r="AP10" t="s">
        <v>187</v>
      </c>
      <c r="AZ10">
        <v>55</v>
      </c>
      <c r="BA10" t="s">
        <v>195</v>
      </c>
      <c r="BB10" t="s">
        <v>63</v>
      </c>
      <c r="BC10">
        <v>-0.13243830190100001</v>
      </c>
      <c r="BD10" t="s">
        <v>118</v>
      </c>
    </row>
    <row r="11" spans="1:58" x14ac:dyDescent="0.25">
      <c r="A11">
        <v>27</v>
      </c>
      <c r="B11" t="s">
        <v>71</v>
      </c>
      <c r="C11" t="s">
        <v>72</v>
      </c>
      <c r="D11">
        <v>-5</v>
      </c>
      <c r="E11" t="s">
        <v>109</v>
      </c>
      <c r="M11">
        <v>50</v>
      </c>
      <c r="N11" s="24" t="s">
        <v>137</v>
      </c>
      <c r="O11" t="s">
        <v>72</v>
      </c>
      <c r="P11">
        <v>-10</v>
      </c>
      <c r="Q11">
        <v>1</v>
      </c>
      <c r="W11">
        <v>32</v>
      </c>
      <c r="X11" t="s">
        <v>154</v>
      </c>
      <c r="Y11" t="s">
        <v>63</v>
      </c>
      <c r="Z11">
        <v>0.27882626875799998</v>
      </c>
      <c r="AA11" t="s">
        <v>146</v>
      </c>
      <c r="AL11">
        <v>35</v>
      </c>
      <c r="AM11" t="s">
        <v>155</v>
      </c>
      <c r="AN11" t="s">
        <v>63</v>
      </c>
      <c r="AO11">
        <v>0.22510711488400001</v>
      </c>
      <c r="AP11" t="s">
        <v>168</v>
      </c>
      <c r="AZ11">
        <v>58</v>
      </c>
      <c r="BA11" t="s">
        <v>196</v>
      </c>
      <c r="BB11" t="s">
        <v>63</v>
      </c>
      <c r="BC11">
        <v>2.76787980308</v>
      </c>
      <c r="BD11" t="s">
        <v>204</v>
      </c>
    </row>
    <row r="12" spans="1:58" x14ac:dyDescent="0.25">
      <c r="A12">
        <v>28</v>
      </c>
      <c r="B12" t="s">
        <v>73</v>
      </c>
      <c r="C12" t="s">
        <v>63</v>
      </c>
      <c r="D12">
        <v>1.6189300503899999</v>
      </c>
      <c r="E12" t="s">
        <v>110</v>
      </c>
      <c r="M12">
        <v>60</v>
      </c>
      <c r="N12" t="s">
        <v>88</v>
      </c>
      <c r="O12" t="s">
        <v>72</v>
      </c>
      <c r="P12">
        <v>-10</v>
      </c>
      <c r="Q12">
        <v>1</v>
      </c>
      <c r="W12">
        <v>35</v>
      </c>
      <c r="X12" t="s">
        <v>155</v>
      </c>
      <c r="Y12" t="s">
        <v>63</v>
      </c>
      <c r="Z12">
        <v>-0.135816439973</v>
      </c>
      <c r="AA12" t="s">
        <v>168</v>
      </c>
      <c r="AL12">
        <v>38</v>
      </c>
      <c r="AM12" t="s">
        <v>156</v>
      </c>
      <c r="AN12" t="s">
        <v>63</v>
      </c>
      <c r="AO12">
        <v>-3.6449456511</v>
      </c>
      <c r="AP12" t="s">
        <v>116</v>
      </c>
      <c r="AZ12">
        <v>59</v>
      </c>
      <c r="BA12" t="s">
        <v>197</v>
      </c>
      <c r="BB12" t="s">
        <v>63</v>
      </c>
      <c r="BC12">
        <v>2.0325205083700002</v>
      </c>
      <c r="BD12" t="s">
        <v>205</v>
      </c>
    </row>
    <row r="13" spans="1:58" x14ac:dyDescent="0.25">
      <c r="A13">
        <v>29</v>
      </c>
      <c r="B13" t="s">
        <v>74</v>
      </c>
      <c r="C13" t="s">
        <v>63</v>
      </c>
      <c r="D13">
        <v>1.4418614350800001</v>
      </c>
      <c r="E13" t="s">
        <v>111</v>
      </c>
      <c r="M13">
        <v>73</v>
      </c>
      <c r="N13" t="s">
        <v>138</v>
      </c>
      <c r="O13" t="s">
        <v>63</v>
      </c>
      <c r="P13">
        <v>-2.3805019629599999</v>
      </c>
      <c r="Q13" t="s">
        <v>148</v>
      </c>
      <c r="W13">
        <v>38</v>
      </c>
      <c r="X13" t="s">
        <v>156</v>
      </c>
      <c r="Y13" t="s">
        <v>63</v>
      </c>
      <c r="Z13">
        <v>-0.61753363761699998</v>
      </c>
      <c r="AA13" t="s">
        <v>116</v>
      </c>
      <c r="AL13">
        <v>39</v>
      </c>
      <c r="AM13" t="s">
        <v>76</v>
      </c>
      <c r="AN13" t="s">
        <v>63</v>
      </c>
      <c r="AO13">
        <v>-2.0456438236599999</v>
      </c>
      <c r="AP13" t="s">
        <v>115</v>
      </c>
      <c r="AZ13">
        <v>60</v>
      </c>
      <c r="BA13" t="s">
        <v>88</v>
      </c>
      <c r="BB13" t="s">
        <v>63</v>
      </c>
      <c r="BC13">
        <v>-4.8566896576699996</v>
      </c>
      <c r="BD13">
        <v>1</v>
      </c>
    </row>
    <row r="14" spans="1:58" x14ac:dyDescent="0.25">
      <c r="A14">
        <v>30</v>
      </c>
      <c r="B14" t="s">
        <v>75</v>
      </c>
      <c r="C14" t="s">
        <v>63</v>
      </c>
      <c r="D14">
        <v>-0.436326716236</v>
      </c>
      <c r="E14">
        <v>1</v>
      </c>
      <c r="M14">
        <v>76</v>
      </c>
      <c r="N14" t="s">
        <v>139</v>
      </c>
      <c r="O14" t="s">
        <v>63</v>
      </c>
      <c r="P14" s="22">
        <v>1.5103600785499999E-3</v>
      </c>
      <c r="Q14" t="s">
        <v>149</v>
      </c>
      <c r="W14">
        <v>39</v>
      </c>
      <c r="X14" t="s">
        <v>76</v>
      </c>
      <c r="Y14" t="s">
        <v>63</v>
      </c>
      <c r="Z14">
        <v>-1.24532834343</v>
      </c>
      <c r="AA14" t="s">
        <v>115</v>
      </c>
      <c r="AL14">
        <v>40</v>
      </c>
      <c r="AM14" t="s">
        <v>78</v>
      </c>
      <c r="AN14" t="s">
        <v>63</v>
      </c>
      <c r="AO14">
        <v>-0.72293440404700005</v>
      </c>
      <c r="AP14">
        <v>1</v>
      </c>
      <c r="AZ14">
        <v>61</v>
      </c>
      <c r="BA14" t="s">
        <v>89</v>
      </c>
      <c r="BB14" t="s">
        <v>63</v>
      </c>
      <c r="BC14" s="22">
        <v>-7.61146297547E-2</v>
      </c>
      <c r="BD14" t="s">
        <v>124</v>
      </c>
    </row>
    <row r="15" spans="1:58" x14ac:dyDescent="0.25">
      <c r="A15">
        <v>37</v>
      </c>
      <c r="B15" t="s">
        <v>76</v>
      </c>
      <c r="C15" t="s">
        <v>63</v>
      </c>
      <c r="D15">
        <v>-1.17061677191</v>
      </c>
      <c r="E15" t="s">
        <v>115</v>
      </c>
      <c r="H15" t="s">
        <v>116</v>
      </c>
      <c r="M15">
        <v>81</v>
      </c>
      <c r="N15" t="s">
        <v>140</v>
      </c>
      <c r="O15" t="s">
        <v>63</v>
      </c>
      <c r="P15">
        <v>0.91500335831599999</v>
      </c>
      <c r="Q15" t="s">
        <v>145</v>
      </c>
      <c r="W15">
        <v>40</v>
      </c>
      <c r="X15" t="s">
        <v>78</v>
      </c>
      <c r="Y15" t="s">
        <v>63</v>
      </c>
      <c r="Z15">
        <v>-0.43668173859600001</v>
      </c>
      <c r="AA15">
        <v>1</v>
      </c>
      <c r="AL15">
        <v>41</v>
      </c>
      <c r="AM15" t="s">
        <v>79</v>
      </c>
      <c r="AN15" t="s">
        <v>63</v>
      </c>
      <c r="AO15">
        <v>-0.92857142151799998</v>
      </c>
      <c r="AP15" t="s">
        <v>106</v>
      </c>
      <c r="AZ15">
        <v>69</v>
      </c>
      <c r="BA15" t="s">
        <v>198</v>
      </c>
      <c r="BB15" t="s">
        <v>63</v>
      </c>
      <c r="BC15">
        <v>4.2535185960500002</v>
      </c>
      <c r="BD15" t="s">
        <v>208</v>
      </c>
    </row>
    <row r="16" spans="1:58" x14ac:dyDescent="0.25">
      <c r="A16">
        <v>38</v>
      </c>
      <c r="B16" t="s">
        <v>77</v>
      </c>
      <c r="C16" t="s">
        <v>63</v>
      </c>
      <c r="D16">
        <v>-0.50005425535900005</v>
      </c>
      <c r="E16" t="s">
        <v>116</v>
      </c>
      <c r="M16">
        <v>82</v>
      </c>
      <c r="N16" t="s">
        <v>141</v>
      </c>
      <c r="O16" t="s">
        <v>63</v>
      </c>
      <c r="P16" s="22">
        <v>-2.7232831171200001E-2</v>
      </c>
      <c r="Q16" t="s">
        <v>146</v>
      </c>
      <c r="W16">
        <v>41</v>
      </c>
      <c r="X16" t="s">
        <v>79</v>
      </c>
      <c r="Y16" t="s">
        <v>63</v>
      </c>
      <c r="Z16">
        <v>-3.1062781391100001</v>
      </c>
      <c r="AA16" t="s">
        <v>106</v>
      </c>
      <c r="AL16">
        <v>43</v>
      </c>
      <c r="AM16" t="s">
        <v>172</v>
      </c>
      <c r="AN16" t="s">
        <v>63</v>
      </c>
      <c r="AO16">
        <v>-0.115623185214</v>
      </c>
      <c r="AP16" t="s">
        <v>164</v>
      </c>
      <c r="AZ16">
        <v>79</v>
      </c>
      <c r="BA16" t="s">
        <v>199</v>
      </c>
      <c r="BB16" t="s">
        <v>72</v>
      </c>
      <c r="BC16">
        <v>5</v>
      </c>
      <c r="BD16" t="s">
        <v>209</v>
      </c>
    </row>
    <row r="17" spans="1:56" x14ac:dyDescent="0.25">
      <c r="A17">
        <v>40</v>
      </c>
      <c r="B17" t="s">
        <v>78</v>
      </c>
      <c r="C17" t="s">
        <v>63</v>
      </c>
      <c r="D17">
        <v>-1.07632083804</v>
      </c>
      <c r="E17">
        <v>1</v>
      </c>
      <c r="M17">
        <v>83</v>
      </c>
      <c r="N17" t="s">
        <v>142</v>
      </c>
      <c r="O17" t="s">
        <v>63</v>
      </c>
      <c r="P17">
        <v>-1.41548419308</v>
      </c>
      <c r="Q17" t="s">
        <v>147</v>
      </c>
      <c r="W17">
        <v>42</v>
      </c>
      <c r="X17" t="s">
        <v>136</v>
      </c>
      <c r="Y17" t="s">
        <v>63</v>
      </c>
      <c r="Z17">
        <v>0.43342144713399999</v>
      </c>
      <c r="AA17" t="s">
        <v>107</v>
      </c>
      <c r="AL17">
        <v>48</v>
      </c>
      <c r="AM17" t="s">
        <v>77</v>
      </c>
      <c r="AN17" t="s">
        <v>63</v>
      </c>
      <c r="AO17">
        <v>-2.1236838848900002</v>
      </c>
      <c r="AP17" t="s">
        <v>116</v>
      </c>
      <c r="AZ17">
        <v>88</v>
      </c>
      <c r="BA17" t="s">
        <v>200</v>
      </c>
      <c r="BB17" t="s">
        <v>63</v>
      </c>
      <c r="BC17">
        <v>-0.23852894050599999</v>
      </c>
      <c r="BD17" t="s">
        <v>204</v>
      </c>
    </row>
    <row r="18" spans="1:56" x14ac:dyDescent="0.25">
      <c r="A18">
        <v>41</v>
      </c>
      <c r="B18" t="s">
        <v>79</v>
      </c>
      <c r="C18" t="s">
        <v>63</v>
      </c>
      <c r="D18">
        <v>-1.7451141218699999</v>
      </c>
      <c r="E18" t="s">
        <v>106</v>
      </c>
      <c r="W18">
        <v>48</v>
      </c>
      <c r="X18" t="s">
        <v>77</v>
      </c>
      <c r="Y18" t="s">
        <v>63</v>
      </c>
      <c r="Z18">
        <v>-0.39332327498699998</v>
      </c>
      <c r="AA18" t="s">
        <v>116</v>
      </c>
      <c r="AL18">
        <v>50</v>
      </c>
      <c r="AM18" t="s">
        <v>83</v>
      </c>
      <c r="AN18" t="s">
        <v>63</v>
      </c>
      <c r="AO18">
        <v>1.21463609016</v>
      </c>
      <c r="AP18">
        <v>1</v>
      </c>
      <c r="AZ18">
        <v>89</v>
      </c>
      <c r="BA18" t="s">
        <v>201</v>
      </c>
      <c r="BB18" t="s">
        <v>63</v>
      </c>
      <c r="BC18">
        <v>1.3187843664700001</v>
      </c>
      <c r="BD18" t="s">
        <v>205</v>
      </c>
    </row>
    <row r="19" spans="1:56" x14ac:dyDescent="0.25">
      <c r="A19">
        <v>44</v>
      </c>
      <c r="B19" t="s">
        <v>80</v>
      </c>
      <c r="C19" t="s">
        <v>63</v>
      </c>
      <c r="D19">
        <v>-0.26427109019</v>
      </c>
      <c r="E19" t="s">
        <v>117</v>
      </c>
      <c r="W19">
        <v>50</v>
      </c>
      <c r="X19" t="s">
        <v>83</v>
      </c>
      <c r="Y19" t="s">
        <v>63</v>
      </c>
      <c r="Z19">
        <v>2.20032936544</v>
      </c>
      <c r="AA19">
        <v>1</v>
      </c>
      <c r="AL19">
        <v>52</v>
      </c>
      <c r="AM19" t="s">
        <v>84</v>
      </c>
      <c r="AN19" t="s">
        <v>63</v>
      </c>
      <c r="AO19">
        <v>-0.87685347122000001</v>
      </c>
      <c r="AP19" t="s">
        <v>107</v>
      </c>
      <c r="AZ19">
        <v>99</v>
      </c>
      <c r="BA19" t="s">
        <v>105</v>
      </c>
      <c r="BB19" t="s">
        <v>63</v>
      </c>
      <c r="BC19">
        <v>0.96666822906600003</v>
      </c>
    </row>
    <row r="20" spans="1:56" x14ac:dyDescent="0.25">
      <c r="A20">
        <v>45</v>
      </c>
      <c r="B20" t="s">
        <v>81</v>
      </c>
      <c r="C20" t="s">
        <v>63</v>
      </c>
      <c r="D20">
        <v>-0.26346992705599998</v>
      </c>
      <c r="E20" t="s">
        <v>118</v>
      </c>
      <c r="W20">
        <v>53</v>
      </c>
      <c r="X20" t="s">
        <v>157</v>
      </c>
      <c r="Y20" t="s">
        <v>63</v>
      </c>
      <c r="Z20">
        <v>-1.27744217244</v>
      </c>
      <c r="AA20" t="s">
        <v>164</v>
      </c>
      <c r="AL20">
        <v>54</v>
      </c>
      <c r="AM20" t="s">
        <v>173</v>
      </c>
      <c r="AN20" t="s">
        <v>63</v>
      </c>
      <c r="AO20">
        <v>0.114530953724</v>
      </c>
      <c r="AP20" t="s">
        <v>117</v>
      </c>
    </row>
    <row r="21" spans="1:56" x14ac:dyDescent="0.25">
      <c r="A21">
        <v>47</v>
      </c>
      <c r="B21" t="s">
        <v>82</v>
      </c>
      <c r="C21" t="s">
        <v>63</v>
      </c>
      <c r="D21">
        <v>1.3756218553499999</v>
      </c>
      <c r="E21" t="s">
        <v>109</v>
      </c>
      <c r="W21">
        <v>54</v>
      </c>
      <c r="X21" t="s">
        <v>85</v>
      </c>
      <c r="Y21" t="s">
        <v>63</v>
      </c>
      <c r="Z21">
        <v>-0.17415467666600001</v>
      </c>
      <c r="AA21" t="s">
        <v>117</v>
      </c>
      <c r="AL21">
        <v>60</v>
      </c>
      <c r="AM21" t="s">
        <v>88</v>
      </c>
      <c r="AN21" t="s">
        <v>63</v>
      </c>
      <c r="AO21">
        <v>-6.5774811724299997</v>
      </c>
      <c r="AP21">
        <v>1</v>
      </c>
    </row>
    <row r="22" spans="1:56" x14ac:dyDescent="0.25">
      <c r="A22">
        <v>50</v>
      </c>
      <c r="B22" t="s">
        <v>83</v>
      </c>
      <c r="C22" t="s">
        <v>63</v>
      </c>
      <c r="D22">
        <v>1.2145079058199999</v>
      </c>
      <c r="E22">
        <v>1</v>
      </c>
      <c r="W22">
        <v>60</v>
      </c>
      <c r="X22" t="s">
        <v>88</v>
      </c>
      <c r="Y22" t="s">
        <v>63</v>
      </c>
      <c r="Z22">
        <v>-9.5721045222600001</v>
      </c>
      <c r="AA22">
        <v>1</v>
      </c>
      <c r="AL22">
        <v>61</v>
      </c>
      <c r="AM22" t="s">
        <v>89</v>
      </c>
      <c r="AN22" t="s">
        <v>63</v>
      </c>
      <c r="AO22">
        <v>1.0360071208699999</v>
      </c>
      <c r="AP22" t="s">
        <v>124</v>
      </c>
    </row>
    <row r="23" spans="1:56" x14ac:dyDescent="0.25">
      <c r="A23">
        <v>52</v>
      </c>
      <c r="B23" t="s">
        <v>84</v>
      </c>
      <c r="C23" t="s">
        <v>63</v>
      </c>
      <c r="D23">
        <v>-1.01885889266</v>
      </c>
      <c r="E23" t="s">
        <v>107</v>
      </c>
      <c r="W23">
        <v>61</v>
      </c>
      <c r="X23" t="s">
        <v>89</v>
      </c>
      <c r="Y23" t="s">
        <v>63</v>
      </c>
      <c r="Z23">
        <v>0.76617238553300004</v>
      </c>
      <c r="AA23" t="s">
        <v>124</v>
      </c>
      <c r="AL23">
        <v>63</v>
      </c>
      <c r="AM23" t="s">
        <v>158</v>
      </c>
      <c r="AN23" t="s">
        <v>63</v>
      </c>
      <c r="AO23">
        <v>-0.76682515659200001</v>
      </c>
      <c r="AP23" t="s">
        <v>148</v>
      </c>
    </row>
    <row r="24" spans="1:56" x14ac:dyDescent="0.25">
      <c r="A24">
        <v>54</v>
      </c>
      <c r="B24" t="s">
        <v>85</v>
      </c>
      <c r="C24" t="s">
        <v>63</v>
      </c>
      <c r="D24">
        <v>-0.78347783300499996</v>
      </c>
      <c r="E24" t="s">
        <v>117</v>
      </c>
      <c r="W24">
        <v>63</v>
      </c>
      <c r="X24" t="s">
        <v>158</v>
      </c>
      <c r="Y24" t="s">
        <v>63</v>
      </c>
      <c r="Z24">
        <v>-0.66187614505199999</v>
      </c>
      <c r="AA24" t="s">
        <v>148</v>
      </c>
      <c r="AL24">
        <v>73</v>
      </c>
      <c r="AM24" t="s">
        <v>138</v>
      </c>
      <c r="AN24" t="s">
        <v>63</v>
      </c>
      <c r="AO24">
        <v>-0.36705005247900002</v>
      </c>
      <c r="AP24" t="s">
        <v>148</v>
      </c>
    </row>
    <row r="25" spans="1:56" x14ac:dyDescent="0.25">
      <c r="A25">
        <v>56</v>
      </c>
      <c r="B25" t="s">
        <v>86</v>
      </c>
      <c r="C25" t="s">
        <v>63</v>
      </c>
      <c r="D25">
        <v>0.30803328101299998</v>
      </c>
      <c r="E25" t="s">
        <v>123</v>
      </c>
      <c r="W25">
        <v>71</v>
      </c>
      <c r="X25" t="s">
        <v>159</v>
      </c>
      <c r="Y25" t="s">
        <v>63</v>
      </c>
      <c r="Z25">
        <v>-0.659709011367</v>
      </c>
      <c r="AA25" t="s">
        <v>124</v>
      </c>
      <c r="AL25">
        <v>120</v>
      </c>
      <c r="AM25" t="s">
        <v>174</v>
      </c>
      <c r="AN25" t="s">
        <v>63</v>
      </c>
      <c r="AO25">
        <v>-1.37393186115</v>
      </c>
      <c r="AP25" t="s">
        <v>185</v>
      </c>
    </row>
    <row r="26" spans="1:56" x14ac:dyDescent="0.25">
      <c r="A26">
        <v>59</v>
      </c>
      <c r="B26" t="s">
        <v>87</v>
      </c>
      <c r="C26" t="s">
        <v>63</v>
      </c>
      <c r="D26">
        <v>-1.56467364191</v>
      </c>
      <c r="E26" t="s">
        <v>111</v>
      </c>
      <c r="W26">
        <v>124</v>
      </c>
      <c r="X26" t="s">
        <v>160</v>
      </c>
      <c r="Y26" t="s">
        <v>63</v>
      </c>
      <c r="Z26">
        <v>2.0023107306000001</v>
      </c>
      <c r="AA26" t="s">
        <v>166</v>
      </c>
      <c r="AL26">
        <v>124</v>
      </c>
      <c r="AM26" t="s">
        <v>160</v>
      </c>
      <c r="AN26" t="s">
        <v>63</v>
      </c>
      <c r="AO26">
        <v>1.98544962266</v>
      </c>
      <c r="AP26" t="s">
        <v>166</v>
      </c>
    </row>
    <row r="27" spans="1:56" x14ac:dyDescent="0.25">
      <c r="A27">
        <v>60</v>
      </c>
      <c r="B27" t="s">
        <v>88</v>
      </c>
      <c r="C27" t="s">
        <v>63</v>
      </c>
      <c r="D27">
        <v>-3.5143971590500001</v>
      </c>
      <c r="E27">
        <v>1</v>
      </c>
      <c r="G27" t="s">
        <v>6</v>
      </c>
      <c r="W27">
        <v>127</v>
      </c>
      <c r="X27" t="s">
        <v>161</v>
      </c>
      <c r="Y27" t="s">
        <v>63</v>
      </c>
      <c r="Z27" s="22">
        <v>1.0987901816399999E-2</v>
      </c>
      <c r="AA27" t="s">
        <v>149</v>
      </c>
      <c r="AL27">
        <v>128</v>
      </c>
      <c r="AM27" t="s">
        <v>162</v>
      </c>
      <c r="AN27" t="s">
        <v>63</v>
      </c>
      <c r="AO27" s="22">
        <v>1.56308175885E-4</v>
      </c>
      <c r="AP27" t="s">
        <v>126</v>
      </c>
    </row>
    <row r="28" spans="1:56" x14ac:dyDescent="0.25">
      <c r="A28">
        <v>61</v>
      </c>
      <c r="B28" t="s">
        <v>89</v>
      </c>
      <c r="C28" t="s">
        <v>63</v>
      </c>
      <c r="D28">
        <v>0.16084114056400001</v>
      </c>
      <c r="E28" t="s">
        <v>124</v>
      </c>
      <c r="W28">
        <v>128</v>
      </c>
      <c r="X28" t="s">
        <v>162</v>
      </c>
      <c r="Y28" t="s">
        <v>63</v>
      </c>
      <c r="Z28" s="22">
        <v>9.8072993996499997E-5</v>
      </c>
      <c r="AA28" t="s">
        <v>126</v>
      </c>
      <c r="AL28">
        <v>131</v>
      </c>
      <c r="AM28" t="s">
        <v>94</v>
      </c>
      <c r="AN28" t="s">
        <v>63</v>
      </c>
      <c r="AO28">
        <v>-0.48853505686199999</v>
      </c>
      <c r="AP28" t="s">
        <v>119</v>
      </c>
    </row>
    <row r="29" spans="1:56" x14ac:dyDescent="0.25">
      <c r="A29">
        <v>69</v>
      </c>
      <c r="B29" t="s">
        <v>90</v>
      </c>
      <c r="C29" t="s">
        <v>63</v>
      </c>
      <c r="D29">
        <v>0.51493638010999998</v>
      </c>
      <c r="E29" t="s">
        <v>110</v>
      </c>
      <c r="W29">
        <v>131</v>
      </c>
      <c r="X29" t="s">
        <v>94</v>
      </c>
      <c r="Y29" t="s">
        <v>63</v>
      </c>
      <c r="Z29">
        <v>-2.2170416796199999</v>
      </c>
      <c r="AA29" t="s">
        <v>119</v>
      </c>
      <c r="AL29">
        <v>132</v>
      </c>
      <c r="AM29" t="s">
        <v>95</v>
      </c>
      <c r="AN29" t="s">
        <v>63</v>
      </c>
      <c r="AO29">
        <v>0.231801803532</v>
      </c>
      <c r="AP29" t="s">
        <v>120</v>
      </c>
    </row>
    <row r="30" spans="1:56" x14ac:dyDescent="0.25">
      <c r="A30">
        <v>79</v>
      </c>
      <c r="B30" t="s">
        <v>91</v>
      </c>
      <c r="C30" t="s">
        <v>63</v>
      </c>
      <c r="D30" s="22">
        <v>-7.3787571266299996E-3</v>
      </c>
      <c r="E30" t="s">
        <v>110</v>
      </c>
      <c r="G30" t="s">
        <v>7</v>
      </c>
      <c r="W30">
        <v>132</v>
      </c>
      <c r="X30" t="s">
        <v>95</v>
      </c>
      <c r="Y30" t="s">
        <v>63</v>
      </c>
      <c r="Z30" s="22">
        <v>-3.1767087365000002E-2</v>
      </c>
      <c r="AA30" t="s">
        <v>120</v>
      </c>
      <c r="AL30">
        <v>133</v>
      </c>
      <c r="AM30" t="s">
        <v>96</v>
      </c>
      <c r="AN30" t="s">
        <v>63</v>
      </c>
      <c r="AO30">
        <v>-0.448982673572</v>
      </c>
      <c r="AP30" t="s">
        <v>119</v>
      </c>
    </row>
    <row r="31" spans="1:56" x14ac:dyDescent="0.25">
      <c r="A31">
        <v>122</v>
      </c>
      <c r="B31" t="s">
        <v>92</v>
      </c>
      <c r="C31" t="s">
        <v>63</v>
      </c>
      <c r="D31">
        <v>0.41910856576200001</v>
      </c>
      <c r="E31" t="s">
        <v>113</v>
      </c>
      <c r="W31">
        <v>133</v>
      </c>
      <c r="X31" t="s">
        <v>96</v>
      </c>
      <c r="Y31" t="s">
        <v>63</v>
      </c>
      <c r="Z31">
        <v>3.7030999967599998</v>
      </c>
      <c r="AA31" t="s">
        <v>119</v>
      </c>
      <c r="AL31">
        <v>134</v>
      </c>
      <c r="AM31" t="s">
        <v>97</v>
      </c>
      <c r="AN31" t="s">
        <v>63</v>
      </c>
      <c r="AO31">
        <v>0.337153571657</v>
      </c>
      <c r="AP31" t="s">
        <v>120</v>
      </c>
    </row>
    <row r="32" spans="1:56" x14ac:dyDescent="0.25">
      <c r="A32">
        <v>129</v>
      </c>
      <c r="B32" t="s">
        <v>93</v>
      </c>
      <c r="C32" t="s">
        <v>63</v>
      </c>
      <c r="D32">
        <v>2.5894917765500001</v>
      </c>
      <c r="E32" t="s">
        <v>112</v>
      </c>
      <c r="W32">
        <v>134</v>
      </c>
      <c r="X32" t="s">
        <v>97</v>
      </c>
      <c r="Y32" t="s">
        <v>63</v>
      </c>
      <c r="Z32">
        <v>0.24299252372800001</v>
      </c>
      <c r="AA32" t="s">
        <v>120</v>
      </c>
      <c r="AL32">
        <v>136</v>
      </c>
      <c r="AM32" t="s">
        <v>175</v>
      </c>
      <c r="AN32" t="s">
        <v>63</v>
      </c>
      <c r="AO32" s="22">
        <v>7.2810588779500002E-2</v>
      </c>
      <c r="AP32" t="s">
        <v>185</v>
      </c>
    </row>
    <row r="33" spans="1:42" x14ac:dyDescent="0.25">
      <c r="A33">
        <v>131</v>
      </c>
      <c r="B33" t="s">
        <v>94</v>
      </c>
      <c r="C33" t="s">
        <v>63</v>
      </c>
      <c r="D33">
        <v>-1.78374770832</v>
      </c>
      <c r="E33" t="s">
        <v>119</v>
      </c>
      <c r="W33">
        <v>162</v>
      </c>
      <c r="X33" t="s">
        <v>99</v>
      </c>
      <c r="Y33" t="s">
        <v>63</v>
      </c>
      <c r="Z33">
        <v>0.47993312787800002</v>
      </c>
      <c r="AA33" t="s">
        <v>128</v>
      </c>
      <c r="AD33" t="s">
        <v>129</v>
      </c>
      <c r="AL33">
        <v>137</v>
      </c>
      <c r="AM33" t="s">
        <v>176</v>
      </c>
      <c r="AN33" t="s">
        <v>63</v>
      </c>
      <c r="AO33">
        <v>2.1739211388099999</v>
      </c>
      <c r="AP33" t="s">
        <v>188</v>
      </c>
    </row>
    <row r="34" spans="1:42" x14ac:dyDescent="0.25">
      <c r="A34">
        <v>132</v>
      </c>
      <c r="B34" t="s">
        <v>95</v>
      </c>
      <c r="C34" t="s">
        <v>63</v>
      </c>
      <c r="D34">
        <v>0.219607287175</v>
      </c>
      <c r="E34" t="s">
        <v>120</v>
      </c>
      <c r="W34">
        <v>164</v>
      </c>
      <c r="X34" t="s">
        <v>101</v>
      </c>
      <c r="Y34" t="s">
        <v>63</v>
      </c>
      <c r="Z34">
        <v>2.4096342508199999</v>
      </c>
      <c r="AA34" t="s">
        <v>127</v>
      </c>
      <c r="AL34">
        <v>138</v>
      </c>
      <c r="AM34" t="s">
        <v>177</v>
      </c>
      <c r="AN34" t="s">
        <v>63</v>
      </c>
      <c r="AO34">
        <v>0.54895052211899997</v>
      </c>
      <c r="AP34" t="s">
        <v>189</v>
      </c>
    </row>
    <row r="35" spans="1:42" x14ac:dyDescent="0.25">
      <c r="A35">
        <v>133</v>
      </c>
      <c r="B35" t="s">
        <v>96</v>
      </c>
      <c r="C35" t="s">
        <v>63</v>
      </c>
      <c r="D35">
        <v>1.28842096954</v>
      </c>
      <c r="E35" t="s">
        <v>119</v>
      </c>
      <c r="W35">
        <v>168</v>
      </c>
      <c r="X35" t="s">
        <v>102</v>
      </c>
      <c r="Y35" t="s">
        <v>63</v>
      </c>
      <c r="Z35" s="22">
        <v>1.5323914424799999E-4</v>
      </c>
      <c r="AA35" t="s">
        <v>126</v>
      </c>
      <c r="AL35">
        <v>160</v>
      </c>
      <c r="AM35" t="s">
        <v>178</v>
      </c>
      <c r="AN35" t="s">
        <v>63</v>
      </c>
      <c r="AO35">
        <v>0.97577037596600003</v>
      </c>
      <c r="AP35" t="s">
        <v>189</v>
      </c>
    </row>
    <row r="36" spans="1:42" x14ac:dyDescent="0.25">
      <c r="A36">
        <v>134</v>
      </c>
      <c r="B36" t="s">
        <v>97</v>
      </c>
      <c r="C36" t="s">
        <v>63</v>
      </c>
      <c r="D36">
        <v>0.22135756046499999</v>
      </c>
      <c r="E36" t="s">
        <v>120</v>
      </c>
      <c r="W36">
        <v>169</v>
      </c>
      <c r="X36" t="s">
        <v>103</v>
      </c>
      <c r="Y36" t="s">
        <v>63</v>
      </c>
      <c r="Z36">
        <v>7.1710322282799996</v>
      </c>
      <c r="AA36" t="s">
        <v>125</v>
      </c>
      <c r="AL36">
        <v>161</v>
      </c>
      <c r="AM36" t="s">
        <v>98</v>
      </c>
      <c r="AN36" t="s">
        <v>63</v>
      </c>
      <c r="AO36">
        <v>0.73068915349300001</v>
      </c>
      <c r="AP36" t="s">
        <v>128</v>
      </c>
    </row>
    <row r="37" spans="1:42" x14ac:dyDescent="0.25">
      <c r="A37">
        <v>161</v>
      </c>
      <c r="B37" t="s">
        <v>98</v>
      </c>
      <c r="C37" t="s">
        <v>63</v>
      </c>
      <c r="D37">
        <v>1.07764073896</v>
      </c>
      <c r="E37" t="s">
        <v>128</v>
      </c>
      <c r="W37">
        <v>179</v>
      </c>
      <c r="X37" t="s">
        <v>104</v>
      </c>
      <c r="Y37" t="s">
        <v>63</v>
      </c>
      <c r="Z37">
        <v>0.925274561946</v>
      </c>
      <c r="AA37" t="s">
        <v>125</v>
      </c>
      <c r="AE37" t="s">
        <v>127</v>
      </c>
      <c r="AL37">
        <v>162</v>
      </c>
      <c r="AM37" t="s">
        <v>99</v>
      </c>
      <c r="AN37" t="s">
        <v>63</v>
      </c>
      <c r="AO37">
        <v>0.91913294534199996</v>
      </c>
      <c r="AP37" t="s">
        <v>129</v>
      </c>
    </row>
    <row r="38" spans="1:42" x14ac:dyDescent="0.25">
      <c r="A38">
        <v>162</v>
      </c>
      <c r="B38" t="s">
        <v>99</v>
      </c>
      <c r="C38" t="s">
        <v>63</v>
      </c>
      <c r="D38">
        <v>0.88180479210700002</v>
      </c>
      <c r="E38" t="s">
        <v>129</v>
      </c>
      <c r="W38">
        <v>99</v>
      </c>
      <c r="X38" t="s">
        <v>105</v>
      </c>
      <c r="Y38" t="s">
        <v>63</v>
      </c>
      <c r="Z38">
        <v>0.95968590185500002</v>
      </c>
      <c r="AL38">
        <v>163</v>
      </c>
      <c r="AM38" t="s">
        <v>100</v>
      </c>
      <c r="AN38" t="s">
        <v>63</v>
      </c>
      <c r="AO38">
        <v>-0.88337105065300003</v>
      </c>
      <c r="AP38" t="s">
        <v>130</v>
      </c>
    </row>
    <row r="39" spans="1:42" x14ac:dyDescent="0.25">
      <c r="A39">
        <v>163</v>
      </c>
      <c r="B39" t="s">
        <v>100</v>
      </c>
      <c r="C39" t="s">
        <v>63</v>
      </c>
      <c r="D39">
        <v>-1.1532748156899999</v>
      </c>
      <c r="E39" t="s">
        <v>130</v>
      </c>
      <c r="AL39">
        <v>164</v>
      </c>
      <c r="AM39" t="s">
        <v>101</v>
      </c>
      <c r="AN39" t="s">
        <v>63</v>
      </c>
      <c r="AO39">
        <v>2.8689614342600001</v>
      </c>
      <c r="AP39" t="s">
        <v>127</v>
      </c>
    </row>
    <row r="40" spans="1:42" x14ac:dyDescent="0.25">
      <c r="A40">
        <v>164</v>
      </c>
      <c r="B40" t="s">
        <v>101</v>
      </c>
      <c r="C40" t="s">
        <v>63</v>
      </c>
      <c r="D40">
        <v>0.93583173807599995</v>
      </c>
      <c r="E40" t="s">
        <v>127</v>
      </c>
      <c r="AL40">
        <v>165</v>
      </c>
      <c r="AM40" t="s">
        <v>179</v>
      </c>
      <c r="AN40" t="s">
        <v>63</v>
      </c>
      <c r="AO40" s="22">
        <v>8.0969107286800002E-4</v>
      </c>
      <c r="AP40" t="s">
        <v>190</v>
      </c>
    </row>
    <row r="41" spans="1:42" x14ac:dyDescent="0.25">
      <c r="A41">
        <v>168</v>
      </c>
      <c r="B41" t="s">
        <v>102</v>
      </c>
      <c r="C41" t="s">
        <v>63</v>
      </c>
      <c r="D41" s="22">
        <v>1.7653108240300001E-4</v>
      </c>
      <c r="E41" t="s">
        <v>126</v>
      </c>
      <c r="AL41">
        <v>168</v>
      </c>
      <c r="AM41" t="s">
        <v>102</v>
      </c>
      <c r="AN41" t="s">
        <v>63</v>
      </c>
      <c r="AO41" s="22">
        <v>5.6436182079000003E-5</v>
      </c>
      <c r="AP41" t="s">
        <v>126</v>
      </c>
    </row>
    <row r="42" spans="1:42" x14ac:dyDescent="0.25">
      <c r="A42">
        <v>169</v>
      </c>
      <c r="B42" t="s">
        <v>103</v>
      </c>
      <c r="C42" t="s">
        <v>63</v>
      </c>
      <c r="D42">
        <v>0.21170918018000001</v>
      </c>
      <c r="E42" t="s">
        <v>125</v>
      </c>
      <c r="AL42">
        <v>169</v>
      </c>
      <c r="AM42" t="s">
        <v>103</v>
      </c>
      <c r="AN42" t="s">
        <v>63</v>
      </c>
      <c r="AO42">
        <v>1.04301037572</v>
      </c>
      <c r="AP42" t="s">
        <v>125</v>
      </c>
    </row>
    <row r="43" spans="1:42" x14ac:dyDescent="0.25">
      <c r="A43">
        <v>179</v>
      </c>
      <c r="B43" t="s">
        <v>104</v>
      </c>
      <c r="C43" t="s">
        <v>63</v>
      </c>
      <c r="D43">
        <v>0.18728146335900001</v>
      </c>
      <c r="E43" t="s">
        <v>125</v>
      </c>
      <c r="AL43">
        <v>171</v>
      </c>
      <c r="AM43" t="s">
        <v>180</v>
      </c>
      <c r="AN43" t="s">
        <v>63</v>
      </c>
      <c r="AO43">
        <v>1.2382774015</v>
      </c>
      <c r="AP43" t="s">
        <v>188</v>
      </c>
    </row>
    <row r="44" spans="1:42" x14ac:dyDescent="0.25">
      <c r="A44">
        <v>99</v>
      </c>
      <c r="B44" t="s">
        <v>105</v>
      </c>
      <c r="C44" t="s">
        <v>63</v>
      </c>
      <c r="D44">
        <v>1</v>
      </c>
      <c r="AL44">
        <v>172</v>
      </c>
      <c r="AM44" t="s">
        <v>181</v>
      </c>
      <c r="AN44" t="s">
        <v>63</v>
      </c>
      <c r="AO44">
        <v>1.3528226166499999</v>
      </c>
      <c r="AP44" t="s">
        <v>189</v>
      </c>
    </row>
    <row r="45" spans="1:42" x14ac:dyDescent="0.25">
      <c r="AL45">
        <v>175</v>
      </c>
      <c r="AM45" t="s">
        <v>182</v>
      </c>
      <c r="AN45" t="s">
        <v>63</v>
      </c>
      <c r="AO45" s="22">
        <v>8.3440753078999996E-4</v>
      </c>
      <c r="AP45" t="s">
        <v>190</v>
      </c>
    </row>
    <row r="46" spans="1:42" x14ac:dyDescent="0.25">
      <c r="AL46">
        <v>178</v>
      </c>
      <c r="AM46" t="s">
        <v>183</v>
      </c>
      <c r="AN46" t="s">
        <v>63</v>
      </c>
      <c r="AO46" s="22">
        <v>1.08742831019E-5</v>
      </c>
      <c r="AP46" t="s">
        <v>191</v>
      </c>
    </row>
    <row r="47" spans="1:42" x14ac:dyDescent="0.25">
      <c r="AL47">
        <v>99</v>
      </c>
      <c r="AM47" t="s">
        <v>105</v>
      </c>
      <c r="AN47" t="s">
        <v>63</v>
      </c>
      <c r="AO47">
        <v>0.78390199493699997</v>
      </c>
    </row>
  </sheetData>
  <pageMargins bottom="0.75" footer="0.3" header="0.3" left="0.7" right="0.7" top="0.75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232"/>
  <sheetViews>
    <sheetView workbookViewId="0">
      <selection activeCell="A8" sqref="A8:K232"/>
    </sheetView>
  </sheetViews>
  <sheetFormatPr defaultRowHeight="15" x14ac:dyDescent="0.25"/>
  <cols>
    <col min="6" max="6" bestFit="true" customWidth="true" width="12.0" collapsed="true"/>
  </cols>
  <sheetData>
    <row r="1" spans="1:11" x14ac:dyDescent="0.25">
      <c r="A1" s="31" t="s">
        <v>214</v>
      </c>
      <c r="B1" s="29"/>
      <c r="C1" s="29"/>
      <c r="D1" s="29"/>
      <c r="E1" s="29"/>
      <c r="F1" s="29"/>
      <c r="G1" s="29"/>
      <c r="H1" s="29" t="s">
        <v>215</v>
      </c>
      <c r="I1" s="29"/>
      <c r="J1" s="29"/>
      <c r="K1" s="29"/>
    </row>
    <row r="2" spans="1:11" x14ac:dyDescent="0.25">
      <c r="A2" s="29">
        <v>1</v>
      </c>
      <c r="B2" s="29" t="s">
        <v>290</v>
      </c>
      <c r="C2" s="29"/>
      <c r="D2" s="29"/>
      <c r="E2" s="29"/>
      <c r="F2" s="29"/>
      <c r="G2" s="29"/>
      <c r="H2" s="29"/>
      <c r="I2" s="29"/>
      <c r="J2" s="29"/>
      <c r="K2" s="29"/>
    </row>
    <row r="3" spans="1:11" x14ac:dyDescent="0.25">
      <c r="A3" s="29">
        <v>2</v>
      </c>
      <c r="B3" s="29" t="s">
        <v>216</v>
      </c>
      <c r="C3" s="29"/>
      <c r="D3" s="29"/>
      <c r="E3" s="29"/>
      <c r="F3" s="29"/>
      <c r="G3" s="29"/>
      <c r="H3" s="29"/>
      <c r="I3" s="29"/>
      <c r="J3" s="29"/>
      <c r="K3" s="29"/>
    </row>
    <row r="4" spans="1:11" x14ac:dyDescent="0.25">
      <c r="A4" s="29">
        <v>3</v>
      </c>
      <c r="B4" s="29" t="s">
        <v>217</v>
      </c>
      <c r="C4" s="29"/>
      <c r="D4" s="29"/>
      <c r="E4" s="29"/>
      <c r="F4" s="29"/>
      <c r="G4" s="29"/>
      <c r="H4" s="29"/>
      <c r="I4" s="29"/>
      <c r="J4" s="29"/>
      <c r="K4" s="29"/>
    </row>
    <row r="5" spans="1:11" x14ac:dyDescent="0.25">
      <c r="A5" s="29">
        <v>4</v>
      </c>
      <c r="B5" s="29" t="s">
        <v>218</v>
      </c>
      <c r="C5" s="29"/>
      <c r="D5" s="29"/>
      <c r="E5" s="29"/>
      <c r="F5" s="29"/>
      <c r="G5" s="29"/>
      <c r="H5" s="29"/>
      <c r="I5" s="29"/>
      <c r="J5" s="29"/>
      <c r="K5" s="29"/>
    </row>
    <row r="6" spans="1:11" x14ac:dyDescent="0.25">
      <c r="A6" s="29"/>
      <c r="B6" s="29"/>
      <c r="C6" s="29"/>
      <c r="D6" s="29"/>
      <c r="E6" s="29"/>
      <c r="F6" s="29"/>
      <c r="G6" s="29"/>
      <c r="H6" s="29"/>
      <c r="I6" s="29"/>
      <c r="J6" s="29"/>
      <c r="K6" s="29"/>
    </row>
    <row r="8" spans="1:11" x14ac:dyDescent="0.25">
      <c r="A8" t="s">
        <v>219</v>
      </c>
      <c r="B8" t="s">
        <v>220</v>
      </c>
      <c r="C8" t="s">
        <v>221</v>
      </c>
      <c r="D8" t="s">
        <v>222</v>
      </c>
    </row>
    <row r="9" spans="1:11" x14ac:dyDescent="0.25">
      <c r="A9" t="s">
        <v>223</v>
      </c>
      <c r="B9" t="s">
        <v>224</v>
      </c>
      <c r="C9" t="s">
        <v>225</v>
      </c>
      <c r="D9" t="s">
        <v>226</v>
      </c>
      <c r="E9">
        <v>4</v>
      </c>
      <c r="F9" s="27">
        <v>0.85332175925925924</v>
      </c>
      <c r="G9" t="s">
        <v>227</v>
      </c>
      <c r="H9">
        <v>30</v>
      </c>
      <c r="I9" t="s">
        <v>303</v>
      </c>
      <c r="J9">
        <v>20</v>
      </c>
    </row>
    <row r="10" spans="1:11" x14ac:dyDescent="0.25">
      <c r="A10" t="s">
        <v>228</v>
      </c>
    </row>
    <row r="11" spans="1:11" x14ac:dyDescent="0.25">
      <c r="B11">
        <v>1</v>
      </c>
      <c r="C11" t="s">
        <v>62</v>
      </c>
      <c r="D11" t="s">
        <v>63</v>
      </c>
      <c r="E11">
        <v>0.38751855404000002</v>
      </c>
    </row>
    <row r="12" spans="1:11" x14ac:dyDescent="0.25">
      <c r="B12">
        <v>2</v>
      </c>
      <c r="C12" t="s">
        <v>64</v>
      </c>
      <c r="D12" t="s">
        <v>63</v>
      </c>
      <c r="E12">
        <v>0.72548525122999996</v>
      </c>
      <c r="F12" s="22"/>
    </row>
    <row r="13" spans="1:11" x14ac:dyDescent="0.25">
      <c r="B13">
        <v>10</v>
      </c>
      <c r="C13" t="s">
        <v>150</v>
      </c>
      <c r="D13" t="s">
        <v>63</v>
      </c>
      <c r="E13">
        <v>-4.1694859990589999</v>
      </c>
    </row>
    <row r="14" spans="1:11" x14ac:dyDescent="0.25">
      <c r="B14">
        <v>11</v>
      </c>
      <c r="C14" t="s">
        <v>151</v>
      </c>
      <c r="D14" t="s">
        <v>72</v>
      </c>
      <c r="E14">
        <v>-1.5216688378030001</v>
      </c>
    </row>
    <row r="15" spans="1:11" x14ac:dyDescent="0.25">
      <c r="B15">
        <v>13</v>
      </c>
      <c r="C15" t="s">
        <v>152</v>
      </c>
      <c r="D15" t="s">
        <v>72</v>
      </c>
      <c r="E15">
        <v>-2.2179916638749999</v>
      </c>
    </row>
    <row r="16" spans="1:11" x14ac:dyDescent="0.25">
      <c r="B16">
        <v>20</v>
      </c>
      <c r="C16" t="s">
        <v>68</v>
      </c>
      <c r="D16" t="s">
        <v>63</v>
      </c>
      <c r="E16">
        <v>-3.7228693618880002</v>
      </c>
    </row>
    <row r="17" spans="2:6" x14ac:dyDescent="0.25">
      <c r="B17">
        <v>21</v>
      </c>
      <c r="C17" t="s">
        <v>69</v>
      </c>
      <c r="D17" t="s">
        <v>63</v>
      </c>
      <c r="E17">
        <v>0.49616873415399998</v>
      </c>
    </row>
    <row r="18" spans="2:6" x14ac:dyDescent="0.25">
      <c r="B18">
        <v>22</v>
      </c>
      <c r="C18" t="s">
        <v>70</v>
      </c>
      <c r="D18" t="s">
        <v>63</v>
      </c>
      <c r="E18">
        <v>-0.63179454813900005</v>
      </c>
    </row>
    <row r="19" spans="2:6" x14ac:dyDescent="0.25">
      <c r="B19">
        <v>30</v>
      </c>
      <c r="C19" t="s">
        <v>75</v>
      </c>
      <c r="D19" t="s">
        <v>63</v>
      </c>
      <c r="E19">
        <v>0.493317392247</v>
      </c>
      <c r="F19" s="22"/>
    </row>
    <row r="20" spans="2:6" x14ac:dyDescent="0.25">
      <c r="B20">
        <v>31</v>
      </c>
      <c r="C20" t="s">
        <v>153</v>
      </c>
      <c r="D20" t="s">
        <v>63</v>
      </c>
      <c r="E20">
        <v>0.43571264025700002</v>
      </c>
      <c r="F20" s="22"/>
    </row>
    <row r="21" spans="2:6" x14ac:dyDescent="0.25">
      <c r="B21">
        <v>32</v>
      </c>
      <c r="C21" t="s">
        <v>154</v>
      </c>
      <c r="D21" t="s">
        <v>63</v>
      </c>
      <c r="E21">
        <v>0.268200847646</v>
      </c>
      <c r="F21" s="22"/>
    </row>
    <row r="22" spans="2:6" x14ac:dyDescent="0.25">
      <c r="B22">
        <v>35</v>
      </c>
      <c r="C22" t="s">
        <v>155</v>
      </c>
      <c r="D22" t="s">
        <v>63</v>
      </c>
      <c r="E22">
        <v>-0.60408677025199997</v>
      </c>
      <c r="F22" s="22"/>
    </row>
    <row r="23" spans="2:6" x14ac:dyDescent="0.25">
      <c r="B23">
        <v>36</v>
      </c>
      <c r="C23" t="s">
        <v>79</v>
      </c>
      <c r="D23" t="s">
        <v>63</v>
      </c>
      <c r="E23">
        <v>0.33576925766499999</v>
      </c>
    </row>
    <row r="24" spans="2:6" x14ac:dyDescent="0.25">
      <c r="B24">
        <v>37</v>
      </c>
      <c r="C24" t="s">
        <v>136</v>
      </c>
      <c r="D24" t="s">
        <v>63</v>
      </c>
      <c r="E24">
        <v>-2.4625361870000001E-2</v>
      </c>
    </row>
    <row r="25" spans="2:6" x14ac:dyDescent="0.25">
      <c r="B25">
        <v>38</v>
      </c>
      <c r="C25" t="s">
        <v>156</v>
      </c>
      <c r="D25" t="s">
        <v>63</v>
      </c>
      <c r="E25">
        <v>-2.9491028317699999</v>
      </c>
    </row>
    <row r="26" spans="2:6" x14ac:dyDescent="0.25">
      <c r="B26">
        <v>39</v>
      </c>
      <c r="C26" t="s">
        <v>76</v>
      </c>
      <c r="D26" t="s">
        <v>63</v>
      </c>
      <c r="E26">
        <v>-2.0533392782500002</v>
      </c>
    </row>
    <row r="27" spans="2:6" x14ac:dyDescent="0.25">
      <c r="B27">
        <v>40</v>
      </c>
      <c r="C27" t="s">
        <v>78</v>
      </c>
      <c r="D27" t="s">
        <v>63</v>
      </c>
      <c r="E27">
        <v>0.25334031755000003</v>
      </c>
    </row>
    <row r="28" spans="2:6" x14ac:dyDescent="0.25">
      <c r="B28">
        <v>41</v>
      </c>
      <c r="C28" t="s">
        <v>79</v>
      </c>
      <c r="D28" t="s">
        <v>63</v>
      </c>
      <c r="E28">
        <v>-2.787379343874</v>
      </c>
    </row>
    <row r="29" spans="2:6" x14ac:dyDescent="0.25">
      <c r="B29">
        <v>42</v>
      </c>
      <c r="C29" t="s">
        <v>136</v>
      </c>
      <c r="D29" t="s">
        <v>63</v>
      </c>
      <c r="E29">
        <v>-0.39930569078900002</v>
      </c>
    </row>
    <row r="30" spans="2:6" x14ac:dyDescent="0.25">
      <c r="B30">
        <v>43</v>
      </c>
      <c r="C30" t="s">
        <v>172</v>
      </c>
      <c r="D30" t="s">
        <v>63</v>
      </c>
      <c r="E30">
        <v>-0.92193237718599996</v>
      </c>
    </row>
    <row r="31" spans="2:6" x14ac:dyDescent="0.25">
      <c r="B31">
        <v>48</v>
      </c>
      <c r="C31" t="s">
        <v>77</v>
      </c>
      <c r="D31" t="s">
        <v>63</v>
      </c>
      <c r="E31">
        <v>-1.7905367731699999</v>
      </c>
    </row>
    <row r="32" spans="2:6" x14ac:dyDescent="0.25">
      <c r="B32">
        <v>50</v>
      </c>
      <c r="C32" t="s">
        <v>83</v>
      </c>
      <c r="D32" t="s">
        <v>63</v>
      </c>
      <c r="E32">
        <v>2.3771221655580002</v>
      </c>
    </row>
    <row r="33" spans="2:6" x14ac:dyDescent="0.25">
      <c r="B33">
        <v>53</v>
      </c>
      <c r="C33" t="s">
        <v>157</v>
      </c>
      <c r="D33" t="s">
        <v>63</v>
      </c>
      <c r="E33">
        <v>-2.5076394762410001</v>
      </c>
    </row>
    <row r="34" spans="2:6" x14ac:dyDescent="0.25">
      <c r="B34">
        <v>54</v>
      </c>
      <c r="C34" t="s">
        <v>85</v>
      </c>
      <c r="D34" t="s">
        <v>72</v>
      </c>
      <c r="E34">
        <v>0</v>
      </c>
    </row>
    <row r="35" spans="2:6" x14ac:dyDescent="0.25">
      <c r="B35">
        <v>60</v>
      </c>
      <c r="C35" t="s">
        <v>88</v>
      </c>
      <c r="D35" t="s">
        <v>63</v>
      </c>
      <c r="E35" s="22">
        <v>-2.835622054795</v>
      </c>
      <c r="F35" s="22"/>
    </row>
    <row r="36" spans="2:6" x14ac:dyDescent="0.25">
      <c r="B36">
        <v>61</v>
      </c>
      <c r="C36" t="s">
        <v>89</v>
      </c>
      <c r="D36" t="s">
        <v>63</v>
      </c>
      <c r="E36" s="22">
        <v>-0.71011385941500005</v>
      </c>
      <c r="F36" s="22"/>
    </row>
    <row r="37" spans="2:6" x14ac:dyDescent="0.25">
      <c r="B37">
        <v>63</v>
      </c>
      <c r="C37" t="s">
        <v>158</v>
      </c>
      <c r="D37" t="s">
        <v>63</v>
      </c>
      <c r="E37">
        <v>-0.57171976779</v>
      </c>
    </row>
    <row r="38" spans="2:6" x14ac:dyDescent="0.25">
      <c r="B38">
        <v>67</v>
      </c>
      <c r="C38" t="s">
        <v>262</v>
      </c>
      <c r="D38" t="s">
        <v>63</v>
      </c>
      <c r="E38" s="22">
        <v>-2.8960847333520001</v>
      </c>
      <c r="F38" s="22"/>
    </row>
    <row r="39" spans="2:6" x14ac:dyDescent="0.25">
      <c r="B39">
        <v>68</v>
      </c>
      <c r="C39" t="s">
        <v>263</v>
      </c>
      <c r="D39" t="s">
        <v>63</v>
      </c>
      <c r="E39">
        <v>0.91435696055000004</v>
      </c>
    </row>
    <row r="40" spans="2:6" x14ac:dyDescent="0.25">
      <c r="B40">
        <v>70</v>
      </c>
      <c r="C40" t="s">
        <v>264</v>
      </c>
      <c r="D40" t="s">
        <v>72</v>
      </c>
      <c r="E40" s="22">
        <v>-0.68937617037800003</v>
      </c>
      <c r="F40" s="22"/>
    </row>
    <row r="41" spans="2:6" x14ac:dyDescent="0.25">
      <c r="B41">
        <v>71</v>
      </c>
      <c r="C41" t="s">
        <v>159</v>
      </c>
      <c r="D41" t="s">
        <v>63</v>
      </c>
      <c r="E41" s="22">
        <v>-1.0362972676</v>
      </c>
      <c r="F41" s="22"/>
    </row>
    <row r="42" spans="2:6" x14ac:dyDescent="0.25">
      <c r="B42">
        <v>77</v>
      </c>
      <c r="C42" t="s">
        <v>265</v>
      </c>
      <c r="D42" t="s">
        <v>63</v>
      </c>
      <c r="E42">
        <v>-2.1963904726400001</v>
      </c>
    </row>
    <row r="43" spans="2:6" x14ac:dyDescent="0.25">
      <c r="B43">
        <v>78</v>
      </c>
      <c r="C43" t="s">
        <v>266</v>
      </c>
      <c r="D43" t="s">
        <v>63</v>
      </c>
      <c r="E43" s="22">
        <v>0.74411496046699999</v>
      </c>
      <c r="F43" s="22"/>
    </row>
    <row r="44" spans="2:6" x14ac:dyDescent="0.25">
      <c r="B44">
        <v>80</v>
      </c>
      <c r="C44" t="s">
        <v>304</v>
      </c>
      <c r="D44" t="s">
        <v>63</v>
      </c>
      <c r="E44" s="22">
        <v>-6.0327691247040001</v>
      </c>
      <c r="F44" s="22"/>
    </row>
    <row r="45" spans="2:6" x14ac:dyDescent="0.25">
      <c r="B45">
        <v>81</v>
      </c>
      <c r="C45" t="s">
        <v>305</v>
      </c>
      <c r="D45" t="s">
        <v>63</v>
      </c>
      <c r="E45" s="22">
        <v>0.54246090563500005</v>
      </c>
      <c r="F45" s="22"/>
    </row>
    <row r="46" spans="2:6" x14ac:dyDescent="0.25">
      <c r="B46">
        <v>82</v>
      </c>
      <c r="C46" t="s">
        <v>306</v>
      </c>
      <c r="D46" t="s">
        <v>72</v>
      </c>
      <c r="E46">
        <v>4.0887863357249996</v>
      </c>
    </row>
    <row r="47" spans="2:6" x14ac:dyDescent="0.25">
      <c r="B47">
        <v>83</v>
      </c>
      <c r="C47" t="s">
        <v>307</v>
      </c>
      <c r="D47" t="s">
        <v>63</v>
      </c>
      <c r="E47" s="22">
        <v>0.77710732458999998</v>
      </c>
      <c r="F47" s="22"/>
    </row>
    <row r="48" spans="2:6" x14ac:dyDescent="0.25">
      <c r="B48">
        <v>84</v>
      </c>
      <c r="C48" s="22" t="s">
        <v>308</v>
      </c>
      <c r="D48" s="22" t="s">
        <v>72</v>
      </c>
      <c r="E48" s="22">
        <v>0</v>
      </c>
    </row>
    <row r="49" spans="2:6" x14ac:dyDescent="0.25">
      <c r="B49">
        <v>85</v>
      </c>
      <c r="C49" t="s">
        <v>309</v>
      </c>
      <c r="D49" t="s">
        <v>63</v>
      </c>
      <c r="E49" s="22">
        <v>3.6091864000000001E-5</v>
      </c>
      <c r="F49" s="22"/>
    </row>
    <row r="50" spans="2:6" x14ac:dyDescent="0.25">
      <c r="B50">
        <v>86</v>
      </c>
      <c r="C50" t="s">
        <v>310</v>
      </c>
      <c r="D50" t="s">
        <v>63</v>
      </c>
      <c r="E50" s="22">
        <v>3.2451793000000001E-5</v>
      </c>
      <c r="F50" s="22"/>
    </row>
    <row r="51" spans="2:6" x14ac:dyDescent="0.25">
      <c r="B51">
        <v>87</v>
      </c>
      <c r="C51" t="s">
        <v>311</v>
      </c>
      <c r="D51" t="s">
        <v>63</v>
      </c>
      <c r="E51">
        <v>2.4408076145500002</v>
      </c>
      <c r="F51" s="22"/>
    </row>
    <row r="52" spans="2:6" x14ac:dyDescent="0.25">
      <c r="B52">
        <v>88</v>
      </c>
      <c r="C52" t="s">
        <v>312</v>
      </c>
      <c r="D52" t="s">
        <v>72</v>
      </c>
      <c r="E52" s="22">
        <v>0</v>
      </c>
      <c r="F52" s="22"/>
    </row>
    <row r="53" spans="2:6" x14ac:dyDescent="0.25">
      <c r="B53">
        <v>100</v>
      </c>
      <c r="C53" t="s">
        <v>313</v>
      </c>
      <c r="D53" t="s">
        <v>72</v>
      </c>
      <c r="E53">
        <v>0</v>
      </c>
    </row>
    <row r="54" spans="2:6" x14ac:dyDescent="0.25">
      <c r="B54">
        <v>124</v>
      </c>
      <c r="C54" t="s">
        <v>160</v>
      </c>
      <c r="D54" t="s">
        <v>63</v>
      </c>
      <c r="E54">
        <v>0.56516994677099996</v>
      </c>
    </row>
    <row r="55" spans="2:6" x14ac:dyDescent="0.25">
      <c r="B55">
        <v>127</v>
      </c>
      <c r="C55" t="s">
        <v>161</v>
      </c>
      <c r="D55" t="s">
        <v>72</v>
      </c>
      <c r="E55">
        <v>0</v>
      </c>
    </row>
    <row r="56" spans="2:6" x14ac:dyDescent="0.25">
      <c r="B56">
        <v>128</v>
      </c>
      <c r="C56" t="s">
        <v>162</v>
      </c>
      <c r="D56" t="s">
        <v>63</v>
      </c>
      <c r="E56" s="22">
        <v>1.8686399999999999E-4</v>
      </c>
      <c r="F56" s="22"/>
    </row>
    <row r="57" spans="2:6" x14ac:dyDescent="0.25">
      <c r="B57">
        <v>131</v>
      </c>
      <c r="C57" s="22" t="s">
        <v>94</v>
      </c>
      <c r="D57" s="22" t="s">
        <v>63</v>
      </c>
      <c r="E57" s="22">
        <v>-1.97107849253</v>
      </c>
      <c r="F57" s="22"/>
    </row>
    <row r="58" spans="2:6" x14ac:dyDescent="0.25">
      <c r="B58">
        <v>132</v>
      </c>
      <c r="C58" t="s">
        <v>95</v>
      </c>
      <c r="D58" t="s">
        <v>63</v>
      </c>
      <c r="E58" s="22">
        <v>-5.6643063026000001E-2</v>
      </c>
      <c r="F58" s="22"/>
    </row>
    <row r="59" spans="2:6" x14ac:dyDescent="0.25">
      <c r="B59">
        <v>133</v>
      </c>
      <c r="C59" s="22" t="s">
        <v>96</v>
      </c>
      <c r="D59" s="22" t="s">
        <v>63</v>
      </c>
      <c r="E59" s="22">
        <v>4.3312129562499999</v>
      </c>
      <c r="F59" s="22"/>
    </row>
    <row r="60" spans="2:6" x14ac:dyDescent="0.25">
      <c r="B60">
        <v>134</v>
      </c>
      <c r="C60" t="s">
        <v>97</v>
      </c>
      <c r="D60" t="s">
        <v>63</v>
      </c>
      <c r="E60">
        <v>0.12937128629399999</v>
      </c>
      <c r="F60" s="22"/>
    </row>
    <row r="61" spans="2:6" x14ac:dyDescent="0.25">
      <c r="B61">
        <v>161</v>
      </c>
      <c r="C61" t="s">
        <v>98</v>
      </c>
      <c r="D61" t="s">
        <v>63</v>
      </c>
      <c r="E61" s="22">
        <v>0.52181730896699996</v>
      </c>
      <c r="F61" s="22"/>
    </row>
    <row r="62" spans="2:6" x14ac:dyDescent="0.25">
      <c r="B62">
        <v>162</v>
      </c>
      <c r="C62" t="s">
        <v>99</v>
      </c>
      <c r="D62" t="s">
        <v>63</v>
      </c>
      <c r="E62">
        <v>0.93626758455400005</v>
      </c>
    </row>
    <row r="63" spans="2:6" x14ac:dyDescent="0.25">
      <c r="B63">
        <v>163</v>
      </c>
      <c r="C63" t="s">
        <v>314</v>
      </c>
      <c r="D63" t="s">
        <v>63</v>
      </c>
      <c r="E63">
        <v>-0.65749372243799997</v>
      </c>
    </row>
    <row r="64" spans="2:6" x14ac:dyDescent="0.25">
      <c r="B64">
        <v>164</v>
      </c>
      <c r="C64" t="s">
        <v>101</v>
      </c>
      <c r="D64" t="s">
        <v>72</v>
      </c>
      <c r="E64" s="22">
        <v>0</v>
      </c>
      <c r="F64" s="22"/>
    </row>
    <row r="65" spans="2:11" x14ac:dyDescent="0.25">
      <c r="B65">
        <v>165</v>
      </c>
      <c r="C65" t="s">
        <v>315</v>
      </c>
      <c r="D65" t="s">
        <v>63</v>
      </c>
      <c r="E65" s="22">
        <v>9.8596845699999995E-4</v>
      </c>
      <c r="F65" s="22"/>
    </row>
    <row r="66" spans="2:11" x14ac:dyDescent="0.25">
      <c r="B66">
        <v>166</v>
      </c>
      <c r="C66" t="s">
        <v>316</v>
      </c>
      <c r="D66" t="s">
        <v>72</v>
      </c>
      <c r="E66">
        <v>0</v>
      </c>
      <c r="F66" s="22"/>
    </row>
    <row r="67" spans="2:11" x14ac:dyDescent="0.25">
      <c r="B67">
        <v>167</v>
      </c>
      <c r="C67" t="s">
        <v>317</v>
      </c>
      <c r="D67" t="s">
        <v>72</v>
      </c>
      <c r="E67">
        <v>0</v>
      </c>
    </row>
    <row r="68" spans="2:11" x14ac:dyDescent="0.25">
      <c r="B68">
        <v>168</v>
      </c>
      <c r="C68" s="22" t="s">
        <v>102</v>
      </c>
      <c r="D68" s="22" t="s">
        <v>63</v>
      </c>
      <c r="E68" s="22">
        <v>1.03250188E-4</v>
      </c>
      <c r="F68" s="22"/>
    </row>
    <row r="69" spans="2:11" x14ac:dyDescent="0.25">
      <c r="B69">
        <v>169</v>
      </c>
      <c r="C69" t="s">
        <v>103</v>
      </c>
      <c r="D69" t="s">
        <v>72</v>
      </c>
      <c r="E69">
        <v>0</v>
      </c>
    </row>
    <row r="70" spans="2:11" x14ac:dyDescent="0.25">
      <c r="B70">
        <v>175</v>
      </c>
      <c r="C70" t="s">
        <v>318</v>
      </c>
      <c r="D70" t="s">
        <v>63</v>
      </c>
      <c r="E70" s="22">
        <v>7.2893821499999995E-4</v>
      </c>
      <c r="F70" s="22"/>
    </row>
    <row r="71" spans="2:11" x14ac:dyDescent="0.25">
      <c r="B71">
        <v>176</v>
      </c>
      <c r="C71" t="s">
        <v>319</v>
      </c>
      <c r="D71" t="s">
        <v>72</v>
      </c>
      <c r="E71">
        <v>0</v>
      </c>
    </row>
    <row r="72" spans="2:11" x14ac:dyDescent="0.25">
      <c r="B72">
        <v>177</v>
      </c>
      <c r="C72" t="s">
        <v>320</v>
      </c>
      <c r="D72" t="s">
        <v>72</v>
      </c>
      <c r="E72">
        <v>0</v>
      </c>
    </row>
    <row r="73" spans="2:11" x14ac:dyDescent="0.25">
      <c r="B73">
        <v>178</v>
      </c>
      <c r="C73" t="s">
        <v>183</v>
      </c>
      <c r="D73" t="s">
        <v>63</v>
      </c>
      <c r="E73" s="22">
        <v>1.9052288199999999E-4</v>
      </c>
      <c r="F73" s="22"/>
    </row>
    <row r="74" spans="2:11" x14ac:dyDescent="0.25">
      <c r="B74">
        <v>179</v>
      </c>
      <c r="C74" t="s">
        <v>321</v>
      </c>
      <c r="D74" t="s">
        <v>72</v>
      </c>
      <c r="E74">
        <v>0</v>
      </c>
    </row>
    <row r="75" spans="2:11" x14ac:dyDescent="0.25">
      <c r="B75">
        <v>99</v>
      </c>
      <c r="C75" t="s">
        <v>105</v>
      </c>
      <c r="D75" t="s">
        <v>63</v>
      </c>
      <c r="E75">
        <v>0.63589016532800002</v>
      </c>
      <c r="F75" s="22"/>
    </row>
    <row r="76" spans="2:11" x14ac:dyDescent="0.25">
      <c r="B76">
        <v>-1</v>
      </c>
    </row>
    <row r="77" spans="2:11" x14ac:dyDescent="0.25">
      <c r="B77">
        <v>6849</v>
      </c>
      <c r="C77" s="22">
        <v>-8081.3091737000004</v>
      </c>
      <c r="D77" s="22">
        <v>-13584.3890692</v>
      </c>
      <c r="E77" s="22">
        <v>-5782.9464855400001</v>
      </c>
    </row>
    <row r="78" spans="2:11" x14ac:dyDescent="0.25">
      <c r="B78">
        <v>18</v>
      </c>
      <c r="C78" t="s">
        <v>322</v>
      </c>
      <c r="D78" t="s">
        <v>227</v>
      </c>
      <c r="E78">
        <v>30</v>
      </c>
      <c r="F78" t="s">
        <v>303</v>
      </c>
      <c r="G78">
        <v>20</v>
      </c>
    </row>
    <row r="79" spans="2:11" x14ac:dyDescent="0.25">
      <c r="B79">
        <v>13525</v>
      </c>
      <c r="C79">
        <v>-10330</v>
      </c>
      <c r="D79">
        <v>-82646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</row>
    <row r="80" spans="2:11" x14ac:dyDescent="0.25">
      <c r="B80">
        <v>-8264</v>
      </c>
      <c r="C80">
        <v>-51503</v>
      </c>
      <c r="D80">
        <v>67354</v>
      </c>
      <c r="E80">
        <v>0</v>
      </c>
      <c r="F80">
        <v>0</v>
      </c>
      <c r="G80">
        <v>-2675</v>
      </c>
      <c r="H80">
        <v>-26565</v>
      </c>
      <c r="I80">
        <v>31282</v>
      </c>
      <c r="J80">
        <v>0</v>
      </c>
      <c r="K80">
        <v>0</v>
      </c>
    </row>
    <row r="81" spans="2:11" x14ac:dyDescent="0.25">
      <c r="B81">
        <v>39396</v>
      </c>
      <c r="C81">
        <v>7173</v>
      </c>
      <c r="D81">
        <v>62623</v>
      </c>
      <c r="E81">
        <v>-58418</v>
      </c>
      <c r="F81">
        <v>0</v>
      </c>
      <c r="G81">
        <v>0</v>
      </c>
      <c r="H81">
        <v>-36522</v>
      </c>
      <c r="I81">
        <v>-12892</v>
      </c>
      <c r="J81">
        <v>7531</v>
      </c>
      <c r="K81">
        <v>60961</v>
      </c>
    </row>
    <row r="82" spans="2:11" x14ac:dyDescent="0.25">
      <c r="B82">
        <v>-56874</v>
      </c>
      <c r="C82">
        <v>0</v>
      </c>
      <c r="D82">
        <v>0</v>
      </c>
      <c r="E82">
        <v>-35707</v>
      </c>
      <c r="F82">
        <v>-11795</v>
      </c>
      <c r="G82">
        <v>47683</v>
      </c>
      <c r="H82">
        <v>-12295</v>
      </c>
      <c r="I82">
        <v>-80397</v>
      </c>
      <c r="J82">
        <v>72953</v>
      </c>
      <c r="K82">
        <v>0</v>
      </c>
    </row>
    <row r="83" spans="2:11" x14ac:dyDescent="0.25">
      <c r="B83">
        <v>0</v>
      </c>
      <c r="C83">
        <v>46600</v>
      </c>
      <c r="D83">
        <v>-6754</v>
      </c>
      <c r="E83">
        <v>-59838</v>
      </c>
      <c r="F83">
        <v>-58923</v>
      </c>
      <c r="G83">
        <v>-10647</v>
      </c>
      <c r="H83">
        <v>-65897</v>
      </c>
      <c r="I83">
        <v>60947</v>
      </c>
      <c r="J83">
        <v>0</v>
      </c>
      <c r="K83">
        <v>0</v>
      </c>
    </row>
    <row r="84" spans="2:11" x14ac:dyDescent="0.25">
      <c r="B84">
        <v>39972</v>
      </c>
      <c r="C84">
        <v>-1122</v>
      </c>
      <c r="D84">
        <v>-42161</v>
      </c>
      <c r="E84">
        <v>-40117</v>
      </c>
      <c r="F84">
        <v>61602</v>
      </c>
      <c r="G84">
        <v>-2676</v>
      </c>
      <c r="H84">
        <v>-10994</v>
      </c>
      <c r="I84">
        <v>9811</v>
      </c>
      <c r="J84">
        <v>0</v>
      </c>
      <c r="K84">
        <v>0</v>
      </c>
    </row>
    <row r="85" spans="2:11" x14ac:dyDescent="0.25">
      <c r="B85">
        <v>6926</v>
      </c>
      <c r="C85">
        <v>-6217</v>
      </c>
      <c r="D85">
        <v>-1020</v>
      </c>
      <c r="E85">
        <v>-3220</v>
      </c>
      <c r="F85">
        <v>9090</v>
      </c>
      <c r="G85">
        <v>15386</v>
      </c>
      <c r="H85">
        <v>-1850</v>
      </c>
      <c r="I85">
        <v>-28249</v>
      </c>
      <c r="J85">
        <v>32895</v>
      </c>
      <c r="K85">
        <v>0</v>
      </c>
    </row>
    <row r="86" spans="2:11" x14ac:dyDescent="0.25">
      <c r="B86">
        <v>0</v>
      </c>
      <c r="C86">
        <v>40801</v>
      </c>
      <c r="D86">
        <v>98317</v>
      </c>
      <c r="E86">
        <v>-12556</v>
      </c>
      <c r="F86">
        <v>-13065</v>
      </c>
      <c r="G86">
        <v>-5169</v>
      </c>
      <c r="H86">
        <v>2264</v>
      </c>
      <c r="I86">
        <v>197</v>
      </c>
      <c r="J86">
        <v>-7175</v>
      </c>
      <c r="K86">
        <v>-56565</v>
      </c>
    </row>
    <row r="87" spans="2:11" x14ac:dyDescent="0.25">
      <c r="B87">
        <v>51829</v>
      </c>
      <c r="C87">
        <v>0</v>
      </c>
      <c r="D87">
        <v>0</v>
      </c>
      <c r="E87">
        <v>32868</v>
      </c>
      <c r="F87">
        <v>5816</v>
      </c>
      <c r="G87">
        <v>-40131</v>
      </c>
      <c r="H87">
        <v>-38247</v>
      </c>
      <c r="I87">
        <v>49355</v>
      </c>
      <c r="J87">
        <v>40609</v>
      </c>
      <c r="K87">
        <v>4701</v>
      </c>
    </row>
    <row r="88" spans="2:11" x14ac:dyDescent="0.25">
      <c r="B88">
        <v>6417</v>
      </c>
      <c r="C88">
        <v>-11249</v>
      </c>
      <c r="D88">
        <v>-45837</v>
      </c>
      <c r="E88">
        <v>41639</v>
      </c>
      <c r="F88">
        <v>0</v>
      </c>
      <c r="G88">
        <v>0</v>
      </c>
      <c r="H88">
        <v>22895</v>
      </c>
      <c r="I88">
        <v>-17214</v>
      </c>
      <c r="J88">
        <v>-34374</v>
      </c>
      <c r="K88">
        <v>-29687</v>
      </c>
    </row>
    <row r="89" spans="2:11" x14ac:dyDescent="0.25">
      <c r="B89">
        <v>46938</v>
      </c>
      <c r="C89">
        <v>41966</v>
      </c>
      <c r="D89">
        <v>8004</v>
      </c>
      <c r="E89">
        <v>-16672</v>
      </c>
      <c r="F89">
        <v>35304</v>
      </c>
      <c r="G89">
        <v>-12119</v>
      </c>
      <c r="H89">
        <v>-72176</v>
      </c>
      <c r="I89">
        <v>66989</v>
      </c>
      <c r="J89">
        <v>0</v>
      </c>
      <c r="K89">
        <v>0</v>
      </c>
    </row>
    <row r="90" spans="2:11" x14ac:dyDescent="0.25">
      <c r="B90">
        <v>43773</v>
      </c>
      <c r="C90">
        <v>2541</v>
      </c>
      <c r="D90">
        <v>-47611</v>
      </c>
      <c r="E90">
        <v>-43836</v>
      </c>
      <c r="F90">
        <v>66067</v>
      </c>
      <c r="G90">
        <v>81235</v>
      </c>
      <c r="H90">
        <v>10968</v>
      </c>
      <c r="I90">
        <v>3028</v>
      </c>
      <c r="J90">
        <v>43810</v>
      </c>
      <c r="K90">
        <v>46069</v>
      </c>
    </row>
    <row r="91" spans="2:11" x14ac:dyDescent="0.25">
      <c r="B91">
        <v>7074</v>
      </c>
      <c r="C91">
        <v>32456</v>
      </c>
      <c r="D91">
        <v>-24935</v>
      </c>
      <c r="E91">
        <v>0</v>
      </c>
      <c r="F91">
        <v>0</v>
      </c>
      <c r="G91">
        <v>1287</v>
      </c>
      <c r="H91">
        <v>67892</v>
      </c>
      <c r="I91">
        <v>37899</v>
      </c>
      <c r="J91">
        <v>38402</v>
      </c>
      <c r="K91">
        <v>-41831</v>
      </c>
    </row>
    <row r="92" spans="2:11" x14ac:dyDescent="0.25">
      <c r="B92">
        <v>-40155</v>
      </c>
      <c r="C92">
        <v>-6362</v>
      </c>
      <c r="D92">
        <v>67107</v>
      </c>
      <c r="E92">
        <v>-31804</v>
      </c>
      <c r="F92">
        <v>-41050</v>
      </c>
      <c r="G92">
        <v>-43588</v>
      </c>
      <c r="H92">
        <v>-15045</v>
      </c>
      <c r="I92">
        <v>-80978</v>
      </c>
      <c r="J92">
        <v>74650</v>
      </c>
      <c r="K92">
        <v>0</v>
      </c>
    </row>
    <row r="93" spans="2:11" x14ac:dyDescent="0.25">
      <c r="B93">
        <v>0</v>
      </c>
      <c r="C93">
        <v>45128</v>
      </c>
      <c r="D93">
        <v>-323</v>
      </c>
      <c r="E93">
        <v>-62875</v>
      </c>
      <c r="F93">
        <v>-59608</v>
      </c>
      <c r="G93">
        <v>76459</v>
      </c>
      <c r="H93">
        <v>63927</v>
      </c>
      <c r="I93">
        <v>10295</v>
      </c>
      <c r="J93">
        <v>1102</v>
      </c>
      <c r="K93">
        <v>54418</v>
      </c>
    </row>
    <row r="94" spans="2:11" x14ac:dyDescent="0.25">
      <c r="B94">
        <v>68746</v>
      </c>
      <c r="C94">
        <v>69948</v>
      </c>
      <c r="D94">
        <v>-56097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25"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</row>
    <row r="96" spans="2:11" x14ac:dyDescent="0.25">
      <c r="B96">
        <v>0</v>
      </c>
      <c r="C96">
        <v>-7828</v>
      </c>
      <c r="D96">
        <v>-70277</v>
      </c>
      <c r="E96">
        <v>68505</v>
      </c>
      <c r="F96">
        <v>0</v>
      </c>
      <c r="G96">
        <v>0</v>
      </c>
      <c r="H96">
        <v>53362</v>
      </c>
      <c r="I96">
        <v>44516</v>
      </c>
      <c r="J96">
        <v>-43775</v>
      </c>
      <c r="K96">
        <v>-44122</v>
      </c>
    </row>
    <row r="97" spans="2:11" x14ac:dyDescent="0.25">
      <c r="B97">
        <v>56944</v>
      </c>
      <c r="C97">
        <v>46439</v>
      </c>
      <c r="D97">
        <v>7777</v>
      </c>
      <c r="E97">
        <v>45934</v>
      </c>
      <c r="F97">
        <v>42346</v>
      </c>
      <c r="G97">
        <v>30603</v>
      </c>
      <c r="H97">
        <v>51232</v>
      </c>
      <c r="I97">
        <v>-938</v>
      </c>
      <c r="J97">
        <v>56729</v>
      </c>
      <c r="K97">
        <v>0</v>
      </c>
    </row>
    <row r="98" spans="2:11" x14ac:dyDescent="0.25">
      <c r="B98">
        <v>-9265</v>
      </c>
      <c r="C98">
        <v>-46456</v>
      </c>
      <c r="D98">
        <v>49228</v>
      </c>
      <c r="E98">
        <v>0</v>
      </c>
      <c r="F98">
        <v>0</v>
      </c>
      <c r="G98">
        <v>37186</v>
      </c>
      <c r="H98">
        <v>5980</v>
      </c>
      <c r="I98">
        <v>-41760</v>
      </c>
      <c r="J98">
        <v>-37788</v>
      </c>
      <c r="K98">
        <v>48675</v>
      </c>
    </row>
    <row r="99" spans="2:11" x14ac:dyDescent="0.25">
      <c r="B99">
        <v>41080</v>
      </c>
      <c r="C99">
        <v>7073</v>
      </c>
      <c r="D99">
        <v>7014</v>
      </c>
      <c r="E99">
        <v>35625</v>
      </c>
      <c r="F99">
        <v>30287</v>
      </c>
      <c r="G99">
        <v>45225</v>
      </c>
      <c r="H99">
        <v>-29641</v>
      </c>
      <c r="I99">
        <v>50491</v>
      </c>
      <c r="J99">
        <v>0</v>
      </c>
      <c r="K99">
        <v>26544</v>
      </c>
    </row>
    <row r="100" spans="2:11" x14ac:dyDescent="0.25">
      <c r="B100">
        <v>-4177</v>
      </c>
      <c r="C100">
        <v>-32869</v>
      </c>
      <c r="D100">
        <v>26421</v>
      </c>
      <c r="E100">
        <v>0</v>
      </c>
      <c r="F100">
        <v>0</v>
      </c>
      <c r="G100">
        <v>14541</v>
      </c>
      <c r="H100">
        <v>4495</v>
      </c>
      <c r="I100">
        <v>-22688</v>
      </c>
      <c r="J100">
        <v>-23563</v>
      </c>
      <c r="K100">
        <v>26074</v>
      </c>
    </row>
    <row r="101" spans="2:11" x14ac:dyDescent="0.25">
      <c r="B101">
        <v>21864</v>
      </c>
      <c r="C101">
        <v>3293</v>
      </c>
      <c r="D101">
        <v>5162</v>
      </c>
      <c r="E101">
        <v>16593</v>
      </c>
      <c r="F101">
        <v>11581</v>
      </c>
      <c r="G101">
        <v>23822</v>
      </c>
      <c r="H101">
        <v>-16899</v>
      </c>
      <c r="I101">
        <v>26073</v>
      </c>
      <c r="J101">
        <v>0</v>
      </c>
      <c r="K101">
        <v>8604</v>
      </c>
    </row>
    <row r="102" spans="2:11" x14ac:dyDescent="0.25">
      <c r="B102">
        <v>12568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2:11" x14ac:dyDescent="0.25"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2:11" x14ac:dyDescent="0.25">
      <c r="B104">
        <v>0</v>
      </c>
      <c r="C104">
        <v>0</v>
      </c>
      <c r="D104">
        <v>0</v>
      </c>
      <c r="E104">
        <v>-6451</v>
      </c>
      <c r="F104">
        <v>-56249</v>
      </c>
      <c r="G104">
        <v>60092</v>
      </c>
      <c r="H104">
        <v>0</v>
      </c>
      <c r="I104">
        <v>0</v>
      </c>
      <c r="J104">
        <v>48076</v>
      </c>
      <c r="K104">
        <v>18289</v>
      </c>
    </row>
    <row r="105" spans="2:11" x14ac:dyDescent="0.25">
      <c r="B105">
        <v>-45631</v>
      </c>
      <c r="C105">
        <v>-44473</v>
      </c>
      <c r="D105">
        <v>55883</v>
      </c>
      <c r="E105">
        <v>46827</v>
      </c>
      <c r="F105">
        <v>7634</v>
      </c>
      <c r="G105">
        <v>19595</v>
      </c>
      <c r="H105">
        <v>40322</v>
      </c>
      <c r="I105">
        <v>31561</v>
      </c>
      <c r="J105">
        <v>51417</v>
      </c>
      <c r="K105">
        <v>-23702</v>
      </c>
    </row>
    <row r="106" spans="2:11" x14ac:dyDescent="0.25">
      <c r="B106">
        <v>56320</v>
      </c>
      <c r="C106">
        <v>0</v>
      </c>
      <c r="D106">
        <v>48298</v>
      </c>
      <c r="E106">
        <v>64903</v>
      </c>
      <c r="F106">
        <v>18543</v>
      </c>
      <c r="G106">
        <v>0</v>
      </c>
      <c r="H106">
        <v>-11684</v>
      </c>
      <c r="I106">
        <v>-87103</v>
      </c>
      <c r="J106">
        <v>82828</v>
      </c>
      <c r="K106">
        <v>0</v>
      </c>
    </row>
    <row r="107" spans="2:11" x14ac:dyDescent="0.25">
      <c r="B107">
        <v>0</v>
      </c>
      <c r="C107">
        <v>57744</v>
      </c>
      <c r="D107">
        <v>26505</v>
      </c>
      <c r="E107">
        <v>-61837</v>
      </c>
      <c r="F107">
        <v>-59921</v>
      </c>
      <c r="G107">
        <v>77173</v>
      </c>
      <c r="H107">
        <v>65121</v>
      </c>
      <c r="I107">
        <v>10854</v>
      </c>
      <c r="J107">
        <v>28292</v>
      </c>
      <c r="K107">
        <v>56119</v>
      </c>
    </row>
    <row r="108" spans="2:11" x14ac:dyDescent="0.25">
      <c r="B108">
        <v>44786</v>
      </c>
      <c r="C108">
        <v>71430</v>
      </c>
      <c r="D108">
        <v>-32462</v>
      </c>
      <c r="E108">
        <v>79269</v>
      </c>
      <c r="F108">
        <v>0</v>
      </c>
      <c r="G108">
        <v>69594</v>
      </c>
      <c r="H108">
        <v>52419</v>
      </c>
      <c r="I108">
        <v>28475</v>
      </c>
      <c r="J108">
        <v>0</v>
      </c>
      <c r="K108">
        <v>62833</v>
      </c>
    </row>
    <row r="109" spans="2:11" x14ac:dyDescent="0.25">
      <c r="B109">
        <v>5721</v>
      </c>
      <c r="C109">
        <v>23396</v>
      </c>
      <c r="D109">
        <v>-22923</v>
      </c>
      <c r="E109">
        <v>0</v>
      </c>
      <c r="F109">
        <v>0</v>
      </c>
      <c r="G109">
        <v>-15624</v>
      </c>
      <c r="H109">
        <v>793</v>
      </c>
      <c r="I109">
        <v>20069</v>
      </c>
      <c r="J109">
        <v>19923</v>
      </c>
      <c r="K109">
        <v>-23951</v>
      </c>
    </row>
    <row r="110" spans="2:11" x14ac:dyDescent="0.25">
      <c r="B110">
        <v>-20471</v>
      </c>
      <c r="C110">
        <v>-3560</v>
      </c>
      <c r="D110">
        <v>268</v>
      </c>
      <c r="E110">
        <v>-7823</v>
      </c>
      <c r="F110">
        <v>-15458</v>
      </c>
      <c r="G110">
        <v>-22586</v>
      </c>
      <c r="H110">
        <v>19689</v>
      </c>
      <c r="I110">
        <v>-26307</v>
      </c>
      <c r="J110">
        <v>0</v>
      </c>
      <c r="K110">
        <v>-16012</v>
      </c>
    </row>
    <row r="111" spans="2:11" x14ac:dyDescent="0.25">
      <c r="B111">
        <v>-14530</v>
      </c>
      <c r="C111">
        <v>-10386</v>
      </c>
      <c r="D111">
        <v>0</v>
      </c>
      <c r="E111">
        <v>-17643</v>
      </c>
      <c r="F111">
        <v>-26921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2:11" x14ac:dyDescent="0.2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2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25">
      <c r="B114">
        <v>0</v>
      </c>
      <c r="C114">
        <v>3436</v>
      </c>
      <c r="D114">
        <v>14020</v>
      </c>
      <c r="E114">
        <v>-15966</v>
      </c>
      <c r="F114">
        <v>0</v>
      </c>
      <c r="G114">
        <v>0</v>
      </c>
      <c r="H114">
        <v>-12078</v>
      </c>
      <c r="I114">
        <v>2759</v>
      </c>
      <c r="J114">
        <v>13799</v>
      </c>
      <c r="K114">
        <v>12100</v>
      </c>
    </row>
    <row r="115" spans="2:11" x14ac:dyDescent="0.25">
      <c r="B115">
        <v>-16053</v>
      </c>
      <c r="C115">
        <v>-14474</v>
      </c>
      <c r="D115">
        <v>-2187</v>
      </c>
      <c r="E115">
        <v>2434</v>
      </c>
      <c r="F115">
        <v>-16671</v>
      </c>
      <c r="G115">
        <v>-6130</v>
      </c>
      <c r="H115">
        <v>-16065</v>
      </c>
      <c r="I115">
        <v>15327</v>
      </c>
      <c r="J115">
        <v>-15323</v>
      </c>
      <c r="K115">
        <v>0</v>
      </c>
    </row>
    <row r="116" spans="2:11" x14ac:dyDescent="0.25">
      <c r="B116">
        <v>-11088</v>
      </c>
      <c r="C116">
        <v>-10242</v>
      </c>
      <c r="D116">
        <v>-8454</v>
      </c>
      <c r="E116">
        <v>0</v>
      </c>
      <c r="F116">
        <v>-11689</v>
      </c>
      <c r="G116">
        <v>-24667</v>
      </c>
      <c r="H116">
        <v>-5956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5364</v>
      </c>
      <c r="I119">
        <v>33945</v>
      </c>
      <c r="J119">
        <v>-29383</v>
      </c>
      <c r="K119">
        <v>0</v>
      </c>
    </row>
    <row r="120" spans="2:11" x14ac:dyDescent="0.25">
      <c r="B120">
        <v>0</v>
      </c>
      <c r="C120">
        <v>-15792</v>
      </c>
      <c r="D120">
        <v>-4353</v>
      </c>
      <c r="E120">
        <v>22651</v>
      </c>
      <c r="F120">
        <v>22061</v>
      </c>
      <c r="G120">
        <v>-28882</v>
      </c>
      <c r="H120">
        <v>-23812</v>
      </c>
      <c r="I120">
        <v>-3750</v>
      </c>
      <c r="J120">
        <v>-4979</v>
      </c>
      <c r="K120">
        <v>-19827</v>
      </c>
    </row>
    <row r="121" spans="2:11" x14ac:dyDescent="0.25">
      <c r="B121">
        <v>-19140</v>
      </c>
      <c r="C121">
        <v>-26468</v>
      </c>
      <c r="D121">
        <v>17140</v>
      </c>
      <c r="E121">
        <v>-30975</v>
      </c>
      <c r="F121">
        <v>0</v>
      </c>
      <c r="G121">
        <v>-25552</v>
      </c>
      <c r="H121">
        <v>-20581</v>
      </c>
      <c r="I121">
        <v>-8865</v>
      </c>
      <c r="J121">
        <v>0</v>
      </c>
      <c r="K121">
        <v>-23183</v>
      </c>
    </row>
    <row r="122" spans="2:11" x14ac:dyDescent="0.25">
      <c r="B122">
        <v>-35141</v>
      </c>
      <c r="C122">
        <v>-4604</v>
      </c>
      <c r="D122">
        <v>0</v>
      </c>
      <c r="E122">
        <v>-37176</v>
      </c>
      <c r="F122">
        <v>0</v>
      </c>
      <c r="G122">
        <v>-7897</v>
      </c>
      <c r="H122">
        <v>34563</v>
      </c>
      <c r="I122">
        <v>-29842</v>
      </c>
      <c r="J122">
        <v>0</v>
      </c>
      <c r="K122">
        <v>0</v>
      </c>
    </row>
    <row r="123" spans="2:11" x14ac:dyDescent="0.25">
      <c r="B123">
        <v>-16578</v>
      </c>
      <c r="C123">
        <v>-6842</v>
      </c>
      <c r="D123">
        <v>23040</v>
      </c>
      <c r="E123">
        <v>22255</v>
      </c>
      <c r="F123">
        <v>-28759</v>
      </c>
      <c r="G123">
        <v>-24714</v>
      </c>
      <c r="H123">
        <v>-3696</v>
      </c>
      <c r="I123">
        <v>-7669</v>
      </c>
      <c r="J123">
        <v>-23295</v>
      </c>
      <c r="K123">
        <v>-18668</v>
      </c>
    </row>
    <row r="124" spans="2:11" x14ac:dyDescent="0.25">
      <c r="B124">
        <v>-26763</v>
      </c>
      <c r="C124">
        <v>14428</v>
      </c>
      <c r="D124">
        <v>-30405</v>
      </c>
      <c r="E124">
        <v>0</v>
      </c>
      <c r="F124">
        <v>-25149</v>
      </c>
      <c r="G124">
        <v>-19189</v>
      </c>
      <c r="H124">
        <v>-9762</v>
      </c>
      <c r="I124">
        <v>0</v>
      </c>
      <c r="J124">
        <v>-22815</v>
      </c>
      <c r="K124">
        <v>-51049</v>
      </c>
    </row>
    <row r="125" spans="2:11" x14ac:dyDescent="0.25">
      <c r="B125">
        <v>12725</v>
      </c>
      <c r="C125">
        <v>0</v>
      </c>
      <c r="D125">
        <v>-16637</v>
      </c>
      <c r="E125">
        <v>0</v>
      </c>
      <c r="F125">
        <v>26753</v>
      </c>
      <c r="G125">
        <v>6579</v>
      </c>
      <c r="H125">
        <v>47324</v>
      </c>
      <c r="I125">
        <v>-42931</v>
      </c>
      <c r="J125">
        <v>0</v>
      </c>
      <c r="K125">
        <v>0</v>
      </c>
    </row>
    <row r="126" spans="2:11" x14ac:dyDescent="0.25">
      <c r="B126">
        <v>-27069</v>
      </c>
      <c r="C126">
        <v>-4050</v>
      </c>
      <c r="D126">
        <v>34891</v>
      </c>
      <c r="E126">
        <v>35464</v>
      </c>
      <c r="F126">
        <v>-43251</v>
      </c>
      <c r="G126">
        <v>-37069</v>
      </c>
      <c r="H126">
        <v>-6189</v>
      </c>
      <c r="I126">
        <v>-4966</v>
      </c>
      <c r="J126">
        <v>-34771</v>
      </c>
      <c r="K126">
        <v>-26506</v>
      </c>
    </row>
    <row r="127" spans="2:11" x14ac:dyDescent="0.25">
      <c r="B127">
        <v>-40815</v>
      </c>
      <c r="C127">
        <v>28761</v>
      </c>
      <c r="D127">
        <v>-45387</v>
      </c>
      <c r="E127">
        <v>0</v>
      </c>
      <c r="F127">
        <v>-32261</v>
      </c>
      <c r="G127">
        <v>-28831</v>
      </c>
      <c r="H127">
        <v>-17173</v>
      </c>
      <c r="I127">
        <v>0</v>
      </c>
      <c r="J127">
        <v>-32800</v>
      </c>
      <c r="K127">
        <v>-51790</v>
      </c>
    </row>
    <row r="128" spans="2:11" x14ac:dyDescent="0.25">
      <c r="B128">
        <v>-17457</v>
      </c>
      <c r="C128">
        <v>0</v>
      </c>
      <c r="D128">
        <v>13778</v>
      </c>
      <c r="E128">
        <v>0</v>
      </c>
      <c r="F128">
        <v>3502</v>
      </c>
      <c r="G128">
        <v>8315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3198</v>
      </c>
      <c r="D135">
        <v>5647</v>
      </c>
      <c r="E135">
        <v>-14532</v>
      </c>
      <c r="F135">
        <v>0</v>
      </c>
      <c r="G135">
        <v>0</v>
      </c>
      <c r="H135">
        <v>-68653</v>
      </c>
      <c r="I135">
        <v>995</v>
      </c>
      <c r="J135">
        <v>3693</v>
      </c>
      <c r="K135">
        <v>4834</v>
      </c>
    </row>
    <row r="136" spans="2:11" x14ac:dyDescent="0.25">
      <c r="B136">
        <v>-6449</v>
      </c>
      <c r="C136">
        <v>-6674</v>
      </c>
      <c r="D136">
        <v>-1329</v>
      </c>
      <c r="E136">
        <v>673</v>
      </c>
      <c r="F136">
        <v>-4145</v>
      </c>
      <c r="G136">
        <v>-1601</v>
      </c>
      <c r="H136">
        <v>-7218</v>
      </c>
      <c r="I136">
        <v>6360</v>
      </c>
      <c r="J136">
        <v>-4726</v>
      </c>
      <c r="K136">
        <v>0</v>
      </c>
    </row>
    <row r="137" spans="2:11" x14ac:dyDescent="0.25">
      <c r="B137">
        <v>-3530</v>
      </c>
      <c r="C137">
        <v>-5822</v>
      </c>
      <c r="D137">
        <v>-1911</v>
      </c>
      <c r="E137">
        <v>0</v>
      </c>
      <c r="F137">
        <v>-7504</v>
      </c>
      <c r="G137">
        <v>-6146</v>
      </c>
      <c r="H137">
        <v>3058</v>
      </c>
      <c r="I137">
        <v>0</v>
      </c>
      <c r="J137">
        <v>2732</v>
      </c>
      <c r="K137">
        <v>0</v>
      </c>
    </row>
    <row r="138" spans="2:11" x14ac:dyDescent="0.25">
      <c r="B138">
        <v>-155</v>
      </c>
      <c r="C138">
        <v>-609</v>
      </c>
      <c r="D138">
        <v>3626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2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2:11" x14ac:dyDescent="0.25">
      <c r="B142">
        <v>-1075</v>
      </c>
      <c r="C142">
        <v>82557</v>
      </c>
      <c r="D142">
        <v>-82848</v>
      </c>
      <c r="E142">
        <v>0</v>
      </c>
      <c r="F142">
        <v>0</v>
      </c>
      <c r="G142">
        <v>-60674</v>
      </c>
      <c r="H142">
        <v>-3728</v>
      </c>
      <c r="I142">
        <v>63787</v>
      </c>
      <c r="J142">
        <v>62493</v>
      </c>
      <c r="K142">
        <v>-77148</v>
      </c>
    </row>
    <row r="143" spans="2:11" x14ac:dyDescent="0.25">
      <c r="B143">
        <v>-66525</v>
      </c>
      <c r="C143">
        <v>-10638</v>
      </c>
      <c r="D143">
        <v>-5780</v>
      </c>
      <c r="E143">
        <v>-56542</v>
      </c>
      <c r="F143">
        <v>-48946</v>
      </c>
      <c r="G143">
        <v>-72530</v>
      </c>
      <c r="H143">
        <v>55340</v>
      </c>
      <c r="I143">
        <v>-82770</v>
      </c>
      <c r="J143">
        <v>0</v>
      </c>
      <c r="K143">
        <v>-59653</v>
      </c>
    </row>
    <row r="144" spans="2:11" x14ac:dyDescent="0.25">
      <c r="B144">
        <v>-53297</v>
      </c>
      <c r="C144">
        <v>-28704</v>
      </c>
      <c r="D144">
        <v>0</v>
      </c>
      <c r="E144">
        <v>-60706</v>
      </c>
      <c r="F144">
        <v>-82955</v>
      </c>
      <c r="G144">
        <v>26636</v>
      </c>
      <c r="H144">
        <v>0</v>
      </c>
      <c r="I144">
        <v>19380</v>
      </c>
      <c r="J144">
        <v>0</v>
      </c>
      <c r="K144">
        <v>31200</v>
      </c>
    </row>
    <row r="145" spans="2:11" x14ac:dyDescent="0.25">
      <c r="B145">
        <v>33563</v>
      </c>
      <c r="C145">
        <v>47780</v>
      </c>
      <c r="D145">
        <v>0</v>
      </c>
      <c r="E145">
        <v>0</v>
      </c>
      <c r="F145">
        <v>12839</v>
      </c>
      <c r="G145">
        <v>0</v>
      </c>
      <c r="H145">
        <v>-6028</v>
      </c>
      <c r="I145">
        <v>-51850</v>
      </c>
      <c r="J145">
        <v>47745</v>
      </c>
      <c r="K145">
        <v>0</v>
      </c>
    </row>
    <row r="146" spans="2:11" x14ac:dyDescent="0.25">
      <c r="B146">
        <v>0</v>
      </c>
      <c r="C146">
        <v>31075</v>
      </c>
      <c r="D146">
        <v>-190</v>
      </c>
      <c r="E146">
        <v>-35701</v>
      </c>
      <c r="F146">
        <v>-39797</v>
      </c>
      <c r="G146">
        <v>49694</v>
      </c>
      <c r="H146">
        <v>38942</v>
      </c>
      <c r="I146">
        <v>5009</v>
      </c>
      <c r="J146">
        <v>848</v>
      </c>
      <c r="K146">
        <v>34188</v>
      </c>
    </row>
    <row r="147" spans="2:11" x14ac:dyDescent="0.25">
      <c r="B147">
        <v>32813</v>
      </c>
      <c r="C147">
        <v>40996</v>
      </c>
      <c r="D147">
        <v>-35625</v>
      </c>
      <c r="E147">
        <v>52658</v>
      </c>
      <c r="F147">
        <v>0</v>
      </c>
      <c r="G147">
        <v>35927</v>
      </c>
      <c r="H147">
        <v>29590</v>
      </c>
      <c r="I147">
        <v>14929</v>
      </c>
      <c r="J147">
        <v>0</v>
      </c>
      <c r="K147">
        <v>36462</v>
      </c>
    </row>
    <row r="148" spans="2:11" x14ac:dyDescent="0.25">
      <c r="B148">
        <v>49250</v>
      </c>
      <c r="C148">
        <v>-15967</v>
      </c>
      <c r="D148">
        <v>0</v>
      </c>
      <c r="E148">
        <v>-8212</v>
      </c>
      <c r="F148">
        <v>0</v>
      </c>
      <c r="G148">
        <v>-19735</v>
      </c>
      <c r="H148">
        <v>-18760</v>
      </c>
      <c r="I148">
        <v>-28407</v>
      </c>
      <c r="J148">
        <v>0</v>
      </c>
      <c r="K148">
        <v>0</v>
      </c>
    </row>
    <row r="149" spans="2:11" x14ac:dyDescent="0.25">
      <c r="B149">
        <v>-7263</v>
      </c>
      <c r="C149">
        <v>0</v>
      </c>
      <c r="D149">
        <v>-51135</v>
      </c>
      <c r="E149">
        <v>4312</v>
      </c>
      <c r="F149">
        <v>-11428</v>
      </c>
      <c r="G149">
        <v>6239</v>
      </c>
      <c r="H149">
        <v>0</v>
      </c>
      <c r="I149">
        <v>0</v>
      </c>
      <c r="J149">
        <v>249</v>
      </c>
      <c r="K149">
        <v>-14873</v>
      </c>
    </row>
    <row r="150" spans="2:11" x14ac:dyDescent="0.25">
      <c r="B150">
        <v>-5555</v>
      </c>
      <c r="C150">
        <v>-6083</v>
      </c>
      <c r="D150">
        <v>9050</v>
      </c>
      <c r="E150">
        <v>7290</v>
      </c>
      <c r="F150">
        <v>1716</v>
      </c>
      <c r="G150">
        <v>-14796</v>
      </c>
      <c r="H150">
        <v>3689</v>
      </c>
      <c r="I150">
        <v>8919</v>
      </c>
      <c r="J150">
        <v>8662</v>
      </c>
      <c r="K150">
        <v>-23792</v>
      </c>
    </row>
    <row r="151" spans="2:11" x14ac:dyDescent="0.25">
      <c r="B151">
        <v>11872</v>
      </c>
      <c r="C151">
        <v>0</v>
      </c>
      <c r="D151">
        <v>8355</v>
      </c>
      <c r="E151">
        <v>4033</v>
      </c>
      <c r="F151">
        <v>10571</v>
      </c>
      <c r="G151">
        <v>0</v>
      </c>
      <c r="H151">
        <v>6761</v>
      </c>
      <c r="I151">
        <v>8637</v>
      </c>
      <c r="J151">
        <v>-3532</v>
      </c>
      <c r="K151">
        <v>0</v>
      </c>
    </row>
    <row r="152" spans="2:11" x14ac:dyDescent="0.25">
      <c r="B152">
        <v>-3622</v>
      </c>
      <c r="C152">
        <v>0</v>
      </c>
      <c r="D152">
        <v>-4404</v>
      </c>
      <c r="E152">
        <v>-4756</v>
      </c>
      <c r="F152">
        <v>474</v>
      </c>
      <c r="G152">
        <v>0</v>
      </c>
      <c r="H152">
        <v>0</v>
      </c>
      <c r="I152">
        <v>1456</v>
      </c>
      <c r="J152">
        <v>0</v>
      </c>
      <c r="K152">
        <v>-10176</v>
      </c>
    </row>
    <row r="153" spans="2:11" x14ac:dyDescent="0.25">
      <c r="B153">
        <v>2479</v>
      </c>
      <c r="C153">
        <v>10638</v>
      </c>
      <c r="D153">
        <v>76366</v>
      </c>
      <c r="E153">
        <v>-70913</v>
      </c>
      <c r="F153">
        <v>0</v>
      </c>
      <c r="G153">
        <v>0</v>
      </c>
      <c r="H153">
        <v>-45206</v>
      </c>
      <c r="I153">
        <v>-9457</v>
      </c>
      <c r="J153">
        <v>57115</v>
      </c>
      <c r="K153">
        <v>52148</v>
      </c>
    </row>
    <row r="154" spans="2:11" x14ac:dyDescent="0.25">
      <c r="B154">
        <v>-70523</v>
      </c>
      <c r="C154">
        <v>-62595</v>
      </c>
      <c r="D154">
        <v>-11395</v>
      </c>
      <c r="E154">
        <v>-11291</v>
      </c>
      <c r="F154">
        <v>-48222</v>
      </c>
      <c r="G154">
        <v>-38882</v>
      </c>
      <c r="H154">
        <v>-68689</v>
      </c>
      <c r="I154">
        <v>45449</v>
      </c>
      <c r="J154">
        <v>-72963</v>
      </c>
      <c r="K154">
        <v>0</v>
      </c>
    </row>
    <row r="155" spans="2:11" x14ac:dyDescent="0.25">
      <c r="B155">
        <v>-55214</v>
      </c>
      <c r="C155">
        <v>-48980</v>
      </c>
      <c r="D155">
        <v>-28550</v>
      </c>
      <c r="E155">
        <v>0</v>
      </c>
      <c r="F155">
        <v>-54133</v>
      </c>
      <c r="G155">
        <v>-76467</v>
      </c>
      <c r="H155">
        <v>24807</v>
      </c>
      <c r="I155">
        <v>0</v>
      </c>
      <c r="J155">
        <v>18911</v>
      </c>
      <c r="K155">
        <v>0</v>
      </c>
    </row>
    <row r="156" spans="2:11" x14ac:dyDescent="0.25">
      <c r="B156">
        <v>27821</v>
      </c>
      <c r="C156">
        <v>28404</v>
      </c>
      <c r="D156">
        <v>43138</v>
      </c>
      <c r="E156">
        <v>0</v>
      </c>
      <c r="F156">
        <v>0</v>
      </c>
      <c r="G156">
        <v>5473</v>
      </c>
      <c r="H156">
        <v>0</v>
      </c>
      <c r="I156">
        <v>78451</v>
      </c>
      <c r="J156">
        <v>-10892</v>
      </c>
      <c r="K156">
        <v>-13179</v>
      </c>
    </row>
    <row r="157" spans="2:11" x14ac:dyDescent="0.25">
      <c r="B157">
        <v>7926</v>
      </c>
      <c r="C157">
        <v>29552</v>
      </c>
      <c r="D157">
        <v>-31144</v>
      </c>
      <c r="E157">
        <v>0</v>
      </c>
      <c r="F157">
        <v>0</v>
      </c>
      <c r="G157">
        <v>-23197</v>
      </c>
      <c r="H157">
        <v>-19568</v>
      </c>
      <c r="I157">
        <v>25601</v>
      </c>
      <c r="J157">
        <v>24609</v>
      </c>
      <c r="K157">
        <v>-33491</v>
      </c>
    </row>
    <row r="158" spans="2:11" x14ac:dyDescent="0.25">
      <c r="B158">
        <v>-24829</v>
      </c>
      <c r="C158">
        <v>-190</v>
      </c>
      <c r="D158">
        <v>-20475</v>
      </c>
      <c r="E158">
        <v>-23834</v>
      </c>
      <c r="F158">
        <v>-14568</v>
      </c>
      <c r="G158">
        <v>-29176</v>
      </c>
      <c r="H158">
        <v>7487</v>
      </c>
      <c r="I158">
        <v>-28813</v>
      </c>
      <c r="J158">
        <v>0</v>
      </c>
      <c r="K158">
        <v>-21002</v>
      </c>
    </row>
    <row r="159" spans="2:11" x14ac:dyDescent="0.25">
      <c r="B159">
        <v>-20971</v>
      </c>
      <c r="C159">
        <v>-4418</v>
      </c>
      <c r="D159">
        <v>0</v>
      </c>
      <c r="E159">
        <v>-22329</v>
      </c>
      <c r="F159">
        <v>-31267</v>
      </c>
      <c r="G159">
        <v>9705</v>
      </c>
      <c r="H159">
        <v>0</v>
      </c>
      <c r="I159">
        <v>5679</v>
      </c>
      <c r="J159">
        <v>0</v>
      </c>
      <c r="K159">
        <v>10918</v>
      </c>
    </row>
    <row r="160" spans="2:11" x14ac:dyDescent="0.25">
      <c r="B160">
        <v>10165</v>
      </c>
      <c r="C160">
        <v>22731</v>
      </c>
      <c r="D160">
        <v>0</v>
      </c>
      <c r="E160">
        <v>0</v>
      </c>
      <c r="F160">
        <v>4868</v>
      </c>
      <c r="G160">
        <v>0</v>
      </c>
      <c r="H160">
        <v>31274</v>
      </c>
      <c r="I160">
        <v>-27539</v>
      </c>
      <c r="J160">
        <v>58018</v>
      </c>
      <c r="K160">
        <v>22055</v>
      </c>
    </row>
    <row r="161" spans="2:11" x14ac:dyDescent="0.25">
      <c r="B161">
        <v>-5168</v>
      </c>
      <c r="C161">
        <v>-7230</v>
      </c>
      <c r="D161">
        <v>6807</v>
      </c>
      <c r="E161">
        <v>0</v>
      </c>
      <c r="F161">
        <v>0</v>
      </c>
      <c r="G161">
        <v>8240</v>
      </c>
      <c r="H161">
        <v>-10649</v>
      </c>
      <c r="I161">
        <v>-12275</v>
      </c>
      <c r="J161">
        <v>-8904</v>
      </c>
      <c r="K161">
        <v>13191</v>
      </c>
    </row>
    <row r="162" spans="2:11" x14ac:dyDescent="0.25">
      <c r="B162">
        <v>11086</v>
      </c>
      <c r="C162">
        <v>1482</v>
      </c>
      <c r="D162">
        <v>-10590</v>
      </c>
      <c r="E162">
        <v>12012</v>
      </c>
      <c r="F162">
        <v>12789</v>
      </c>
      <c r="G162">
        <v>12276</v>
      </c>
      <c r="H162">
        <v>-18508</v>
      </c>
      <c r="I162">
        <v>16606</v>
      </c>
      <c r="J162">
        <v>0</v>
      </c>
      <c r="K162">
        <v>-1180</v>
      </c>
    </row>
    <row r="163" spans="2:11" x14ac:dyDescent="0.25">
      <c r="B163">
        <v>2788</v>
      </c>
      <c r="C163">
        <v>2999</v>
      </c>
      <c r="D163">
        <v>0</v>
      </c>
      <c r="E163">
        <v>5278</v>
      </c>
      <c r="F163">
        <v>11221</v>
      </c>
      <c r="G163">
        <v>-4105</v>
      </c>
      <c r="H163">
        <v>0</v>
      </c>
      <c r="I163">
        <v>-3793</v>
      </c>
      <c r="J163">
        <v>0</v>
      </c>
      <c r="K163">
        <v>-5782</v>
      </c>
    </row>
    <row r="164" spans="2:11" x14ac:dyDescent="0.25">
      <c r="B164">
        <v>-2297</v>
      </c>
      <c r="C164">
        <v>-6966</v>
      </c>
      <c r="D164">
        <v>0</v>
      </c>
      <c r="E164">
        <v>0</v>
      </c>
      <c r="F164">
        <v>-4929</v>
      </c>
      <c r="G164">
        <v>0</v>
      </c>
      <c r="H164">
        <v>-15073</v>
      </c>
      <c r="I164">
        <v>6115</v>
      </c>
      <c r="J164">
        <v>3238</v>
      </c>
      <c r="K164">
        <v>-14631</v>
      </c>
    </row>
    <row r="165" spans="2:11" x14ac:dyDescent="0.25">
      <c r="B165">
        <v>-3180</v>
      </c>
      <c r="C165">
        <v>-1154</v>
      </c>
      <c r="D165">
        <v>9602</v>
      </c>
      <c r="E165">
        <v>-6526</v>
      </c>
      <c r="F165">
        <v>0</v>
      </c>
      <c r="G165">
        <v>0</v>
      </c>
      <c r="H165">
        <v>-2929</v>
      </c>
      <c r="I165">
        <v>378</v>
      </c>
      <c r="J165">
        <v>5929</v>
      </c>
      <c r="K165">
        <v>6316</v>
      </c>
    </row>
    <row r="166" spans="2:11" x14ac:dyDescent="0.25">
      <c r="B166">
        <v>-6744</v>
      </c>
      <c r="C166">
        <v>-5648</v>
      </c>
      <c r="D166">
        <v>-1061</v>
      </c>
      <c r="E166">
        <v>217</v>
      </c>
      <c r="F166">
        <v>-5829</v>
      </c>
      <c r="G166">
        <v>-2801</v>
      </c>
      <c r="H166">
        <v>-6487</v>
      </c>
      <c r="I166">
        <v>6298</v>
      </c>
      <c r="J166">
        <v>-6433</v>
      </c>
      <c r="K166">
        <v>0</v>
      </c>
    </row>
    <row r="167" spans="2:11" x14ac:dyDescent="0.25">
      <c r="B167">
        <v>-46019</v>
      </c>
      <c r="C167">
        <v>-4496</v>
      </c>
      <c r="D167">
        <v>3352</v>
      </c>
      <c r="E167">
        <v>0</v>
      </c>
      <c r="F167">
        <v>-482</v>
      </c>
      <c r="G167">
        <v>-7424</v>
      </c>
      <c r="H167">
        <v>848</v>
      </c>
      <c r="I167">
        <v>0</v>
      </c>
      <c r="J167">
        <v>904</v>
      </c>
      <c r="K167">
        <v>0</v>
      </c>
    </row>
    <row r="168" spans="2:11" x14ac:dyDescent="0.25">
      <c r="B168">
        <v>5069</v>
      </c>
      <c r="C168">
        <v>3082</v>
      </c>
      <c r="D168">
        <v>4198</v>
      </c>
      <c r="E168">
        <v>0</v>
      </c>
      <c r="F168">
        <v>0</v>
      </c>
      <c r="G168">
        <v>1064</v>
      </c>
      <c r="H168">
        <v>0</v>
      </c>
      <c r="I168">
        <v>8307</v>
      </c>
      <c r="J168">
        <v>-2451</v>
      </c>
      <c r="K168">
        <v>-2641</v>
      </c>
    </row>
    <row r="169" spans="2:11" x14ac:dyDescent="0.25">
      <c r="B169">
        <v>8950</v>
      </c>
      <c r="C169">
        <v>852</v>
      </c>
      <c r="D169">
        <v>-15404</v>
      </c>
      <c r="E169">
        <v>-2455</v>
      </c>
      <c r="F169">
        <v>8913</v>
      </c>
      <c r="G169">
        <v>-1159</v>
      </c>
      <c r="H169">
        <v>0</v>
      </c>
      <c r="I169">
        <v>0</v>
      </c>
      <c r="J169">
        <v>31</v>
      </c>
      <c r="K169">
        <v>-8103</v>
      </c>
    </row>
    <row r="170" spans="2:11" x14ac:dyDescent="0.25">
      <c r="B170">
        <v>2498</v>
      </c>
      <c r="C170">
        <v>1915</v>
      </c>
      <c r="D170">
        <v>-4192</v>
      </c>
      <c r="E170">
        <v>-553</v>
      </c>
      <c r="F170">
        <v>263</v>
      </c>
      <c r="G170">
        <v>-7990</v>
      </c>
      <c r="H170">
        <v>-3324</v>
      </c>
      <c r="I170">
        <v>531</v>
      </c>
      <c r="J170">
        <v>-710</v>
      </c>
      <c r="K170">
        <v>-7135</v>
      </c>
    </row>
    <row r="171" spans="2:11" x14ac:dyDescent="0.25">
      <c r="B171">
        <v>-478</v>
      </c>
      <c r="C171">
        <v>0</v>
      </c>
      <c r="D171">
        <v>-2509</v>
      </c>
      <c r="E171">
        <v>4526</v>
      </c>
      <c r="F171">
        <v>-4497</v>
      </c>
      <c r="G171">
        <v>0</v>
      </c>
      <c r="H171">
        <v>-1007</v>
      </c>
      <c r="I171">
        <v>-3051</v>
      </c>
      <c r="J171">
        <v>54</v>
      </c>
      <c r="K171">
        <v>0</v>
      </c>
    </row>
    <row r="172" spans="2:11" x14ac:dyDescent="0.25">
      <c r="B172">
        <v>-1357</v>
      </c>
      <c r="C172">
        <v>0</v>
      </c>
      <c r="D172">
        <v>2120</v>
      </c>
      <c r="E172">
        <v>1828</v>
      </c>
      <c r="F172">
        <v>-758</v>
      </c>
      <c r="G172">
        <v>0</v>
      </c>
      <c r="H172">
        <v>0</v>
      </c>
      <c r="I172">
        <v>-1783</v>
      </c>
      <c r="J172">
        <v>0</v>
      </c>
      <c r="K172">
        <v>507</v>
      </c>
    </row>
    <row r="173" spans="2:11" x14ac:dyDescent="0.25">
      <c r="B173">
        <v>351</v>
      </c>
      <c r="C173">
        <v>2193</v>
      </c>
      <c r="D173">
        <v>2702</v>
      </c>
      <c r="E173">
        <v>2715</v>
      </c>
      <c r="F173">
        <v>-31100</v>
      </c>
      <c r="G173">
        <v>-13321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2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2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25">
      <c r="B178">
        <v>12822</v>
      </c>
      <c r="C178">
        <v>70043</v>
      </c>
      <c r="D178">
        <v>-62683</v>
      </c>
      <c r="E178">
        <v>0</v>
      </c>
      <c r="F178">
        <v>0</v>
      </c>
      <c r="G178">
        <v>-35972</v>
      </c>
      <c r="H178">
        <v>9952</v>
      </c>
      <c r="I178">
        <v>54658</v>
      </c>
      <c r="J178">
        <v>54428</v>
      </c>
      <c r="K178">
        <v>-67467</v>
      </c>
    </row>
    <row r="179" spans="2:11" x14ac:dyDescent="0.25">
      <c r="B179">
        <v>-57090</v>
      </c>
      <c r="C179">
        <v>-9237</v>
      </c>
      <c r="D179">
        <v>8602</v>
      </c>
      <c r="E179">
        <v>-47505</v>
      </c>
      <c r="F179">
        <v>-43623</v>
      </c>
      <c r="G179">
        <v>-62884</v>
      </c>
      <c r="H179">
        <v>60447</v>
      </c>
      <c r="I179">
        <v>-72610</v>
      </c>
      <c r="J179">
        <v>0</v>
      </c>
      <c r="K179">
        <v>-58510</v>
      </c>
    </row>
    <row r="180" spans="2:11" x14ac:dyDescent="0.25">
      <c r="B180">
        <v>-46958</v>
      </c>
      <c r="C180">
        <v>-20606</v>
      </c>
      <c r="D180">
        <v>0</v>
      </c>
      <c r="E180">
        <v>-54986</v>
      </c>
      <c r="F180">
        <v>-69200</v>
      </c>
      <c r="G180">
        <v>26160</v>
      </c>
      <c r="H180">
        <v>0</v>
      </c>
      <c r="I180">
        <v>18733</v>
      </c>
      <c r="J180">
        <v>0</v>
      </c>
      <c r="K180">
        <v>30200</v>
      </c>
    </row>
    <row r="181" spans="2:11" x14ac:dyDescent="0.25">
      <c r="B181">
        <v>24353</v>
      </c>
      <c r="C181">
        <v>42235</v>
      </c>
      <c r="D181">
        <v>0</v>
      </c>
      <c r="E181">
        <v>0</v>
      </c>
      <c r="F181">
        <v>6869</v>
      </c>
      <c r="G181">
        <v>0</v>
      </c>
      <c r="H181">
        <v>74698</v>
      </c>
      <c r="I181">
        <v>-46644</v>
      </c>
      <c r="J181">
        <v>-11880</v>
      </c>
      <c r="K181">
        <v>67018</v>
      </c>
    </row>
    <row r="182" spans="2:11" x14ac:dyDescent="0.25">
      <c r="B182">
        <v>25360</v>
      </c>
      <c r="C182">
        <v>-12580</v>
      </c>
      <c r="D182">
        <v>5460</v>
      </c>
      <c r="E182">
        <v>-1643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2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2:11" x14ac:dyDescent="0.2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25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2:11" x14ac:dyDescent="0.25"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2:11" x14ac:dyDescent="0.25"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</row>
    <row r="190" spans="2:11" x14ac:dyDescent="0.25"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2:11" x14ac:dyDescent="0.25"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-5906</v>
      </c>
      <c r="K191">
        <v>78822</v>
      </c>
    </row>
    <row r="192" spans="2:11" x14ac:dyDescent="0.25">
      <c r="B192">
        <v>-72890</v>
      </c>
      <c r="C192">
        <v>0</v>
      </c>
      <c r="D192">
        <v>0</v>
      </c>
      <c r="E192">
        <v>-46134</v>
      </c>
      <c r="F192">
        <v>-717</v>
      </c>
      <c r="G192">
        <v>60555</v>
      </c>
      <c r="H192">
        <v>59033</v>
      </c>
      <c r="I192">
        <v>-73025</v>
      </c>
      <c r="J192">
        <v>-62638</v>
      </c>
      <c r="K192">
        <v>-9633</v>
      </c>
    </row>
    <row r="193" spans="2:11" x14ac:dyDescent="0.25">
      <c r="B193">
        <v>-2647</v>
      </c>
      <c r="C193">
        <v>-57251</v>
      </c>
      <c r="D193">
        <v>-49813</v>
      </c>
      <c r="E193">
        <v>-68154</v>
      </c>
      <c r="F193">
        <v>54490</v>
      </c>
      <c r="G193">
        <v>-80310</v>
      </c>
      <c r="H193">
        <v>0</v>
      </c>
      <c r="I193">
        <v>-55633</v>
      </c>
      <c r="J193">
        <v>-49956</v>
      </c>
      <c r="K193">
        <v>-25627</v>
      </c>
    </row>
    <row r="194" spans="2:11" x14ac:dyDescent="0.25">
      <c r="B194">
        <v>0</v>
      </c>
      <c r="C194">
        <v>-58238</v>
      </c>
      <c r="D194">
        <v>-78204</v>
      </c>
      <c r="E194">
        <v>22250</v>
      </c>
      <c r="F194">
        <v>0</v>
      </c>
      <c r="G194">
        <v>16664</v>
      </c>
      <c r="H194">
        <v>0</v>
      </c>
      <c r="I194">
        <v>30569</v>
      </c>
      <c r="J194">
        <v>34787</v>
      </c>
      <c r="K194">
        <v>44488</v>
      </c>
    </row>
    <row r="195" spans="2:11" x14ac:dyDescent="0.25">
      <c r="B195">
        <v>0</v>
      </c>
      <c r="C195">
        <v>0</v>
      </c>
      <c r="D195">
        <v>6570</v>
      </c>
      <c r="E195">
        <v>0</v>
      </c>
      <c r="F195">
        <v>88614</v>
      </c>
      <c r="G195">
        <v>-48286</v>
      </c>
      <c r="H195">
        <v>-11090</v>
      </c>
      <c r="I195">
        <v>74274</v>
      </c>
      <c r="J195">
        <v>27895</v>
      </c>
      <c r="K195">
        <v>-19914</v>
      </c>
    </row>
    <row r="196" spans="2:11" x14ac:dyDescent="0.25">
      <c r="B196">
        <v>1198</v>
      </c>
      <c r="C196">
        <v>3803</v>
      </c>
      <c r="D196">
        <v>0</v>
      </c>
      <c r="E196">
        <v>67139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</row>
    <row r="197" spans="2:11" x14ac:dyDescent="0.25"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</row>
    <row r="198" spans="2:11" x14ac:dyDescent="0.25"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</row>
    <row r="199" spans="2:11" x14ac:dyDescent="0.25"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</row>
    <row r="200" spans="2:11" x14ac:dyDescent="0.25"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</row>
    <row r="201" spans="2:11" x14ac:dyDescent="0.25">
      <c r="B201">
        <v>0</v>
      </c>
      <c r="C201">
        <v>0</v>
      </c>
      <c r="D201">
        <v>0</v>
      </c>
      <c r="E201">
        <v>0</v>
      </c>
      <c r="F201">
        <v>0</v>
      </c>
      <c r="G201">
        <v>3736</v>
      </c>
      <c r="H201">
        <v>25392</v>
      </c>
      <c r="I201">
        <v>-16604</v>
      </c>
      <c r="J201">
        <v>0</v>
      </c>
      <c r="K201">
        <v>0</v>
      </c>
    </row>
    <row r="202" spans="2:11" x14ac:dyDescent="0.25">
      <c r="B202">
        <v>4077</v>
      </c>
      <c r="C202">
        <v>49135</v>
      </c>
      <c r="D202">
        <v>27941</v>
      </c>
      <c r="E202">
        <v>27823</v>
      </c>
      <c r="F202">
        <v>-32231</v>
      </c>
      <c r="G202">
        <v>-28038</v>
      </c>
      <c r="H202">
        <v>-4798</v>
      </c>
      <c r="I202">
        <v>48633</v>
      </c>
      <c r="J202">
        <v>-22884</v>
      </c>
      <c r="K202">
        <v>-24510</v>
      </c>
    </row>
    <row r="203" spans="2:11" x14ac:dyDescent="0.25">
      <c r="B203">
        <v>-31004</v>
      </c>
      <c r="C203">
        <v>70455</v>
      </c>
      <c r="D203">
        <v>-37477</v>
      </c>
      <c r="E203">
        <v>0</v>
      </c>
      <c r="F203">
        <v>-288</v>
      </c>
      <c r="G203">
        <v>-28217</v>
      </c>
      <c r="H203">
        <v>-10208</v>
      </c>
      <c r="I203">
        <v>0</v>
      </c>
      <c r="J203">
        <v>-32794</v>
      </c>
      <c r="K203">
        <v>-23388</v>
      </c>
    </row>
    <row r="204" spans="2:11" x14ac:dyDescent="0.25">
      <c r="B204">
        <v>16825</v>
      </c>
      <c r="C204">
        <v>0</v>
      </c>
      <c r="D204">
        <v>12075</v>
      </c>
      <c r="E204">
        <v>0</v>
      </c>
      <c r="F204">
        <v>14601</v>
      </c>
      <c r="G204">
        <v>9886</v>
      </c>
      <c r="H204">
        <v>22633</v>
      </c>
      <c r="I204">
        <v>0</v>
      </c>
      <c r="J204">
        <v>0</v>
      </c>
      <c r="K204">
        <v>4535</v>
      </c>
    </row>
    <row r="205" spans="2:11" x14ac:dyDescent="0.25">
      <c r="B205">
        <v>0</v>
      </c>
      <c r="C205">
        <v>37833</v>
      </c>
      <c r="D205">
        <v>-24524</v>
      </c>
      <c r="E205">
        <v>-5251</v>
      </c>
      <c r="F205">
        <v>33121</v>
      </c>
      <c r="G205">
        <v>13696</v>
      </c>
      <c r="H205">
        <v>-8041</v>
      </c>
      <c r="I205">
        <v>-350</v>
      </c>
      <c r="J205">
        <v>-826</v>
      </c>
      <c r="K205">
        <v>0</v>
      </c>
    </row>
    <row r="206" spans="2:11" x14ac:dyDescent="0.25">
      <c r="B206">
        <v>58733</v>
      </c>
      <c r="C206">
        <v>0</v>
      </c>
      <c r="D206">
        <v>0</v>
      </c>
      <c r="E206">
        <v>33765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</row>
    <row r="207" spans="2:11" x14ac:dyDescent="0.25"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</row>
    <row r="208" spans="2:11" x14ac:dyDescent="0.25"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</row>
    <row r="209" spans="2:11" x14ac:dyDescent="0.25"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</row>
    <row r="210" spans="2:11" x14ac:dyDescent="0.25"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</row>
    <row r="211" spans="2:11" x14ac:dyDescent="0.25"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</row>
    <row r="212" spans="2:11" x14ac:dyDescent="0.25"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</row>
    <row r="213" spans="2:11" x14ac:dyDescent="0.25"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</row>
    <row r="214" spans="2:11" x14ac:dyDescent="0.25"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</row>
    <row r="215" spans="2:11" x14ac:dyDescent="0.25"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</row>
    <row r="216" spans="2:11" x14ac:dyDescent="0.25"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-673</v>
      </c>
      <c r="K216">
        <v>83077</v>
      </c>
    </row>
    <row r="217" spans="2:11" x14ac:dyDescent="0.25">
      <c r="B217">
        <v>-72509</v>
      </c>
      <c r="C217">
        <v>0</v>
      </c>
      <c r="D217">
        <v>0</v>
      </c>
      <c r="E217">
        <v>-42725</v>
      </c>
      <c r="F217">
        <v>-661</v>
      </c>
      <c r="G217">
        <v>60015</v>
      </c>
      <c r="H217">
        <v>58970</v>
      </c>
      <c r="I217">
        <v>-73712</v>
      </c>
      <c r="J217">
        <v>-62682</v>
      </c>
      <c r="K217">
        <v>-9559</v>
      </c>
    </row>
    <row r="218" spans="2:11" x14ac:dyDescent="0.25">
      <c r="B218">
        <v>-2460</v>
      </c>
      <c r="C218">
        <v>-54444</v>
      </c>
      <c r="D218">
        <v>-47846</v>
      </c>
      <c r="E218">
        <v>-68131</v>
      </c>
      <c r="F218">
        <v>54076</v>
      </c>
      <c r="G218">
        <v>-78843</v>
      </c>
      <c r="H218">
        <v>0</v>
      </c>
      <c r="I218">
        <v>-54865</v>
      </c>
      <c r="J218">
        <v>-49305</v>
      </c>
      <c r="K218">
        <v>-30113</v>
      </c>
    </row>
    <row r="219" spans="2:11" x14ac:dyDescent="0.25">
      <c r="B219">
        <v>0</v>
      </c>
      <c r="C219">
        <v>-56349</v>
      </c>
      <c r="D219">
        <v>-77413</v>
      </c>
      <c r="E219">
        <v>22616</v>
      </c>
      <c r="F219">
        <v>0</v>
      </c>
      <c r="G219">
        <v>15498</v>
      </c>
      <c r="H219">
        <v>0</v>
      </c>
      <c r="I219">
        <v>31109</v>
      </c>
      <c r="J219">
        <v>33633</v>
      </c>
      <c r="K219">
        <v>44784</v>
      </c>
    </row>
    <row r="220" spans="2:11" x14ac:dyDescent="0.25">
      <c r="B220">
        <v>0</v>
      </c>
      <c r="C220">
        <v>0</v>
      </c>
      <c r="D220">
        <v>6261</v>
      </c>
      <c r="E220">
        <v>0</v>
      </c>
      <c r="F220">
        <v>86419</v>
      </c>
      <c r="G220">
        <v>-48447</v>
      </c>
      <c r="H220">
        <v>-12653</v>
      </c>
      <c r="I220">
        <v>73830</v>
      </c>
      <c r="J220">
        <v>26458</v>
      </c>
      <c r="K220">
        <v>-15033</v>
      </c>
    </row>
    <row r="221" spans="2:11" x14ac:dyDescent="0.25">
      <c r="B221">
        <v>10669</v>
      </c>
      <c r="C221">
        <v>2382</v>
      </c>
      <c r="D221">
        <v>0</v>
      </c>
      <c r="E221">
        <v>67678</v>
      </c>
      <c r="F221">
        <v>0</v>
      </c>
      <c r="G221">
        <v>0</v>
      </c>
      <c r="H221">
        <v>88615</v>
      </c>
      <c r="I221">
        <v>0</v>
      </c>
      <c r="J221">
        <v>18962</v>
      </c>
      <c r="K221">
        <v>0</v>
      </c>
    </row>
    <row r="222" spans="2:11" x14ac:dyDescent="0.25"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2:11" x14ac:dyDescent="0.25"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2:11" x14ac:dyDescent="0.25"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</row>
    <row r="225" spans="2:11" x14ac:dyDescent="0.25"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</row>
    <row r="226" spans="2:11" x14ac:dyDescent="0.25"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</row>
    <row r="227" spans="2:11" x14ac:dyDescent="0.25">
      <c r="B227">
        <v>0</v>
      </c>
      <c r="C227">
        <v>0</v>
      </c>
      <c r="D227">
        <v>0</v>
      </c>
      <c r="E227">
        <v>0</v>
      </c>
      <c r="F227">
        <v>0</v>
      </c>
      <c r="G227">
        <v>-12937</v>
      </c>
      <c r="H227">
        <v>-91276</v>
      </c>
      <c r="I227">
        <v>84569</v>
      </c>
      <c r="J227">
        <v>0</v>
      </c>
      <c r="K227">
        <v>0</v>
      </c>
    </row>
    <row r="228" spans="2:11" x14ac:dyDescent="0.25">
      <c r="B228">
        <v>54255</v>
      </c>
      <c r="C228">
        <v>7578</v>
      </c>
      <c r="D228">
        <v>-68905</v>
      </c>
      <c r="E228">
        <v>-67347</v>
      </c>
      <c r="F228">
        <v>84173</v>
      </c>
      <c r="G228">
        <v>71952</v>
      </c>
      <c r="H228">
        <v>12098</v>
      </c>
      <c r="I228">
        <v>9485</v>
      </c>
      <c r="J228">
        <v>59004</v>
      </c>
      <c r="K228">
        <v>51432</v>
      </c>
    </row>
    <row r="229" spans="2:11" x14ac:dyDescent="0.25">
      <c r="B229">
        <v>78726</v>
      </c>
      <c r="C229">
        <v>-56473</v>
      </c>
      <c r="D229">
        <v>88693</v>
      </c>
      <c r="E229">
        <v>0</v>
      </c>
      <c r="F229">
        <v>65241</v>
      </c>
      <c r="G229">
        <v>56570</v>
      </c>
      <c r="H229">
        <v>31556</v>
      </c>
      <c r="I229">
        <v>0</v>
      </c>
      <c r="J229">
        <v>64767</v>
      </c>
      <c r="K229">
        <v>89914</v>
      </c>
    </row>
    <row r="230" spans="2:11" x14ac:dyDescent="0.25">
      <c r="B230">
        <v>-29244</v>
      </c>
      <c r="C230">
        <v>0</v>
      </c>
      <c r="D230">
        <v>-19939</v>
      </c>
      <c r="E230">
        <v>0</v>
      </c>
      <c r="F230">
        <v>-33678</v>
      </c>
      <c r="G230">
        <v>-33409</v>
      </c>
      <c r="H230">
        <v>-51147</v>
      </c>
      <c r="I230">
        <v>0</v>
      </c>
      <c r="J230">
        <v>0</v>
      </c>
      <c r="K230">
        <v>-8480</v>
      </c>
    </row>
    <row r="231" spans="2:11" x14ac:dyDescent="0.25">
      <c r="B231">
        <v>0</v>
      </c>
      <c r="C231">
        <v>-92412</v>
      </c>
      <c r="D231">
        <v>55530</v>
      </c>
      <c r="E231">
        <v>10754</v>
      </c>
      <c r="F231">
        <v>-84403</v>
      </c>
      <c r="G231">
        <v>-33755</v>
      </c>
      <c r="H231">
        <v>15210</v>
      </c>
      <c r="I231">
        <v>-8880</v>
      </c>
      <c r="J231">
        <v>-1957</v>
      </c>
      <c r="K231">
        <v>0</v>
      </c>
    </row>
    <row r="232" spans="2:11" x14ac:dyDescent="0.25">
      <c r="B232">
        <v>-80802</v>
      </c>
      <c r="C232">
        <v>0</v>
      </c>
      <c r="D232">
        <v>0</v>
      </c>
      <c r="E232">
        <v>-87200</v>
      </c>
      <c r="F232">
        <v>0</v>
      </c>
      <c r="G232">
        <v>-40754</v>
      </c>
      <c r="H232">
        <v>0</v>
      </c>
      <c r="I232">
        <v>0</v>
      </c>
      <c r="J232">
        <v>-87081</v>
      </c>
      <c r="K232">
        <v>0</v>
      </c>
    </row>
  </sheetData>
  <pageMargins bottom="0.75" footer="0.3" header="0.3" left="0.7" right="0.7" top="0.75"/>
</worksheet>
</file>

<file path=xl/worksheets/sheet1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247"/>
  <sheetViews>
    <sheetView workbookViewId="0">
      <selection activeCell="A8" sqref="A8:K247"/>
    </sheetView>
  </sheetViews>
  <sheetFormatPr defaultRowHeight="15" x14ac:dyDescent="0.25"/>
  <sheetData>
    <row r="1" spans="1:11" x14ac:dyDescent="0.25">
      <c r="A1" s="31" t="s">
        <v>214</v>
      </c>
      <c r="B1" s="29"/>
      <c r="C1" s="29"/>
      <c r="D1" s="29"/>
      <c r="E1" s="29"/>
      <c r="F1" s="29"/>
      <c r="G1" s="29"/>
      <c r="H1" s="29" t="s">
        <v>215</v>
      </c>
      <c r="I1" s="29"/>
      <c r="J1" s="29"/>
      <c r="K1" s="29"/>
    </row>
    <row r="2" spans="1:11" x14ac:dyDescent="0.25">
      <c r="A2" s="29">
        <v>1</v>
      </c>
      <c r="B2" s="29" t="s">
        <v>287</v>
      </c>
      <c r="C2" s="29"/>
      <c r="D2" s="29"/>
      <c r="E2" s="29"/>
      <c r="F2" s="29"/>
      <c r="G2" s="29"/>
      <c r="H2" s="29"/>
      <c r="I2" s="29"/>
      <c r="J2" s="29"/>
      <c r="K2" s="29"/>
    </row>
    <row r="3" spans="1:11" x14ac:dyDescent="0.25">
      <c r="A3" s="29">
        <v>2</v>
      </c>
      <c r="B3" s="29" t="s">
        <v>216</v>
      </c>
      <c r="C3" s="29"/>
      <c r="D3" s="29"/>
      <c r="E3" s="29"/>
      <c r="F3" s="29"/>
      <c r="G3" s="29"/>
      <c r="H3" s="29"/>
      <c r="I3" s="29"/>
      <c r="J3" s="29"/>
      <c r="K3" s="29"/>
    </row>
    <row r="4" spans="1:11" x14ac:dyDescent="0.25">
      <c r="A4" s="29">
        <v>3</v>
      </c>
      <c r="B4" s="29" t="s">
        <v>217</v>
      </c>
      <c r="C4" s="29"/>
      <c r="D4" s="29"/>
      <c r="E4" s="29"/>
      <c r="F4" s="29"/>
      <c r="G4" s="29"/>
      <c r="H4" s="29"/>
      <c r="I4" s="29"/>
      <c r="J4" s="29"/>
      <c r="K4" s="29"/>
    </row>
    <row r="5" spans="1:11" x14ac:dyDescent="0.25">
      <c r="A5" s="29">
        <v>4</v>
      </c>
      <c r="B5" s="29" t="s">
        <v>218</v>
      </c>
      <c r="C5" s="29"/>
      <c r="D5" s="29"/>
      <c r="E5" s="29"/>
      <c r="F5" s="29"/>
      <c r="G5" s="29"/>
      <c r="H5" s="29"/>
      <c r="I5" s="29"/>
      <c r="J5" s="29"/>
      <c r="K5" s="29"/>
    </row>
    <row r="6" spans="1:11" x14ac:dyDescent="0.25">
      <c r="A6" s="29"/>
      <c r="B6" s="29"/>
      <c r="C6" s="29"/>
      <c r="D6" s="29"/>
      <c r="E6" s="29"/>
      <c r="F6" s="29"/>
      <c r="G6" s="29"/>
      <c r="H6" s="29"/>
      <c r="I6" s="29"/>
      <c r="J6" s="29"/>
      <c r="K6" s="29"/>
    </row>
    <row r="8" spans="1:11" x14ac:dyDescent="0.25">
      <c r="A8" t="s">
        <v>229</v>
      </c>
      <c r="B8" t="s">
        <v>220</v>
      </c>
      <c r="C8" t="s">
        <v>221</v>
      </c>
      <c r="D8" t="s">
        <v>222</v>
      </c>
    </row>
    <row r="9" spans="1:11" x14ac:dyDescent="0.25">
      <c r="A9" t="s">
        <v>223</v>
      </c>
      <c r="B9" t="s">
        <v>224</v>
      </c>
      <c r="C9" t="s">
        <v>225</v>
      </c>
      <c r="D9" t="s">
        <v>226</v>
      </c>
      <c r="E9">
        <v>4</v>
      </c>
      <c r="F9" s="27">
        <v>0.85680555555555549</v>
      </c>
      <c r="G9" t="s">
        <v>227</v>
      </c>
      <c r="H9">
        <v>30</v>
      </c>
      <c r="I9" t="s">
        <v>303</v>
      </c>
      <c r="J9">
        <v>20</v>
      </c>
    </row>
    <row r="10" spans="1:11" x14ac:dyDescent="0.25">
      <c r="A10" t="s">
        <v>228</v>
      </c>
    </row>
    <row r="11" spans="1:11" x14ac:dyDescent="0.25">
      <c r="B11">
        <v>1</v>
      </c>
      <c r="C11" t="s">
        <v>62</v>
      </c>
      <c r="D11" t="s">
        <v>63</v>
      </c>
      <c r="E11" s="22">
        <v>0.619603587043</v>
      </c>
    </row>
    <row r="12" spans="1:11" x14ac:dyDescent="0.25">
      <c r="B12">
        <v>2</v>
      </c>
      <c r="C12" t="s">
        <v>64</v>
      </c>
      <c r="D12" t="s">
        <v>63</v>
      </c>
      <c r="E12">
        <v>1.56909035852</v>
      </c>
      <c r="F12" s="22"/>
    </row>
    <row r="13" spans="1:11" x14ac:dyDescent="0.25">
      <c r="B13">
        <v>10</v>
      </c>
      <c r="C13" t="s">
        <v>65</v>
      </c>
      <c r="D13" t="s">
        <v>63</v>
      </c>
      <c r="E13">
        <v>-3.9122263535999999</v>
      </c>
    </row>
    <row r="14" spans="1:11" x14ac:dyDescent="0.25">
      <c r="B14">
        <v>11</v>
      </c>
      <c r="C14" t="s">
        <v>274</v>
      </c>
      <c r="D14" t="s">
        <v>72</v>
      </c>
      <c r="E14">
        <v>-3.8297482943549999</v>
      </c>
    </row>
    <row r="15" spans="1:11" x14ac:dyDescent="0.25">
      <c r="B15">
        <v>13</v>
      </c>
      <c r="C15" t="s">
        <v>275</v>
      </c>
      <c r="D15" t="s">
        <v>72</v>
      </c>
      <c r="E15">
        <v>1.968648028</v>
      </c>
    </row>
    <row r="16" spans="1:11" x14ac:dyDescent="0.25">
      <c r="B16">
        <v>17</v>
      </c>
      <c r="C16" t="s">
        <v>66</v>
      </c>
      <c r="D16" t="s">
        <v>72</v>
      </c>
      <c r="E16">
        <v>-5</v>
      </c>
    </row>
    <row r="17" spans="2:5" x14ac:dyDescent="0.25">
      <c r="B17">
        <v>18</v>
      </c>
      <c r="C17" t="s">
        <v>67</v>
      </c>
      <c r="D17" t="s">
        <v>63</v>
      </c>
      <c r="E17" s="22">
        <v>-0.57693711057499997</v>
      </c>
    </row>
    <row r="18" spans="2:5" x14ac:dyDescent="0.25">
      <c r="B18">
        <v>20</v>
      </c>
      <c r="C18" t="s">
        <v>68</v>
      </c>
      <c r="D18" t="s">
        <v>63</v>
      </c>
      <c r="E18" s="22">
        <v>-3.0290641271480001</v>
      </c>
    </row>
    <row r="19" spans="2:5" x14ac:dyDescent="0.25">
      <c r="B19">
        <v>21</v>
      </c>
      <c r="C19" t="s">
        <v>69</v>
      </c>
      <c r="D19" t="s">
        <v>63</v>
      </c>
      <c r="E19">
        <v>2.7167830999050002</v>
      </c>
    </row>
    <row r="20" spans="2:5" x14ac:dyDescent="0.25">
      <c r="B20">
        <v>22</v>
      </c>
      <c r="C20" t="s">
        <v>70</v>
      </c>
      <c r="D20" t="s">
        <v>63</v>
      </c>
      <c r="E20">
        <v>1.5381532013170001</v>
      </c>
    </row>
    <row r="21" spans="2:5" x14ac:dyDescent="0.25">
      <c r="B21">
        <v>27</v>
      </c>
      <c r="C21" t="s">
        <v>71</v>
      </c>
      <c r="D21" t="s">
        <v>72</v>
      </c>
      <c r="E21">
        <v>-5</v>
      </c>
    </row>
    <row r="22" spans="2:5" x14ac:dyDescent="0.25">
      <c r="B22">
        <v>28</v>
      </c>
      <c r="C22" t="s">
        <v>73</v>
      </c>
      <c r="D22" t="s">
        <v>63</v>
      </c>
      <c r="E22">
        <v>3.6006196525799998</v>
      </c>
    </row>
    <row r="23" spans="2:5" x14ac:dyDescent="0.25">
      <c r="B23">
        <v>29</v>
      </c>
      <c r="C23" t="s">
        <v>74</v>
      </c>
      <c r="D23" t="s">
        <v>72</v>
      </c>
      <c r="E23">
        <v>0</v>
      </c>
    </row>
    <row r="24" spans="2:5" x14ac:dyDescent="0.25">
      <c r="B24">
        <v>30</v>
      </c>
      <c r="C24" t="s">
        <v>75</v>
      </c>
      <c r="D24" t="s">
        <v>63</v>
      </c>
      <c r="E24">
        <v>0.74191500699000001</v>
      </c>
    </row>
    <row r="25" spans="2:5" x14ac:dyDescent="0.25">
      <c r="B25">
        <v>35</v>
      </c>
      <c r="C25" t="s">
        <v>261</v>
      </c>
      <c r="D25" t="s">
        <v>72</v>
      </c>
      <c r="E25">
        <v>-0.37580245259400002</v>
      </c>
    </row>
    <row r="26" spans="2:5" x14ac:dyDescent="0.25">
      <c r="B26">
        <v>36</v>
      </c>
      <c r="C26" t="s">
        <v>260</v>
      </c>
      <c r="D26" t="s">
        <v>72</v>
      </c>
      <c r="E26">
        <v>-0.450461799878</v>
      </c>
    </row>
    <row r="27" spans="2:5" x14ac:dyDescent="0.25">
      <c r="B27">
        <v>37</v>
      </c>
      <c r="C27" t="s">
        <v>76</v>
      </c>
      <c r="D27" t="s">
        <v>63</v>
      </c>
      <c r="E27">
        <v>-3.44700065974</v>
      </c>
    </row>
    <row r="28" spans="2:5" x14ac:dyDescent="0.25">
      <c r="B28">
        <v>38</v>
      </c>
      <c r="C28" t="s">
        <v>77</v>
      </c>
      <c r="D28" t="s">
        <v>63</v>
      </c>
      <c r="E28">
        <v>-0.91632215658299998</v>
      </c>
    </row>
    <row r="29" spans="2:5" x14ac:dyDescent="0.25">
      <c r="B29">
        <v>40</v>
      </c>
      <c r="C29" t="s">
        <v>78</v>
      </c>
      <c r="D29" t="s">
        <v>63</v>
      </c>
      <c r="E29">
        <v>-0.28884416060599999</v>
      </c>
    </row>
    <row r="30" spans="2:5" x14ac:dyDescent="0.25">
      <c r="B30">
        <v>41</v>
      </c>
      <c r="C30" t="s">
        <v>79</v>
      </c>
      <c r="D30" t="s">
        <v>63</v>
      </c>
      <c r="E30">
        <v>-11.9257351127411</v>
      </c>
    </row>
    <row r="31" spans="2:5" x14ac:dyDescent="0.25">
      <c r="B31">
        <v>42</v>
      </c>
      <c r="C31" t="s">
        <v>136</v>
      </c>
      <c r="D31" t="s">
        <v>72</v>
      </c>
      <c r="E31">
        <v>3.9227926870999998E-2</v>
      </c>
    </row>
    <row r="32" spans="2:5" x14ac:dyDescent="0.25">
      <c r="B32">
        <v>44</v>
      </c>
      <c r="C32" t="s">
        <v>80</v>
      </c>
      <c r="D32" t="s">
        <v>63</v>
      </c>
      <c r="E32">
        <v>0.192045382396</v>
      </c>
    </row>
    <row r="33" spans="2:6" x14ac:dyDescent="0.25">
      <c r="B33">
        <v>45</v>
      </c>
      <c r="C33" t="s">
        <v>81</v>
      </c>
      <c r="D33" t="s">
        <v>63</v>
      </c>
      <c r="E33">
        <v>0.39589717514</v>
      </c>
    </row>
    <row r="34" spans="2:6" x14ac:dyDescent="0.25">
      <c r="B34">
        <v>47</v>
      </c>
      <c r="C34" t="s">
        <v>82</v>
      </c>
      <c r="D34" t="s">
        <v>72</v>
      </c>
      <c r="E34">
        <v>0</v>
      </c>
    </row>
    <row r="35" spans="2:6" x14ac:dyDescent="0.25">
      <c r="B35">
        <v>50</v>
      </c>
      <c r="C35" t="s">
        <v>83</v>
      </c>
      <c r="D35" t="s">
        <v>63</v>
      </c>
      <c r="E35">
        <v>2.2563889294499999</v>
      </c>
    </row>
    <row r="36" spans="2:6" x14ac:dyDescent="0.25">
      <c r="B36">
        <v>52</v>
      </c>
      <c r="C36" t="s">
        <v>84</v>
      </c>
      <c r="D36" t="s">
        <v>63</v>
      </c>
      <c r="E36">
        <v>-1.3657398963230001</v>
      </c>
    </row>
    <row r="37" spans="2:6" x14ac:dyDescent="0.25">
      <c r="B37">
        <v>54</v>
      </c>
      <c r="C37" t="s">
        <v>85</v>
      </c>
      <c r="D37" t="s">
        <v>72</v>
      </c>
      <c r="E37">
        <v>0</v>
      </c>
    </row>
    <row r="38" spans="2:6" x14ac:dyDescent="0.25">
      <c r="B38">
        <v>56</v>
      </c>
      <c r="C38" t="s">
        <v>86</v>
      </c>
      <c r="D38" t="s">
        <v>72</v>
      </c>
      <c r="E38" s="22">
        <v>0</v>
      </c>
    </row>
    <row r="39" spans="2:6" x14ac:dyDescent="0.25">
      <c r="B39">
        <v>59</v>
      </c>
      <c r="C39" t="s">
        <v>87</v>
      </c>
      <c r="D39" t="s">
        <v>63</v>
      </c>
      <c r="E39">
        <v>-2.04951466168</v>
      </c>
    </row>
    <row r="40" spans="2:6" x14ac:dyDescent="0.25">
      <c r="B40">
        <v>60</v>
      </c>
      <c r="C40" t="s">
        <v>88</v>
      </c>
      <c r="D40" t="s">
        <v>63</v>
      </c>
      <c r="E40">
        <v>-3.377903764559</v>
      </c>
    </row>
    <row r="41" spans="2:6" x14ac:dyDescent="0.25">
      <c r="B41">
        <v>61</v>
      </c>
      <c r="C41" t="s">
        <v>89</v>
      </c>
      <c r="D41" t="s">
        <v>72</v>
      </c>
      <c r="E41">
        <v>0</v>
      </c>
    </row>
    <row r="42" spans="2:6" x14ac:dyDescent="0.25">
      <c r="B42">
        <v>67</v>
      </c>
      <c r="C42" t="s">
        <v>262</v>
      </c>
      <c r="D42" t="s">
        <v>72</v>
      </c>
      <c r="E42" s="22">
        <v>0.897530440835</v>
      </c>
      <c r="F42" s="22"/>
    </row>
    <row r="43" spans="2:6" x14ac:dyDescent="0.25">
      <c r="B43">
        <v>68</v>
      </c>
      <c r="C43" t="s">
        <v>263</v>
      </c>
      <c r="D43" t="s">
        <v>72</v>
      </c>
      <c r="E43">
        <v>1.64137554159</v>
      </c>
    </row>
    <row r="44" spans="2:6" x14ac:dyDescent="0.25">
      <c r="B44">
        <v>69</v>
      </c>
      <c r="C44" t="s">
        <v>90</v>
      </c>
      <c r="D44" t="s">
        <v>63</v>
      </c>
      <c r="E44">
        <v>2.1188702639299999</v>
      </c>
      <c r="F44" s="22"/>
    </row>
    <row r="45" spans="2:6" x14ac:dyDescent="0.25">
      <c r="B45">
        <v>70</v>
      </c>
      <c r="C45" t="s">
        <v>264</v>
      </c>
      <c r="D45" t="s">
        <v>72</v>
      </c>
      <c r="E45">
        <v>-0.28136050622100001</v>
      </c>
    </row>
    <row r="46" spans="2:6" x14ac:dyDescent="0.25">
      <c r="B46">
        <v>77</v>
      </c>
      <c r="C46" t="s">
        <v>265</v>
      </c>
      <c r="D46" t="s">
        <v>72</v>
      </c>
      <c r="E46">
        <v>1.255943066485</v>
      </c>
    </row>
    <row r="47" spans="2:6" x14ac:dyDescent="0.25">
      <c r="B47">
        <v>78</v>
      </c>
      <c r="C47" t="s">
        <v>266</v>
      </c>
      <c r="D47" t="s">
        <v>72</v>
      </c>
      <c r="E47">
        <v>-0.50624726280300003</v>
      </c>
    </row>
    <row r="48" spans="2:6" x14ac:dyDescent="0.25">
      <c r="B48">
        <v>79</v>
      </c>
      <c r="C48" t="s">
        <v>91</v>
      </c>
      <c r="D48" t="s">
        <v>63</v>
      </c>
      <c r="E48" s="22">
        <v>1.9004467764099999</v>
      </c>
    </row>
    <row r="49" spans="2:6" x14ac:dyDescent="0.25">
      <c r="B49">
        <v>80</v>
      </c>
      <c r="C49" t="s">
        <v>304</v>
      </c>
      <c r="D49" t="s">
        <v>63</v>
      </c>
      <c r="E49" s="22">
        <v>-3.2208124875830002</v>
      </c>
      <c r="F49" s="22"/>
    </row>
    <row r="50" spans="2:6" x14ac:dyDescent="0.25">
      <c r="B50">
        <v>81</v>
      </c>
      <c r="C50" t="s">
        <v>305</v>
      </c>
      <c r="D50" t="s">
        <v>72</v>
      </c>
      <c r="E50">
        <v>1</v>
      </c>
    </row>
    <row r="51" spans="2:6" x14ac:dyDescent="0.25">
      <c r="B51">
        <v>82</v>
      </c>
      <c r="C51" t="s">
        <v>306</v>
      </c>
      <c r="D51" t="s">
        <v>72</v>
      </c>
      <c r="E51">
        <v>-3.0117538767530001</v>
      </c>
    </row>
    <row r="52" spans="2:6" x14ac:dyDescent="0.25">
      <c r="B52">
        <v>83</v>
      </c>
      <c r="C52" t="s">
        <v>323</v>
      </c>
      <c r="D52" t="s">
        <v>72</v>
      </c>
      <c r="E52">
        <v>0</v>
      </c>
      <c r="F52" s="22"/>
    </row>
    <row r="53" spans="2:6" x14ac:dyDescent="0.25">
      <c r="B53">
        <v>84</v>
      </c>
      <c r="C53" t="s">
        <v>324</v>
      </c>
      <c r="D53" t="s">
        <v>72</v>
      </c>
      <c r="E53">
        <v>0</v>
      </c>
    </row>
    <row r="54" spans="2:6" x14ac:dyDescent="0.25">
      <c r="B54">
        <v>85</v>
      </c>
      <c r="C54" s="22" t="s">
        <v>309</v>
      </c>
      <c r="D54" s="22" t="s">
        <v>72</v>
      </c>
      <c r="E54" s="22">
        <v>0</v>
      </c>
      <c r="F54" s="22"/>
    </row>
    <row r="55" spans="2:6" x14ac:dyDescent="0.25">
      <c r="B55">
        <v>86</v>
      </c>
      <c r="C55" t="s">
        <v>310</v>
      </c>
      <c r="D55" t="s">
        <v>72</v>
      </c>
      <c r="E55">
        <v>0</v>
      </c>
    </row>
    <row r="56" spans="2:6" x14ac:dyDescent="0.25">
      <c r="B56">
        <v>87</v>
      </c>
      <c r="C56" t="s">
        <v>311</v>
      </c>
      <c r="D56" t="s">
        <v>72</v>
      </c>
      <c r="E56">
        <v>0</v>
      </c>
    </row>
    <row r="57" spans="2:6" x14ac:dyDescent="0.25">
      <c r="B57">
        <v>88</v>
      </c>
      <c r="C57" t="s">
        <v>312</v>
      </c>
      <c r="D57" t="s">
        <v>72</v>
      </c>
      <c r="E57">
        <v>0</v>
      </c>
    </row>
    <row r="58" spans="2:6" x14ac:dyDescent="0.25">
      <c r="B58">
        <v>122</v>
      </c>
      <c r="C58" t="s">
        <v>92</v>
      </c>
      <c r="D58" t="s">
        <v>63</v>
      </c>
      <c r="E58" s="22">
        <v>0.38901971125399998</v>
      </c>
      <c r="F58" s="22"/>
    </row>
    <row r="59" spans="2:6" x14ac:dyDescent="0.25">
      <c r="B59">
        <v>129</v>
      </c>
      <c r="C59" t="s">
        <v>93</v>
      </c>
      <c r="D59" t="s">
        <v>72</v>
      </c>
      <c r="E59" s="22">
        <v>0</v>
      </c>
      <c r="F59" s="22"/>
    </row>
    <row r="60" spans="2:6" x14ac:dyDescent="0.25">
      <c r="B60">
        <v>131</v>
      </c>
      <c r="C60" t="s">
        <v>94</v>
      </c>
      <c r="D60" t="s">
        <v>63</v>
      </c>
      <c r="E60">
        <v>-2.3020544512900001</v>
      </c>
    </row>
    <row r="61" spans="2:6" x14ac:dyDescent="0.25">
      <c r="B61">
        <v>132</v>
      </c>
      <c r="C61" t="s">
        <v>95</v>
      </c>
      <c r="D61" t="s">
        <v>63</v>
      </c>
      <c r="E61">
        <v>0.243467351498</v>
      </c>
    </row>
    <row r="62" spans="2:6" x14ac:dyDescent="0.25">
      <c r="B62">
        <v>133</v>
      </c>
      <c r="C62" t="s">
        <v>96</v>
      </c>
      <c r="D62" t="s">
        <v>63</v>
      </c>
      <c r="E62">
        <v>1.35380935853</v>
      </c>
    </row>
    <row r="63" spans="2:6" x14ac:dyDescent="0.25">
      <c r="B63">
        <v>134</v>
      </c>
      <c r="C63" t="s">
        <v>97</v>
      </c>
      <c r="D63" t="s">
        <v>63</v>
      </c>
      <c r="E63">
        <v>0.26967860675499999</v>
      </c>
    </row>
    <row r="64" spans="2:6" x14ac:dyDescent="0.25">
      <c r="B64">
        <v>161</v>
      </c>
      <c r="C64" s="22" t="s">
        <v>98</v>
      </c>
      <c r="D64" s="22" t="s">
        <v>63</v>
      </c>
      <c r="E64" s="22">
        <v>0.81071229355899999</v>
      </c>
    </row>
    <row r="65" spans="2:6" x14ac:dyDescent="0.25">
      <c r="B65">
        <v>162</v>
      </c>
      <c r="C65" t="s">
        <v>99</v>
      </c>
      <c r="D65" t="s">
        <v>63</v>
      </c>
      <c r="E65">
        <v>0.31418468507800001</v>
      </c>
    </row>
    <row r="66" spans="2:6" x14ac:dyDescent="0.25">
      <c r="B66">
        <v>163</v>
      </c>
      <c r="C66" t="s">
        <v>100</v>
      </c>
      <c r="D66" t="s">
        <v>63</v>
      </c>
      <c r="E66">
        <v>-0.37977447349100002</v>
      </c>
    </row>
    <row r="67" spans="2:6" x14ac:dyDescent="0.25">
      <c r="B67">
        <v>164</v>
      </c>
      <c r="C67" t="s">
        <v>101</v>
      </c>
      <c r="D67" t="s">
        <v>72</v>
      </c>
      <c r="E67">
        <v>0</v>
      </c>
    </row>
    <row r="68" spans="2:6" x14ac:dyDescent="0.25">
      <c r="B68">
        <v>165</v>
      </c>
      <c r="C68" t="s">
        <v>315</v>
      </c>
      <c r="D68" t="s">
        <v>63</v>
      </c>
      <c r="E68" s="22">
        <v>4.5309996900000002E-4</v>
      </c>
      <c r="F68" s="22"/>
    </row>
    <row r="69" spans="2:6" x14ac:dyDescent="0.25">
      <c r="B69">
        <v>166</v>
      </c>
      <c r="C69" t="s">
        <v>316</v>
      </c>
      <c r="D69" t="s">
        <v>72</v>
      </c>
      <c r="E69">
        <v>0</v>
      </c>
    </row>
    <row r="70" spans="2:6" x14ac:dyDescent="0.25">
      <c r="B70">
        <v>167</v>
      </c>
      <c r="C70" s="22" t="s">
        <v>317</v>
      </c>
      <c r="D70" s="22" t="s">
        <v>72</v>
      </c>
      <c r="E70" s="22">
        <v>0</v>
      </c>
    </row>
    <row r="71" spans="2:6" x14ac:dyDescent="0.25">
      <c r="B71">
        <v>168</v>
      </c>
      <c r="C71" t="s">
        <v>102</v>
      </c>
      <c r="D71" t="s">
        <v>72</v>
      </c>
      <c r="E71">
        <v>0</v>
      </c>
    </row>
    <row r="72" spans="2:6" x14ac:dyDescent="0.25">
      <c r="B72">
        <v>169</v>
      </c>
      <c r="C72" t="s">
        <v>103</v>
      </c>
      <c r="D72" t="s">
        <v>72</v>
      </c>
      <c r="E72">
        <v>0</v>
      </c>
    </row>
    <row r="73" spans="2:6" x14ac:dyDescent="0.25">
      <c r="B73">
        <v>175</v>
      </c>
      <c r="C73" t="s">
        <v>318</v>
      </c>
      <c r="D73" t="s">
        <v>72</v>
      </c>
      <c r="E73">
        <v>0</v>
      </c>
    </row>
    <row r="74" spans="2:6" x14ac:dyDescent="0.25">
      <c r="B74">
        <v>176</v>
      </c>
      <c r="C74" t="s">
        <v>319</v>
      </c>
      <c r="D74" t="s">
        <v>72</v>
      </c>
      <c r="E74">
        <v>0</v>
      </c>
    </row>
    <row r="75" spans="2:6" x14ac:dyDescent="0.25">
      <c r="B75">
        <v>177</v>
      </c>
      <c r="C75" t="s">
        <v>320</v>
      </c>
      <c r="D75" t="s">
        <v>72</v>
      </c>
      <c r="E75">
        <v>0</v>
      </c>
    </row>
    <row r="76" spans="2:6" x14ac:dyDescent="0.25">
      <c r="B76">
        <v>178</v>
      </c>
      <c r="C76" t="s">
        <v>183</v>
      </c>
      <c r="D76" t="s">
        <v>72</v>
      </c>
      <c r="E76">
        <v>0</v>
      </c>
    </row>
    <row r="77" spans="2:6" x14ac:dyDescent="0.25">
      <c r="B77">
        <v>179</v>
      </c>
      <c r="C77" t="s">
        <v>321</v>
      </c>
      <c r="D77" t="s">
        <v>72</v>
      </c>
      <c r="E77">
        <v>0</v>
      </c>
    </row>
    <row r="78" spans="2:6" x14ac:dyDescent="0.25">
      <c r="B78">
        <v>99</v>
      </c>
      <c r="C78" t="s">
        <v>105</v>
      </c>
      <c r="D78" t="s">
        <v>63</v>
      </c>
      <c r="E78">
        <v>0.76797404821600002</v>
      </c>
      <c r="F78" s="22"/>
    </row>
    <row r="79" spans="2:6" x14ac:dyDescent="0.25">
      <c r="B79">
        <v>-1</v>
      </c>
    </row>
    <row r="80" spans="2:6" x14ac:dyDescent="0.25">
      <c r="B80">
        <v>2638</v>
      </c>
      <c r="C80" s="22">
        <v>-3554.2190402699998</v>
      </c>
      <c r="D80" s="22">
        <v>-5093.3218156800003</v>
      </c>
      <c r="E80" s="22">
        <v>-2740.63895701</v>
      </c>
    </row>
    <row r="81" spans="2:11" x14ac:dyDescent="0.25">
      <c r="B81">
        <v>12</v>
      </c>
      <c r="C81" t="s">
        <v>325</v>
      </c>
      <c r="D81" t="s">
        <v>227</v>
      </c>
      <c r="E81">
        <v>30</v>
      </c>
      <c r="F81" t="s">
        <v>303</v>
      </c>
      <c r="G81">
        <v>20</v>
      </c>
    </row>
    <row r="82" spans="2:11" x14ac:dyDescent="0.25">
      <c r="B82">
        <v>9424</v>
      </c>
      <c r="C82">
        <v>-10247</v>
      </c>
      <c r="D82">
        <v>-87343</v>
      </c>
      <c r="E82">
        <v>0</v>
      </c>
      <c r="F82">
        <v>0</v>
      </c>
      <c r="G82">
        <v>0</v>
      </c>
      <c r="H82">
        <v>-7377</v>
      </c>
      <c r="I82">
        <v>-7536</v>
      </c>
      <c r="J82">
        <v>-6972</v>
      </c>
      <c r="K82">
        <v>0</v>
      </c>
    </row>
    <row r="83" spans="2:11" x14ac:dyDescent="0.25">
      <c r="B83">
        <v>-1809</v>
      </c>
      <c r="C83">
        <v>-29550</v>
      </c>
      <c r="D83">
        <v>40741</v>
      </c>
      <c r="E83">
        <v>0</v>
      </c>
      <c r="F83">
        <v>2500</v>
      </c>
      <c r="G83">
        <v>5051</v>
      </c>
      <c r="H83">
        <v>53376</v>
      </c>
      <c r="I83">
        <v>-51446</v>
      </c>
      <c r="J83">
        <v>0</v>
      </c>
      <c r="K83">
        <v>7457</v>
      </c>
    </row>
    <row r="84" spans="2:11" x14ac:dyDescent="0.25">
      <c r="B84">
        <v>-41163</v>
      </c>
      <c r="C84">
        <v>4919</v>
      </c>
      <c r="D84">
        <v>28682</v>
      </c>
      <c r="E84">
        <v>-30934</v>
      </c>
      <c r="F84">
        <v>0</v>
      </c>
      <c r="G84">
        <v>-7813</v>
      </c>
      <c r="H84">
        <v>-47650</v>
      </c>
      <c r="I84">
        <v>49194</v>
      </c>
      <c r="J84">
        <v>0</v>
      </c>
      <c r="K84">
        <v>0</v>
      </c>
    </row>
    <row r="85" spans="2:11" x14ac:dyDescent="0.25"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-535</v>
      </c>
      <c r="I85">
        <v>69418</v>
      </c>
      <c r="J85">
        <v>-69111</v>
      </c>
      <c r="K85">
        <v>0</v>
      </c>
    </row>
    <row r="86" spans="2:11" x14ac:dyDescent="0.25">
      <c r="B86">
        <v>5844</v>
      </c>
      <c r="C86">
        <v>-49990</v>
      </c>
      <c r="D86">
        <v>46611</v>
      </c>
      <c r="E86">
        <v>28909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</row>
    <row r="87" spans="2:11" x14ac:dyDescent="0.25">
      <c r="B87">
        <v>0</v>
      </c>
      <c r="C87">
        <v>0</v>
      </c>
      <c r="D87">
        <v>0</v>
      </c>
      <c r="E87">
        <v>0</v>
      </c>
      <c r="F87">
        <v>0</v>
      </c>
      <c r="G87">
        <v>11447</v>
      </c>
      <c r="H87">
        <v>-20485</v>
      </c>
      <c r="I87">
        <v>15389</v>
      </c>
      <c r="J87">
        <v>0</v>
      </c>
      <c r="K87">
        <v>-5556</v>
      </c>
    </row>
    <row r="88" spans="2:11" x14ac:dyDescent="0.25">
      <c r="B88">
        <v>-5207</v>
      </c>
      <c r="C88">
        <v>-2734</v>
      </c>
      <c r="D88">
        <v>4578</v>
      </c>
      <c r="E88">
        <v>0</v>
      </c>
      <c r="F88">
        <v>1546</v>
      </c>
      <c r="G88">
        <v>0</v>
      </c>
      <c r="H88">
        <v>-9484</v>
      </c>
      <c r="I88">
        <v>-28111</v>
      </c>
      <c r="J88">
        <v>28530</v>
      </c>
      <c r="K88">
        <v>0</v>
      </c>
    </row>
    <row r="89" spans="2:11" x14ac:dyDescent="0.25">
      <c r="B89">
        <v>6229</v>
      </c>
      <c r="C89">
        <v>11639</v>
      </c>
      <c r="D89">
        <v>-18371</v>
      </c>
      <c r="E89">
        <v>-14157</v>
      </c>
      <c r="F89">
        <v>0</v>
      </c>
      <c r="G89">
        <v>-21326</v>
      </c>
      <c r="H89">
        <v>0</v>
      </c>
      <c r="I89">
        <v>-3649</v>
      </c>
      <c r="J89">
        <v>-9617</v>
      </c>
      <c r="K89">
        <v>-32030</v>
      </c>
    </row>
    <row r="90" spans="2:11" x14ac:dyDescent="0.25">
      <c r="B90">
        <v>33158</v>
      </c>
      <c r="C90">
        <v>0</v>
      </c>
      <c r="D90">
        <v>9507</v>
      </c>
      <c r="E90">
        <v>18001</v>
      </c>
      <c r="F90">
        <v>-22795</v>
      </c>
      <c r="G90">
        <v>-23135</v>
      </c>
      <c r="H90">
        <v>0</v>
      </c>
      <c r="I90">
        <v>-24680</v>
      </c>
      <c r="J90">
        <v>0</v>
      </c>
      <c r="K90">
        <v>-1010</v>
      </c>
    </row>
    <row r="91" spans="2:11" x14ac:dyDescent="0.25">
      <c r="B91">
        <v>26235</v>
      </c>
      <c r="C91">
        <v>13152</v>
      </c>
      <c r="D91">
        <v>-23813</v>
      </c>
      <c r="E91">
        <v>19502</v>
      </c>
      <c r="F91">
        <v>0</v>
      </c>
      <c r="G91">
        <v>-5455</v>
      </c>
      <c r="H91">
        <v>-2584</v>
      </c>
      <c r="I91">
        <v>-5477</v>
      </c>
      <c r="J91">
        <v>2592</v>
      </c>
      <c r="K91">
        <v>0</v>
      </c>
    </row>
    <row r="92" spans="2:11" x14ac:dyDescent="0.25">
      <c r="B92">
        <v>-2203</v>
      </c>
      <c r="C92">
        <v>0</v>
      </c>
      <c r="D92">
        <v>96982</v>
      </c>
      <c r="E92">
        <v>1212</v>
      </c>
      <c r="F92">
        <v>-624</v>
      </c>
      <c r="G92">
        <v>-6726</v>
      </c>
      <c r="H92">
        <v>-29928</v>
      </c>
      <c r="I92">
        <v>32117</v>
      </c>
      <c r="J92">
        <v>0</v>
      </c>
      <c r="K92">
        <v>3413</v>
      </c>
    </row>
    <row r="93" spans="2:11" x14ac:dyDescent="0.25">
      <c r="B93">
        <v>20912</v>
      </c>
      <c r="C93">
        <v>-10354</v>
      </c>
      <c r="D93">
        <v>-16561</v>
      </c>
      <c r="E93">
        <v>0</v>
      </c>
      <c r="F93">
        <v>-31265</v>
      </c>
      <c r="G93">
        <v>0</v>
      </c>
      <c r="H93">
        <v>-8894</v>
      </c>
      <c r="I93">
        <v>21128</v>
      </c>
      <c r="J93">
        <v>15353</v>
      </c>
      <c r="K93">
        <v>-6157</v>
      </c>
    </row>
    <row r="94" spans="2:11" x14ac:dyDescent="0.25">
      <c r="B94">
        <v>-3132</v>
      </c>
      <c r="C94">
        <v>-9059</v>
      </c>
      <c r="D94">
        <v>5465</v>
      </c>
      <c r="E94">
        <v>0</v>
      </c>
      <c r="F94">
        <v>10399</v>
      </c>
      <c r="G94">
        <v>-1369</v>
      </c>
      <c r="H94">
        <v>-218</v>
      </c>
      <c r="I94">
        <v>7702</v>
      </c>
      <c r="J94">
        <v>0</v>
      </c>
      <c r="K94">
        <v>10013</v>
      </c>
    </row>
    <row r="95" spans="2:11" x14ac:dyDescent="0.25">
      <c r="B95">
        <v>0</v>
      </c>
      <c r="C95">
        <v>-18172</v>
      </c>
      <c r="D95">
        <v>-10484</v>
      </c>
      <c r="E95">
        <v>-12479</v>
      </c>
      <c r="F95">
        <v>-18840</v>
      </c>
      <c r="G95">
        <v>-10492</v>
      </c>
      <c r="H95">
        <v>4234</v>
      </c>
      <c r="I95">
        <v>2820</v>
      </c>
      <c r="J95">
        <v>-6315</v>
      </c>
      <c r="K95">
        <v>0</v>
      </c>
    </row>
    <row r="96" spans="2:11" x14ac:dyDescent="0.25">
      <c r="B96">
        <v>7043</v>
      </c>
      <c r="C96">
        <v>-7773</v>
      </c>
      <c r="D96">
        <v>5021</v>
      </c>
      <c r="E96">
        <v>4368</v>
      </c>
      <c r="F96">
        <v>0</v>
      </c>
      <c r="G96">
        <v>6232</v>
      </c>
      <c r="H96">
        <v>0</v>
      </c>
      <c r="I96">
        <v>-22161</v>
      </c>
      <c r="J96">
        <v>-2426</v>
      </c>
      <c r="K96">
        <v>-5298</v>
      </c>
    </row>
    <row r="97" spans="2:11" x14ac:dyDescent="0.25">
      <c r="B97">
        <v>-23721</v>
      </c>
      <c r="C97">
        <v>-4267</v>
      </c>
      <c r="D97">
        <v>32625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2:11" x14ac:dyDescent="0.25"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2:11" x14ac:dyDescent="0.25">
      <c r="B99">
        <v>0</v>
      </c>
      <c r="C99">
        <v>23880</v>
      </c>
      <c r="D99">
        <v>23839</v>
      </c>
      <c r="E99">
        <v>-28650</v>
      </c>
      <c r="F99">
        <v>0</v>
      </c>
      <c r="G99">
        <v>7731</v>
      </c>
      <c r="H99">
        <v>-23903</v>
      </c>
      <c r="I99">
        <v>21473</v>
      </c>
      <c r="J99">
        <v>12153</v>
      </c>
      <c r="K99">
        <v>0</v>
      </c>
    </row>
    <row r="100" spans="2:11" x14ac:dyDescent="0.25">
      <c r="B100">
        <v>42648</v>
      </c>
      <c r="C100">
        <v>0</v>
      </c>
      <c r="D100">
        <v>62494</v>
      </c>
      <c r="E100">
        <v>-7460</v>
      </c>
      <c r="F100">
        <v>-6196</v>
      </c>
      <c r="G100">
        <v>60535</v>
      </c>
      <c r="H100">
        <v>-23290</v>
      </c>
      <c r="I100">
        <v>6525</v>
      </c>
      <c r="J100">
        <v>10241</v>
      </c>
      <c r="K100">
        <v>0</v>
      </c>
    </row>
    <row r="101" spans="2:11" x14ac:dyDescent="0.25">
      <c r="B101">
        <v>7722</v>
      </c>
      <c r="C101">
        <v>-47864</v>
      </c>
      <c r="D101">
        <v>49615</v>
      </c>
      <c r="E101">
        <v>0</v>
      </c>
      <c r="F101">
        <v>-8916</v>
      </c>
      <c r="G101">
        <v>21285</v>
      </c>
      <c r="H101">
        <v>-29320</v>
      </c>
      <c r="I101">
        <v>-5375</v>
      </c>
      <c r="J101">
        <v>0</v>
      </c>
      <c r="K101">
        <v>-42685</v>
      </c>
    </row>
    <row r="102" spans="2:11" x14ac:dyDescent="0.25">
      <c r="B102">
        <v>0</v>
      </c>
      <c r="C102">
        <v>-7780</v>
      </c>
      <c r="D102">
        <v>13367</v>
      </c>
      <c r="E102">
        <v>11685</v>
      </c>
      <c r="F102">
        <v>-4682</v>
      </c>
      <c r="G102">
        <v>19125</v>
      </c>
      <c r="H102">
        <v>7280</v>
      </c>
      <c r="I102">
        <v>1892</v>
      </c>
      <c r="J102">
        <v>0</v>
      </c>
      <c r="K102">
        <v>-43584</v>
      </c>
    </row>
    <row r="103" spans="2:11" x14ac:dyDescent="0.25"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2:11" x14ac:dyDescent="0.2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2:11" x14ac:dyDescent="0.25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25"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2:11" x14ac:dyDescent="0.25">
      <c r="B107">
        <v>0</v>
      </c>
      <c r="C107">
        <v>0</v>
      </c>
      <c r="D107">
        <v>0</v>
      </c>
      <c r="E107">
        <v>-17412</v>
      </c>
      <c r="F107">
        <v>-59597</v>
      </c>
      <c r="G107">
        <v>60693</v>
      </c>
      <c r="H107">
        <v>0</v>
      </c>
      <c r="I107">
        <v>-2318</v>
      </c>
      <c r="J107">
        <v>34397</v>
      </c>
      <c r="K107">
        <v>-38257</v>
      </c>
    </row>
    <row r="108" spans="2:11" x14ac:dyDescent="0.25">
      <c r="B108">
        <v>-24662</v>
      </c>
      <c r="C108">
        <v>0</v>
      </c>
      <c r="D108">
        <v>-57377</v>
      </c>
      <c r="E108">
        <v>0</v>
      </c>
      <c r="F108">
        <v>-3975</v>
      </c>
      <c r="G108">
        <v>17627</v>
      </c>
      <c r="H108">
        <v>19720</v>
      </c>
      <c r="I108">
        <v>-1595</v>
      </c>
      <c r="J108">
        <v>25736</v>
      </c>
      <c r="K108">
        <v>-3401</v>
      </c>
    </row>
    <row r="109" spans="2:11" x14ac:dyDescent="0.25">
      <c r="B109">
        <v>-11313</v>
      </c>
      <c r="C109">
        <v>0</v>
      </c>
      <c r="D109">
        <v>-51809</v>
      </c>
      <c r="E109">
        <v>21791</v>
      </c>
      <c r="F109">
        <v>0</v>
      </c>
      <c r="G109">
        <v>0</v>
      </c>
      <c r="H109">
        <v>8449</v>
      </c>
      <c r="I109">
        <v>-60841</v>
      </c>
      <c r="J109">
        <v>59903</v>
      </c>
      <c r="K109">
        <v>0</v>
      </c>
    </row>
    <row r="110" spans="2:11" x14ac:dyDescent="0.25">
      <c r="B110">
        <v>3585</v>
      </c>
      <c r="C110">
        <v>27180</v>
      </c>
      <c r="D110">
        <v>-35750</v>
      </c>
      <c r="E110">
        <v>-16100</v>
      </c>
      <c r="F110">
        <v>0</v>
      </c>
      <c r="G110">
        <v>-43532</v>
      </c>
      <c r="H110">
        <v>0</v>
      </c>
      <c r="I110">
        <v>25467</v>
      </c>
      <c r="J110">
        <v>17120</v>
      </c>
      <c r="K110">
        <v>16203</v>
      </c>
    </row>
    <row r="111" spans="2:11" x14ac:dyDescent="0.25">
      <c r="B111">
        <v>28294</v>
      </c>
      <c r="C111">
        <v>19288</v>
      </c>
      <c r="D111">
        <v>12470</v>
      </c>
      <c r="E111">
        <v>1702</v>
      </c>
      <c r="F111">
        <v>0</v>
      </c>
      <c r="G111">
        <v>-3524</v>
      </c>
      <c r="H111">
        <v>32850</v>
      </c>
      <c r="I111">
        <v>0</v>
      </c>
      <c r="J111">
        <v>0</v>
      </c>
      <c r="K111">
        <v>35181</v>
      </c>
    </row>
    <row r="112" spans="2:11" x14ac:dyDescent="0.2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2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25">
      <c r="B114">
        <v>0</v>
      </c>
      <c r="C114">
        <v>0</v>
      </c>
      <c r="D114">
        <v>0</v>
      </c>
      <c r="E114">
        <v>0</v>
      </c>
      <c r="F114">
        <v>0</v>
      </c>
      <c r="G114">
        <v>5697</v>
      </c>
      <c r="H114">
        <v>72306</v>
      </c>
      <c r="I114">
        <v>-70768</v>
      </c>
      <c r="J114">
        <v>0</v>
      </c>
      <c r="K114">
        <v>5971</v>
      </c>
    </row>
    <row r="115" spans="2:11" x14ac:dyDescent="0.25">
      <c r="B115">
        <v>-38348</v>
      </c>
      <c r="C115">
        <v>46534</v>
      </c>
      <c r="D115">
        <v>28008</v>
      </c>
      <c r="E115">
        <v>0</v>
      </c>
      <c r="F115">
        <v>69144</v>
      </c>
      <c r="G115">
        <v>0</v>
      </c>
      <c r="H115">
        <v>2818</v>
      </c>
      <c r="I115">
        <v>-19098</v>
      </c>
      <c r="J115">
        <v>-21130</v>
      </c>
      <c r="K115">
        <v>-439</v>
      </c>
    </row>
    <row r="116" spans="2:11" x14ac:dyDescent="0.25">
      <c r="B116">
        <v>-31403</v>
      </c>
      <c r="C116">
        <v>2775</v>
      </c>
      <c r="D116">
        <v>9144</v>
      </c>
      <c r="E116">
        <v>0</v>
      </c>
      <c r="F116">
        <v>52474</v>
      </c>
      <c r="G116">
        <v>-46260</v>
      </c>
      <c r="H116">
        <v>0</v>
      </c>
      <c r="I116">
        <v>0</v>
      </c>
      <c r="J116">
        <v>-63594</v>
      </c>
      <c r="K116">
        <v>-46438</v>
      </c>
    </row>
    <row r="117" spans="2:11" x14ac:dyDescent="0.25">
      <c r="B117">
        <v>0</v>
      </c>
      <c r="C117">
        <v>1658</v>
      </c>
      <c r="D117">
        <v>77368</v>
      </c>
      <c r="E117">
        <v>-68683</v>
      </c>
      <c r="F117">
        <v>0</v>
      </c>
      <c r="G117">
        <v>4687</v>
      </c>
      <c r="H117">
        <v>-31319</v>
      </c>
      <c r="I117">
        <v>48167</v>
      </c>
      <c r="J117">
        <v>27896</v>
      </c>
      <c r="K117">
        <v>0</v>
      </c>
    </row>
    <row r="118" spans="2:11" x14ac:dyDescent="0.25">
      <c r="B118">
        <v>68726</v>
      </c>
      <c r="C118">
        <v>0</v>
      </c>
      <c r="D118">
        <v>8270</v>
      </c>
      <c r="E118">
        <v>-19878</v>
      </c>
      <c r="F118">
        <v>-21120</v>
      </c>
      <c r="G118">
        <v>5101</v>
      </c>
      <c r="H118">
        <v>-29585</v>
      </c>
      <c r="I118">
        <v>1092</v>
      </c>
      <c r="J118">
        <v>9676</v>
      </c>
      <c r="K118">
        <v>0</v>
      </c>
    </row>
    <row r="119" spans="2:11" x14ac:dyDescent="0.25">
      <c r="B119">
        <v>53592</v>
      </c>
      <c r="C119">
        <v>-47686</v>
      </c>
      <c r="D119">
        <v>0</v>
      </c>
      <c r="E119">
        <v>0</v>
      </c>
      <c r="F119">
        <v>-61691</v>
      </c>
      <c r="G119">
        <v>-40426</v>
      </c>
      <c r="H119">
        <v>0</v>
      </c>
      <c r="I119">
        <v>79922</v>
      </c>
      <c r="J119">
        <v>-9527</v>
      </c>
      <c r="K119">
        <v>-72114</v>
      </c>
    </row>
    <row r="120" spans="2:11" x14ac:dyDescent="0.25">
      <c r="B120">
        <v>72879</v>
      </c>
      <c r="C120">
        <v>0</v>
      </c>
      <c r="D120">
        <v>2248</v>
      </c>
      <c r="E120">
        <v>35788</v>
      </c>
      <c r="F120">
        <v>-41290</v>
      </c>
      <c r="G120">
        <v>-25164</v>
      </c>
      <c r="H120">
        <v>0</v>
      </c>
      <c r="I120">
        <v>-60438</v>
      </c>
      <c r="J120">
        <v>0</v>
      </c>
      <c r="K120">
        <v>7407</v>
      </c>
    </row>
    <row r="121" spans="2:11" x14ac:dyDescent="0.25">
      <c r="B121">
        <v>22527</v>
      </c>
      <c r="C121">
        <v>26795</v>
      </c>
      <c r="D121">
        <v>10793</v>
      </c>
      <c r="E121">
        <v>30093</v>
      </c>
      <c r="F121">
        <v>41</v>
      </c>
      <c r="G121">
        <v>-7250</v>
      </c>
      <c r="H121">
        <v>0</v>
      </c>
      <c r="I121">
        <v>-33931</v>
      </c>
      <c r="J121">
        <v>44275</v>
      </c>
      <c r="K121">
        <v>0</v>
      </c>
    </row>
    <row r="122" spans="2:11" x14ac:dyDescent="0.25">
      <c r="B122">
        <v>0</v>
      </c>
      <c r="C122">
        <v>55621</v>
      </c>
      <c r="D122">
        <v>48409</v>
      </c>
      <c r="E122">
        <v>0</v>
      </c>
      <c r="F122">
        <v>-63986</v>
      </c>
      <c r="G122">
        <v>-61249</v>
      </c>
      <c r="H122">
        <v>0</v>
      </c>
      <c r="I122">
        <v>0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</row>
    <row r="124" spans="2:11" x14ac:dyDescent="0.25"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2:11" x14ac:dyDescent="0.25"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2:11" x14ac:dyDescent="0.25"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</row>
    <row r="127" spans="2:11" x14ac:dyDescent="0.25"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2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2:11" x14ac:dyDescent="0.25"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2:11" x14ac:dyDescent="0.25"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2:11" x14ac:dyDescent="0.25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2:11" x14ac:dyDescent="0.25"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-1295</v>
      </c>
      <c r="I148">
        <v>4067</v>
      </c>
      <c r="J148">
        <v>-10819</v>
      </c>
      <c r="K148">
        <v>0</v>
      </c>
    </row>
    <row r="149" spans="2:11" x14ac:dyDescent="0.25">
      <c r="B149">
        <v>-4046</v>
      </c>
      <c r="C149">
        <v>-70804</v>
      </c>
      <c r="D149">
        <v>6200</v>
      </c>
      <c r="E149">
        <v>8336</v>
      </c>
      <c r="F149">
        <v>0</v>
      </c>
      <c r="G149">
        <v>-4028</v>
      </c>
      <c r="H149">
        <v>0</v>
      </c>
      <c r="I149">
        <v>12960</v>
      </c>
      <c r="J149">
        <v>1129</v>
      </c>
      <c r="K149">
        <v>-1880</v>
      </c>
    </row>
    <row r="150" spans="2:11" x14ac:dyDescent="0.25">
      <c r="B150">
        <v>12226</v>
      </c>
      <c r="C150">
        <v>-7204</v>
      </c>
      <c r="D150">
        <v>-9539</v>
      </c>
      <c r="E150">
        <v>7048</v>
      </c>
      <c r="F150">
        <v>0</v>
      </c>
      <c r="G150">
        <v>18716</v>
      </c>
      <c r="H150">
        <v>-9376</v>
      </c>
      <c r="I150">
        <v>0</v>
      </c>
      <c r="J150">
        <v>0</v>
      </c>
      <c r="K150">
        <v>-14855</v>
      </c>
    </row>
    <row r="151" spans="2:11" x14ac:dyDescent="0.25">
      <c r="B151">
        <v>-8893</v>
      </c>
      <c r="C151">
        <v>0</v>
      </c>
      <c r="D151">
        <v>16159</v>
      </c>
      <c r="E151">
        <v>13070</v>
      </c>
      <c r="F151">
        <v>-12751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2:11" x14ac:dyDescent="0.25"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2:11" x14ac:dyDescent="0.25"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</row>
    <row r="154" spans="2:11" x14ac:dyDescent="0.25"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2:11" x14ac:dyDescent="0.25"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2:11" x14ac:dyDescent="0.25">
      <c r="B156">
        <v>0</v>
      </c>
      <c r="C156">
        <v>-12062</v>
      </c>
      <c r="D156">
        <v>-25144</v>
      </c>
      <c r="E156">
        <v>23614</v>
      </c>
      <c r="F156">
        <v>0</v>
      </c>
      <c r="G156">
        <v>7764</v>
      </c>
      <c r="H156">
        <v>13386</v>
      </c>
      <c r="I156">
        <v>-15139</v>
      </c>
      <c r="J156">
        <v>-7765</v>
      </c>
      <c r="K156">
        <v>0</v>
      </c>
    </row>
    <row r="157" spans="2:11" x14ac:dyDescent="0.25">
      <c r="B157">
        <v>-18636</v>
      </c>
      <c r="C157">
        <v>0</v>
      </c>
      <c r="D157">
        <v>-10814</v>
      </c>
      <c r="E157">
        <v>8691</v>
      </c>
      <c r="F157">
        <v>6275</v>
      </c>
      <c r="G157">
        <v>-9710</v>
      </c>
      <c r="H157">
        <v>9146</v>
      </c>
      <c r="I157">
        <v>1972</v>
      </c>
      <c r="J157">
        <v>6983</v>
      </c>
      <c r="K157">
        <v>0</v>
      </c>
    </row>
    <row r="158" spans="2:11" x14ac:dyDescent="0.25">
      <c r="B158">
        <v>-24154</v>
      </c>
      <c r="C158">
        <v>18273</v>
      </c>
      <c r="D158">
        <v>0</v>
      </c>
      <c r="E158">
        <v>0</v>
      </c>
      <c r="F158">
        <v>24978</v>
      </c>
      <c r="G158">
        <v>16737</v>
      </c>
      <c r="H158">
        <v>0</v>
      </c>
      <c r="I158">
        <v>-19181</v>
      </c>
      <c r="J158">
        <v>-19568</v>
      </c>
      <c r="K158">
        <v>24163</v>
      </c>
    </row>
    <row r="159" spans="2:11" x14ac:dyDescent="0.25"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-7318</v>
      </c>
      <c r="K159">
        <v>0</v>
      </c>
    </row>
    <row r="160" spans="2:11" x14ac:dyDescent="0.25">
      <c r="B160">
        <v>15019</v>
      </c>
      <c r="C160">
        <v>21177</v>
      </c>
      <c r="D160">
        <v>-24434</v>
      </c>
      <c r="E160">
        <v>0</v>
      </c>
      <c r="F160">
        <v>10910</v>
      </c>
      <c r="G160">
        <v>-26503</v>
      </c>
      <c r="H160">
        <v>21512</v>
      </c>
      <c r="I160">
        <v>18474</v>
      </c>
      <c r="J160">
        <v>0</v>
      </c>
      <c r="K160">
        <v>17891</v>
      </c>
    </row>
    <row r="161" spans="2:11" x14ac:dyDescent="0.25">
      <c r="B161">
        <v>0</v>
      </c>
      <c r="C161">
        <v>-20828</v>
      </c>
      <c r="D161">
        <v>-7046</v>
      </c>
      <c r="E161">
        <v>-14578</v>
      </c>
      <c r="F161">
        <v>-21982</v>
      </c>
      <c r="G161">
        <v>-10343</v>
      </c>
      <c r="H161">
        <v>-4604</v>
      </c>
      <c r="I161">
        <v>9147</v>
      </c>
      <c r="J161">
        <v>0</v>
      </c>
      <c r="K161">
        <v>-8266</v>
      </c>
    </row>
    <row r="162" spans="2:11" x14ac:dyDescent="0.25">
      <c r="B162">
        <v>-14443</v>
      </c>
      <c r="C162">
        <v>0</v>
      </c>
      <c r="D162">
        <v>0</v>
      </c>
      <c r="E162">
        <v>-17271</v>
      </c>
      <c r="F162">
        <v>-11839</v>
      </c>
      <c r="G162">
        <v>0</v>
      </c>
      <c r="H162">
        <v>26956</v>
      </c>
      <c r="I162">
        <v>24532</v>
      </c>
      <c r="J162">
        <v>-23714</v>
      </c>
      <c r="K162">
        <v>0</v>
      </c>
    </row>
    <row r="163" spans="2:11" x14ac:dyDescent="0.25"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19441</v>
      </c>
      <c r="J163">
        <v>0</v>
      </c>
      <c r="K163">
        <v>-8628</v>
      </c>
    </row>
    <row r="164" spans="2:11" x14ac:dyDescent="0.25">
      <c r="B164">
        <v>915</v>
      </c>
      <c r="C164">
        <v>25511</v>
      </c>
      <c r="D164">
        <v>-30732</v>
      </c>
      <c r="E164">
        <v>0</v>
      </c>
      <c r="F164">
        <v>11203</v>
      </c>
      <c r="G164">
        <v>-16466</v>
      </c>
      <c r="H164">
        <v>17874</v>
      </c>
      <c r="I164">
        <v>11659</v>
      </c>
      <c r="J164">
        <v>0</v>
      </c>
      <c r="K164">
        <v>30583</v>
      </c>
    </row>
    <row r="165" spans="2:11" x14ac:dyDescent="0.25">
      <c r="B165">
        <v>0</v>
      </c>
      <c r="C165">
        <v>-4737</v>
      </c>
      <c r="D165">
        <v>-5600</v>
      </c>
      <c r="E165">
        <v>-15203</v>
      </c>
      <c r="F165">
        <v>-5990</v>
      </c>
      <c r="G165">
        <v>-14832</v>
      </c>
      <c r="H165">
        <v>-1754</v>
      </c>
      <c r="I165">
        <v>7629</v>
      </c>
      <c r="J165">
        <v>0</v>
      </c>
      <c r="K165">
        <v>18636</v>
      </c>
    </row>
    <row r="166" spans="2:11" x14ac:dyDescent="0.25">
      <c r="B166">
        <v>-21265</v>
      </c>
      <c r="C166">
        <v>0</v>
      </c>
      <c r="D166">
        <v>0</v>
      </c>
      <c r="E166">
        <v>-26501</v>
      </c>
      <c r="F166">
        <v>-14725</v>
      </c>
      <c r="G166">
        <v>0</v>
      </c>
      <c r="H166">
        <v>34758</v>
      </c>
      <c r="I166">
        <v>32717</v>
      </c>
      <c r="J166">
        <v>-22863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5470</v>
      </c>
      <c r="J167">
        <v>0</v>
      </c>
      <c r="K167">
        <v>32730</v>
      </c>
    </row>
    <row r="168" spans="2:11" x14ac:dyDescent="0.25">
      <c r="B168">
        <v>23335</v>
      </c>
      <c r="C168">
        <v>9904</v>
      </c>
      <c r="D168">
        <v>23042</v>
      </c>
      <c r="E168">
        <v>-26922</v>
      </c>
      <c r="F168">
        <v>0</v>
      </c>
      <c r="G168">
        <v>13969</v>
      </c>
      <c r="H168">
        <v>-29156</v>
      </c>
      <c r="I168">
        <v>22563</v>
      </c>
      <c r="J168">
        <v>17961</v>
      </c>
      <c r="K168">
        <v>0</v>
      </c>
    </row>
    <row r="169" spans="2:11" x14ac:dyDescent="0.25">
      <c r="B169">
        <v>22222</v>
      </c>
      <c r="C169">
        <v>0</v>
      </c>
      <c r="D169">
        <v>-27224</v>
      </c>
      <c r="E169">
        <v>-4284</v>
      </c>
      <c r="F169">
        <v>-15451</v>
      </c>
      <c r="G169">
        <v>-28379</v>
      </c>
      <c r="H169">
        <v>-11238</v>
      </c>
      <c r="I169">
        <v>-2747</v>
      </c>
      <c r="J169">
        <v>10879</v>
      </c>
      <c r="K169">
        <v>0</v>
      </c>
    </row>
    <row r="170" spans="2:11" x14ac:dyDescent="0.25">
      <c r="B170">
        <v>3631</v>
      </c>
      <c r="C170">
        <v>-17728</v>
      </c>
      <c r="D170">
        <v>0</v>
      </c>
      <c r="E170">
        <v>0</v>
      </c>
      <c r="F170">
        <v>-24929</v>
      </c>
      <c r="G170">
        <v>-13819</v>
      </c>
      <c r="H170">
        <v>0</v>
      </c>
      <c r="I170">
        <v>34338</v>
      </c>
      <c r="J170">
        <v>30493</v>
      </c>
      <c r="K170">
        <v>-26608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22695</v>
      </c>
      <c r="K171">
        <v>0</v>
      </c>
    </row>
    <row r="172" spans="2:11" x14ac:dyDescent="0.25">
      <c r="B172">
        <v>3401</v>
      </c>
      <c r="C172">
        <v>84950</v>
      </c>
      <c r="D172">
        <v>28484</v>
      </c>
      <c r="E172">
        <v>-13085</v>
      </c>
      <c r="F172">
        <v>11170</v>
      </c>
      <c r="G172">
        <v>-8571</v>
      </c>
      <c r="H172">
        <v>0</v>
      </c>
      <c r="I172">
        <v>101</v>
      </c>
      <c r="J172">
        <v>-3187</v>
      </c>
      <c r="K172">
        <v>8673</v>
      </c>
    </row>
    <row r="173" spans="2:11" x14ac:dyDescent="0.25">
      <c r="B173">
        <v>1647</v>
      </c>
      <c r="C173">
        <v>0</v>
      </c>
      <c r="D173">
        <v>11301</v>
      </c>
      <c r="E173">
        <v>0</v>
      </c>
      <c r="F173">
        <v>2563</v>
      </c>
      <c r="G173">
        <v>-2695</v>
      </c>
      <c r="H173">
        <v>-1566</v>
      </c>
      <c r="I173">
        <v>1790</v>
      </c>
      <c r="J173">
        <v>-4591</v>
      </c>
      <c r="K173">
        <v>-1256</v>
      </c>
    </row>
    <row r="174" spans="2:11" x14ac:dyDescent="0.25">
      <c r="B174">
        <v>-1516</v>
      </c>
      <c r="C174">
        <v>0</v>
      </c>
      <c r="D174">
        <v>5529</v>
      </c>
      <c r="E174">
        <v>-8000</v>
      </c>
      <c r="F174">
        <v>0</v>
      </c>
      <c r="G174">
        <v>0</v>
      </c>
      <c r="H174">
        <v>-6117</v>
      </c>
      <c r="I174">
        <v>-36710</v>
      </c>
      <c r="J174">
        <v>0</v>
      </c>
      <c r="K174">
        <v>5963</v>
      </c>
    </row>
    <row r="175" spans="2:11" x14ac:dyDescent="0.25">
      <c r="B175">
        <v>12594</v>
      </c>
      <c r="C175">
        <v>-6085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25">
      <c r="B176">
        <v>-165</v>
      </c>
      <c r="C176">
        <v>0</v>
      </c>
      <c r="D176">
        <v>-5068</v>
      </c>
      <c r="E176">
        <v>-4084</v>
      </c>
      <c r="F176">
        <v>745</v>
      </c>
      <c r="G176">
        <v>-2997</v>
      </c>
      <c r="H176">
        <v>2717</v>
      </c>
      <c r="I176">
        <v>4311</v>
      </c>
      <c r="J176">
        <v>1414</v>
      </c>
      <c r="K176">
        <v>0</v>
      </c>
    </row>
    <row r="177" spans="2:11" x14ac:dyDescent="0.25">
      <c r="B177">
        <v>-3749</v>
      </c>
      <c r="C177">
        <v>6208</v>
      </c>
      <c r="D177">
        <v>-5800</v>
      </c>
      <c r="E177">
        <v>-5512</v>
      </c>
      <c r="F177">
        <v>0</v>
      </c>
      <c r="G177">
        <v>-5070</v>
      </c>
      <c r="H177">
        <v>0</v>
      </c>
      <c r="I177">
        <v>-5226</v>
      </c>
      <c r="J177">
        <v>700</v>
      </c>
      <c r="K177">
        <v>2414</v>
      </c>
    </row>
    <row r="178" spans="2:11" x14ac:dyDescent="0.25">
      <c r="B178">
        <v>-5058</v>
      </c>
      <c r="C178">
        <v>1976</v>
      </c>
      <c r="D178">
        <v>-10591</v>
      </c>
      <c r="E178">
        <v>1674</v>
      </c>
      <c r="F178">
        <v>0</v>
      </c>
      <c r="G178">
        <v>-7298</v>
      </c>
      <c r="H178">
        <v>5306</v>
      </c>
      <c r="I178">
        <v>0</v>
      </c>
      <c r="J178">
        <v>0</v>
      </c>
      <c r="K178">
        <v>2695</v>
      </c>
    </row>
    <row r="179" spans="2:11" x14ac:dyDescent="0.25">
      <c r="B179">
        <v>-38249</v>
      </c>
      <c r="C179">
        <v>0</v>
      </c>
      <c r="D179">
        <v>-8062</v>
      </c>
      <c r="E179">
        <v>-4210</v>
      </c>
      <c r="F179">
        <v>3019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76</v>
      </c>
      <c r="F180">
        <v>0</v>
      </c>
      <c r="G180">
        <v>2715</v>
      </c>
      <c r="H180">
        <v>-5771</v>
      </c>
      <c r="I180">
        <v>-507</v>
      </c>
      <c r="J180">
        <v>-6269</v>
      </c>
      <c r="K180">
        <v>-9502</v>
      </c>
    </row>
    <row r="181" spans="2:11" x14ac:dyDescent="0.25">
      <c r="B181">
        <v>6588</v>
      </c>
      <c r="C181">
        <v>657</v>
      </c>
      <c r="D181">
        <v>-3181</v>
      </c>
      <c r="E181">
        <v>0</v>
      </c>
      <c r="F181">
        <v>834</v>
      </c>
      <c r="G181">
        <v>-1650</v>
      </c>
      <c r="H181">
        <v>-2753</v>
      </c>
      <c r="I181">
        <v>5397</v>
      </c>
      <c r="J181">
        <v>0</v>
      </c>
      <c r="K181">
        <v>-31</v>
      </c>
    </row>
    <row r="182" spans="2:11" x14ac:dyDescent="0.25">
      <c r="B182">
        <v>0</v>
      </c>
      <c r="C182">
        <v>-3052</v>
      </c>
      <c r="D182">
        <v>-2520</v>
      </c>
      <c r="E182">
        <v>-1094</v>
      </c>
      <c r="F182">
        <v>-2919</v>
      </c>
      <c r="G182">
        <v>-3302</v>
      </c>
      <c r="H182">
        <v>1798</v>
      </c>
      <c r="I182">
        <v>-6499</v>
      </c>
      <c r="J182">
        <v>0</v>
      </c>
      <c r="K182">
        <v>-2146</v>
      </c>
    </row>
    <row r="183" spans="2:11" x14ac:dyDescent="0.25">
      <c r="B183">
        <v>481</v>
      </c>
      <c r="C183">
        <v>0</v>
      </c>
      <c r="D183">
        <v>0</v>
      </c>
      <c r="E183">
        <v>-274</v>
      </c>
      <c r="F183">
        <v>4865</v>
      </c>
      <c r="G183">
        <v>0</v>
      </c>
      <c r="H183">
        <v>3327</v>
      </c>
      <c r="I183">
        <v>1692</v>
      </c>
      <c r="J183">
        <v>-2224</v>
      </c>
      <c r="K183">
        <v>0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-2054</v>
      </c>
      <c r="J184">
        <v>0</v>
      </c>
      <c r="K184">
        <v>-1268</v>
      </c>
    </row>
    <row r="185" spans="2:11" x14ac:dyDescent="0.25">
      <c r="B185">
        <v>8409</v>
      </c>
      <c r="C185">
        <v>-369</v>
      </c>
      <c r="D185">
        <v>7767</v>
      </c>
      <c r="E185">
        <v>-33950</v>
      </c>
      <c r="F185">
        <v>-31069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2:11" x14ac:dyDescent="0.2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25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2:11" x14ac:dyDescent="0.25"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2:11" x14ac:dyDescent="0.25"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</row>
    <row r="190" spans="2:11" x14ac:dyDescent="0.25">
      <c r="B190">
        <v>0</v>
      </c>
      <c r="C190">
        <v>-28798</v>
      </c>
      <c r="D190">
        <v>16462</v>
      </c>
      <c r="E190">
        <v>-19725</v>
      </c>
      <c r="F190">
        <v>0</v>
      </c>
      <c r="G190">
        <v>5257</v>
      </c>
      <c r="H190">
        <v>-19343</v>
      </c>
      <c r="I190">
        <v>27355</v>
      </c>
      <c r="J190">
        <v>6089</v>
      </c>
      <c r="K190">
        <v>0</v>
      </c>
    </row>
    <row r="191" spans="2:11" x14ac:dyDescent="0.25">
      <c r="B191">
        <v>20301</v>
      </c>
      <c r="C191">
        <v>0</v>
      </c>
      <c r="D191">
        <v>1115</v>
      </c>
      <c r="E191">
        <v>-3542</v>
      </c>
      <c r="F191">
        <v>-1780</v>
      </c>
      <c r="G191">
        <v>-704</v>
      </c>
      <c r="H191">
        <v>-4613</v>
      </c>
      <c r="I191">
        <v>3050</v>
      </c>
      <c r="J191">
        <v>1863</v>
      </c>
      <c r="K191">
        <v>0</v>
      </c>
    </row>
    <row r="192" spans="2:11" x14ac:dyDescent="0.25">
      <c r="B192">
        <v>11043</v>
      </c>
      <c r="C192">
        <v>-22836</v>
      </c>
      <c r="D192">
        <v>0</v>
      </c>
      <c r="E192">
        <v>0</v>
      </c>
      <c r="F192">
        <v>-13511</v>
      </c>
      <c r="G192">
        <v>-38738</v>
      </c>
      <c r="H192">
        <v>0</v>
      </c>
      <c r="I192">
        <v>10470</v>
      </c>
      <c r="J192">
        <v>19964</v>
      </c>
      <c r="K192">
        <v>-19218</v>
      </c>
    </row>
    <row r="193" spans="2:11" x14ac:dyDescent="0.25"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15427</v>
      </c>
      <c r="K193">
        <v>0</v>
      </c>
    </row>
    <row r="194" spans="2:11" x14ac:dyDescent="0.25">
      <c r="B194">
        <v>-8604</v>
      </c>
      <c r="C194">
        <v>6385</v>
      </c>
      <c r="D194">
        <v>4727</v>
      </c>
      <c r="E194">
        <v>8336</v>
      </c>
      <c r="F194">
        <v>17643</v>
      </c>
      <c r="G194">
        <v>-27868</v>
      </c>
      <c r="H194">
        <v>4798</v>
      </c>
      <c r="I194">
        <v>0</v>
      </c>
      <c r="J194">
        <v>0</v>
      </c>
      <c r="K194">
        <v>0</v>
      </c>
    </row>
    <row r="195" spans="2:11" x14ac:dyDescent="0.25"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</row>
    <row r="196" spans="2:11" x14ac:dyDescent="0.25"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</row>
    <row r="197" spans="2:11" x14ac:dyDescent="0.25"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</row>
    <row r="198" spans="2:11" x14ac:dyDescent="0.25"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</row>
    <row r="199" spans="2:11" x14ac:dyDescent="0.25"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</row>
    <row r="200" spans="2:11" x14ac:dyDescent="0.25"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</row>
    <row r="201" spans="2:11" x14ac:dyDescent="0.25"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</row>
    <row r="202" spans="2:11" x14ac:dyDescent="0.25"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</row>
    <row r="203" spans="2:11" x14ac:dyDescent="0.25"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</row>
    <row r="204" spans="2:11" x14ac:dyDescent="0.25"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</row>
    <row r="205" spans="2:11" x14ac:dyDescent="0.25"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</row>
    <row r="206" spans="2:11" x14ac:dyDescent="0.25"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</row>
    <row r="207" spans="2:11" x14ac:dyDescent="0.25"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</row>
    <row r="208" spans="2:11" x14ac:dyDescent="0.25"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</row>
    <row r="209" spans="2:11" x14ac:dyDescent="0.25"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</row>
    <row r="210" spans="2:11" x14ac:dyDescent="0.25"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</row>
    <row r="211" spans="2:11" x14ac:dyDescent="0.25"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</row>
    <row r="212" spans="2:11" x14ac:dyDescent="0.25"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</row>
    <row r="213" spans="2:11" x14ac:dyDescent="0.25"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</row>
    <row r="214" spans="2:11" x14ac:dyDescent="0.25"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</row>
    <row r="215" spans="2:11" x14ac:dyDescent="0.25"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</row>
    <row r="216" spans="2:11" x14ac:dyDescent="0.25"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</row>
    <row r="217" spans="2:11" x14ac:dyDescent="0.25"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</row>
    <row r="218" spans="2:11" x14ac:dyDescent="0.25"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2:11" x14ac:dyDescent="0.25"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</row>
    <row r="220" spans="2:11" x14ac:dyDescent="0.25"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</row>
    <row r="221" spans="2:11" x14ac:dyDescent="0.25"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</row>
    <row r="222" spans="2:11" x14ac:dyDescent="0.25"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2:11" x14ac:dyDescent="0.25"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2:11" x14ac:dyDescent="0.25"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</row>
    <row r="225" spans="2:11" x14ac:dyDescent="0.25"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</row>
    <row r="226" spans="2:11" x14ac:dyDescent="0.25"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</row>
    <row r="227" spans="2:11" x14ac:dyDescent="0.25"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</row>
    <row r="228" spans="2:11" x14ac:dyDescent="0.25"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</row>
    <row r="229" spans="2:11" x14ac:dyDescent="0.25"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</row>
    <row r="230" spans="2:11" x14ac:dyDescent="0.25"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</row>
    <row r="231" spans="2:11" x14ac:dyDescent="0.25"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</row>
    <row r="232" spans="2:11" x14ac:dyDescent="0.25"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</row>
    <row r="233" spans="2:11" x14ac:dyDescent="0.25"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</row>
    <row r="234" spans="2:11" x14ac:dyDescent="0.25"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</row>
    <row r="235" spans="2:11" x14ac:dyDescent="0.25"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</row>
    <row r="236" spans="2:11" x14ac:dyDescent="0.25"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</row>
    <row r="237" spans="2:11" x14ac:dyDescent="0.25"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</row>
    <row r="238" spans="2:11" x14ac:dyDescent="0.25"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</row>
    <row r="239" spans="2:11" x14ac:dyDescent="0.25"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</row>
    <row r="240" spans="2:11" x14ac:dyDescent="0.25"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</row>
    <row r="241" spans="2:11" x14ac:dyDescent="0.25"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-13731</v>
      </c>
      <c r="I241">
        <v>-85252</v>
      </c>
      <c r="J241">
        <v>87996</v>
      </c>
      <c r="K241">
        <v>0</v>
      </c>
    </row>
    <row r="242" spans="2:11" x14ac:dyDescent="0.25">
      <c r="B242">
        <v>5550</v>
      </c>
      <c r="C242">
        <v>48257</v>
      </c>
      <c r="D242">
        <v>-55674</v>
      </c>
      <c r="E242">
        <v>-36077</v>
      </c>
      <c r="F242">
        <v>0</v>
      </c>
      <c r="G242">
        <v>-74834</v>
      </c>
      <c r="H242">
        <v>0</v>
      </c>
      <c r="I242">
        <v>-15350</v>
      </c>
      <c r="J242">
        <v>30406</v>
      </c>
      <c r="K242">
        <v>37167</v>
      </c>
    </row>
    <row r="243" spans="2:11" x14ac:dyDescent="0.25">
      <c r="B243">
        <v>-10557</v>
      </c>
      <c r="C243">
        <v>37146</v>
      </c>
      <c r="D243">
        <v>8925</v>
      </c>
      <c r="E243">
        <v>-2427</v>
      </c>
      <c r="F243">
        <v>0</v>
      </c>
      <c r="G243">
        <v>-52707</v>
      </c>
      <c r="H243">
        <v>56493</v>
      </c>
      <c r="I243">
        <v>0</v>
      </c>
      <c r="J243">
        <v>0</v>
      </c>
      <c r="K243">
        <v>67315</v>
      </c>
    </row>
    <row r="244" spans="2:11" x14ac:dyDescent="0.25">
      <c r="B244">
        <v>54025</v>
      </c>
      <c r="C244">
        <v>0</v>
      </c>
      <c r="D244">
        <v>-77957</v>
      </c>
      <c r="E244">
        <v>-77743</v>
      </c>
      <c r="F244">
        <v>75978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25">
      <c r="B245">
        <v>0</v>
      </c>
      <c r="C245">
        <v>0</v>
      </c>
      <c r="D245">
        <v>0</v>
      </c>
      <c r="E245">
        <v>-19316</v>
      </c>
      <c r="F245">
        <v>0</v>
      </c>
      <c r="G245">
        <v>28392</v>
      </c>
      <c r="H245">
        <v>-27566</v>
      </c>
      <c r="I245">
        <v>-32547</v>
      </c>
      <c r="J245">
        <v>-29729</v>
      </c>
      <c r="K245">
        <v>-9876</v>
      </c>
    </row>
    <row r="246" spans="2:11" x14ac:dyDescent="0.25">
      <c r="B246">
        <v>4729</v>
      </c>
      <c r="C246">
        <v>-2455</v>
      </c>
      <c r="D246">
        <v>0</v>
      </c>
      <c r="E246">
        <v>-23461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25">
      <c r="B247">
        <v>0</v>
      </c>
      <c r="C247">
        <v>0</v>
      </c>
      <c r="D247">
        <v>0</v>
      </c>
    </row>
  </sheetData>
  <pageMargins bottom="0.75" footer="0.3" header="0.3" left="0.7" right="0.7" top="0.75"/>
</worksheet>
</file>

<file path=xl/worksheets/sheet1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48"/>
  <sheetViews>
    <sheetView workbookViewId="0">
      <selection activeCell="A8" sqref="A8:K48"/>
    </sheetView>
  </sheetViews>
  <sheetFormatPr defaultRowHeight="15" x14ac:dyDescent="0.25"/>
  <sheetData>
    <row r="1" spans="1:11" x14ac:dyDescent="0.25">
      <c r="A1" s="31" t="s">
        <v>214</v>
      </c>
      <c r="B1" s="29"/>
      <c r="C1" s="29"/>
      <c r="D1" s="29"/>
      <c r="E1" s="29"/>
      <c r="F1" s="29"/>
      <c r="G1" s="29"/>
      <c r="H1" s="29" t="s">
        <v>215</v>
      </c>
      <c r="I1" s="29"/>
      <c r="J1" s="29"/>
      <c r="K1" s="29"/>
    </row>
    <row r="2" spans="1:11" x14ac:dyDescent="0.25">
      <c r="A2" s="29">
        <v>1</v>
      </c>
      <c r="B2" s="29" t="s">
        <v>286</v>
      </c>
      <c r="C2" s="29"/>
      <c r="D2" s="29"/>
      <c r="E2" s="29"/>
      <c r="F2" s="29"/>
      <c r="G2" s="29"/>
      <c r="H2" s="29"/>
      <c r="I2" s="29"/>
      <c r="J2" s="29"/>
      <c r="K2" s="29"/>
    </row>
    <row r="3" spans="1:11" x14ac:dyDescent="0.25">
      <c r="A3" s="29">
        <v>2</v>
      </c>
      <c r="B3" s="29" t="s">
        <v>216</v>
      </c>
      <c r="C3" s="29"/>
      <c r="D3" s="29"/>
      <c r="E3" s="29"/>
      <c r="F3" s="29"/>
      <c r="G3" s="29"/>
      <c r="H3" s="29"/>
      <c r="I3" s="29"/>
      <c r="J3" s="29"/>
      <c r="K3" s="29"/>
    </row>
    <row r="4" spans="1:11" x14ac:dyDescent="0.25">
      <c r="A4" s="29">
        <v>3</v>
      </c>
      <c r="B4" s="29" t="s">
        <v>217</v>
      </c>
      <c r="C4" s="29"/>
      <c r="D4" s="29"/>
      <c r="E4" s="29"/>
      <c r="F4" s="29"/>
      <c r="G4" s="29"/>
      <c r="H4" s="29"/>
      <c r="I4" s="29"/>
      <c r="J4" s="29"/>
      <c r="K4" s="29"/>
    </row>
    <row r="5" spans="1:11" x14ac:dyDescent="0.25">
      <c r="A5" s="29">
        <v>4</v>
      </c>
      <c r="B5" s="29" t="s">
        <v>218</v>
      </c>
      <c r="C5" s="29"/>
      <c r="D5" s="29"/>
      <c r="E5" s="29"/>
      <c r="F5" s="29"/>
      <c r="G5" s="29"/>
      <c r="H5" s="29"/>
      <c r="I5" s="29"/>
      <c r="J5" s="29"/>
      <c r="K5" s="29"/>
    </row>
    <row r="6" spans="1:11" x14ac:dyDescent="0.25">
      <c r="A6" s="29"/>
      <c r="B6" s="29"/>
      <c r="C6" s="29"/>
      <c r="D6" s="29"/>
      <c r="E6" s="29"/>
      <c r="F6" s="29"/>
      <c r="G6" s="29"/>
      <c r="H6" s="29"/>
      <c r="I6" s="29"/>
      <c r="J6" s="29"/>
      <c r="K6" s="29"/>
    </row>
    <row r="8" spans="1:11" x14ac:dyDescent="0.25">
      <c r="A8" t="s">
        <v>193</v>
      </c>
      <c r="B8" t="s">
        <v>220</v>
      </c>
      <c r="C8" t="s">
        <v>221</v>
      </c>
      <c r="D8" t="s">
        <v>222</v>
      </c>
    </row>
    <row r="9" spans="1:11" x14ac:dyDescent="0.25">
      <c r="A9" t="s">
        <v>223</v>
      </c>
      <c r="B9" t="s">
        <v>224</v>
      </c>
      <c r="C9" t="s">
        <v>225</v>
      </c>
      <c r="D9" t="s">
        <v>226</v>
      </c>
      <c r="E9">
        <v>4</v>
      </c>
      <c r="F9" s="27">
        <v>0.82966435185185183</v>
      </c>
      <c r="G9" t="s">
        <v>227</v>
      </c>
      <c r="H9">
        <v>30</v>
      </c>
      <c r="I9" t="s">
        <v>303</v>
      </c>
      <c r="J9">
        <v>20</v>
      </c>
    </row>
    <row r="10" spans="1:11" x14ac:dyDescent="0.25">
      <c r="A10" t="s">
        <v>228</v>
      </c>
    </row>
    <row r="11" spans="1:11" x14ac:dyDescent="0.25">
      <c r="B11">
        <v>2</v>
      </c>
      <c r="C11" t="s">
        <v>64</v>
      </c>
      <c r="D11" t="s">
        <v>63</v>
      </c>
      <c r="E11">
        <v>2.7320863424400001</v>
      </c>
    </row>
    <row r="12" spans="1:11" x14ac:dyDescent="0.25">
      <c r="B12">
        <v>30</v>
      </c>
      <c r="C12" t="s">
        <v>75</v>
      </c>
      <c r="D12" t="s">
        <v>63</v>
      </c>
      <c r="E12">
        <v>-6.9398997343640003</v>
      </c>
    </row>
    <row r="13" spans="1:11" x14ac:dyDescent="0.25">
      <c r="B13">
        <v>31</v>
      </c>
      <c r="C13" t="s">
        <v>133</v>
      </c>
      <c r="D13" t="s">
        <v>63</v>
      </c>
      <c r="E13">
        <v>1.0545738203499999</v>
      </c>
      <c r="F13" s="22"/>
    </row>
    <row r="14" spans="1:11" x14ac:dyDescent="0.25">
      <c r="B14">
        <v>32</v>
      </c>
      <c r="C14" t="s">
        <v>134</v>
      </c>
      <c r="D14" t="s">
        <v>63</v>
      </c>
      <c r="E14">
        <v>0.64710165113499996</v>
      </c>
      <c r="F14" s="22"/>
    </row>
    <row r="15" spans="1:11" x14ac:dyDescent="0.25">
      <c r="B15">
        <v>33</v>
      </c>
      <c r="C15" t="s">
        <v>135</v>
      </c>
      <c r="D15" t="s">
        <v>72</v>
      </c>
      <c r="E15" s="22">
        <v>0</v>
      </c>
    </row>
    <row r="16" spans="1:11" x14ac:dyDescent="0.25">
      <c r="B16">
        <v>36</v>
      </c>
      <c r="C16" t="s">
        <v>260</v>
      </c>
      <c r="D16" t="s">
        <v>72</v>
      </c>
      <c r="E16">
        <v>-0.89787089007999998</v>
      </c>
    </row>
    <row r="17" spans="2:6" x14ac:dyDescent="0.25">
      <c r="B17">
        <v>37</v>
      </c>
      <c r="C17" t="s">
        <v>261</v>
      </c>
      <c r="D17" t="s">
        <v>72</v>
      </c>
      <c r="E17">
        <v>-7.8974546559999997E-2</v>
      </c>
    </row>
    <row r="18" spans="2:6" x14ac:dyDescent="0.25">
      <c r="B18">
        <v>40</v>
      </c>
      <c r="C18" t="s">
        <v>78</v>
      </c>
      <c r="D18" t="s">
        <v>63</v>
      </c>
      <c r="E18" s="22">
        <v>-6.2680582356360004</v>
      </c>
    </row>
    <row r="19" spans="2:6" x14ac:dyDescent="0.25">
      <c r="B19">
        <v>41</v>
      </c>
      <c r="C19" t="s">
        <v>79</v>
      </c>
      <c r="D19" t="s">
        <v>63</v>
      </c>
      <c r="E19">
        <v>-3.3043422143660002</v>
      </c>
    </row>
    <row r="20" spans="2:6" x14ac:dyDescent="0.25">
      <c r="B20">
        <v>42</v>
      </c>
      <c r="C20" t="s">
        <v>136</v>
      </c>
      <c r="D20" t="s">
        <v>63</v>
      </c>
      <c r="E20" s="22">
        <v>0.25589449116099999</v>
      </c>
    </row>
    <row r="21" spans="2:6" x14ac:dyDescent="0.25">
      <c r="B21">
        <v>50</v>
      </c>
      <c r="C21" t="s">
        <v>326</v>
      </c>
      <c r="D21" t="s">
        <v>72</v>
      </c>
      <c r="E21">
        <v>-9.8609981837039999</v>
      </c>
    </row>
    <row r="22" spans="2:6" x14ac:dyDescent="0.25">
      <c r="B22">
        <v>52</v>
      </c>
      <c r="C22" t="s">
        <v>84</v>
      </c>
      <c r="D22" t="s">
        <v>63</v>
      </c>
      <c r="E22" s="22">
        <v>-0.86772357690299995</v>
      </c>
      <c r="F22" s="22"/>
    </row>
    <row r="23" spans="2:6" x14ac:dyDescent="0.25">
      <c r="B23">
        <v>60</v>
      </c>
      <c r="C23" t="s">
        <v>88</v>
      </c>
      <c r="D23" t="s">
        <v>63</v>
      </c>
      <c r="E23">
        <v>-13.621753923630999</v>
      </c>
    </row>
    <row r="24" spans="2:6" x14ac:dyDescent="0.25">
      <c r="B24">
        <v>67</v>
      </c>
      <c r="C24" t="s">
        <v>262</v>
      </c>
      <c r="D24" t="s">
        <v>72</v>
      </c>
      <c r="E24" s="22">
        <v>2.3646780759819999</v>
      </c>
    </row>
    <row r="25" spans="2:6" x14ac:dyDescent="0.25">
      <c r="B25">
        <v>68</v>
      </c>
      <c r="C25" t="s">
        <v>263</v>
      </c>
      <c r="D25" t="s">
        <v>72</v>
      </c>
      <c r="E25">
        <v>1.7575454809019999</v>
      </c>
    </row>
    <row r="26" spans="2:6" x14ac:dyDescent="0.25">
      <c r="B26">
        <v>69</v>
      </c>
      <c r="C26" t="s">
        <v>90</v>
      </c>
      <c r="D26" t="s">
        <v>63</v>
      </c>
      <c r="E26">
        <v>2.1188702639299999</v>
      </c>
      <c r="F26" s="22"/>
    </row>
    <row r="27" spans="2:6" x14ac:dyDescent="0.25">
      <c r="B27">
        <v>70</v>
      </c>
      <c r="C27" s="22" t="s">
        <v>264</v>
      </c>
      <c r="D27" s="22" t="s">
        <v>72</v>
      </c>
      <c r="E27" s="22">
        <v>-1.7686436508109999</v>
      </c>
    </row>
    <row r="28" spans="2:6" x14ac:dyDescent="0.25">
      <c r="B28">
        <v>73</v>
      </c>
      <c r="C28" s="22" t="s">
        <v>138</v>
      </c>
      <c r="D28" s="22" t="s">
        <v>63</v>
      </c>
      <c r="E28" s="22">
        <v>-4.9194139576199998</v>
      </c>
      <c r="F28" s="22"/>
    </row>
    <row r="29" spans="2:6" x14ac:dyDescent="0.25">
      <c r="B29">
        <v>76</v>
      </c>
      <c r="C29" t="s">
        <v>139</v>
      </c>
      <c r="D29" t="s">
        <v>63</v>
      </c>
      <c r="E29" s="22">
        <v>-9.3626403287999996E-2</v>
      </c>
      <c r="F29" s="22"/>
    </row>
    <row r="30" spans="2:6" x14ac:dyDescent="0.25">
      <c r="B30">
        <v>77</v>
      </c>
      <c r="C30" t="s">
        <v>265</v>
      </c>
      <c r="D30" t="s">
        <v>72</v>
      </c>
      <c r="E30">
        <v>-0.37110146947</v>
      </c>
    </row>
    <row r="31" spans="2:6" x14ac:dyDescent="0.25">
      <c r="B31">
        <v>78</v>
      </c>
      <c r="C31" t="s">
        <v>266</v>
      </c>
      <c r="D31" t="s">
        <v>72</v>
      </c>
      <c r="E31">
        <v>-0.96454934530299996</v>
      </c>
    </row>
    <row r="32" spans="2:6" x14ac:dyDescent="0.25">
      <c r="B32">
        <v>81</v>
      </c>
      <c r="C32" t="s">
        <v>140</v>
      </c>
      <c r="D32" t="s">
        <v>63</v>
      </c>
      <c r="E32" s="22">
        <v>-0.91620966688100003</v>
      </c>
    </row>
    <row r="33" spans="2:11" x14ac:dyDescent="0.25">
      <c r="B33">
        <v>82</v>
      </c>
      <c r="C33" t="s">
        <v>141</v>
      </c>
      <c r="D33" t="s">
        <v>63</v>
      </c>
      <c r="E33">
        <v>-1.81445233558</v>
      </c>
    </row>
    <row r="34" spans="2:11" x14ac:dyDescent="0.25">
      <c r="B34">
        <v>83</v>
      </c>
      <c r="C34" t="s">
        <v>142</v>
      </c>
      <c r="D34" t="s">
        <v>63</v>
      </c>
      <c r="E34">
        <v>-2.2381648197800001</v>
      </c>
    </row>
    <row r="35" spans="2:11" x14ac:dyDescent="0.25">
      <c r="B35">
        <v>-1</v>
      </c>
      <c r="C35" s="22"/>
      <c r="D35" s="22"/>
      <c r="E35" s="22"/>
    </row>
    <row r="36" spans="2:11" x14ac:dyDescent="0.25">
      <c r="B36">
        <v>2945</v>
      </c>
      <c r="C36" s="22">
        <v>-3126.8806600600001</v>
      </c>
      <c r="D36" s="22">
        <v>-4562.2984239500001</v>
      </c>
      <c r="E36" s="22">
        <v>-2973.9885963400002</v>
      </c>
    </row>
    <row r="37" spans="2:11" x14ac:dyDescent="0.25">
      <c r="B37">
        <v>5</v>
      </c>
      <c r="C37" t="s">
        <v>327</v>
      </c>
      <c r="D37" t="s">
        <v>227</v>
      </c>
      <c r="E37">
        <v>30</v>
      </c>
      <c r="F37" t="s">
        <v>303</v>
      </c>
      <c r="G37">
        <v>20</v>
      </c>
    </row>
    <row r="38" spans="2:11" x14ac:dyDescent="0.25">
      <c r="B38">
        <v>25609</v>
      </c>
      <c r="C38">
        <v>5690</v>
      </c>
      <c r="D38">
        <v>-13493</v>
      </c>
      <c r="E38">
        <v>5462</v>
      </c>
      <c r="F38">
        <v>-25862</v>
      </c>
      <c r="G38">
        <v>5592</v>
      </c>
      <c r="H38">
        <v>0</v>
      </c>
      <c r="I38">
        <v>0</v>
      </c>
      <c r="J38">
        <v>0</v>
      </c>
      <c r="K38">
        <v>0</v>
      </c>
    </row>
    <row r="39" spans="2:11" x14ac:dyDescent="0.25">
      <c r="B39">
        <v>28890</v>
      </c>
      <c r="C39">
        <v>89430</v>
      </c>
      <c r="D39">
        <v>4921</v>
      </c>
      <c r="E39">
        <v>5215</v>
      </c>
      <c r="F39">
        <v>0</v>
      </c>
      <c r="G39">
        <v>2035</v>
      </c>
      <c r="H39">
        <v>-5241</v>
      </c>
      <c r="I39">
        <v>-942</v>
      </c>
      <c r="J39">
        <v>1240</v>
      </c>
      <c r="K39">
        <v>0</v>
      </c>
    </row>
    <row r="40" spans="2:11" x14ac:dyDescent="0.25">
      <c r="B40">
        <v>-6599</v>
      </c>
      <c r="C40">
        <v>3061</v>
      </c>
      <c r="D40">
        <v>-1445</v>
      </c>
      <c r="E40">
        <v>-12201</v>
      </c>
      <c r="F40">
        <v>-10325</v>
      </c>
      <c r="G40">
        <v>0</v>
      </c>
      <c r="H40">
        <v>-19797</v>
      </c>
      <c r="I40">
        <v>3627</v>
      </c>
      <c r="J40">
        <v>0</v>
      </c>
      <c r="K40">
        <v>0</v>
      </c>
    </row>
    <row r="41" spans="2:11" x14ac:dyDescent="0.25"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-17315</v>
      </c>
      <c r="I41">
        <v>41878</v>
      </c>
      <c r="J41">
        <v>-2847</v>
      </c>
      <c r="K41">
        <v>-2612</v>
      </c>
    </row>
    <row r="42" spans="2:11" x14ac:dyDescent="0.25">
      <c r="B42">
        <v>0</v>
      </c>
      <c r="C42">
        <v>43014</v>
      </c>
      <c r="D42">
        <v>24504</v>
      </c>
      <c r="E42">
        <v>-6015</v>
      </c>
      <c r="F42">
        <v>0</v>
      </c>
      <c r="G42">
        <v>11089</v>
      </c>
      <c r="H42">
        <v>22202</v>
      </c>
      <c r="I42">
        <v>662</v>
      </c>
      <c r="J42">
        <v>1327</v>
      </c>
      <c r="K42">
        <v>0</v>
      </c>
    </row>
    <row r="43" spans="2:11" x14ac:dyDescent="0.25">
      <c r="B43">
        <v>24390</v>
      </c>
      <c r="C43">
        <v>6669</v>
      </c>
      <c r="D43">
        <v>-3993</v>
      </c>
      <c r="E43">
        <v>0</v>
      </c>
      <c r="F43">
        <v>10675</v>
      </c>
      <c r="G43">
        <v>57368</v>
      </c>
      <c r="H43">
        <v>48320</v>
      </c>
      <c r="I43">
        <v>-492</v>
      </c>
      <c r="J43">
        <v>-3513</v>
      </c>
      <c r="K43">
        <v>0</v>
      </c>
    </row>
    <row r="44" spans="2:11" x14ac:dyDescent="0.25">
      <c r="B44">
        <v>48151</v>
      </c>
      <c r="C44">
        <v>9787</v>
      </c>
      <c r="D44">
        <v>5592</v>
      </c>
      <c r="E44">
        <v>0</v>
      </c>
      <c r="F44">
        <v>13352</v>
      </c>
      <c r="G44">
        <v>-937</v>
      </c>
      <c r="H44">
        <v>4648</v>
      </c>
      <c r="I44">
        <v>18061</v>
      </c>
      <c r="J44">
        <v>28660</v>
      </c>
      <c r="K44">
        <v>-5016</v>
      </c>
    </row>
    <row r="45" spans="2:11" x14ac:dyDescent="0.25">
      <c r="B45">
        <v>0</v>
      </c>
      <c r="C45">
        <v>20996</v>
      </c>
      <c r="D45">
        <v>-29489</v>
      </c>
      <c r="E45">
        <v>-8507</v>
      </c>
      <c r="F45">
        <v>0</v>
      </c>
      <c r="G45">
        <v>-2471</v>
      </c>
      <c r="H45">
        <v>11460</v>
      </c>
      <c r="I45">
        <v>-25016</v>
      </c>
      <c r="J45">
        <v>4583</v>
      </c>
      <c r="K45">
        <v>21818</v>
      </c>
    </row>
    <row r="46" spans="2:11" x14ac:dyDescent="0.25">
      <c r="B46">
        <v>-2852</v>
      </c>
      <c r="C46">
        <v>11762</v>
      </c>
      <c r="D46">
        <v>0</v>
      </c>
      <c r="E46">
        <v>26034</v>
      </c>
      <c r="F46">
        <v>-8653</v>
      </c>
      <c r="G46">
        <v>-6756</v>
      </c>
      <c r="H46">
        <v>0</v>
      </c>
      <c r="I46">
        <v>7415</v>
      </c>
      <c r="J46">
        <v>19606</v>
      </c>
      <c r="K46">
        <v>-34952</v>
      </c>
    </row>
    <row r="47" spans="2:11" x14ac:dyDescent="0.25">
      <c r="B47">
        <v>19450</v>
      </c>
      <c r="C47">
        <v>22363</v>
      </c>
      <c r="D47">
        <v>26284</v>
      </c>
      <c r="E47">
        <v>-1036</v>
      </c>
      <c r="F47">
        <v>-1106</v>
      </c>
      <c r="G47">
        <v>0</v>
      </c>
      <c r="H47">
        <v>26673</v>
      </c>
      <c r="I47">
        <v>-30609</v>
      </c>
      <c r="J47">
        <v>2839</v>
      </c>
      <c r="K47">
        <v>0</v>
      </c>
    </row>
    <row r="48" spans="2:11" x14ac:dyDescent="0.25">
      <c r="B48">
        <v>-919</v>
      </c>
      <c r="C48">
        <v>10821</v>
      </c>
      <c r="D48">
        <v>-3977</v>
      </c>
      <c r="E48">
        <v>39141</v>
      </c>
      <c r="F48">
        <v>25647</v>
      </c>
    </row>
  </sheetData>
  <pageMargins bottom="0.75" footer="0.3" header="0.3" left="0.7" right="0.7" top="0.75"/>
</worksheet>
</file>

<file path=xl/worksheets/sheet1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273"/>
  <sheetViews>
    <sheetView workbookViewId="0">
      <selection activeCell="A8" sqref="A8:K273"/>
    </sheetView>
  </sheetViews>
  <sheetFormatPr defaultRowHeight="15" x14ac:dyDescent="0.25"/>
  <sheetData>
    <row r="1" spans="1:11" x14ac:dyDescent="0.25">
      <c r="A1" s="31" t="s">
        <v>214</v>
      </c>
      <c r="B1" s="29"/>
      <c r="C1" s="29"/>
      <c r="D1" s="29"/>
      <c r="E1" s="29"/>
      <c r="F1" s="29"/>
      <c r="G1" s="29"/>
      <c r="H1" s="29" t="s">
        <v>215</v>
      </c>
      <c r="I1" s="29"/>
      <c r="J1" s="29"/>
      <c r="K1" s="29"/>
    </row>
    <row r="2" spans="1:11" x14ac:dyDescent="0.25">
      <c r="A2" s="29">
        <v>1</v>
      </c>
      <c r="B2" s="29" t="s">
        <v>283</v>
      </c>
      <c r="C2" s="29"/>
      <c r="D2" s="29"/>
      <c r="E2" s="29"/>
      <c r="F2" s="29"/>
      <c r="G2" s="29"/>
      <c r="H2" s="29"/>
      <c r="I2" s="29"/>
      <c r="J2" s="29"/>
      <c r="K2" s="29"/>
    </row>
    <row r="3" spans="1:11" x14ac:dyDescent="0.25">
      <c r="A3" s="29">
        <v>2</v>
      </c>
      <c r="B3" s="29" t="s">
        <v>216</v>
      </c>
      <c r="C3" s="29"/>
      <c r="D3" s="29"/>
      <c r="E3" s="29"/>
      <c r="F3" s="29"/>
      <c r="G3" s="29"/>
      <c r="H3" s="29"/>
      <c r="I3" s="29"/>
      <c r="J3" s="29"/>
      <c r="K3" s="29"/>
    </row>
    <row r="4" spans="1:11" x14ac:dyDescent="0.25">
      <c r="A4" s="29">
        <v>3</v>
      </c>
      <c r="B4" s="29" t="s">
        <v>217</v>
      </c>
      <c r="C4" s="29"/>
      <c r="D4" s="29"/>
      <c r="E4" s="29"/>
      <c r="F4" s="29"/>
      <c r="G4" s="29"/>
      <c r="H4" s="29"/>
      <c r="I4" s="29"/>
      <c r="J4" s="29"/>
      <c r="K4" s="29"/>
    </row>
    <row r="5" spans="1:11" x14ac:dyDescent="0.25">
      <c r="A5" s="29">
        <v>4</v>
      </c>
      <c r="B5" s="29" t="s">
        <v>218</v>
      </c>
      <c r="C5" s="29"/>
      <c r="D5" s="29"/>
      <c r="E5" s="29"/>
      <c r="F5" s="29"/>
      <c r="G5" s="29"/>
      <c r="H5" s="29"/>
      <c r="I5" s="29"/>
      <c r="J5" s="29"/>
      <c r="K5" s="29"/>
    </row>
    <row r="6" spans="1:11" x14ac:dyDescent="0.25">
      <c r="A6" s="29"/>
      <c r="B6" s="29"/>
      <c r="C6" s="29"/>
      <c r="D6" s="29"/>
      <c r="E6" s="29"/>
      <c r="F6" s="29"/>
      <c r="G6" s="29"/>
      <c r="H6" s="29"/>
      <c r="I6" s="29"/>
      <c r="J6" s="29"/>
      <c r="K6" s="29"/>
    </row>
    <row r="8" spans="1:11" x14ac:dyDescent="0.25">
      <c r="A8" t="s">
        <v>194</v>
      </c>
      <c r="B8" t="s">
        <v>230</v>
      </c>
      <c r="C8" t="s">
        <v>220</v>
      </c>
      <c r="D8" t="s">
        <v>221</v>
      </c>
      <c r="E8" t="s">
        <v>222</v>
      </c>
    </row>
    <row r="9" spans="1:11" x14ac:dyDescent="0.25">
      <c r="A9" t="s">
        <v>223</v>
      </c>
      <c r="B9" t="s">
        <v>224</v>
      </c>
      <c r="C9" t="s">
        <v>225</v>
      </c>
      <c r="D9" t="s">
        <v>226</v>
      </c>
      <c r="E9">
        <v>4</v>
      </c>
      <c r="F9" s="27">
        <v>0.8343287037037036</v>
      </c>
      <c r="G9" t="s">
        <v>227</v>
      </c>
      <c r="H9">
        <v>30</v>
      </c>
      <c r="I9" t="s">
        <v>303</v>
      </c>
      <c r="J9">
        <v>20</v>
      </c>
    </row>
    <row r="10" spans="1:11" x14ac:dyDescent="0.25">
      <c r="A10" t="s">
        <v>228</v>
      </c>
    </row>
    <row r="11" spans="1:11" x14ac:dyDescent="0.25">
      <c r="B11">
        <v>1</v>
      </c>
      <c r="C11" t="s">
        <v>62</v>
      </c>
      <c r="D11" t="s">
        <v>63</v>
      </c>
      <c r="E11">
        <v>0</v>
      </c>
      <c r="F11" s="22"/>
    </row>
    <row r="12" spans="1:11" x14ac:dyDescent="0.25">
      <c r="B12">
        <v>2</v>
      </c>
      <c r="C12" t="s">
        <v>64</v>
      </c>
      <c r="D12" t="s">
        <v>63</v>
      </c>
      <c r="E12">
        <v>0.97868483448400001</v>
      </c>
      <c r="F12" s="22"/>
    </row>
    <row r="13" spans="1:11" x14ac:dyDescent="0.25">
      <c r="B13">
        <v>20</v>
      </c>
      <c r="C13" t="s">
        <v>68</v>
      </c>
      <c r="D13" t="s">
        <v>63</v>
      </c>
      <c r="E13">
        <v>-1.350424988441</v>
      </c>
    </row>
    <row r="14" spans="1:11" x14ac:dyDescent="0.25">
      <c r="B14">
        <v>21</v>
      </c>
      <c r="C14" t="s">
        <v>69</v>
      </c>
      <c r="D14" t="s">
        <v>63</v>
      </c>
      <c r="E14">
        <v>2.415026607882</v>
      </c>
    </row>
    <row r="15" spans="1:11" x14ac:dyDescent="0.25">
      <c r="B15">
        <v>22</v>
      </c>
      <c r="C15" t="s">
        <v>70</v>
      </c>
      <c r="D15" t="s">
        <v>63</v>
      </c>
      <c r="E15" s="22">
        <v>-0.56094675603999999</v>
      </c>
    </row>
    <row r="16" spans="1:11" x14ac:dyDescent="0.25">
      <c r="B16">
        <v>30</v>
      </c>
      <c r="C16" t="s">
        <v>75</v>
      </c>
      <c r="D16" t="s">
        <v>63</v>
      </c>
      <c r="E16" s="22">
        <v>-0.22287653765000001</v>
      </c>
      <c r="F16" s="22"/>
    </row>
    <row r="17" spans="2:6" x14ac:dyDescent="0.25">
      <c r="B17">
        <v>31</v>
      </c>
      <c r="C17" t="s">
        <v>153</v>
      </c>
      <c r="D17" t="s">
        <v>63</v>
      </c>
      <c r="E17" s="22">
        <v>0.18951468592699999</v>
      </c>
      <c r="F17" s="22"/>
    </row>
    <row r="18" spans="2:6" x14ac:dyDescent="0.25">
      <c r="B18">
        <v>32</v>
      </c>
      <c r="C18" t="s">
        <v>154</v>
      </c>
      <c r="D18" t="s">
        <v>63</v>
      </c>
      <c r="E18" s="22">
        <v>4.9107872890000001E-2</v>
      </c>
      <c r="F18" s="22"/>
    </row>
    <row r="19" spans="2:6" x14ac:dyDescent="0.25">
      <c r="B19">
        <v>34</v>
      </c>
      <c r="C19" t="s">
        <v>171</v>
      </c>
      <c r="D19" t="s">
        <v>63</v>
      </c>
      <c r="E19" s="22">
        <v>3.5975998113999999E-2</v>
      </c>
      <c r="F19" s="22"/>
    </row>
    <row r="20" spans="2:6" x14ac:dyDescent="0.25">
      <c r="B20">
        <v>35</v>
      </c>
      <c r="C20" t="s">
        <v>155</v>
      </c>
      <c r="D20" t="s">
        <v>63</v>
      </c>
      <c r="E20">
        <v>0.148954198767</v>
      </c>
      <c r="F20" s="22"/>
    </row>
    <row r="21" spans="2:6" x14ac:dyDescent="0.25">
      <c r="B21">
        <v>36</v>
      </c>
      <c r="C21" t="s">
        <v>260</v>
      </c>
      <c r="D21" t="s">
        <v>72</v>
      </c>
      <c r="E21">
        <v>1.168777037104</v>
      </c>
      <c r="F21" s="22"/>
    </row>
    <row r="22" spans="2:6" x14ac:dyDescent="0.25">
      <c r="B22">
        <v>37</v>
      </c>
      <c r="C22" t="s">
        <v>277</v>
      </c>
      <c r="D22" t="s">
        <v>72</v>
      </c>
      <c r="E22">
        <v>0.22373830168700001</v>
      </c>
    </row>
    <row r="23" spans="2:6" x14ac:dyDescent="0.25">
      <c r="B23">
        <v>38</v>
      </c>
      <c r="C23" t="s">
        <v>156</v>
      </c>
      <c r="D23" t="s">
        <v>63</v>
      </c>
      <c r="E23">
        <v>-3.0698159554100002</v>
      </c>
    </row>
    <row r="24" spans="2:6" x14ac:dyDescent="0.25">
      <c r="B24">
        <v>39</v>
      </c>
      <c r="C24" t="s">
        <v>76</v>
      </c>
      <c r="D24" t="s">
        <v>63</v>
      </c>
      <c r="E24" s="22">
        <v>-2.2469443843599999</v>
      </c>
      <c r="F24" s="22"/>
    </row>
    <row r="25" spans="2:6" x14ac:dyDescent="0.25">
      <c r="B25">
        <v>40</v>
      </c>
      <c r="C25" t="s">
        <v>78</v>
      </c>
      <c r="D25" t="s">
        <v>63</v>
      </c>
      <c r="E25">
        <v>-0.278409981029</v>
      </c>
      <c r="F25" s="22"/>
    </row>
    <row r="26" spans="2:6" x14ac:dyDescent="0.25">
      <c r="B26">
        <v>41</v>
      </c>
      <c r="C26" t="s">
        <v>79</v>
      </c>
      <c r="D26" t="s">
        <v>63</v>
      </c>
      <c r="E26">
        <v>-2.3816710703599999</v>
      </c>
    </row>
    <row r="27" spans="2:6" x14ac:dyDescent="0.25">
      <c r="B27">
        <v>43</v>
      </c>
      <c r="C27" t="s">
        <v>172</v>
      </c>
      <c r="D27" t="s">
        <v>63</v>
      </c>
      <c r="E27">
        <v>-0.47968377671599999</v>
      </c>
      <c r="F27" s="22"/>
    </row>
    <row r="28" spans="2:6" x14ac:dyDescent="0.25">
      <c r="B28">
        <v>48</v>
      </c>
      <c r="C28" t="s">
        <v>77</v>
      </c>
      <c r="D28" t="s">
        <v>63</v>
      </c>
      <c r="E28" s="22">
        <v>-1.2875886761499999</v>
      </c>
      <c r="F28" s="22"/>
    </row>
    <row r="29" spans="2:6" x14ac:dyDescent="0.25">
      <c r="B29">
        <v>50</v>
      </c>
      <c r="C29" t="s">
        <v>83</v>
      </c>
      <c r="D29" t="s">
        <v>63</v>
      </c>
      <c r="E29">
        <v>1.2829058385130001</v>
      </c>
    </row>
    <row r="30" spans="2:6" x14ac:dyDescent="0.25">
      <c r="B30">
        <v>52</v>
      </c>
      <c r="C30" t="s">
        <v>84</v>
      </c>
      <c r="D30" t="s">
        <v>63</v>
      </c>
      <c r="E30">
        <v>-0.325253955835</v>
      </c>
      <c r="F30" s="22"/>
    </row>
    <row r="31" spans="2:6" x14ac:dyDescent="0.25">
      <c r="B31">
        <v>54</v>
      </c>
      <c r="C31" t="s">
        <v>173</v>
      </c>
      <c r="D31" t="s">
        <v>63</v>
      </c>
      <c r="E31">
        <v>0.12259449408500001</v>
      </c>
      <c r="F31" s="22"/>
    </row>
    <row r="32" spans="2:6" x14ac:dyDescent="0.25">
      <c r="B32">
        <v>60</v>
      </c>
      <c r="C32" t="s">
        <v>88</v>
      </c>
      <c r="D32" t="s">
        <v>63</v>
      </c>
      <c r="E32" s="22">
        <v>-2.5325237517370001</v>
      </c>
      <c r="F32" s="22"/>
    </row>
    <row r="33" spans="2:6" x14ac:dyDescent="0.25">
      <c r="B33">
        <v>61</v>
      </c>
      <c r="C33" t="s">
        <v>89</v>
      </c>
      <c r="D33" t="s">
        <v>63</v>
      </c>
      <c r="E33">
        <v>-0.66584363182700002</v>
      </c>
    </row>
    <row r="34" spans="2:6" x14ac:dyDescent="0.25">
      <c r="B34">
        <v>63</v>
      </c>
      <c r="C34" t="s">
        <v>158</v>
      </c>
      <c r="D34" t="s">
        <v>72</v>
      </c>
      <c r="E34">
        <v>0</v>
      </c>
    </row>
    <row r="35" spans="2:6" x14ac:dyDescent="0.25">
      <c r="B35">
        <v>67</v>
      </c>
      <c r="C35" t="s">
        <v>262</v>
      </c>
      <c r="D35" t="s">
        <v>72</v>
      </c>
      <c r="E35" s="22">
        <v>0.23777452654699999</v>
      </c>
      <c r="F35" s="22"/>
    </row>
    <row r="36" spans="2:6" x14ac:dyDescent="0.25">
      <c r="B36">
        <v>68</v>
      </c>
      <c r="C36" t="s">
        <v>263</v>
      </c>
      <c r="D36" t="s">
        <v>72</v>
      </c>
      <c r="E36">
        <v>0.94868881682799999</v>
      </c>
    </row>
    <row r="37" spans="2:6" x14ac:dyDescent="0.25">
      <c r="B37">
        <v>70</v>
      </c>
      <c r="C37" t="s">
        <v>264</v>
      </c>
      <c r="D37" t="s">
        <v>72</v>
      </c>
      <c r="E37" s="22">
        <v>0</v>
      </c>
      <c r="F37" s="22"/>
    </row>
    <row r="38" spans="2:6" x14ac:dyDescent="0.25">
      <c r="B38">
        <v>73</v>
      </c>
      <c r="C38" t="s">
        <v>138</v>
      </c>
      <c r="D38" t="s">
        <v>72</v>
      </c>
      <c r="E38">
        <v>0</v>
      </c>
    </row>
    <row r="39" spans="2:6" x14ac:dyDescent="0.25">
      <c r="B39">
        <v>77</v>
      </c>
      <c r="C39" t="s">
        <v>265</v>
      </c>
      <c r="D39" t="s">
        <v>72</v>
      </c>
      <c r="E39">
        <v>-0.24961658919599999</v>
      </c>
      <c r="F39" s="22"/>
    </row>
    <row r="40" spans="2:6" x14ac:dyDescent="0.25">
      <c r="B40">
        <v>78</v>
      </c>
      <c r="C40" t="s">
        <v>266</v>
      </c>
      <c r="D40" t="s">
        <v>72</v>
      </c>
      <c r="E40" s="22">
        <v>0.59308965410400005</v>
      </c>
      <c r="F40" s="22"/>
    </row>
    <row r="41" spans="2:6" x14ac:dyDescent="0.25">
      <c r="B41">
        <v>80</v>
      </c>
      <c r="C41" t="s">
        <v>304</v>
      </c>
      <c r="D41" t="s">
        <v>63</v>
      </c>
      <c r="E41">
        <v>-1.984380352007</v>
      </c>
    </row>
    <row r="42" spans="2:6" x14ac:dyDescent="0.25">
      <c r="B42">
        <v>81</v>
      </c>
      <c r="C42" t="s">
        <v>305</v>
      </c>
      <c r="D42" t="s">
        <v>63</v>
      </c>
      <c r="E42">
        <v>1.8494684936950001</v>
      </c>
      <c r="F42" s="22"/>
    </row>
    <row r="43" spans="2:6" x14ac:dyDescent="0.25">
      <c r="B43">
        <v>82</v>
      </c>
      <c r="C43" t="s">
        <v>306</v>
      </c>
      <c r="D43" t="s">
        <v>63</v>
      </c>
      <c r="E43" s="22">
        <v>1.383044619326</v>
      </c>
      <c r="F43" s="22"/>
    </row>
    <row r="44" spans="2:6" x14ac:dyDescent="0.25">
      <c r="B44">
        <v>83</v>
      </c>
      <c r="C44" t="s">
        <v>308</v>
      </c>
      <c r="D44" t="s">
        <v>63</v>
      </c>
      <c r="E44">
        <v>-1.38033161232</v>
      </c>
    </row>
    <row r="45" spans="2:6" x14ac:dyDescent="0.25">
      <c r="B45">
        <v>84</v>
      </c>
      <c r="C45" t="s">
        <v>309</v>
      </c>
      <c r="D45" t="s">
        <v>63</v>
      </c>
      <c r="E45" s="22">
        <v>2.4348588999999999E-5</v>
      </c>
      <c r="F45" s="22"/>
    </row>
    <row r="46" spans="2:6" x14ac:dyDescent="0.25">
      <c r="B46">
        <v>85</v>
      </c>
      <c r="C46" t="s">
        <v>310</v>
      </c>
      <c r="D46" t="s">
        <v>72</v>
      </c>
      <c r="E46" s="22">
        <v>0</v>
      </c>
      <c r="F46" s="22"/>
    </row>
    <row r="47" spans="2:6" x14ac:dyDescent="0.25">
      <c r="B47">
        <v>86</v>
      </c>
      <c r="C47" t="s">
        <v>311</v>
      </c>
      <c r="D47" t="s">
        <v>63</v>
      </c>
      <c r="E47">
        <v>0.68935778246199997</v>
      </c>
    </row>
    <row r="48" spans="2:6" x14ac:dyDescent="0.25">
      <c r="B48">
        <v>87</v>
      </c>
      <c r="C48" t="s">
        <v>312</v>
      </c>
      <c r="D48" t="s">
        <v>63</v>
      </c>
      <c r="E48" s="22">
        <v>-0.49009009247099999</v>
      </c>
      <c r="F48" s="22"/>
    </row>
    <row r="49" spans="2:6" x14ac:dyDescent="0.25">
      <c r="B49">
        <v>88</v>
      </c>
      <c r="C49" t="s">
        <v>328</v>
      </c>
      <c r="D49" t="s">
        <v>72</v>
      </c>
      <c r="E49" s="22">
        <v>0</v>
      </c>
      <c r="F49" s="22"/>
    </row>
    <row r="50" spans="2:6" x14ac:dyDescent="0.25">
      <c r="B50">
        <v>89</v>
      </c>
      <c r="C50" t="s">
        <v>329</v>
      </c>
      <c r="D50" t="s">
        <v>63</v>
      </c>
      <c r="E50">
        <v>-1.1484592997900001</v>
      </c>
      <c r="F50" s="22"/>
    </row>
    <row r="51" spans="2:6" x14ac:dyDescent="0.25">
      <c r="B51">
        <v>91</v>
      </c>
      <c r="C51" t="s">
        <v>330</v>
      </c>
      <c r="D51" t="s">
        <v>72</v>
      </c>
      <c r="E51">
        <v>0</v>
      </c>
      <c r="F51" s="22"/>
    </row>
    <row r="52" spans="2:6" x14ac:dyDescent="0.25">
      <c r="B52">
        <v>120</v>
      </c>
      <c r="C52" t="s">
        <v>174</v>
      </c>
      <c r="D52" t="s">
        <v>63</v>
      </c>
      <c r="E52">
        <v>-0.90694493738000004</v>
      </c>
      <c r="F52" s="22"/>
    </row>
    <row r="53" spans="2:6" x14ac:dyDescent="0.25">
      <c r="B53">
        <v>124</v>
      </c>
      <c r="C53" t="s">
        <v>160</v>
      </c>
      <c r="D53" t="s">
        <v>72</v>
      </c>
      <c r="E53" s="22">
        <v>0</v>
      </c>
      <c r="F53" s="22"/>
    </row>
    <row r="54" spans="2:6" x14ac:dyDescent="0.25">
      <c r="B54">
        <v>128</v>
      </c>
      <c r="C54" t="s">
        <v>162</v>
      </c>
      <c r="D54" t="s">
        <v>63</v>
      </c>
      <c r="E54" s="22">
        <v>4.3355515000000003E-5</v>
      </c>
      <c r="F54" s="22"/>
    </row>
    <row r="55" spans="2:6" x14ac:dyDescent="0.25">
      <c r="B55">
        <v>131</v>
      </c>
      <c r="C55" t="s">
        <v>94</v>
      </c>
      <c r="D55" t="s">
        <v>63</v>
      </c>
      <c r="E55">
        <v>-0.45206714037000001</v>
      </c>
      <c r="F55" s="22"/>
    </row>
    <row r="56" spans="2:6" x14ac:dyDescent="0.25">
      <c r="B56">
        <v>132</v>
      </c>
      <c r="C56" t="s">
        <v>95</v>
      </c>
      <c r="D56" t="s">
        <v>63</v>
      </c>
      <c r="E56" s="22">
        <v>0.251375318869</v>
      </c>
      <c r="F56" s="22"/>
    </row>
    <row r="57" spans="2:6" x14ac:dyDescent="0.25">
      <c r="B57">
        <v>133</v>
      </c>
      <c r="C57" s="22" t="s">
        <v>96</v>
      </c>
      <c r="D57" s="22" t="s">
        <v>63</v>
      </c>
      <c r="E57" s="22">
        <v>-0.471491911248</v>
      </c>
      <c r="F57" s="22"/>
    </row>
    <row r="58" spans="2:6" x14ac:dyDescent="0.25">
      <c r="B58">
        <v>134</v>
      </c>
      <c r="C58" t="s">
        <v>97</v>
      </c>
      <c r="D58" t="s">
        <v>63</v>
      </c>
      <c r="E58">
        <v>0.28420889959500001</v>
      </c>
      <c r="F58" s="22"/>
    </row>
    <row r="59" spans="2:6" x14ac:dyDescent="0.25">
      <c r="B59">
        <v>136</v>
      </c>
      <c r="C59" t="s">
        <v>175</v>
      </c>
      <c r="D59" t="s">
        <v>63</v>
      </c>
      <c r="E59" s="22">
        <v>0.415825116617</v>
      </c>
      <c r="F59" s="22"/>
    </row>
    <row r="60" spans="2:6" x14ac:dyDescent="0.25">
      <c r="B60">
        <v>137</v>
      </c>
      <c r="C60" t="s">
        <v>176</v>
      </c>
      <c r="D60" t="s">
        <v>63</v>
      </c>
      <c r="E60">
        <v>1.28688871134</v>
      </c>
      <c r="F60" s="22"/>
    </row>
    <row r="61" spans="2:6" x14ac:dyDescent="0.25">
      <c r="B61">
        <v>138</v>
      </c>
      <c r="C61" t="s">
        <v>177</v>
      </c>
      <c r="D61" t="s">
        <v>63</v>
      </c>
      <c r="E61" s="22">
        <v>0.55771761959099997</v>
      </c>
      <c r="F61" s="22"/>
    </row>
    <row r="62" spans="2:6" x14ac:dyDescent="0.25">
      <c r="B62">
        <v>160</v>
      </c>
      <c r="C62" t="s">
        <v>178</v>
      </c>
      <c r="D62" t="s">
        <v>63</v>
      </c>
      <c r="E62" s="22">
        <v>0.71535162309599998</v>
      </c>
      <c r="F62" s="22"/>
    </row>
    <row r="63" spans="2:6" x14ac:dyDescent="0.25">
      <c r="B63">
        <v>161</v>
      </c>
      <c r="C63" t="s">
        <v>98</v>
      </c>
      <c r="D63" t="s">
        <v>63</v>
      </c>
      <c r="E63">
        <v>0.79256557696999996</v>
      </c>
      <c r="F63" s="22"/>
    </row>
    <row r="64" spans="2:6" x14ac:dyDescent="0.25">
      <c r="B64">
        <v>162</v>
      </c>
      <c r="C64" t="s">
        <v>99</v>
      </c>
      <c r="D64" t="s">
        <v>72</v>
      </c>
      <c r="E64">
        <v>0</v>
      </c>
    </row>
    <row r="65" spans="2:6" x14ac:dyDescent="0.25">
      <c r="B65">
        <v>163</v>
      </c>
      <c r="C65" s="22" t="s">
        <v>100</v>
      </c>
      <c r="D65" s="22" t="s">
        <v>63</v>
      </c>
      <c r="E65" s="22">
        <v>-0.47378976573600001</v>
      </c>
      <c r="F65" s="22"/>
    </row>
    <row r="66" spans="2:6" x14ac:dyDescent="0.25">
      <c r="B66">
        <v>164</v>
      </c>
      <c r="C66" t="s">
        <v>101</v>
      </c>
      <c r="D66" t="s">
        <v>72</v>
      </c>
      <c r="E66">
        <v>0</v>
      </c>
      <c r="F66" s="22"/>
    </row>
    <row r="67" spans="2:6" x14ac:dyDescent="0.25">
      <c r="B67">
        <v>165</v>
      </c>
      <c r="C67" t="s">
        <v>179</v>
      </c>
      <c r="D67" t="s">
        <v>63</v>
      </c>
      <c r="E67" s="22">
        <v>2.6592413200000003E-4</v>
      </c>
      <c r="F67" s="22"/>
    </row>
    <row r="68" spans="2:6" x14ac:dyDescent="0.25">
      <c r="B68">
        <v>166</v>
      </c>
      <c r="C68" s="22" t="s">
        <v>316</v>
      </c>
      <c r="D68" s="22" t="s">
        <v>72</v>
      </c>
      <c r="E68" s="22">
        <v>0</v>
      </c>
    </row>
    <row r="69" spans="2:6" x14ac:dyDescent="0.25">
      <c r="B69">
        <v>167</v>
      </c>
      <c r="C69" t="s">
        <v>317</v>
      </c>
      <c r="D69" t="s">
        <v>63</v>
      </c>
      <c r="E69" s="22">
        <v>7.1687068190000001E-3</v>
      </c>
      <c r="F69" s="22"/>
    </row>
    <row r="70" spans="2:6" x14ac:dyDescent="0.25">
      <c r="B70">
        <v>168</v>
      </c>
      <c r="C70" t="s">
        <v>102</v>
      </c>
      <c r="D70" t="s">
        <v>72</v>
      </c>
      <c r="E70">
        <v>0</v>
      </c>
    </row>
    <row r="71" spans="2:6" x14ac:dyDescent="0.25">
      <c r="B71">
        <v>169</v>
      </c>
      <c r="C71" t="s">
        <v>103</v>
      </c>
      <c r="D71" t="s">
        <v>72</v>
      </c>
      <c r="E71">
        <v>0</v>
      </c>
    </row>
    <row r="72" spans="2:6" x14ac:dyDescent="0.25">
      <c r="B72">
        <v>171</v>
      </c>
      <c r="C72" t="s">
        <v>180</v>
      </c>
      <c r="D72" t="s">
        <v>63</v>
      </c>
      <c r="E72">
        <v>0.92811940897900003</v>
      </c>
    </row>
    <row r="73" spans="2:6" x14ac:dyDescent="0.25">
      <c r="B73">
        <v>172</v>
      </c>
      <c r="C73" t="s">
        <v>181</v>
      </c>
      <c r="D73" t="s">
        <v>63</v>
      </c>
      <c r="E73">
        <v>1.2155611078699999</v>
      </c>
      <c r="F73" s="22"/>
    </row>
    <row r="74" spans="2:6" x14ac:dyDescent="0.25">
      <c r="B74">
        <v>174</v>
      </c>
      <c r="C74" s="22" t="s">
        <v>331</v>
      </c>
      <c r="D74" s="22" t="s">
        <v>63</v>
      </c>
      <c r="E74" s="22">
        <v>0.23049692935499999</v>
      </c>
    </row>
    <row r="75" spans="2:6" x14ac:dyDescent="0.25">
      <c r="B75">
        <v>175</v>
      </c>
      <c r="C75" t="s">
        <v>182</v>
      </c>
      <c r="D75" t="s">
        <v>63</v>
      </c>
      <c r="E75" s="22">
        <v>3.3561049599999999E-4</v>
      </c>
      <c r="F75" s="22"/>
    </row>
    <row r="76" spans="2:6" x14ac:dyDescent="0.25">
      <c r="B76">
        <v>176</v>
      </c>
      <c r="C76" t="s">
        <v>319</v>
      </c>
      <c r="D76" t="s">
        <v>72</v>
      </c>
      <c r="E76">
        <v>0</v>
      </c>
    </row>
    <row r="77" spans="2:6" x14ac:dyDescent="0.25">
      <c r="B77">
        <v>177</v>
      </c>
      <c r="C77" t="s">
        <v>320</v>
      </c>
      <c r="D77" t="s">
        <v>63</v>
      </c>
      <c r="E77" s="22">
        <v>1.9919413829999999E-3</v>
      </c>
      <c r="F77" s="22"/>
    </row>
    <row r="78" spans="2:6" x14ac:dyDescent="0.25">
      <c r="B78">
        <v>178</v>
      </c>
      <c r="C78" t="s">
        <v>183</v>
      </c>
      <c r="D78" t="s">
        <v>72</v>
      </c>
      <c r="E78">
        <v>0</v>
      </c>
    </row>
    <row r="79" spans="2:6" x14ac:dyDescent="0.25">
      <c r="B79">
        <v>179</v>
      </c>
      <c r="C79" t="s">
        <v>104</v>
      </c>
      <c r="D79" t="s">
        <v>72</v>
      </c>
      <c r="E79">
        <v>0</v>
      </c>
    </row>
    <row r="80" spans="2:6" x14ac:dyDescent="0.25">
      <c r="B80">
        <v>99</v>
      </c>
      <c r="C80" t="s">
        <v>105</v>
      </c>
      <c r="D80" t="s">
        <v>72</v>
      </c>
      <c r="E80">
        <v>1</v>
      </c>
    </row>
    <row r="81" spans="2:11" x14ac:dyDescent="0.25">
      <c r="B81">
        <v>-1</v>
      </c>
    </row>
    <row r="82" spans="2:11" x14ac:dyDescent="0.25">
      <c r="B82">
        <v>10375</v>
      </c>
      <c r="C82" s="22">
        <v>-13836.115379000001</v>
      </c>
      <c r="D82" s="22">
        <v>-19262.8287514</v>
      </c>
      <c r="E82" s="22">
        <v>-10959.581587500001</v>
      </c>
    </row>
    <row r="83" spans="2:11" x14ac:dyDescent="0.25">
      <c r="B83">
        <v>5</v>
      </c>
      <c r="C83" t="s">
        <v>332</v>
      </c>
      <c r="D83" t="s">
        <v>227</v>
      </c>
      <c r="E83">
        <v>30</v>
      </c>
      <c r="F83" t="s">
        <v>303</v>
      </c>
      <c r="G83">
        <v>20</v>
      </c>
    </row>
    <row r="84" spans="2:11" x14ac:dyDescent="0.25">
      <c r="B84">
        <v>-5061</v>
      </c>
      <c r="C84">
        <v>-13012</v>
      </c>
      <c r="D84">
        <v>6924</v>
      </c>
      <c r="E84">
        <v>1408</v>
      </c>
      <c r="F84">
        <v>1309</v>
      </c>
      <c r="G84">
        <v>-45139</v>
      </c>
      <c r="H84">
        <v>-11977</v>
      </c>
      <c r="I84">
        <v>-36238</v>
      </c>
      <c r="J84">
        <v>41485</v>
      </c>
      <c r="K84">
        <v>-2494</v>
      </c>
    </row>
    <row r="85" spans="2:11" x14ac:dyDescent="0.25">
      <c r="B85">
        <v>-497</v>
      </c>
      <c r="C85">
        <v>1080</v>
      </c>
      <c r="D85">
        <v>-170</v>
      </c>
      <c r="E85">
        <v>-1660</v>
      </c>
      <c r="F85">
        <v>-13542</v>
      </c>
      <c r="G85">
        <v>3470</v>
      </c>
      <c r="H85">
        <v>-3297</v>
      </c>
      <c r="I85">
        <v>-2149</v>
      </c>
      <c r="J85">
        <v>3133</v>
      </c>
      <c r="K85">
        <v>-18270</v>
      </c>
    </row>
    <row r="86" spans="2:11" x14ac:dyDescent="0.25">
      <c r="B86">
        <v>-12845</v>
      </c>
      <c r="C86">
        <v>5200</v>
      </c>
      <c r="D86">
        <v>3355</v>
      </c>
      <c r="E86">
        <v>-4273</v>
      </c>
      <c r="F86">
        <v>2896</v>
      </c>
      <c r="G86">
        <v>-20441</v>
      </c>
      <c r="H86">
        <v>11197</v>
      </c>
      <c r="I86">
        <v>14469</v>
      </c>
      <c r="J86">
        <v>7903</v>
      </c>
      <c r="K86">
        <v>-20248</v>
      </c>
    </row>
    <row r="87" spans="2:11" x14ac:dyDescent="0.25">
      <c r="B87">
        <v>-1880</v>
      </c>
      <c r="C87">
        <v>1418</v>
      </c>
      <c r="D87">
        <v>-17706</v>
      </c>
      <c r="E87">
        <v>3690</v>
      </c>
      <c r="F87">
        <v>4767</v>
      </c>
      <c r="G87">
        <v>-5888</v>
      </c>
      <c r="H87">
        <v>-3186</v>
      </c>
      <c r="I87">
        <v>-3134</v>
      </c>
      <c r="J87">
        <v>461</v>
      </c>
      <c r="K87">
        <v>1021</v>
      </c>
    </row>
    <row r="88" spans="2:11" x14ac:dyDescent="0.25">
      <c r="B88">
        <v>-5800</v>
      </c>
      <c r="C88">
        <v>7568</v>
      </c>
      <c r="D88">
        <v>10694</v>
      </c>
      <c r="E88">
        <v>5205</v>
      </c>
      <c r="F88">
        <v>-3354</v>
      </c>
      <c r="G88">
        <v>-387</v>
      </c>
      <c r="H88">
        <v>-1261</v>
      </c>
      <c r="I88">
        <v>136</v>
      </c>
      <c r="J88">
        <v>-497</v>
      </c>
      <c r="K88">
        <v>-10880</v>
      </c>
    </row>
    <row r="89" spans="2:11" x14ac:dyDescent="0.25">
      <c r="B89">
        <v>7756</v>
      </c>
      <c r="C89">
        <v>13192</v>
      </c>
      <c r="D89">
        <v>-3387</v>
      </c>
      <c r="E89">
        <v>-67</v>
      </c>
      <c r="F89">
        <v>11977</v>
      </c>
      <c r="G89">
        <v>-10853</v>
      </c>
      <c r="H89">
        <v>-36275</v>
      </c>
      <c r="I89">
        <v>42150</v>
      </c>
      <c r="J89">
        <v>-2569</v>
      </c>
      <c r="K89">
        <v>96798</v>
      </c>
    </row>
    <row r="90" spans="2:11" x14ac:dyDescent="0.25">
      <c r="B90">
        <v>-12992</v>
      </c>
      <c r="C90">
        <v>-14840</v>
      </c>
      <c r="D90">
        <v>-22342</v>
      </c>
      <c r="E90">
        <v>-18430</v>
      </c>
      <c r="F90">
        <v>-740</v>
      </c>
      <c r="G90">
        <v>-1298</v>
      </c>
      <c r="H90">
        <v>3063</v>
      </c>
      <c r="I90">
        <v>1965</v>
      </c>
      <c r="J90">
        <v>-1633</v>
      </c>
      <c r="K90">
        <v>19193</v>
      </c>
    </row>
    <row r="91" spans="2:11" x14ac:dyDescent="0.25">
      <c r="B91">
        <v>-5851</v>
      </c>
      <c r="C91">
        <v>1377</v>
      </c>
      <c r="D91">
        <v>7040</v>
      </c>
      <c r="E91">
        <v>-7297</v>
      </c>
      <c r="F91">
        <v>3291</v>
      </c>
      <c r="G91">
        <v>8775</v>
      </c>
      <c r="H91">
        <v>3773</v>
      </c>
      <c r="I91">
        <v>-5613</v>
      </c>
      <c r="J91">
        <v>-4847</v>
      </c>
      <c r="K91">
        <v>1376</v>
      </c>
    </row>
    <row r="92" spans="2:11" x14ac:dyDescent="0.25">
      <c r="B92">
        <v>816</v>
      </c>
      <c r="C92">
        <v>262</v>
      </c>
      <c r="D92">
        <v>-5527</v>
      </c>
      <c r="E92">
        <v>-25</v>
      </c>
      <c r="F92">
        <v>2455</v>
      </c>
      <c r="G92">
        <v>23950</v>
      </c>
      <c r="H92">
        <v>1448</v>
      </c>
      <c r="I92">
        <v>2546</v>
      </c>
      <c r="J92">
        <v>-2980</v>
      </c>
      <c r="K92">
        <v>-6178</v>
      </c>
    </row>
    <row r="93" spans="2:11" x14ac:dyDescent="0.25">
      <c r="B93">
        <v>407</v>
      </c>
      <c r="C93">
        <v>350</v>
      </c>
      <c r="D93">
        <v>-3042</v>
      </c>
      <c r="E93">
        <v>753</v>
      </c>
      <c r="F93">
        <v>2146</v>
      </c>
      <c r="G93">
        <v>-3451</v>
      </c>
      <c r="H93">
        <v>12214</v>
      </c>
      <c r="I93">
        <v>13149</v>
      </c>
      <c r="J93">
        <v>15579</v>
      </c>
      <c r="K93">
        <v>-9947</v>
      </c>
    </row>
    <row r="94" spans="2:11" x14ac:dyDescent="0.25">
      <c r="B94">
        <v>15035</v>
      </c>
      <c r="C94">
        <v>3944</v>
      </c>
      <c r="D94">
        <v>-6058</v>
      </c>
      <c r="E94">
        <v>-3499</v>
      </c>
      <c r="F94">
        <v>5601</v>
      </c>
      <c r="G94">
        <v>-3940</v>
      </c>
      <c r="H94">
        <v>-45860</v>
      </c>
      <c r="I94">
        <v>46135</v>
      </c>
      <c r="J94">
        <v>-2507</v>
      </c>
      <c r="K94">
        <v>81871</v>
      </c>
    </row>
    <row r="95" spans="2:11" x14ac:dyDescent="0.25">
      <c r="B95">
        <v>-3663</v>
      </c>
      <c r="C95">
        <v>-3072</v>
      </c>
      <c r="D95">
        <v>-4114</v>
      </c>
      <c r="E95">
        <v>14669</v>
      </c>
      <c r="F95">
        <v>2097</v>
      </c>
      <c r="G95">
        <v>926</v>
      </c>
      <c r="H95">
        <v>82896</v>
      </c>
      <c r="I95">
        <v>-4545</v>
      </c>
      <c r="J95">
        <v>-848</v>
      </c>
      <c r="K95">
        <v>2294</v>
      </c>
    </row>
    <row r="96" spans="2:11" x14ac:dyDescent="0.25">
      <c r="B96">
        <v>-2450</v>
      </c>
      <c r="C96">
        <v>3483</v>
      </c>
      <c r="D96">
        <v>-2214</v>
      </c>
      <c r="E96">
        <v>782</v>
      </c>
      <c r="F96">
        <v>319</v>
      </c>
      <c r="G96">
        <v>-7146</v>
      </c>
      <c r="H96">
        <v>-767</v>
      </c>
      <c r="I96">
        <v>16775</v>
      </c>
      <c r="J96">
        <v>-5865</v>
      </c>
      <c r="K96">
        <v>-7636</v>
      </c>
    </row>
    <row r="97" spans="2:11" x14ac:dyDescent="0.25">
      <c r="B97">
        <v>-1296</v>
      </c>
      <c r="C97">
        <v>-608</v>
      </c>
      <c r="D97">
        <v>-1827</v>
      </c>
      <c r="E97">
        <v>36061</v>
      </c>
      <c r="F97">
        <v>-11123</v>
      </c>
      <c r="G97">
        <v>-9058</v>
      </c>
      <c r="H97">
        <v>14404</v>
      </c>
      <c r="I97">
        <v>4893</v>
      </c>
      <c r="J97">
        <v>-5856</v>
      </c>
      <c r="K97">
        <v>4666</v>
      </c>
    </row>
    <row r="98" spans="2:11" x14ac:dyDescent="0.25">
      <c r="B98">
        <v>-8021</v>
      </c>
      <c r="C98">
        <v>-569</v>
      </c>
      <c r="D98">
        <v>-782</v>
      </c>
      <c r="E98">
        <v>6968</v>
      </c>
      <c r="F98">
        <v>-1872</v>
      </c>
      <c r="G98">
        <v>7163</v>
      </c>
      <c r="H98">
        <v>-3581</v>
      </c>
      <c r="I98">
        <v>-7840</v>
      </c>
      <c r="J98">
        <v>1166</v>
      </c>
      <c r="K98">
        <v>-4881</v>
      </c>
    </row>
    <row r="99" spans="2:11" x14ac:dyDescent="0.25">
      <c r="B99">
        <v>8900</v>
      </c>
      <c r="C99">
        <v>-13791</v>
      </c>
      <c r="D99">
        <v>-13132</v>
      </c>
      <c r="E99">
        <v>3321</v>
      </c>
      <c r="F99">
        <v>-14268</v>
      </c>
      <c r="G99">
        <v>29542</v>
      </c>
      <c r="H99">
        <v>3323</v>
      </c>
      <c r="I99">
        <v>42874</v>
      </c>
      <c r="J99">
        <v>-539</v>
      </c>
      <c r="K99">
        <v>2219</v>
      </c>
    </row>
    <row r="100" spans="2:11" x14ac:dyDescent="0.25">
      <c r="B100">
        <v>950</v>
      </c>
      <c r="C100">
        <v>6547</v>
      </c>
      <c r="D100">
        <v>737</v>
      </c>
      <c r="E100">
        <v>-171</v>
      </c>
      <c r="F100">
        <v>43448</v>
      </c>
      <c r="G100">
        <v>1845</v>
      </c>
      <c r="H100">
        <v>1324</v>
      </c>
      <c r="I100">
        <v>772</v>
      </c>
      <c r="J100">
        <v>50802</v>
      </c>
      <c r="K100">
        <v>357</v>
      </c>
    </row>
    <row r="101" spans="2:11" x14ac:dyDescent="0.25">
      <c r="B101">
        <v>1520</v>
      </c>
      <c r="C101">
        <v>3079</v>
      </c>
      <c r="D101">
        <v>1098</v>
      </c>
      <c r="E101">
        <v>-175</v>
      </c>
      <c r="F101">
        <v>2162</v>
      </c>
      <c r="G101">
        <v>1039</v>
      </c>
      <c r="H101">
        <v>-863</v>
      </c>
      <c r="I101">
        <v>-3847</v>
      </c>
      <c r="J101">
        <v>-315</v>
      </c>
      <c r="K101">
        <v>544</v>
      </c>
    </row>
    <row r="102" spans="2:11" x14ac:dyDescent="0.25">
      <c r="B102">
        <v>-23</v>
      </c>
      <c r="C102">
        <v>-462</v>
      </c>
      <c r="D102">
        <v>1048</v>
      </c>
      <c r="E102">
        <v>1225</v>
      </c>
      <c r="F102">
        <v>-2450</v>
      </c>
      <c r="G102">
        <v>1087</v>
      </c>
      <c r="H102">
        <v>982</v>
      </c>
      <c r="I102">
        <v>-3451</v>
      </c>
      <c r="J102">
        <v>2102</v>
      </c>
      <c r="K102">
        <v>-26581</v>
      </c>
    </row>
    <row r="103" spans="2:11" x14ac:dyDescent="0.25"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2:11" x14ac:dyDescent="0.2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2:11" x14ac:dyDescent="0.25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25"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2:11" x14ac:dyDescent="0.25">
      <c r="B107">
        <v>0</v>
      </c>
      <c r="C107">
        <v>1781</v>
      </c>
      <c r="D107">
        <v>-19854</v>
      </c>
      <c r="E107">
        <v>24505</v>
      </c>
      <c r="F107">
        <v>-36</v>
      </c>
      <c r="G107">
        <v>42667</v>
      </c>
      <c r="H107">
        <v>1683</v>
      </c>
      <c r="I107">
        <v>1573</v>
      </c>
      <c r="J107">
        <v>-783</v>
      </c>
      <c r="K107">
        <v>3804</v>
      </c>
    </row>
    <row r="108" spans="2:11" x14ac:dyDescent="0.25">
      <c r="B108">
        <v>657</v>
      </c>
      <c r="C108">
        <v>-127</v>
      </c>
      <c r="D108">
        <v>43274</v>
      </c>
      <c r="E108">
        <v>-1364</v>
      </c>
      <c r="F108">
        <v>434</v>
      </c>
      <c r="G108">
        <v>1551</v>
      </c>
      <c r="H108">
        <v>50130</v>
      </c>
      <c r="I108">
        <v>-2782</v>
      </c>
      <c r="J108">
        <v>-3126</v>
      </c>
      <c r="K108">
        <v>28315</v>
      </c>
    </row>
    <row r="109" spans="2:11" x14ac:dyDescent="0.25">
      <c r="B109">
        <v>-378</v>
      </c>
      <c r="C109">
        <v>0</v>
      </c>
      <c r="D109">
        <v>0</v>
      </c>
      <c r="E109">
        <v>-10508</v>
      </c>
      <c r="F109">
        <v>1841</v>
      </c>
      <c r="G109">
        <v>2089</v>
      </c>
      <c r="H109">
        <v>6361</v>
      </c>
      <c r="I109">
        <v>-783</v>
      </c>
      <c r="J109">
        <v>-1563</v>
      </c>
      <c r="K109">
        <v>-334</v>
      </c>
    </row>
    <row r="110" spans="2:11" x14ac:dyDescent="0.25">
      <c r="B110">
        <v>147</v>
      </c>
      <c r="C110">
        <v>-1946</v>
      </c>
      <c r="D110">
        <v>-394</v>
      </c>
      <c r="E110">
        <v>-216</v>
      </c>
      <c r="F110">
        <v>-1107</v>
      </c>
      <c r="G110">
        <v>-1184</v>
      </c>
      <c r="H110">
        <v>2281</v>
      </c>
      <c r="I110">
        <v>374</v>
      </c>
      <c r="J110">
        <v>-1944</v>
      </c>
      <c r="K110">
        <v>2643</v>
      </c>
    </row>
    <row r="111" spans="2:11" x14ac:dyDescent="0.25">
      <c r="B111">
        <v>-5543</v>
      </c>
      <c r="C111">
        <v>169</v>
      </c>
      <c r="D111">
        <v>-119</v>
      </c>
      <c r="E111">
        <v>0</v>
      </c>
      <c r="F111">
        <v>0</v>
      </c>
      <c r="G111">
        <v>-16062</v>
      </c>
      <c r="H111">
        <v>-8109</v>
      </c>
      <c r="I111">
        <v>1758</v>
      </c>
      <c r="J111">
        <v>1213</v>
      </c>
      <c r="K111">
        <v>-1367</v>
      </c>
    </row>
    <row r="112" spans="2:11" x14ac:dyDescent="0.25">
      <c r="B112">
        <v>-1024</v>
      </c>
      <c r="C112">
        <v>-2869</v>
      </c>
      <c r="D112">
        <v>831</v>
      </c>
      <c r="E112">
        <v>1873</v>
      </c>
      <c r="F112">
        <v>-2562</v>
      </c>
      <c r="G112">
        <v>-802</v>
      </c>
      <c r="H112">
        <v>-188</v>
      </c>
      <c r="I112">
        <v>-1334</v>
      </c>
      <c r="J112">
        <v>-486</v>
      </c>
      <c r="K112">
        <v>8506</v>
      </c>
    </row>
    <row r="113" spans="2:11" x14ac:dyDescent="0.25">
      <c r="B113">
        <v>-1316</v>
      </c>
      <c r="C113">
        <v>-3743</v>
      </c>
      <c r="D113">
        <v>10155</v>
      </c>
      <c r="E113">
        <v>-2348</v>
      </c>
      <c r="F113">
        <v>-220</v>
      </c>
      <c r="G113">
        <v>-1017</v>
      </c>
      <c r="H113">
        <v>0</v>
      </c>
      <c r="I113">
        <v>0</v>
      </c>
      <c r="J113">
        <v>-31927</v>
      </c>
      <c r="K113">
        <v>20622</v>
      </c>
    </row>
    <row r="114" spans="2:11" x14ac:dyDescent="0.25">
      <c r="B114">
        <v>-1195</v>
      </c>
      <c r="C114">
        <v>9279</v>
      </c>
      <c r="D114">
        <v>49</v>
      </c>
      <c r="E114">
        <v>-1170</v>
      </c>
      <c r="F114">
        <v>-4522</v>
      </c>
      <c r="G114">
        <v>-899</v>
      </c>
      <c r="H114">
        <v>-1361</v>
      </c>
      <c r="I114">
        <v>1120</v>
      </c>
      <c r="J114">
        <v>-1079</v>
      </c>
      <c r="K114">
        <v>-257</v>
      </c>
    </row>
    <row r="115" spans="2:11" x14ac:dyDescent="0.25">
      <c r="B115">
        <v>327</v>
      </c>
      <c r="C115">
        <v>-4452</v>
      </c>
      <c r="D115">
        <v>269</v>
      </c>
      <c r="E115">
        <v>-435</v>
      </c>
      <c r="F115">
        <v>-1349</v>
      </c>
      <c r="G115">
        <v>-5301</v>
      </c>
      <c r="H115">
        <v>232</v>
      </c>
      <c r="I115">
        <v>-141</v>
      </c>
      <c r="J115">
        <v>-2574</v>
      </c>
      <c r="K115">
        <v>-489</v>
      </c>
    </row>
    <row r="116" spans="2:11" x14ac:dyDescent="0.25">
      <c r="B116">
        <v>0</v>
      </c>
      <c r="C116">
        <v>0</v>
      </c>
      <c r="D116">
        <v>-22238</v>
      </c>
      <c r="E116">
        <v>14100</v>
      </c>
      <c r="F116">
        <v>2560</v>
      </c>
      <c r="G116">
        <v>-15079</v>
      </c>
      <c r="H116">
        <v>11511</v>
      </c>
      <c r="I116">
        <v>4419</v>
      </c>
      <c r="J116">
        <v>2570</v>
      </c>
      <c r="K116">
        <v>2806</v>
      </c>
    </row>
    <row r="117" spans="2:11" x14ac:dyDescent="0.25">
      <c r="B117">
        <v>-163</v>
      </c>
      <c r="C117">
        <v>-3244</v>
      </c>
      <c r="D117">
        <v>-1620</v>
      </c>
      <c r="E117">
        <v>-2741</v>
      </c>
      <c r="F117">
        <v>-177</v>
      </c>
      <c r="G117">
        <v>373</v>
      </c>
      <c r="H117">
        <v>2807</v>
      </c>
      <c r="I117">
        <v>1603</v>
      </c>
      <c r="J117">
        <v>1098</v>
      </c>
      <c r="K117">
        <v>-1395</v>
      </c>
    </row>
    <row r="118" spans="2:11" x14ac:dyDescent="0.25">
      <c r="B118">
        <v>1371</v>
      </c>
      <c r="C118">
        <v>1443</v>
      </c>
      <c r="D118">
        <v>-2934</v>
      </c>
      <c r="E118">
        <v>-1938</v>
      </c>
      <c r="F118">
        <v>115</v>
      </c>
      <c r="G118">
        <v>0</v>
      </c>
      <c r="H118">
        <v>0</v>
      </c>
      <c r="I118">
        <v>-10493</v>
      </c>
      <c r="J118">
        <v>-10199</v>
      </c>
      <c r="K118">
        <v>-47808</v>
      </c>
    </row>
    <row r="119" spans="2:11" x14ac:dyDescent="0.25">
      <c r="B119">
        <v>233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2:11" x14ac:dyDescent="0.2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 x14ac:dyDescent="0.2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8846</v>
      </c>
      <c r="K121">
        <v>-4759</v>
      </c>
    </row>
    <row r="122" spans="2:11" x14ac:dyDescent="0.25">
      <c r="B122">
        <v>-2157</v>
      </c>
      <c r="C122">
        <v>2152</v>
      </c>
      <c r="D122">
        <v>368</v>
      </c>
      <c r="E122">
        <v>-1790</v>
      </c>
      <c r="F122">
        <v>228</v>
      </c>
      <c r="G122">
        <v>2761</v>
      </c>
      <c r="H122">
        <v>212</v>
      </c>
      <c r="I122">
        <v>706</v>
      </c>
      <c r="J122">
        <v>-721</v>
      </c>
      <c r="K122">
        <v>401</v>
      </c>
    </row>
    <row r="123" spans="2:11" x14ac:dyDescent="0.25">
      <c r="B123">
        <v>-87</v>
      </c>
      <c r="C123">
        <v>-1042</v>
      </c>
      <c r="D123">
        <v>1596</v>
      </c>
      <c r="E123">
        <v>836</v>
      </c>
      <c r="F123">
        <v>-894</v>
      </c>
      <c r="G123">
        <v>9214</v>
      </c>
      <c r="H123">
        <v>1889</v>
      </c>
      <c r="I123">
        <v>1311</v>
      </c>
      <c r="J123">
        <v>0</v>
      </c>
      <c r="K123">
        <v>0</v>
      </c>
    </row>
    <row r="124" spans="2:11" x14ac:dyDescent="0.25">
      <c r="B124">
        <v>-31079</v>
      </c>
      <c r="C124">
        <v>-55357</v>
      </c>
      <c r="D124">
        <v>20252</v>
      </c>
      <c r="E124">
        <v>-6321</v>
      </c>
      <c r="F124">
        <v>-19829</v>
      </c>
      <c r="G124">
        <v>0</v>
      </c>
      <c r="H124">
        <v>1083</v>
      </c>
      <c r="I124">
        <v>-699</v>
      </c>
      <c r="J124">
        <v>163</v>
      </c>
      <c r="K124">
        <v>-172</v>
      </c>
    </row>
    <row r="125" spans="2:11" x14ac:dyDescent="0.25">
      <c r="B125">
        <v>-264</v>
      </c>
      <c r="C125">
        <v>-684</v>
      </c>
      <c r="D125">
        <v>-415</v>
      </c>
      <c r="E125">
        <v>-65</v>
      </c>
      <c r="F125">
        <v>1279</v>
      </c>
      <c r="G125">
        <v>-484</v>
      </c>
      <c r="H125">
        <v>-637</v>
      </c>
      <c r="I125">
        <v>-523</v>
      </c>
      <c r="J125">
        <v>-977</v>
      </c>
      <c r="K125">
        <v>-635</v>
      </c>
    </row>
    <row r="126" spans="2:11" x14ac:dyDescent="0.25">
      <c r="B126">
        <v>-458</v>
      </c>
      <c r="C126">
        <v>106</v>
      </c>
      <c r="D126">
        <v>-431</v>
      </c>
      <c r="E126">
        <v>71</v>
      </c>
      <c r="F126">
        <v>33</v>
      </c>
      <c r="G126">
        <v>62</v>
      </c>
      <c r="H126">
        <v>0</v>
      </c>
      <c r="I126">
        <v>0</v>
      </c>
      <c r="J126">
        <v>-32131</v>
      </c>
      <c r="K126">
        <v>747</v>
      </c>
    </row>
    <row r="127" spans="2:11" x14ac:dyDescent="0.25">
      <c r="B127">
        <v>-1736</v>
      </c>
      <c r="C127">
        <v>-1122</v>
      </c>
      <c r="D127">
        <v>16140</v>
      </c>
      <c r="E127">
        <v>0</v>
      </c>
      <c r="F127">
        <v>17746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-5443</v>
      </c>
      <c r="H130">
        <v>9809</v>
      </c>
      <c r="I130">
        <v>-691</v>
      </c>
      <c r="J130">
        <v>-3141</v>
      </c>
      <c r="K130">
        <v>-5341</v>
      </c>
    </row>
    <row r="131" spans="2:11" x14ac:dyDescent="0.25">
      <c r="B131">
        <v>1724</v>
      </c>
      <c r="C131">
        <v>-5842</v>
      </c>
      <c r="D131">
        <v>-2433</v>
      </c>
      <c r="E131">
        <v>-2226</v>
      </c>
      <c r="F131">
        <v>1001</v>
      </c>
      <c r="G131">
        <v>-74</v>
      </c>
      <c r="H131">
        <v>-5491</v>
      </c>
      <c r="I131">
        <v>-2411</v>
      </c>
      <c r="J131">
        <v>-1991</v>
      </c>
      <c r="K131">
        <v>-18</v>
      </c>
    </row>
    <row r="132" spans="2:11" x14ac:dyDescent="0.25">
      <c r="B132">
        <v>-7745</v>
      </c>
      <c r="C132">
        <v>-696</v>
      </c>
      <c r="D132">
        <v>-286</v>
      </c>
      <c r="E132">
        <v>-3457</v>
      </c>
      <c r="F132">
        <v>-441</v>
      </c>
      <c r="G132">
        <v>0</v>
      </c>
      <c r="H132">
        <v>0</v>
      </c>
      <c r="I132">
        <v>-37510</v>
      </c>
      <c r="J132">
        <v>6795</v>
      </c>
      <c r="K132">
        <v>14554</v>
      </c>
    </row>
    <row r="133" spans="2:11" x14ac:dyDescent="0.25">
      <c r="B133">
        <v>15782</v>
      </c>
      <c r="C133">
        <v>-9019</v>
      </c>
      <c r="D133">
        <v>0</v>
      </c>
      <c r="E133">
        <v>19191</v>
      </c>
      <c r="F133">
        <v>2435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-1874</v>
      </c>
      <c r="K136">
        <v>3626</v>
      </c>
    </row>
    <row r="137" spans="2:11" x14ac:dyDescent="0.25">
      <c r="B137">
        <v>-15305</v>
      </c>
      <c r="C137">
        <v>-22345</v>
      </c>
      <c r="D137">
        <v>-3140</v>
      </c>
      <c r="E137">
        <v>860</v>
      </c>
      <c r="F137">
        <v>-4360</v>
      </c>
      <c r="G137">
        <v>-4211</v>
      </c>
      <c r="H137">
        <v>-343</v>
      </c>
      <c r="I137">
        <v>1816</v>
      </c>
      <c r="J137">
        <v>889</v>
      </c>
      <c r="K137">
        <v>-2960</v>
      </c>
    </row>
    <row r="138" spans="2:11" x14ac:dyDescent="0.25">
      <c r="B138">
        <v>9676</v>
      </c>
      <c r="C138">
        <v>771</v>
      </c>
      <c r="D138">
        <v>-2976</v>
      </c>
      <c r="E138">
        <v>-4716</v>
      </c>
      <c r="F138">
        <v>1778</v>
      </c>
      <c r="G138">
        <v>-3163</v>
      </c>
      <c r="H138">
        <v>-1258</v>
      </c>
      <c r="I138">
        <v>1911</v>
      </c>
      <c r="J138">
        <v>0</v>
      </c>
      <c r="K138">
        <v>0</v>
      </c>
    </row>
    <row r="139" spans="2:11" x14ac:dyDescent="0.25">
      <c r="B139">
        <v>-3634</v>
      </c>
      <c r="C139">
        <v>-3714</v>
      </c>
      <c r="D139">
        <v>349</v>
      </c>
      <c r="E139">
        <v>312</v>
      </c>
      <c r="F139">
        <v>2477</v>
      </c>
      <c r="G139">
        <v>0</v>
      </c>
      <c r="H139">
        <v>-1210</v>
      </c>
      <c r="I139">
        <v>-585</v>
      </c>
      <c r="J139">
        <v>0</v>
      </c>
      <c r="K139">
        <v>926</v>
      </c>
    </row>
    <row r="140" spans="2:11" x14ac:dyDescent="0.2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2:11" x14ac:dyDescent="0.25"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2:11" x14ac:dyDescent="0.25">
      <c r="B143">
        <v>0</v>
      </c>
      <c r="C143">
        <v>0</v>
      </c>
      <c r="D143">
        <v>0</v>
      </c>
      <c r="E143">
        <v>0</v>
      </c>
      <c r="F143">
        <v>0</v>
      </c>
      <c r="G143">
        <v>-19442</v>
      </c>
      <c r="H143">
        <v>-3643</v>
      </c>
      <c r="I143">
        <v>-29748</v>
      </c>
      <c r="J143">
        <v>2247</v>
      </c>
      <c r="K143">
        <v>6800</v>
      </c>
    </row>
    <row r="144" spans="2:11" x14ac:dyDescent="0.25">
      <c r="B144">
        <v>-191</v>
      </c>
      <c r="C144">
        <v>-2851</v>
      </c>
      <c r="D144">
        <v>1146</v>
      </c>
      <c r="E144">
        <v>-1409</v>
      </c>
      <c r="F144">
        <v>-338</v>
      </c>
      <c r="G144">
        <v>128</v>
      </c>
      <c r="H144">
        <v>6539</v>
      </c>
      <c r="I144">
        <v>-5083</v>
      </c>
      <c r="J144">
        <v>4297</v>
      </c>
      <c r="K144">
        <v>196</v>
      </c>
    </row>
    <row r="145" spans="2:11" x14ac:dyDescent="0.25">
      <c r="B145">
        <v>6257</v>
      </c>
      <c r="C145">
        <v>3588</v>
      </c>
      <c r="D145">
        <v>-2698</v>
      </c>
      <c r="E145">
        <v>-1795</v>
      </c>
      <c r="F145">
        <v>-99</v>
      </c>
      <c r="G145">
        <v>0</v>
      </c>
      <c r="H145">
        <v>0</v>
      </c>
      <c r="I145">
        <v>1900</v>
      </c>
      <c r="J145">
        <v>2170</v>
      </c>
      <c r="K145">
        <v>-47</v>
      </c>
    </row>
    <row r="146" spans="2:11" x14ac:dyDescent="0.25">
      <c r="B146">
        <v>1069</v>
      </c>
      <c r="C146">
        <v>8763</v>
      </c>
      <c r="D146">
        <v>0</v>
      </c>
      <c r="E146">
        <v>-2905</v>
      </c>
      <c r="F146">
        <v>-1695</v>
      </c>
      <c r="G146">
        <v>0</v>
      </c>
      <c r="H146">
        <v>1274</v>
      </c>
      <c r="I146">
        <v>0</v>
      </c>
      <c r="J146">
        <v>732</v>
      </c>
      <c r="K146">
        <v>0</v>
      </c>
    </row>
    <row r="147" spans="2:11" x14ac:dyDescent="0.25">
      <c r="B147">
        <v>-1198</v>
      </c>
      <c r="C147">
        <v>-4816</v>
      </c>
      <c r="D147">
        <v>3293</v>
      </c>
      <c r="E147">
        <v>-3497</v>
      </c>
      <c r="F147">
        <v>-1181</v>
      </c>
      <c r="G147">
        <v>1408</v>
      </c>
      <c r="H147">
        <v>-1012</v>
      </c>
      <c r="I147">
        <v>-863</v>
      </c>
      <c r="J147">
        <v>-431</v>
      </c>
      <c r="K147">
        <v>329</v>
      </c>
    </row>
    <row r="148" spans="2:11" x14ac:dyDescent="0.25">
      <c r="B148">
        <v>-1521</v>
      </c>
      <c r="C148">
        <v>-1570</v>
      </c>
      <c r="D148">
        <v>1723</v>
      </c>
      <c r="E148">
        <v>-413</v>
      </c>
      <c r="F148">
        <v>-232</v>
      </c>
      <c r="G148">
        <v>-2561</v>
      </c>
      <c r="H148">
        <v>-1961</v>
      </c>
      <c r="I148">
        <v>1683</v>
      </c>
      <c r="J148">
        <v>43</v>
      </c>
      <c r="K148">
        <v>-1063</v>
      </c>
    </row>
    <row r="149" spans="2:11" x14ac:dyDescent="0.25">
      <c r="B149">
        <v>0</v>
      </c>
      <c r="C149">
        <v>0</v>
      </c>
      <c r="D149">
        <v>975</v>
      </c>
      <c r="E149">
        <v>-29</v>
      </c>
      <c r="F149">
        <v>3114</v>
      </c>
      <c r="G149">
        <v>-1797</v>
      </c>
      <c r="H149">
        <v>-4411</v>
      </c>
      <c r="I149">
        <v>0</v>
      </c>
      <c r="J149">
        <v>536</v>
      </c>
      <c r="K149">
        <v>3258</v>
      </c>
    </row>
    <row r="150" spans="2:11" x14ac:dyDescent="0.25">
      <c r="B150">
        <v>0</v>
      </c>
      <c r="C150">
        <v>-916</v>
      </c>
      <c r="D150">
        <v>0</v>
      </c>
      <c r="E150">
        <v>353</v>
      </c>
      <c r="F150">
        <v>0</v>
      </c>
      <c r="G150">
        <v>-1566</v>
      </c>
      <c r="H150">
        <v>-704</v>
      </c>
      <c r="I150">
        <v>6896</v>
      </c>
      <c r="J150">
        <v>-5843</v>
      </c>
      <c r="K150">
        <v>4440</v>
      </c>
    </row>
    <row r="151" spans="2:11" x14ac:dyDescent="0.25">
      <c r="B151">
        <v>-19959</v>
      </c>
      <c r="C151">
        <v>4864</v>
      </c>
      <c r="D151">
        <v>562</v>
      </c>
      <c r="E151">
        <v>3190</v>
      </c>
      <c r="F151">
        <v>52</v>
      </c>
      <c r="G151">
        <v>-2993</v>
      </c>
      <c r="H151">
        <v>-748</v>
      </c>
      <c r="I151">
        <v>-20302</v>
      </c>
      <c r="J151">
        <v>-7643</v>
      </c>
      <c r="K151">
        <v>473</v>
      </c>
    </row>
    <row r="152" spans="2:11" x14ac:dyDescent="0.25">
      <c r="B152">
        <v>-1460</v>
      </c>
      <c r="C152">
        <v>-24331</v>
      </c>
      <c r="D152">
        <v>3220</v>
      </c>
      <c r="E152">
        <v>1240</v>
      </c>
      <c r="F152">
        <v>-3024</v>
      </c>
      <c r="G152">
        <v>-2832</v>
      </c>
      <c r="H152">
        <v>0</v>
      </c>
      <c r="I152">
        <v>0</v>
      </c>
      <c r="J152">
        <v>-6884</v>
      </c>
      <c r="K152">
        <v>7120</v>
      </c>
    </row>
    <row r="153" spans="2:11" x14ac:dyDescent="0.25">
      <c r="B153">
        <v>5304</v>
      </c>
      <c r="C153">
        <v>1951</v>
      </c>
      <c r="D153">
        <v>-5413</v>
      </c>
      <c r="E153">
        <v>0</v>
      </c>
      <c r="F153">
        <v>1177</v>
      </c>
      <c r="G153">
        <v>-1381</v>
      </c>
      <c r="H153">
        <v>0</v>
      </c>
      <c r="I153">
        <v>2385</v>
      </c>
      <c r="J153">
        <v>0</v>
      </c>
      <c r="K153">
        <v>-4585</v>
      </c>
    </row>
    <row r="154" spans="2:11" x14ac:dyDescent="0.25">
      <c r="B154">
        <v>0</v>
      </c>
      <c r="C154">
        <v>1625</v>
      </c>
      <c r="D154">
        <v>-12543</v>
      </c>
      <c r="E154">
        <v>12</v>
      </c>
      <c r="F154">
        <v>-4884</v>
      </c>
      <c r="G154">
        <v>3317</v>
      </c>
      <c r="H154">
        <v>-3482</v>
      </c>
      <c r="I154">
        <v>-2416</v>
      </c>
      <c r="J154">
        <v>-530</v>
      </c>
      <c r="K154">
        <v>-9612</v>
      </c>
    </row>
    <row r="155" spans="2:11" x14ac:dyDescent="0.25">
      <c r="B155">
        <v>3993</v>
      </c>
      <c r="C155">
        <v>3084</v>
      </c>
      <c r="D155">
        <v>1160</v>
      </c>
      <c r="E155">
        <v>-171</v>
      </c>
      <c r="F155">
        <v>-2480</v>
      </c>
      <c r="G155">
        <v>725</v>
      </c>
      <c r="H155">
        <v>-1296</v>
      </c>
      <c r="I155">
        <v>1802</v>
      </c>
      <c r="J155">
        <v>-770</v>
      </c>
      <c r="K155">
        <v>-2678</v>
      </c>
    </row>
    <row r="156" spans="2:11" x14ac:dyDescent="0.25">
      <c r="B156">
        <v>1187</v>
      </c>
      <c r="C156">
        <v>220</v>
      </c>
      <c r="D156">
        <v>-205</v>
      </c>
      <c r="E156">
        <v>0</v>
      </c>
      <c r="F156">
        <v>0</v>
      </c>
      <c r="G156">
        <v>553</v>
      </c>
      <c r="H156">
        <v>-373</v>
      </c>
      <c r="I156">
        <v>2626</v>
      </c>
      <c r="J156">
        <v>-1455</v>
      </c>
      <c r="K156">
        <v>-3376</v>
      </c>
    </row>
    <row r="157" spans="2:11" x14ac:dyDescent="0.25">
      <c r="B157">
        <v>0</v>
      </c>
      <c r="C157">
        <v>1060</v>
      </c>
      <c r="D157">
        <v>3236</v>
      </c>
      <c r="E157">
        <v>0</v>
      </c>
      <c r="F157">
        <v>-565</v>
      </c>
      <c r="G157">
        <v>0</v>
      </c>
      <c r="H157">
        <v>636</v>
      </c>
      <c r="I157">
        <v>0</v>
      </c>
      <c r="J157">
        <v>-1512</v>
      </c>
      <c r="K157">
        <v>73291</v>
      </c>
    </row>
    <row r="158" spans="2:11" x14ac:dyDescent="0.25">
      <c r="B158">
        <v>-9665</v>
      </c>
      <c r="C158">
        <v>-1789</v>
      </c>
      <c r="D158">
        <v>7156</v>
      </c>
      <c r="E158">
        <v>-5807</v>
      </c>
      <c r="F158">
        <v>3993</v>
      </c>
      <c r="G158">
        <v>-23124</v>
      </c>
      <c r="H158">
        <v>5892</v>
      </c>
      <c r="I158">
        <v>3026</v>
      </c>
      <c r="J158">
        <v>7690</v>
      </c>
      <c r="K158">
        <v>-4570</v>
      </c>
    </row>
    <row r="159" spans="2:11" x14ac:dyDescent="0.25">
      <c r="B159">
        <v>-3877</v>
      </c>
      <c r="C159">
        <v>-1482</v>
      </c>
      <c r="D159">
        <v>-23850</v>
      </c>
      <c r="E159">
        <v>-8303</v>
      </c>
      <c r="F159">
        <v>808</v>
      </c>
      <c r="G159">
        <v>-2173</v>
      </c>
      <c r="H159">
        <v>-21659</v>
      </c>
      <c r="I159">
        <v>2998</v>
      </c>
      <c r="J159">
        <v>707</v>
      </c>
      <c r="K159">
        <v>-3393</v>
      </c>
    </row>
    <row r="160" spans="2:11" x14ac:dyDescent="0.25">
      <c r="B160">
        <v>-3058</v>
      </c>
      <c r="C160">
        <v>0</v>
      </c>
      <c r="D160">
        <v>0</v>
      </c>
      <c r="E160">
        <v>-7002</v>
      </c>
      <c r="F160">
        <v>7391</v>
      </c>
      <c r="G160">
        <v>4863</v>
      </c>
      <c r="H160">
        <v>2019</v>
      </c>
      <c r="I160">
        <v>-4625</v>
      </c>
      <c r="J160">
        <v>0</v>
      </c>
      <c r="K160">
        <v>1118</v>
      </c>
    </row>
    <row r="161" spans="2:11" x14ac:dyDescent="0.25">
      <c r="B161">
        <v>-1259</v>
      </c>
      <c r="C161">
        <v>0</v>
      </c>
      <c r="D161">
        <v>2268</v>
      </c>
      <c r="E161">
        <v>0</v>
      </c>
      <c r="F161">
        <v>-5597</v>
      </c>
      <c r="G161">
        <v>0</v>
      </c>
      <c r="H161">
        <v>2116</v>
      </c>
      <c r="I161">
        <v>-9361</v>
      </c>
      <c r="J161">
        <v>89342</v>
      </c>
      <c r="K161">
        <v>-11580</v>
      </c>
    </row>
    <row r="162" spans="2:11" x14ac:dyDescent="0.25">
      <c r="B162">
        <v>3870</v>
      </c>
      <c r="C162">
        <v>-1983</v>
      </c>
      <c r="D162">
        <v>-2929</v>
      </c>
      <c r="E162">
        <v>-743</v>
      </c>
      <c r="F162">
        <v>-29110</v>
      </c>
      <c r="G162">
        <v>-168</v>
      </c>
      <c r="H162">
        <v>451</v>
      </c>
      <c r="I162">
        <v>-5671</v>
      </c>
      <c r="J162">
        <v>15485</v>
      </c>
      <c r="K162">
        <v>-2904</v>
      </c>
    </row>
    <row r="163" spans="2:11" x14ac:dyDescent="0.25">
      <c r="B163">
        <v>-881</v>
      </c>
      <c r="C163">
        <v>-29209</v>
      </c>
      <c r="D163">
        <v>-2015</v>
      </c>
      <c r="E163">
        <v>-2453</v>
      </c>
      <c r="F163">
        <v>-2052</v>
      </c>
      <c r="G163">
        <v>-804</v>
      </c>
      <c r="H163">
        <v>-2610</v>
      </c>
      <c r="I163">
        <v>889</v>
      </c>
      <c r="J163">
        <v>1278</v>
      </c>
      <c r="K163">
        <v>-393</v>
      </c>
    </row>
    <row r="164" spans="2:11" x14ac:dyDescent="0.25">
      <c r="B164">
        <v>0</v>
      </c>
      <c r="C164">
        <v>0</v>
      </c>
      <c r="D164">
        <v>-1997</v>
      </c>
      <c r="E164">
        <v>-108</v>
      </c>
      <c r="F164">
        <v>-1223</v>
      </c>
      <c r="G164">
        <v>-624</v>
      </c>
      <c r="H164">
        <v>-576</v>
      </c>
      <c r="I164">
        <v>0</v>
      </c>
      <c r="J164">
        <v>357</v>
      </c>
      <c r="K164">
        <v>661</v>
      </c>
    </row>
    <row r="165" spans="2:11" x14ac:dyDescent="0.25">
      <c r="B165">
        <v>0</v>
      </c>
      <c r="C165">
        <v>2886</v>
      </c>
      <c r="D165">
        <v>0</v>
      </c>
      <c r="E165">
        <v>4642</v>
      </c>
      <c r="F165">
        <v>0</v>
      </c>
      <c r="G165">
        <v>9</v>
      </c>
      <c r="H165">
        <v>29</v>
      </c>
      <c r="I165">
        <v>1400</v>
      </c>
      <c r="J165">
        <v>752</v>
      </c>
      <c r="K165">
        <v>1657</v>
      </c>
    </row>
    <row r="166" spans="2:11" x14ac:dyDescent="0.25">
      <c r="B166">
        <v>2237</v>
      </c>
      <c r="C166">
        <v>-635</v>
      </c>
      <c r="D166">
        <v>3095</v>
      </c>
      <c r="E166">
        <v>-1156</v>
      </c>
      <c r="F166">
        <v>-24418</v>
      </c>
      <c r="G166">
        <v>5360</v>
      </c>
      <c r="H166">
        <v>6827</v>
      </c>
      <c r="I166">
        <v>-8</v>
      </c>
      <c r="J166">
        <v>16098</v>
      </c>
      <c r="K166">
        <v>-625</v>
      </c>
    </row>
    <row r="167" spans="2:11" x14ac:dyDescent="0.25">
      <c r="B167">
        <v>1445</v>
      </c>
      <c r="C167">
        <v>-25914</v>
      </c>
      <c r="D167">
        <v>2693</v>
      </c>
      <c r="E167">
        <v>-3963</v>
      </c>
      <c r="F167">
        <v>-3847</v>
      </c>
      <c r="G167">
        <v>2810</v>
      </c>
      <c r="H167">
        <v>-7281</v>
      </c>
      <c r="I167">
        <v>1663</v>
      </c>
      <c r="J167">
        <v>1476</v>
      </c>
      <c r="K167">
        <v>-402</v>
      </c>
    </row>
    <row r="168" spans="2:11" x14ac:dyDescent="0.25">
      <c r="B168">
        <v>0</v>
      </c>
      <c r="C168">
        <v>0</v>
      </c>
      <c r="D168">
        <v>1889</v>
      </c>
      <c r="E168">
        <v>-899</v>
      </c>
      <c r="F168">
        <v>-2732</v>
      </c>
      <c r="G168">
        <v>-965</v>
      </c>
      <c r="H168">
        <v>1127</v>
      </c>
      <c r="I168">
        <v>0</v>
      </c>
      <c r="J168">
        <v>-467</v>
      </c>
      <c r="K168">
        <v>1607</v>
      </c>
    </row>
    <row r="169" spans="2:11" x14ac:dyDescent="0.25">
      <c r="B169">
        <v>0</v>
      </c>
      <c r="C169">
        <v>-1120</v>
      </c>
      <c r="D169">
        <v>0</v>
      </c>
      <c r="E169">
        <v>-1644</v>
      </c>
      <c r="F169">
        <v>0</v>
      </c>
      <c r="G169">
        <v>127</v>
      </c>
      <c r="H169">
        <v>414</v>
      </c>
      <c r="I169">
        <v>1463</v>
      </c>
      <c r="J169">
        <v>-264</v>
      </c>
      <c r="K169">
        <v>487</v>
      </c>
    </row>
    <row r="170" spans="2:11" x14ac:dyDescent="0.25">
      <c r="B170">
        <v>47168</v>
      </c>
      <c r="C170">
        <v>650</v>
      </c>
      <c r="D170">
        <v>-2444</v>
      </c>
      <c r="E170">
        <v>2740</v>
      </c>
      <c r="F170">
        <v>-1474</v>
      </c>
      <c r="G170">
        <v>-25641</v>
      </c>
      <c r="H170">
        <v>-3179</v>
      </c>
      <c r="I170">
        <v>-1198</v>
      </c>
      <c r="J170">
        <v>-4343</v>
      </c>
      <c r="K170">
        <v>15453</v>
      </c>
    </row>
    <row r="171" spans="2:11" x14ac:dyDescent="0.25">
      <c r="B171">
        <v>-2395</v>
      </c>
      <c r="C171">
        <v>-553</v>
      </c>
      <c r="D171">
        <v>-26794</v>
      </c>
      <c r="E171">
        <v>1406</v>
      </c>
      <c r="F171">
        <v>-1695</v>
      </c>
      <c r="G171">
        <v>-4576</v>
      </c>
      <c r="H171">
        <v>4826</v>
      </c>
      <c r="I171">
        <v>-5335</v>
      </c>
      <c r="J171">
        <v>-661</v>
      </c>
      <c r="K171">
        <v>856</v>
      </c>
    </row>
    <row r="172" spans="2:11" x14ac:dyDescent="0.25">
      <c r="B172">
        <v>-1644</v>
      </c>
      <c r="C172">
        <v>0</v>
      </c>
      <c r="D172">
        <v>0</v>
      </c>
      <c r="E172">
        <v>2617</v>
      </c>
      <c r="F172">
        <v>1311</v>
      </c>
      <c r="G172">
        <v>-833</v>
      </c>
      <c r="H172">
        <v>-113</v>
      </c>
      <c r="I172">
        <v>-1232</v>
      </c>
      <c r="J172">
        <v>0</v>
      </c>
      <c r="K172">
        <v>-358</v>
      </c>
    </row>
    <row r="173" spans="2:11" x14ac:dyDescent="0.25">
      <c r="B173">
        <v>1535</v>
      </c>
      <c r="C173">
        <v>0</v>
      </c>
      <c r="D173">
        <v>-1755</v>
      </c>
      <c r="E173">
        <v>0</v>
      </c>
      <c r="F173">
        <v>-1194</v>
      </c>
      <c r="G173">
        <v>0</v>
      </c>
      <c r="H173">
        <v>865</v>
      </c>
      <c r="I173">
        <v>-470</v>
      </c>
      <c r="J173">
        <v>1959</v>
      </c>
      <c r="K173">
        <v>-1113</v>
      </c>
    </row>
    <row r="174" spans="2:11" x14ac:dyDescent="0.25">
      <c r="B174">
        <v>2639</v>
      </c>
      <c r="C174">
        <v>56452</v>
      </c>
      <c r="D174">
        <v>51412</v>
      </c>
      <c r="E174">
        <v>3148</v>
      </c>
      <c r="F174">
        <v>-5387</v>
      </c>
      <c r="G174">
        <v>5201</v>
      </c>
      <c r="H174">
        <v>-4960</v>
      </c>
      <c r="I174">
        <v>4489</v>
      </c>
      <c r="J174">
        <v>1140</v>
      </c>
      <c r="K174">
        <v>3750</v>
      </c>
    </row>
    <row r="175" spans="2:11" x14ac:dyDescent="0.25">
      <c r="B175">
        <v>1183</v>
      </c>
      <c r="C175">
        <v>1637</v>
      </c>
      <c r="D175">
        <v>-919</v>
      </c>
      <c r="E175">
        <v>345</v>
      </c>
      <c r="F175">
        <v>4653</v>
      </c>
      <c r="G175">
        <v>-4139</v>
      </c>
      <c r="H175">
        <v>-723</v>
      </c>
      <c r="I175">
        <v>-621</v>
      </c>
      <c r="J175">
        <v>8762</v>
      </c>
      <c r="K175">
        <v>-636</v>
      </c>
    </row>
    <row r="176" spans="2:11" x14ac:dyDescent="0.25">
      <c r="B176">
        <v>-5356</v>
      </c>
      <c r="C176">
        <v>-24027</v>
      </c>
      <c r="D176">
        <v>-7042</v>
      </c>
      <c r="E176">
        <v>0</v>
      </c>
      <c r="F176">
        <v>0</v>
      </c>
      <c r="G176">
        <v>6512</v>
      </c>
      <c r="H176">
        <v>349</v>
      </c>
      <c r="I176">
        <v>-336</v>
      </c>
      <c r="J176">
        <v>-1016</v>
      </c>
      <c r="K176">
        <v>-3334</v>
      </c>
    </row>
    <row r="177" spans="2:11" x14ac:dyDescent="0.25">
      <c r="B177">
        <v>0</v>
      </c>
      <c r="C177">
        <v>-485</v>
      </c>
      <c r="D177">
        <v>934</v>
      </c>
      <c r="E177">
        <v>0</v>
      </c>
      <c r="F177">
        <v>-3707</v>
      </c>
      <c r="G177">
        <v>0</v>
      </c>
      <c r="H177">
        <v>-6307</v>
      </c>
      <c r="I177">
        <v>0</v>
      </c>
      <c r="J177">
        <v>-496</v>
      </c>
      <c r="K177">
        <v>4947</v>
      </c>
    </row>
    <row r="178" spans="2:11" x14ac:dyDescent="0.25">
      <c r="B178">
        <v>1346</v>
      </c>
      <c r="C178">
        <v>4563</v>
      </c>
      <c r="D178">
        <v>1193</v>
      </c>
      <c r="E178">
        <v>-2543</v>
      </c>
      <c r="F178">
        <v>3449</v>
      </c>
      <c r="G178">
        <v>13727</v>
      </c>
      <c r="H178">
        <v>-6633</v>
      </c>
      <c r="I178">
        <v>5397</v>
      </c>
      <c r="J178">
        <v>-877</v>
      </c>
      <c r="K178">
        <v>-1980</v>
      </c>
    </row>
    <row r="179" spans="2:11" x14ac:dyDescent="0.25">
      <c r="B179">
        <v>-134</v>
      </c>
      <c r="C179">
        <v>1557</v>
      </c>
      <c r="D179">
        <v>-2117</v>
      </c>
      <c r="E179">
        <v>-1548</v>
      </c>
      <c r="F179">
        <v>-1296</v>
      </c>
      <c r="G179">
        <v>-299</v>
      </c>
      <c r="H179">
        <v>93</v>
      </c>
      <c r="I179">
        <v>-216</v>
      </c>
      <c r="J179">
        <v>593</v>
      </c>
      <c r="K179">
        <v>520</v>
      </c>
    </row>
    <row r="180" spans="2:11" x14ac:dyDescent="0.25">
      <c r="B180">
        <v>533</v>
      </c>
      <c r="C180">
        <v>-944</v>
      </c>
      <c r="D180">
        <v>-1156</v>
      </c>
      <c r="E180">
        <v>-2172</v>
      </c>
      <c r="F180">
        <v>-43242</v>
      </c>
      <c r="G180">
        <v>10735</v>
      </c>
      <c r="H180">
        <v>0</v>
      </c>
      <c r="I180">
        <v>0</v>
      </c>
      <c r="J180">
        <v>-2619</v>
      </c>
      <c r="K180">
        <v>-699</v>
      </c>
    </row>
    <row r="181" spans="2:11" x14ac:dyDescent="0.25">
      <c r="B181">
        <v>1015</v>
      </c>
      <c r="C181">
        <v>2344</v>
      </c>
      <c r="D181">
        <v>2156</v>
      </c>
      <c r="E181">
        <v>0</v>
      </c>
      <c r="F181">
        <v>-1050</v>
      </c>
      <c r="G181">
        <v>-61</v>
      </c>
      <c r="H181">
        <v>0</v>
      </c>
      <c r="I181">
        <v>2066</v>
      </c>
      <c r="J181">
        <v>0</v>
      </c>
      <c r="K181">
        <v>522</v>
      </c>
    </row>
    <row r="182" spans="2:11" x14ac:dyDescent="0.25">
      <c r="B182">
        <v>0</v>
      </c>
      <c r="C182">
        <v>4486</v>
      </c>
      <c r="D182">
        <v>348</v>
      </c>
      <c r="E182">
        <v>-1594</v>
      </c>
      <c r="F182">
        <v>391</v>
      </c>
      <c r="G182">
        <v>-1458</v>
      </c>
      <c r="H182">
        <v>117</v>
      </c>
      <c r="I182">
        <v>-1701</v>
      </c>
      <c r="J182">
        <v>189</v>
      </c>
      <c r="K182">
        <v>-8599</v>
      </c>
    </row>
    <row r="183" spans="2:11" x14ac:dyDescent="0.2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2:11" x14ac:dyDescent="0.2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25">
      <c r="B187">
        <v>0</v>
      </c>
      <c r="C187">
        <v>0</v>
      </c>
      <c r="D187">
        <v>0</v>
      </c>
      <c r="E187">
        <v>0</v>
      </c>
      <c r="F187">
        <v>0</v>
      </c>
      <c r="G187">
        <v>419</v>
      </c>
      <c r="H187">
        <v>-889</v>
      </c>
      <c r="I187">
        <v>-805</v>
      </c>
      <c r="J187">
        <v>2042</v>
      </c>
      <c r="K187">
        <v>784</v>
      </c>
    </row>
    <row r="188" spans="2:11" x14ac:dyDescent="0.25">
      <c r="B188">
        <v>359</v>
      </c>
      <c r="C188">
        <v>-5726</v>
      </c>
      <c r="D188">
        <v>-224</v>
      </c>
      <c r="E188">
        <v>-4978</v>
      </c>
      <c r="F188">
        <v>1209</v>
      </c>
      <c r="G188">
        <v>522</v>
      </c>
      <c r="H188">
        <v>1013</v>
      </c>
      <c r="I188">
        <v>-1390</v>
      </c>
      <c r="J188">
        <v>-3765</v>
      </c>
      <c r="K188">
        <v>106</v>
      </c>
    </row>
    <row r="189" spans="2:11" x14ac:dyDescent="0.25">
      <c r="B189">
        <v>-1397</v>
      </c>
      <c r="C189">
        <v>-2307</v>
      </c>
      <c r="D189">
        <v>2714</v>
      </c>
      <c r="E189">
        <v>-4243</v>
      </c>
      <c r="F189">
        <v>-2727</v>
      </c>
      <c r="G189">
        <v>0</v>
      </c>
      <c r="H189">
        <v>0</v>
      </c>
      <c r="I189">
        <v>474</v>
      </c>
      <c r="J189">
        <v>2456</v>
      </c>
      <c r="K189">
        <v>-242</v>
      </c>
    </row>
    <row r="190" spans="2:11" x14ac:dyDescent="0.25">
      <c r="B190">
        <v>37</v>
      </c>
      <c r="C190">
        <v>-621</v>
      </c>
      <c r="D190">
        <v>0</v>
      </c>
      <c r="E190">
        <v>-416</v>
      </c>
      <c r="F190">
        <v>-605</v>
      </c>
      <c r="G190">
        <v>0</v>
      </c>
      <c r="H190">
        <v>336</v>
      </c>
      <c r="I190">
        <v>0</v>
      </c>
      <c r="J190">
        <v>-1294</v>
      </c>
      <c r="K190">
        <v>0</v>
      </c>
    </row>
    <row r="191" spans="2:11" x14ac:dyDescent="0.25">
      <c r="B191">
        <v>260</v>
      </c>
      <c r="C191">
        <v>-647</v>
      </c>
      <c r="D191">
        <v>3189</v>
      </c>
      <c r="E191">
        <v>-64</v>
      </c>
      <c r="F191">
        <v>3342</v>
      </c>
      <c r="G191">
        <v>-2047</v>
      </c>
      <c r="H191">
        <v>-1419</v>
      </c>
      <c r="I191">
        <v>-2091</v>
      </c>
      <c r="J191">
        <v>-4822</v>
      </c>
      <c r="K191">
        <v>-32246</v>
      </c>
    </row>
    <row r="192" spans="2:11" x14ac:dyDescent="0.25"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2:11" x14ac:dyDescent="0.25"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</row>
    <row r="194" spans="2:11" x14ac:dyDescent="0.25"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</row>
    <row r="195" spans="2:11" x14ac:dyDescent="0.25"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</row>
    <row r="196" spans="2:11" x14ac:dyDescent="0.25"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-11021</v>
      </c>
      <c r="K196">
        <v>-3308</v>
      </c>
    </row>
    <row r="197" spans="2:11" x14ac:dyDescent="0.25">
      <c r="B197">
        <v>3350</v>
      </c>
      <c r="C197">
        <v>5679</v>
      </c>
      <c r="D197">
        <v>6496</v>
      </c>
      <c r="E197">
        <v>-823</v>
      </c>
      <c r="F197">
        <v>-2744</v>
      </c>
      <c r="G197">
        <v>-3435</v>
      </c>
      <c r="H197">
        <v>-370</v>
      </c>
      <c r="I197">
        <v>936</v>
      </c>
      <c r="J197">
        <v>867</v>
      </c>
      <c r="K197">
        <v>6587</v>
      </c>
    </row>
    <row r="198" spans="2:11" x14ac:dyDescent="0.25">
      <c r="B198">
        <v>6138</v>
      </c>
      <c r="C198">
        <v>935</v>
      </c>
      <c r="D198">
        <v>-67</v>
      </c>
      <c r="E198">
        <v>5958</v>
      </c>
      <c r="F198">
        <v>1517</v>
      </c>
      <c r="G198">
        <v>-2316</v>
      </c>
      <c r="H198">
        <v>-24456</v>
      </c>
      <c r="I198">
        <v>-4823</v>
      </c>
      <c r="J198">
        <v>0</v>
      </c>
      <c r="K198">
        <v>0</v>
      </c>
    </row>
    <row r="199" spans="2:11" x14ac:dyDescent="0.25">
      <c r="B199">
        <v>1828</v>
      </c>
      <c r="C199">
        <v>2899</v>
      </c>
      <c r="D199">
        <v>-543</v>
      </c>
      <c r="E199">
        <v>455</v>
      </c>
      <c r="F199">
        <v>5847</v>
      </c>
      <c r="G199">
        <v>0</v>
      </c>
      <c r="H199">
        <v>-692</v>
      </c>
      <c r="I199">
        <v>-374</v>
      </c>
      <c r="J199">
        <v>0</v>
      </c>
      <c r="K199">
        <v>-209</v>
      </c>
    </row>
    <row r="200" spans="2:11" x14ac:dyDescent="0.25">
      <c r="B200">
        <v>0</v>
      </c>
      <c r="C200">
        <v>1818</v>
      </c>
      <c r="D200">
        <v>0</v>
      </c>
      <c r="E200">
        <v>2548</v>
      </c>
      <c r="F200">
        <v>-147</v>
      </c>
      <c r="G200">
        <v>1419</v>
      </c>
      <c r="H200">
        <v>-279</v>
      </c>
      <c r="I200">
        <v>1542</v>
      </c>
      <c r="J200">
        <v>344</v>
      </c>
      <c r="K200">
        <v>-983</v>
      </c>
    </row>
    <row r="201" spans="2:11" x14ac:dyDescent="0.25">
      <c r="B201">
        <v>94</v>
      </c>
      <c r="C201">
        <v>342</v>
      </c>
      <c r="D201">
        <v>1493</v>
      </c>
      <c r="E201">
        <v>0</v>
      </c>
      <c r="F201">
        <v>208</v>
      </c>
      <c r="G201">
        <v>0</v>
      </c>
      <c r="H201">
        <v>0</v>
      </c>
      <c r="I201">
        <v>0</v>
      </c>
      <c r="J201">
        <v>0</v>
      </c>
      <c r="K201">
        <v>0</v>
      </c>
    </row>
    <row r="202" spans="2:11" x14ac:dyDescent="0.25"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</row>
    <row r="203" spans="2:11" x14ac:dyDescent="0.25"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</row>
    <row r="204" spans="2:11" x14ac:dyDescent="0.25"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</row>
    <row r="205" spans="2:11" x14ac:dyDescent="0.25"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</row>
    <row r="206" spans="2:11" x14ac:dyDescent="0.25">
      <c r="B206">
        <v>0</v>
      </c>
      <c r="C206">
        <v>0</v>
      </c>
      <c r="D206">
        <v>0</v>
      </c>
      <c r="E206">
        <v>0</v>
      </c>
      <c r="F206">
        <v>0</v>
      </c>
      <c r="G206">
        <v>-29320</v>
      </c>
      <c r="H206">
        <v>88</v>
      </c>
      <c r="I206">
        <v>4680</v>
      </c>
      <c r="J206">
        <v>-5994</v>
      </c>
      <c r="K206">
        <v>6585</v>
      </c>
    </row>
    <row r="207" spans="2:11" x14ac:dyDescent="0.25">
      <c r="B207">
        <v>-988</v>
      </c>
      <c r="C207">
        <v>-1772</v>
      </c>
      <c r="D207">
        <v>-223</v>
      </c>
      <c r="E207">
        <v>-3817</v>
      </c>
      <c r="F207">
        <v>1138</v>
      </c>
      <c r="G207">
        <v>-878</v>
      </c>
      <c r="H207">
        <v>6104</v>
      </c>
      <c r="I207">
        <v>-10256</v>
      </c>
      <c r="J207">
        <v>2820</v>
      </c>
      <c r="K207">
        <v>1065</v>
      </c>
    </row>
    <row r="208" spans="2:11" x14ac:dyDescent="0.25">
      <c r="B208">
        <v>4211</v>
      </c>
      <c r="C208">
        <v>292</v>
      </c>
      <c r="D208">
        <v>-4830</v>
      </c>
      <c r="E208">
        <v>-23161</v>
      </c>
      <c r="F208">
        <v>768</v>
      </c>
      <c r="G208">
        <v>0</v>
      </c>
      <c r="H208">
        <v>0</v>
      </c>
      <c r="I208">
        <v>1878</v>
      </c>
      <c r="J208">
        <v>252</v>
      </c>
      <c r="K208">
        <v>1290</v>
      </c>
    </row>
    <row r="209" spans="2:11" x14ac:dyDescent="0.25">
      <c r="B209">
        <v>-296</v>
      </c>
      <c r="C209">
        <v>7024</v>
      </c>
      <c r="D209">
        <v>0</v>
      </c>
      <c r="E209">
        <v>-3105</v>
      </c>
      <c r="F209">
        <v>-1442</v>
      </c>
      <c r="G209">
        <v>0</v>
      </c>
      <c r="H209">
        <v>2177</v>
      </c>
      <c r="I209">
        <v>0</v>
      </c>
      <c r="J209">
        <v>-1272</v>
      </c>
      <c r="K209">
        <v>0</v>
      </c>
    </row>
    <row r="210" spans="2:11" x14ac:dyDescent="0.25">
      <c r="B210">
        <v>12064</v>
      </c>
      <c r="C210">
        <v>-1955</v>
      </c>
      <c r="D210">
        <v>2891</v>
      </c>
      <c r="E210">
        <v>-2113</v>
      </c>
      <c r="F210">
        <v>3224</v>
      </c>
      <c r="G210">
        <v>-2096</v>
      </c>
      <c r="H210">
        <v>-1148</v>
      </c>
      <c r="I210">
        <v>-758</v>
      </c>
      <c r="J210">
        <v>5791</v>
      </c>
      <c r="K210">
        <v>22399</v>
      </c>
    </row>
    <row r="211" spans="2:11" x14ac:dyDescent="0.25">
      <c r="B211">
        <v>0</v>
      </c>
      <c r="C211">
        <v>-9417</v>
      </c>
      <c r="D211">
        <v>0</v>
      </c>
      <c r="E211">
        <v>-46428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</row>
    <row r="212" spans="2:11" x14ac:dyDescent="0.25"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</row>
    <row r="213" spans="2:11" x14ac:dyDescent="0.25"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</row>
    <row r="214" spans="2:11" x14ac:dyDescent="0.25"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</row>
    <row r="215" spans="2:11" x14ac:dyDescent="0.25"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</row>
    <row r="216" spans="2:11" x14ac:dyDescent="0.25"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</row>
    <row r="217" spans="2:11" x14ac:dyDescent="0.25"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</row>
    <row r="218" spans="2:11" x14ac:dyDescent="0.25"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2:11" x14ac:dyDescent="0.25"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</row>
    <row r="220" spans="2:11" x14ac:dyDescent="0.25"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</row>
    <row r="221" spans="2:11" x14ac:dyDescent="0.25"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75</v>
      </c>
      <c r="K221">
        <v>4787</v>
      </c>
    </row>
    <row r="222" spans="2:11" x14ac:dyDescent="0.25">
      <c r="B222">
        <v>21487</v>
      </c>
      <c r="C222">
        <v>334</v>
      </c>
      <c r="D222">
        <v>21920</v>
      </c>
      <c r="E222">
        <v>992</v>
      </c>
      <c r="F222">
        <v>809</v>
      </c>
      <c r="G222">
        <v>-2170</v>
      </c>
      <c r="H222">
        <v>-2013</v>
      </c>
      <c r="I222">
        <v>-40</v>
      </c>
      <c r="J222">
        <v>-312</v>
      </c>
      <c r="K222">
        <v>22070</v>
      </c>
    </row>
    <row r="223" spans="2:11" x14ac:dyDescent="0.25">
      <c r="B223">
        <v>-155</v>
      </c>
      <c r="C223">
        <v>-1535</v>
      </c>
      <c r="D223">
        <v>-108</v>
      </c>
      <c r="E223">
        <v>26103</v>
      </c>
      <c r="F223">
        <v>-4487</v>
      </c>
      <c r="G223">
        <v>245</v>
      </c>
      <c r="H223">
        <v>17555</v>
      </c>
      <c r="I223">
        <v>2133</v>
      </c>
      <c r="J223">
        <v>0</v>
      </c>
      <c r="K223">
        <v>0</v>
      </c>
    </row>
    <row r="224" spans="2:11" x14ac:dyDescent="0.25">
      <c r="B224">
        <v>17445</v>
      </c>
      <c r="C224">
        <v>-1667</v>
      </c>
      <c r="D224">
        <v>-1496</v>
      </c>
      <c r="E224">
        <v>-1322</v>
      </c>
      <c r="F224">
        <v>869</v>
      </c>
      <c r="G224">
        <v>0</v>
      </c>
      <c r="H224">
        <v>-400</v>
      </c>
      <c r="I224">
        <v>1097</v>
      </c>
      <c r="J224">
        <v>0</v>
      </c>
      <c r="K224">
        <v>-3903</v>
      </c>
    </row>
    <row r="225" spans="2:11" x14ac:dyDescent="0.25">
      <c r="B225">
        <v>0</v>
      </c>
      <c r="C225">
        <v>-6967</v>
      </c>
      <c r="D225">
        <v>0</v>
      </c>
      <c r="E225">
        <v>314</v>
      </c>
      <c r="F225">
        <v>1080</v>
      </c>
      <c r="G225">
        <v>4696</v>
      </c>
      <c r="H225">
        <v>1630</v>
      </c>
      <c r="I225">
        <v>3913</v>
      </c>
      <c r="J225">
        <v>-2164</v>
      </c>
      <c r="K225">
        <v>21026</v>
      </c>
    </row>
    <row r="226" spans="2:11" x14ac:dyDescent="0.25">
      <c r="B226">
        <v>4547</v>
      </c>
      <c r="C226">
        <v>4762</v>
      </c>
      <c r="D226">
        <v>648</v>
      </c>
      <c r="E226">
        <v>0</v>
      </c>
      <c r="F226">
        <v>-1222</v>
      </c>
      <c r="G226">
        <v>0</v>
      </c>
      <c r="H226">
        <v>-1925</v>
      </c>
      <c r="I226">
        <v>0</v>
      </c>
      <c r="J226">
        <v>-1349</v>
      </c>
      <c r="K226">
        <v>0</v>
      </c>
    </row>
    <row r="227" spans="2:11" x14ac:dyDescent="0.25">
      <c r="B227">
        <v>0</v>
      </c>
      <c r="C227">
        <v>1788</v>
      </c>
      <c r="D227">
        <v>-12933</v>
      </c>
      <c r="E227">
        <v>29953</v>
      </c>
      <c r="F227">
        <v>-3191</v>
      </c>
      <c r="G227">
        <v>40662</v>
      </c>
      <c r="H227">
        <v>1671</v>
      </c>
      <c r="I227">
        <v>-392</v>
      </c>
      <c r="J227">
        <v>-174</v>
      </c>
      <c r="K227">
        <v>1839</v>
      </c>
    </row>
    <row r="228" spans="2:11" x14ac:dyDescent="0.25">
      <c r="B228">
        <v>-176</v>
      </c>
      <c r="C228">
        <v>653</v>
      </c>
      <c r="D228">
        <v>41333</v>
      </c>
      <c r="E228">
        <v>-6597</v>
      </c>
      <c r="F228">
        <v>-674</v>
      </c>
      <c r="G228">
        <v>590</v>
      </c>
      <c r="H228">
        <v>50154</v>
      </c>
      <c r="I228">
        <v>-3659</v>
      </c>
      <c r="J228">
        <v>-5034</v>
      </c>
      <c r="K228">
        <v>27395</v>
      </c>
    </row>
    <row r="229" spans="2:11" x14ac:dyDescent="0.25">
      <c r="B229">
        <v>522</v>
      </c>
      <c r="C229">
        <v>0</v>
      </c>
      <c r="D229">
        <v>0</v>
      </c>
      <c r="E229">
        <v>29992</v>
      </c>
      <c r="F229">
        <v>-2143</v>
      </c>
      <c r="G229">
        <v>-1779</v>
      </c>
      <c r="H229">
        <v>-1767</v>
      </c>
      <c r="I229">
        <v>-1809</v>
      </c>
      <c r="J229">
        <v>0</v>
      </c>
      <c r="K229">
        <v>95</v>
      </c>
    </row>
    <row r="230" spans="2:11" x14ac:dyDescent="0.25">
      <c r="B230">
        <v>446</v>
      </c>
      <c r="C230">
        <v>0</v>
      </c>
      <c r="D230">
        <v>-6564</v>
      </c>
      <c r="E230">
        <v>0</v>
      </c>
      <c r="F230">
        <v>-8342</v>
      </c>
      <c r="G230">
        <v>0</v>
      </c>
      <c r="H230">
        <v>2390</v>
      </c>
      <c r="I230">
        <v>-2990</v>
      </c>
      <c r="J230">
        <v>8880</v>
      </c>
      <c r="K230">
        <v>-2253</v>
      </c>
    </row>
    <row r="231" spans="2:11" x14ac:dyDescent="0.25">
      <c r="B231">
        <v>8324</v>
      </c>
      <c r="C231">
        <v>-2600</v>
      </c>
      <c r="D231">
        <v>4993</v>
      </c>
      <c r="E231">
        <v>17718</v>
      </c>
      <c r="F231">
        <v>17477</v>
      </c>
      <c r="G231">
        <v>875</v>
      </c>
      <c r="H231">
        <v>0</v>
      </c>
      <c r="I231">
        <v>-649</v>
      </c>
      <c r="J231">
        <v>0</v>
      </c>
      <c r="K231">
        <v>-500</v>
      </c>
    </row>
    <row r="232" spans="2:11" x14ac:dyDescent="0.25">
      <c r="B232">
        <v>0</v>
      </c>
      <c r="C232">
        <v>2067</v>
      </c>
      <c r="D232">
        <v>0</v>
      </c>
      <c r="E232">
        <v>0</v>
      </c>
      <c r="F232">
        <v>45292</v>
      </c>
      <c r="G232">
        <v>-2531</v>
      </c>
      <c r="H232">
        <v>3595</v>
      </c>
      <c r="I232">
        <v>33434</v>
      </c>
      <c r="J232">
        <v>3160</v>
      </c>
      <c r="K232">
        <v>41229</v>
      </c>
    </row>
    <row r="233" spans="2:11" x14ac:dyDescent="0.25">
      <c r="B233">
        <v>-4313</v>
      </c>
      <c r="C233">
        <v>-830</v>
      </c>
      <c r="D233">
        <v>-2182</v>
      </c>
      <c r="E233">
        <v>-600</v>
      </c>
      <c r="F233">
        <v>-636</v>
      </c>
      <c r="G233">
        <v>-1309</v>
      </c>
      <c r="H233">
        <v>41901</v>
      </c>
      <c r="I233">
        <v>1581</v>
      </c>
      <c r="J233">
        <v>1187</v>
      </c>
      <c r="K233">
        <v>-526</v>
      </c>
    </row>
    <row r="234" spans="2:11" x14ac:dyDescent="0.25">
      <c r="B234">
        <v>44995</v>
      </c>
      <c r="C234">
        <v>1808</v>
      </c>
      <c r="D234">
        <v>567</v>
      </c>
      <c r="E234">
        <v>34504</v>
      </c>
      <c r="F234">
        <v>460</v>
      </c>
      <c r="G234">
        <v>0</v>
      </c>
      <c r="H234">
        <v>0</v>
      </c>
      <c r="I234">
        <v>26536</v>
      </c>
      <c r="J234">
        <v>3735</v>
      </c>
      <c r="K234">
        <v>2031</v>
      </c>
    </row>
    <row r="235" spans="2:11" x14ac:dyDescent="0.25">
      <c r="B235">
        <v>-354</v>
      </c>
      <c r="C235">
        <v>-2382</v>
      </c>
      <c r="D235">
        <v>0</v>
      </c>
      <c r="E235">
        <v>2745</v>
      </c>
      <c r="F235">
        <v>-867</v>
      </c>
      <c r="G235">
        <v>0</v>
      </c>
      <c r="H235">
        <v>-1184</v>
      </c>
      <c r="I235">
        <v>0</v>
      </c>
      <c r="J235">
        <v>-2566</v>
      </c>
      <c r="K235">
        <v>0</v>
      </c>
    </row>
    <row r="236" spans="2:11" x14ac:dyDescent="0.25">
      <c r="B236">
        <v>-1643</v>
      </c>
      <c r="C236">
        <v>529</v>
      </c>
      <c r="D236">
        <v>2311</v>
      </c>
      <c r="E236">
        <v>588</v>
      </c>
      <c r="F236">
        <v>1757</v>
      </c>
      <c r="G236">
        <v>-511</v>
      </c>
      <c r="H236">
        <v>-831</v>
      </c>
      <c r="I236">
        <v>-1411</v>
      </c>
      <c r="J236">
        <v>719</v>
      </c>
      <c r="K236">
        <v>-1182</v>
      </c>
    </row>
    <row r="237" spans="2:11" x14ac:dyDescent="0.25">
      <c r="B237">
        <v>0</v>
      </c>
      <c r="C237">
        <v>2829</v>
      </c>
      <c r="D237">
        <v>0</v>
      </c>
      <c r="E237">
        <v>230</v>
      </c>
      <c r="F237">
        <v>0</v>
      </c>
      <c r="G237">
        <v>-1382</v>
      </c>
      <c r="H237">
        <v>0</v>
      </c>
      <c r="I237">
        <v>0</v>
      </c>
      <c r="J237">
        <v>6112</v>
      </c>
      <c r="K237">
        <v>7222</v>
      </c>
    </row>
    <row r="238" spans="2:11" x14ac:dyDescent="0.25">
      <c r="B238">
        <v>-16917</v>
      </c>
      <c r="C238">
        <v>842</v>
      </c>
      <c r="D238">
        <v>9230</v>
      </c>
      <c r="E238">
        <v>6578</v>
      </c>
      <c r="F238">
        <v>13757</v>
      </c>
      <c r="G238">
        <v>-6</v>
      </c>
      <c r="H238">
        <v>-3591</v>
      </c>
      <c r="I238">
        <v>318</v>
      </c>
      <c r="J238">
        <v>-1060</v>
      </c>
      <c r="K238">
        <v>1738</v>
      </c>
    </row>
    <row r="239" spans="2:11" x14ac:dyDescent="0.25">
      <c r="B239">
        <v>1492</v>
      </c>
      <c r="C239">
        <v>13760</v>
      </c>
      <c r="D239">
        <v>5565</v>
      </c>
      <c r="E239">
        <v>3258</v>
      </c>
      <c r="F239">
        <v>573</v>
      </c>
      <c r="G239">
        <v>14247</v>
      </c>
      <c r="H239">
        <v>1816</v>
      </c>
      <c r="I239">
        <v>-2556</v>
      </c>
      <c r="J239">
        <v>5123</v>
      </c>
      <c r="K239">
        <v>-16</v>
      </c>
    </row>
    <row r="240" spans="2:11" x14ac:dyDescent="0.25">
      <c r="B240">
        <v>0</v>
      </c>
      <c r="C240">
        <v>0</v>
      </c>
      <c r="D240">
        <v>5721</v>
      </c>
      <c r="E240">
        <v>5603</v>
      </c>
      <c r="F240">
        <v>-177</v>
      </c>
      <c r="G240">
        <v>282</v>
      </c>
      <c r="H240">
        <v>9510</v>
      </c>
      <c r="I240">
        <v>0</v>
      </c>
      <c r="J240">
        <v>-2894</v>
      </c>
      <c r="K240">
        <v>-1255</v>
      </c>
    </row>
    <row r="241" spans="2:11" x14ac:dyDescent="0.25">
      <c r="B241">
        <v>0</v>
      </c>
      <c r="C241">
        <v>1982</v>
      </c>
      <c r="D241">
        <v>0</v>
      </c>
      <c r="E241">
        <v>2475</v>
      </c>
      <c r="F241">
        <v>0</v>
      </c>
      <c r="G241">
        <v>7857</v>
      </c>
      <c r="H241">
        <v>-1089</v>
      </c>
      <c r="I241">
        <v>-1450</v>
      </c>
      <c r="J241">
        <v>-988</v>
      </c>
      <c r="K241">
        <v>-957</v>
      </c>
    </row>
    <row r="242" spans="2:11" x14ac:dyDescent="0.25">
      <c r="B242">
        <v>-914</v>
      </c>
      <c r="C242">
        <v>-1846</v>
      </c>
      <c r="D242">
        <v>-1283</v>
      </c>
      <c r="E242">
        <v>-2363</v>
      </c>
      <c r="F242">
        <v>485</v>
      </c>
      <c r="G242">
        <v>0</v>
      </c>
      <c r="H242">
        <v>519</v>
      </c>
      <c r="I242">
        <v>0</v>
      </c>
      <c r="J242">
        <v>15640</v>
      </c>
      <c r="K242">
        <v>0</v>
      </c>
    </row>
    <row r="243" spans="2:11" x14ac:dyDescent="0.25">
      <c r="B243">
        <v>195</v>
      </c>
      <c r="C243">
        <v>0</v>
      </c>
      <c r="D243">
        <v>0</v>
      </c>
      <c r="E243">
        <v>-9296</v>
      </c>
      <c r="F243">
        <v>-3646</v>
      </c>
      <c r="G243">
        <v>-27031</v>
      </c>
      <c r="H243">
        <v>0</v>
      </c>
      <c r="I243">
        <v>0</v>
      </c>
      <c r="J243">
        <v>0</v>
      </c>
      <c r="K243">
        <v>0</v>
      </c>
    </row>
    <row r="244" spans="2:11" x14ac:dyDescent="0.25"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25"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2:11" x14ac:dyDescent="0.25"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2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2:11" x14ac:dyDescent="0.25"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2:11" x14ac:dyDescent="0.25">
      <c r="B249">
        <v>0</v>
      </c>
      <c r="C249">
        <v>0</v>
      </c>
      <c r="D249">
        <v>0</v>
      </c>
      <c r="E249">
        <v>-26461</v>
      </c>
      <c r="F249">
        <v>873</v>
      </c>
      <c r="G249">
        <v>6698</v>
      </c>
      <c r="H249">
        <v>-6471</v>
      </c>
      <c r="I249">
        <v>7812</v>
      </c>
      <c r="J249">
        <v>844</v>
      </c>
      <c r="K249">
        <v>-1771</v>
      </c>
    </row>
    <row r="250" spans="2:11" x14ac:dyDescent="0.25">
      <c r="B250">
        <v>-817</v>
      </c>
      <c r="C250">
        <v>-2614</v>
      </c>
      <c r="D250">
        <v>584</v>
      </c>
      <c r="E250">
        <v>-1237</v>
      </c>
      <c r="F250">
        <v>7489</v>
      </c>
      <c r="G250">
        <v>-11691</v>
      </c>
      <c r="H250">
        <v>3446</v>
      </c>
      <c r="I250">
        <v>191</v>
      </c>
      <c r="J250">
        <v>6353</v>
      </c>
      <c r="K250">
        <v>1839</v>
      </c>
    </row>
    <row r="251" spans="2:11" x14ac:dyDescent="0.25">
      <c r="B251">
        <v>-6305</v>
      </c>
      <c r="C251">
        <v>-1964</v>
      </c>
      <c r="D251">
        <v>-2093</v>
      </c>
      <c r="E251">
        <v>0</v>
      </c>
      <c r="F251">
        <v>0</v>
      </c>
      <c r="G251">
        <v>3370</v>
      </c>
      <c r="H251">
        <v>-1021</v>
      </c>
      <c r="I251">
        <v>176</v>
      </c>
      <c r="J251">
        <v>-960</v>
      </c>
      <c r="K251">
        <v>8659</v>
      </c>
    </row>
    <row r="252" spans="2:11" x14ac:dyDescent="0.25">
      <c r="B252">
        <v>0</v>
      </c>
      <c r="C252">
        <v>-3603</v>
      </c>
      <c r="D252">
        <v>282</v>
      </c>
      <c r="E252">
        <v>0</v>
      </c>
      <c r="F252">
        <v>-765</v>
      </c>
      <c r="G252">
        <v>0</v>
      </c>
      <c r="H252">
        <v>-732</v>
      </c>
      <c r="I252">
        <v>0</v>
      </c>
      <c r="J252">
        <v>10844</v>
      </c>
      <c r="K252">
        <v>-1360</v>
      </c>
    </row>
    <row r="253" spans="2:11" x14ac:dyDescent="0.25">
      <c r="B253">
        <v>-1722</v>
      </c>
      <c r="C253">
        <v>-1629</v>
      </c>
      <c r="D253">
        <v>-1135</v>
      </c>
      <c r="E253">
        <v>-1148</v>
      </c>
      <c r="F253">
        <v>-1014</v>
      </c>
      <c r="G253">
        <v>296</v>
      </c>
      <c r="H253">
        <v>2498</v>
      </c>
      <c r="I253">
        <v>3409</v>
      </c>
      <c r="J253">
        <v>0</v>
      </c>
      <c r="K253">
        <v>-3834</v>
      </c>
    </row>
    <row r="254" spans="2:11" x14ac:dyDescent="0.25">
      <c r="B254">
        <v>0</v>
      </c>
      <c r="C254">
        <v>-1969</v>
      </c>
      <c r="D254">
        <v>0</v>
      </c>
      <c r="E254">
        <v>22726</v>
      </c>
      <c r="F254">
        <v>0</v>
      </c>
      <c r="G254">
        <v>0</v>
      </c>
      <c r="H254">
        <v>-1160</v>
      </c>
      <c r="I254">
        <v>1705</v>
      </c>
      <c r="J254">
        <v>-14310</v>
      </c>
      <c r="K254">
        <v>-45148</v>
      </c>
    </row>
    <row r="255" spans="2:11" x14ac:dyDescent="0.25"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</row>
    <row r="256" spans="2:11" x14ac:dyDescent="0.25"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</row>
    <row r="257" spans="2:11" x14ac:dyDescent="0.25"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</row>
    <row r="258" spans="2:11" x14ac:dyDescent="0.25"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</row>
    <row r="259" spans="2:11" x14ac:dyDescent="0.25"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</row>
    <row r="260" spans="2:11" x14ac:dyDescent="0.25"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</row>
    <row r="261" spans="2:11" x14ac:dyDescent="0.25"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</row>
    <row r="262" spans="2:11" x14ac:dyDescent="0.25"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</row>
    <row r="263" spans="2:11" x14ac:dyDescent="0.25"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</row>
    <row r="264" spans="2:11" x14ac:dyDescent="0.25"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</row>
    <row r="265" spans="2:11" x14ac:dyDescent="0.25"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</row>
    <row r="266" spans="2:11" x14ac:dyDescent="0.25"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</row>
    <row r="267" spans="2:11" x14ac:dyDescent="0.25"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</row>
    <row r="268" spans="2:11" x14ac:dyDescent="0.25"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</row>
    <row r="269" spans="2:11" x14ac:dyDescent="0.25"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2" x14ac:dyDescent="0.25">
      <c r="B273">
        <v>0</v>
      </c>
    </row>
  </sheetData>
  <pageMargins bottom="0.75" footer="0.3" header="0.3" left="0.7" right="0.7" top="0.75"/>
</worksheet>
</file>

<file path=xl/worksheets/sheet1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69"/>
  <sheetViews>
    <sheetView workbookViewId="0">
      <selection activeCell="A8" sqref="A8:K69"/>
    </sheetView>
  </sheetViews>
  <sheetFormatPr defaultRowHeight="15" x14ac:dyDescent="0.25"/>
  <sheetData>
    <row r="1" spans="1:11" x14ac:dyDescent="0.25">
      <c r="A1" s="31" t="s">
        <v>214</v>
      </c>
      <c r="B1" s="29"/>
      <c r="C1" s="29"/>
      <c r="D1" s="29"/>
      <c r="E1" s="29"/>
      <c r="F1" s="29"/>
      <c r="G1" s="29"/>
      <c r="H1" s="29" t="s">
        <v>215</v>
      </c>
      <c r="I1" s="29"/>
      <c r="J1" s="29"/>
      <c r="K1" s="29"/>
    </row>
    <row r="2" spans="1:11" x14ac:dyDescent="0.25">
      <c r="A2" s="29">
        <v>1</v>
      </c>
      <c r="B2" s="29" t="s">
        <v>294</v>
      </c>
      <c r="C2" s="29"/>
      <c r="D2" s="29"/>
      <c r="E2" s="29"/>
      <c r="F2" s="29"/>
      <c r="G2" s="29"/>
      <c r="H2" s="29"/>
      <c r="I2" s="29"/>
      <c r="J2" s="29"/>
      <c r="K2" s="29"/>
    </row>
    <row r="3" spans="1:11" x14ac:dyDescent="0.25">
      <c r="A3" s="29">
        <v>2</v>
      </c>
      <c r="B3" s="29" t="s">
        <v>216</v>
      </c>
      <c r="C3" s="29"/>
      <c r="D3" s="29"/>
      <c r="E3" s="29"/>
      <c r="F3" s="29"/>
      <c r="G3" s="29"/>
      <c r="H3" s="29"/>
      <c r="I3" s="29"/>
      <c r="J3" s="29"/>
      <c r="K3" s="29"/>
    </row>
    <row r="4" spans="1:11" x14ac:dyDescent="0.25">
      <c r="A4" s="29">
        <v>3</v>
      </c>
      <c r="B4" s="29" t="s">
        <v>217</v>
      </c>
      <c r="C4" s="29"/>
      <c r="D4" s="29"/>
      <c r="E4" s="29"/>
      <c r="F4" s="29"/>
      <c r="G4" s="29"/>
      <c r="H4" s="29"/>
      <c r="I4" s="29"/>
      <c r="J4" s="29"/>
      <c r="K4" s="29"/>
    </row>
    <row r="5" spans="1:11" x14ac:dyDescent="0.25">
      <c r="A5" s="29">
        <v>4</v>
      </c>
      <c r="B5" s="29" t="s">
        <v>218</v>
      </c>
      <c r="C5" s="29"/>
      <c r="D5" s="29"/>
      <c r="E5" s="29"/>
      <c r="F5" s="29"/>
      <c r="G5" s="29"/>
      <c r="H5" s="29"/>
      <c r="I5" s="29"/>
      <c r="J5" s="29"/>
      <c r="K5" s="29"/>
    </row>
    <row r="6" spans="1:11" x14ac:dyDescent="0.25">
      <c r="A6" s="29"/>
      <c r="B6" s="29"/>
      <c r="C6" s="29"/>
      <c r="D6" s="29"/>
      <c r="E6" s="29"/>
      <c r="F6" s="29"/>
      <c r="G6" s="29"/>
      <c r="H6" s="29"/>
      <c r="I6" s="29"/>
      <c r="J6" s="29"/>
      <c r="K6" s="29"/>
    </row>
    <row r="8" spans="1:11" x14ac:dyDescent="0.25">
      <c r="A8" t="s">
        <v>231</v>
      </c>
      <c r="B8" t="s">
        <v>232</v>
      </c>
      <c r="C8" t="s">
        <v>221</v>
      </c>
      <c r="D8" t="s">
        <v>222</v>
      </c>
    </row>
    <row r="9" spans="1:11" x14ac:dyDescent="0.25">
      <c r="A9" t="s">
        <v>223</v>
      </c>
      <c r="B9" t="s">
        <v>224</v>
      </c>
      <c r="C9" t="s">
        <v>225</v>
      </c>
      <c r="D9" t="s">
        <v>226</v>
      </c>
      <c r="E9">
        <v>4</v>
      </c>
      <c r="F9" s="27">
        <v>0.83534722222222213</v>
      </c>
      <c r="G9" t="s">
        <v>227</v>
      </c>
      <c r="H9">
        <v>30</v>
      </c>
      <c r="I9" t="s">
        <v>303</v>
      </c>
      <c r="J9">
        <v>20</v>
      </c>
    </row>
    <row r="10" spans="1:11" x14ac:dyDescent="0.25">
      <c r="A10" t="s">
        <v>228</v>
      </c>
    </row>
    <row r="11" spans="1:11" x14ac:dyDescent="0.25">
      <c r="B11">
        <v>1</v>
      </c>
      <c r="C11" t="s">
        <v>62</v>
      </c>
      <c r="D11" t="s">
        <v>63</v>
      </c>
      <c r="E11">
        <v>2.5071267914100002</v>
      </c>
    </row>
    <row r="12" spans="1:11" x14ac:dyDescent="0.25">
      <c r="B12">
        <v>2</v>
      </c>
      <c r="C12" t="s">
        <v>64</v>
      </c>
      <c r="D12" t="s">
        <v>63</v>
      </c>
      <c r="E12">
        <v>1.3950040940499999</v>
      </c>
    </row>
    <row r="13" spans="1:11" x14ac:dyDescent="0.25">
      <c r="B13">
        <v>20</v>
      </c>
      <c r="C13" t="s">
        <v>68</v>
      </c>
      <c r="D13" t="s">
        <v>63</v>
      </c>
      <c r="E13">
        <v>-1.7346810820609999</v>
      </c>
    </row>
    <row r="14" spans="1:11" x14ac:dyDescent="0.25">
      <c r="B14">
        <v>30</v>
      </c>
      <c r="C14" t="s">
        <v>75</v>
      </c>
      <c r="D14" t="s">
        <v>63</v>
      </c>
      <c r="E14">
        <v>-1.9048803299749999</v>
      </c>
    </row>
    <row r="15" spans="1:11" x14ac:dyDescent="0.25">
      <c r="B15">
        <v>40</v>
      </c>
      <c r="C15" t="s">
        <v>78</v>
      </c>
      <c r="D15" t="s">
        <v>63</v>
      </c>
      <c r="E15">
        <v>-1.176184651632</v>
      </c>
    </row>
    <row r="16" spans="1:11" x14ac:dyDescent="0.25">
      <c r="B16">
        <v>50</v>
      </c>
      <c r="C16" t="s">
        <v>83</v>
      </c>
      <c r="D16" t="s">
        <v>63</v>
      </c>
      <c r="E16">
        <v>8.6274931107000005E-2</v>
      </c>
    </row>
    <row r="17" spans="2:5" x14ac:dyDescent="0.25">
      <c r="B17">
        <v>54</v>
      </c>
      <c r="C17" t="s">
        <v>85</v>
      </c>
      <c r="D17" t="s">
        <v>63</v>
      </c>
      <c r="E17">
        <v>0.93728873101700005</v>
      </c>
    </row>
    <row r="18" spans="2:5" x14ac:dyDescent="0.25">
      <c r="B18">
        <v>55</v>
      </c>
      <c r="C18" t="s">
        <v>195</v>
      </c>
      <c r="D18" t="s">
        <v>63</v>
      </c>
      <c r="E18">
        <v>0.37832170423900002</v>
      </c>
    </row>
    <row r="19" spans="2:5" x14ac:dyDescent="0.25">
      <c r="B19">
        <v>58</v>
      </c>
      <c r="C19" t="s">
        <v>196</v>
      </c>
      <c r="D19" t="s">
        <v>63</v>
      </c>
      <c r="E19">
        <v>1.525502675</v>
      </c>
    </row>
    <row r="20" spans="2:5" x14ac:dyDescent="0.25">
      <c r="B20">
        <v>59</v>
      </c>
      <c r="C20" t="s">
        <v>197</v>
      </c>
      <c r="D20" t="s">
        <v>63</v>
      </c>
      <c r="E20">
        <v>1.09542169222</v>
      </c>
    </row>
    <row r="21" spans="2:5" x14ac:dyDescent="0.25">
      <c r="B21">
        <v>60</v>
      </c>
      <c r="C21" t="s">
        <v>88</v>
      </c>
      <c r="D21" t="s">
        <v>63</v>
      </c>
      <c r="E21">
        <v>-5.3112477368000004</v>
      </c>
    </row>
    <row r="22" spans="2:5" x14ac:dyDescent="0.25">
      <c r="B22">
        <v>61</v>
      </c>
      <c r="C22" t="s">
        <v>89</v>
      </c>
      <c r="D22" t="s">
        <v>63</v>
      </c>
      <c r="E22" s="22">
        <v>0.61526435958699999</v>
      </c>
    </row>
    <row r="23" spans="2:5" x14ac:dyDescent="0.25">
      <c r="B23">
        <v>69</v>
      </c>
      <c r="C23" t="s">
        <v>198</v>
      </c>
      <c r="D23" t="s">
        <v>63</v>
      </c>
      <c r="E23">
        <v>3.9685648124399999</v>
      </c>
    </row>
    <row r="24" spans="2:5" x14ac:dyDescent="0.25">
      <c r="B24">
        <v>70</v>
      </c>
      <c r="C24" t="s">
        <v>264</v>
      </c>
      <c r="D24" t="s">
        <v>72</v>
      </c>
      <c r="E24">
        <v>1.6119710051160001</v>
      </c>
    </row>
    <row r="25" spans="2:5" x14ac:dyDescent="0.25">
      <c r="B25">
        <v>79</v>
      </c>
      <c r="C25" t="s">
        <v>199</v>
      </c>
      <c r="D25" t="s">
        <v>72</v>
      </c>
      <c r="E25">
        <v>5</v>
      </c>
    </row>
    <row r="26" spans="2:5" x14ac:dyDescent="0.25">
      <c r="B26">
        <v>80</v>
      </c>
      <c r="C26" t="s">
        <v>304</v>
      </c>
      <c r="D26" t="s">
        <v>63</v>
      </c>
      <c r="E26">
        <v>-4.9248387372289999</v>
      </c>
    </row>
    <row r="27" spans="2:5" x14ac:dyDescent="0.25">
      <c r="B27">
        <v>81</v>
      </c>
      <c r="C27" t="s">
        <v>333</v>
      </c>
      <c r="D27" t="s">
        <v>72</v>
      </c>
      <c r="E27">
        <v>0</v>
      </c>
    </row>
    <row r="28" spans="2:5" x14ac:dyDescent="0.25">
      <c r="B28">
        <v>82</v>
      </c>
      <c r="C28" t="s">
        <v>334</v>
      </c>
      <c r="D28" t="s">
        <v>72</v>
      </c>
      <c r="E28">
        <v>0</v>
      </c>
    </row>
    <row r="29" spans="2:5" x14ac:dyDescent="0.25">
      <c r="B29">
        <v>83</v>
      </c>
      <c r="C29" s="22" t="s">
        <v>307</v>
      </c>
      <c r="D29" s="22" t="s">
        <v>72</v>
      </c>
      <c r="E29" s="22">
        <v>0</v>
      </c>
    </row>
    <row r="30" spans="2:5" x14ac:dyDescent="0.25">
      <c r="B30">
        <v>84</v>
      </c>
      <c r="C30" t="s">
        <v>335</v>
      </c>
      <c r="D30" t="s">
        <v>72</v>
      </c>
      <c r="E30">
        <v>0</v>
      </c>
    </row>
    <row r="31" spans="2:5" x14ac:dyDescent="0.25">
      <c r="B31">
        <v>85</v>
      </c>
      <c r="C31" t="s">
        <v>309</v>
      </c>
      <c r="D31" t="s">
        <v>72</v>
      </c>
      <c r="E31">
        <v>0</v>
      </c>
    </row>
    <row r="32" spans="2:5" x14ac:dyDescent="0.25">
      <c r="B32">
        <v>86</v>
      </c>
      <c r="C32" t="s">
        <v>311</v>
      </c>
      <c r="D32" t="s">
        <v>72</v>
      </c>
      <c r="E32">
        <v>0</v>
      </c>
    </row>
    <row r="33" spans="2:11" x14ac:dyDescent="0.25">
      <c r="B33">
        <v>87</v>
      </c>
      <c r="C33" t="s">
        <v>312</v>
      </c>
      <c r="D33" t="s">
        <v>72</v>
      </c>
      <c r="E33">
        <v>0</v>
      </c>
    </row>
    <row r="34" spans="2:11" x14ac:dyDescent="0.25">
      <c r="B34">
        <v>88</v>
      </c>
      <c r="C34" t="s">
        <v>200</v>
      </c>
      <c r="D34" t="s">
        <v>63</v>
      </c>
      <c r="E34">
        <v>0.89071022684599999</v>
      </c>
    </row>
    <row r="35" spans="2:11" x14ac:dyDescent="0.25">
      <c r="B35">
        <v>89</v>
      </c>
      <c r="C35" t="s">
        <v>201</v>
      </c>
      <c r="D35" t="s">
        <v>63</v>
      </c>
      <c r="E35">
        <v>1.2544536394100001</v>
      </c>
    </row>
    <row r="36" spans="2:11" x14ac:dyDescent="0.25">
      <c r="B36">
        <v>99</v>
      </c>
      <c r="C36" t="s">
        <v>105</v>
      </c>
      <c r="D36" t="s">
        <v>72</v>
      </c>
      <c r="E36">
        <v>1</v>
      </c>
    </row>
    <row r="37" spans="2:11" x14ac:dyDescent="0.25">
      <c r="B37">
        <v>-1</v>
      </c>
      <c r="C37" s="22"/>
      <c r="D37" s="22"/>
      <c r="E37" s="22"/>
    </row>
    <row r="38" spans="2:11" x14ac:dyDescent="0.25">
      <c r="B38">
        <v>1807</v>
      </c>
      <c r="C38" s="22">
        <v>-2356.1468669999999</v>
      </c>
      <c r="D38" s="22">
        <v>-3404.4966640299999</v>
      </c>
      <c r="E38" s="22">
        <v>-1646.47092028</v>
      </c>
    </row>
    <row r="39" spans="2:11" x14ac:dyDescent="0.25">
      <c r="B39">
        <v>5</v>
      </c>
      <c r="C39" t="s">
        <v>336</v>
      </c>
      <c r="D39" t="s">
        <v>227</v>
      </c>
      <c r="E39">
        <v>30</v>
      </c>
      <c r="F39" t="s">
        <v>303</v>
      </c>
      <c r="G39">
        <v>20</v>
      </c>
    </row>
    <row r="40" spans="2:11" x14ac:dyDescent="0.25">
      <c r="B40">
        <v>-15697</v>
      </c>
      <c r="C40">
        <v>742</v>
      </c>
      <c r="D40">
        <v>217</v>
      </c>
      <c r="E40">
        <v>30216</v>
      </c>
      <c r="F40">
        <v>-57556</v>
      </c>
      <c r="G40">
        <v>2841</v>
      </c>
      <c r="H40">
        <v>38007</v>
      </c>
      <c r="I40">
        <v>-59945</v>
      </c>
      <c r="J40">
        <v>3239</v>
      </c>
      <c r="K40">
        <v>87992</v>
      </c>
    </row>
    <row r="41" spans="2:11" x14ac:dyDescent="0.25">
      <c r="B41">
        <v>44473</v>
      </c>
      <c r="C41">
        <v>-55665</v>
      </c>
      <c r="D41">
        <v>2127</v>
      </c>
      <c r="E41">
        <v>57865</v>
      </c>
      <c r="F41">
        <v>63253</v>
      </c>
      <c r="G41">
        <v>-9787</v>
      </c>
      <c r="H41">
        <v>2044</v>
      </c>
      <c r="I41">
        <v>-13966</v>
      </c>
      <c r="J41">
        <v>-2478</v>
      </c>
      <c r="K41">
        <v>-5243</v>
      </c>
    </row>
    <row r="42" spans="2:11" x14ac:dyDescent="0.25">
      <c r="B42">
        <v>-15432</v>
      </c>
      <c r="C42">
        <v>127</v>
      </c>
      <c r="D42">
        <v>-3126</v>
      </c>
      <c r="E42">
        <v>-562</v>
      </c>
      <c r="F42">
        <v>2934</v>
      </c>
      <c r="G42">
        <v>1849</v>
      </c>
      <c r="H42">
        <v>-10574</v>
      </c>
      <c r="I42">
        <v>16776</v>
      </c>
      <c r="J42">
        <v>-11855</v>
      </c>
      <c r="K42">
        <v>9130</v>
      </c>
    </row>
    <row r="43" spans="2:11" x14ac:dyDescent="0.25">
      <c r="B43">
        <v>50</v>
      </c>
      <c r="C43">
        <v>-30258</v>
      </c>
      <c r="D43">
        <v>-31255</v>
      </c>
      <c r="E43">
        <v>-72133</v>
      </c>
      <c r="F43">
        <v>2626</v>
      </c>
      <c r="G43">
        <v>-7396</v>
      </c>
      <c r="H43">
        <v>-11581</v>
      </c>
      <c r="I43">
        <v>10710</v>
      </c>
      <c r="J43">
        <v>1114</v>
      </c>
      <c r="K43">
        <v>-25321</v>
      </c>
    </row>
    <row r="44" spans="2:11" x14ac:dyDescent="0.25">
      <c r="B44">
        <v>-26626</v>
      </c>
      <c r="C44">
        <v>-57992</v>
      </c>
      <c r="D44">
        <v>-437</v>
      </c>
      <c r="E44">
        <v>-2084</v>
      </c>
      <c r="F44">
        <v>60358</v>
      </c>
      <c r="G44">
        <v>-128</v>
      </c>
      <c r="H44">
        <v>-16493</v>
      </c>
      <c r="I44">
        <v>-335</v>
      </c>
      <c r="J44">
        <v>8573</v>
      </c>
      <c r="K44">
        <v>8820</v>
      </c>
    </row>
    <row r="45" spans="2:11" x14ac:dyDescent="0.25">
      <c r="B45">
        <v>8202</v>
      </c>
      <c r="C45">
        <v>2250</v>
      </c>
      <c r="D45">
        <v>2148</v>
      </c>
      <c r="E45">
        <v>560</v>
      </c>
      <c r="F45">
        <v>1704</v>
      </c>
      <c r="G45">
        <v>3530</v>
      </c>
      <c r="H45">
        <v>8751</v>
      </c>
      <c r="I45">
        <v>2528</v>
      </c>
      <c r="J45">
        <v>-4066</v>
      </c>
      <c r="K45">
        <v>-4212</v>
      </c>
    </row>
    <row r="46" spans="2:11" x14ac:dyDescent="0.25">
      <c r="B46">
        <v>-5205</v>
      </c>
      <c r="C46">
        <v>-1872</v>
      </c>
      <c r="D46">
        <v>-268</v>
      </c>
      <c r="E46">
        <v>3991</v>
      </c>
      <c r="F46">
        <v>2830</v>
      </c>
      <c r="G46">
        <v>-56499</v>
      </c>
      <c r="H46">
        <v>1428</v>
      </c>
      <c r="I46">
        <v>-7154</v>
      </c>
      <c r="J46">
        <v>272</v>
      </c>
      <c r="K46">
        <v>9805</v>
      </c>
    </row>
    <row r="47" spans="2:11" x14ac:dyDescent="0.25">
      <c r="B47">
        <v>10297</v>
      </c>
      <c r="C47">
        <v>11625</v>
      </c>
      <c r="D47">
        <v>-1452</v>
      </c>
      <c r="E47">
        <v>-656</v>
      </c>
      <c r="F47">
        <v>-12448</v>
      </c>
      <c r="G47">
        <v>-11529</v>
      </c>
      <c r="H47">
        <v>-78988</v>
      </c>
      <c r="I47">
        <v>16523</v>
      </c>
      <c r="J47">
        <v>0</v>
      </c>
      <c r="K47">
        <v>0</v>
      </c>
    </row>
    <row r="48" spans="2:11" x14ac:dyDescent="0.25"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</row>
    <row r="49" spans="2:11" x14ac:dyDescent="0.25">
      <c r="B49">
        <v>0</v>
      </c>
      <c r="C49">
        <v>6181</v>
      </c>
      <c r="D49">
        <v>-4824</v>
      </c>
      <c r="E49">
        <v>755</v>
      </c>
      <c r="F49">
        <v>2664</v>
      </c>
      <c r="G49">
        <v>3450</v>
      </c>
      <c r="H49">
        <v>4292</v>
      </c>
      <c r="I49">
        <v>-991</v>
      </c>
      <c r="J49">
        <v>-156</v>
      </c>
      <c r="K49">
        <v>5195</v>
      </c>
    </row>
    <row r="50" spans="2:11" x14ac:dyDescent="0.25">
      <c r="B50">
        <v>4039</v>
      </c>
      <c r="C50">
        <v>2898</v>
      </c>
      <c r="D50">
        <v>-2685</v>
      </c>
      <c r="E50">
        <v>-897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</row>
    <row r="51" spans="2:11" x14ac:dyDescent="0.25"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</row>
    <row r="52" spans="2:11" x14ac:dyDescent="0.25"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</row>
    <row r="53" spans="2:11" x14ac:dyDescent="0.25"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</row>
    <row r="54" spans="2:11" x14ac:dyDescent="0.25"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</row>
    <row r="55" spans="2:11" x14ac:dyDescent="0.25"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</row>
    <row r="56" spans="2:11" x14ac:dyDescent="0.25"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</row>
    <row r="57" spans="2:11" x14ac:dyDescent="0.25"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</row>
    <row r="58" spans="2:11" x14ac:dyDescent="0.25"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</row>
    <row r="59" spans="2:11" x14ac:dyDescent="0.25"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</row>
    <row r="60" spans="2:11" x14ac:dyDescent="0.25"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</row>
    <row r="61" spans="2:11" x14ac:dyDescent="0.25"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</row>
    <row r="62" spans="2:11" x14ac:dyDescent="0.25"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</row>
    <row r="63" spans="2:11" x14ac:dyDescent="0.25">
      <c r="B63">
        <v>0</v>
      </c>
      <c r="C63">
        <v>-8481</v>
      </c>
      <c r="D63">
        <v>9797</v>
      </c>
      <c r="E63">
        <v>-2370</v>
      </c>
      <c r="F63">
        <v>-68800</v>
      </c>
      <c r="G63">
        <v>-69812</v>
      </c>
      <c r="H63">
        <v>-30124</v>
      </c>
      <c r="I63">
        <v>2396</v>
      </c>
      <c r="J63">
        <v>-3188</v>
      </c>
      <c r="K63">
        <v>43571</v>
      </c>
    </row>
    <row r="64" spans="2:11" x14ac:dyDescent="0.25">
      <c r="B64">
        <v>22326</v>
      </c>
      <c r="C64">
        <v>1504</v>
      </c>
      <c r="D64">
        <v>1533</v>
      </c>
      <c r="E64">
        <v>-10660</v>
      </c>
      <c r="F64">
        <v>0</v>
      </c>
      <c r="G64">
        <v>5940</v>
      </c>
      <c r="H64">
        <v>0</v>
      </c>
      <c r="I64">
        <v>0</v>
      </c>
      <c r="J64">
        <v>0</v>
      </c>
      <c r="K64">
        <v>0</v>
      </c>
    </row>
    <row r="65" spans="2:11" x14ac:dyDescent="0.25">
      <c r="B65">
        <v>0</v>
      </c>
      <c r="C65">
        <v>0</v>
      </c>
      <c r="D65">
        <v>0</v>
      </c>
      <c r="E65">
        <v>-4982</v>
      </c>
      <c r="F65">
        <v>10143</v>
      </c>
      <c r="G65">
        <v>-2117</v>
      </c>
      <c r="H65">
        <v>-58281</v>
      </c>
      <c r="I65">
        <v>-56241</v>
      </c>
      <c r="J65">
        <v>-24756</v>
      </c>
      <c r="K65">
        <v>-1739</v>
      </c>
    </row>
    <row r="66" spans="2:11" x14ac:dyDescent="0.25">
      <c r="B66">
        <v>446</v>
      </c>
      <c r="C66">
        <v>23051</v>
      </c>
      <c r="D66">
        <v>45652</v>
      </c>
      <c r="E66">
        <v>2769</v>
      </c>
      <c r="F66">
        <v>1259</v>
      </c>
      <c r="G66">
        <v>-10865</v>
      </c>
      <c r="H66">
        <v>0</v>
      </c>
      <c r="I66">
        <v>5419</v>
      </c>
      <c r="J66">
        <v>0</v>
      </c>
      <c r="K66">
        <v>0</v>
      </c>
    </row>
    <row r="67" spans="2:11" x14ac:dyDescent="0.25">
      <c r="B67">
        <v>0</v>
      </c>
      <c r="C67">
        <v>0</v>
      </c>
      <c r="D67">
        <v>0</v>
      </c>
      <c r="E67">
        <v>0</v>
      </c>
      <c r="F67">
        <v>0</v>
      </c>
      <c r="G67">
        <v>60296</v>
      </c>
      <c r="H67">
        <v>0</v>
      </c>
      <c r="I67">
        <v>0</v>
      </c>
      <c r="J67">
        <v>0</v>
      </c>
      <c r="K67">
        <v>0</v>
      </c>
    </row>
    <row r="68" spans="2:11" x14ac:dyDescent="0.25"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</row>
    <row r="69" spans="2:11" x14ac:dyDescent="0.25"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</row>
  </sheetData>
  <pageMargins bottom="0.75" footer="0.3" header="0.3" left="0.7" right="0.7" top="0.75"/>
</worksheet>
</file>

<file path=xl/worksheets/sheet1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AF90"/>
  <sheetViews>
    <sheetView workbookViewId="0" zoomScaleNormal="100">
      <selection activeCell="I43" sqref="I43"/>
    </sheetView>
  </sheetViews>
  <sheetFormatPr defaultRowHeight="15" x14ac:dyDescent="0.25"/>
  <cols>
    <col min="2" max="2" bestFit="true" customWidth="true" width="14.140625" collapsed="true"/>
    <col min="4" max="4" bestFit="true" customWidth="true" width="11.7109375" collapsed="true"/>
    <col min="5" max="5" bestFit="true" customWidth="true" width="13.5703125" collapsed="true"/>
    <col min="6" max="6" bestFit="true" customWidth="true" width="9.140625" collapsed="true"/>
    <col min="8" max="8" bestFit="true" customWidth="true" width="14.140625" collapsed="true"/>
    <col min="10" max="10" bestFit="true" customWidth="true" width="11.7109375" collapsed="true"/>
    <col min="11" max="11" bestFit="true" customWidth="true" width="13.5703125" collapsed="true"/>
    <col min="12" max="12" bestFit="true" customWidth="true" width="9.140625" collapsed="true"/>
    <col min="13" max="13" width="9.140625" collapsed="true"/>
    <col min="14" max="14" bestFit="true" customWidth="true" width="14.140625" collapsed="true"/>
    <col min="15" max="15" bestFit="true" customWidth="true" width="10.28515625" collapsed="true"/>
    <col min="16" max="16" bestFit="true" customWidth="true" width="12.0" collapsed="true"/>
    <col min="17" max="17" bestFit="true" customWidth="true" width="13.85546875" collapsed="true"/>
    <col min="18" max="18" bestFit="true" customWidth="true" width="9.28515625" collapsed="true"/>
    <col min="20" max="20" customWidth="true" width="5.5703125" collapsed="true"/>
    <col min="21" max="21" customWidth="true" width="12.85546875" collapsed="true"/>
    <col min="22" max="22" bestFit="true" customWidth="true" width="11.7109375" collapsed="true"/>
    <col min="23" max="23" bestFit="true" customWidth="true" width="13.5703125" collapsed="true"/>
    <col min="28" max="28" bestFit="true" customWidth="true" width="11.0" collapsed="true"/>
    <col min="29" max="30" bestFit="true" customWidth="true" width="15.42578125" collapsed="true"/>
  </cols>
  <sheetData>
    <row r="1" spans="2:31" x14ac:dyDescent="0.25">
      <c r="T1" s="23" t="s">
        <v>163</v>
      </c>
      <c r="U1" s="32"/>
      <c r="V1" s="32"/>
      <c r="W1" s="32"/>
      <c r="X1" s="32"/>
      <c r="AA1" s="23" t="s">
        <v>163</v>
      </c>
    </row>
    <row r="2" spans="2:31" x14ac:dyDescent="0.25">
      <c r="T2" s="32"/>
      <c r="U2" s="23" t="s">
        <v>236</v>
      </c>
      <c r="W2" s="32"/>
      <c r="X2" s="32"/>
      <c r="AC2" s="28" t="s">
        <v>233</v>
      </c>
      <c r="AD2" s="28" t="s">
        <v>234</v>
      </c>
      <c r="AE2" s="28" t="s">
        <v>34</v>
      </c>
    </row>
    <row ht="15.75" r="3" spans="2:31" thickBot="1" x14ac:dyDescent="0.3">
      <c r="B3" s="23" t="s">
        <v>256</v>
      </c>
      <c r="T3">
        <v>1</v>
      </c>
      <c r="U3" s="33" t="s">
        <v>244</v>
      </c>
      <c r="W3" s="32"/>
      <c r="X3" s="32"/>
      <c r="AA3">
        <f>WorkCoefficients!B11</f>
        <v>1</v>
      </c>
      <c r="AB3" t="str">
        <f>WorkCoefficients!C11</f>
        <v>costutil</v>
      </c>
      <c r="AC3" s="56">
        <f>WorkCoefficients!E11</f>
        <v>0.38751855404000002</v>
      </c>
      <c r="AD3" s="57">
        <f>_xlfn.IFNA(VLOOKUP(AA3,$T$31:$V$53,3,FALSE),AC3)</f>
        <v>0.38751855404000002</v>
      </c>
      <c r="AE3">
        <f>IF(AC3=AD3,0,1)</f>
        <v>0</v>
      </c>
    </row>
    <row r="4" spans="2:31" x14ac:dyDescent="0.25">
      <c r="B4" s="38" t="s">
        <v>0</v>
      </c>
      <c r="C4" s="39" t="s">
        <v>252</v>
      </c>
      <c r="D4" s="39" t="s">
        <v>247</v>
      </c>
      <c r="E4" s="39" t="s">
        <v>250</v>
      </c>
      <c r="F4" s="39" t="s">
        <v>253</v>
      </c>
      <c r="T4">
        <v>2</v>
      </c>
      <c r="U4" s="33" t="s">
        <v>291</v>
      </c>
      <c r="W4" s="32"/>
      <c r="X4" s="32"/>
      <c r="AA4">
        <f>WorkCoefficients!B12</f>
        <v>2</v>
      </c>
      <c r="AB4" t="str">
        <f>WorkCoefficients!C12</f>
        <v>timeutil</v>
      </c>
      <c r="AC4" s="56">
        <f>WorkCoefficients!E12</f>
        <v>0.72548525122999996</v>
      </c>
      <c r="AD4" s="57">
        <f ref="AD4:AD67" si="0" t="shared">_xlfn.IFNA(VLOOKUP(AA4,$T$31:$V$53,3,FALSE),AC4)</f>
        <v>0.72548525122999996</v>
      </c>
      <c r="AE4">
        <f ref="AE4:AE67" si="1" t="shared">IF(AC4=AD4,0,1)</f>
        <v>0</v>
      </c>
    </row>
    <row r="5" spans="2:31" x14ac:dyDescent="0.25">
      <c r="B5" s="9" t="s">
        <v>1</v>
      </c>
      <c r="C5" s="11"/>
      <c r="D5" s="11"/>
      <c r="E5" s="11">
        <v>53</v>
      </c>
      <c r="F5" s="11">
        <v>50</v>
      </c>
      <c r="T5">
        <v>3</v>
      </c>
      <c r="U5" s="32" t="s">
        <v>245</v>
      </c>
      <c r="V5" s="32"/>
      <c r="W5" s="32"/>
      <c r="X5" s="32"/>
      <c r="AA5" s="29">
        <f>WorkCoefficients!B13</f>
        <v>10</v>
      </c>
      <c r="AB5" s="29" t="str">
        <f>WorkCoefficients!C13</f>
        <v>dt-const</v>
      </c>
      <c r="AC5" s="58">
        <f>WorkCoefficients!E13</f>
        <v>-4.1694859990589999</v>
      </c>
      <c r="AD5" s="57">
        <f si="0" t="shared"/>
        <v>-3.1046584733920732</v>
      </c>
      <c r="AE5">
        <f si="1" t="shared"/>
        <v>1</v>
      </c>
    </row>
    <row r="6" spans="2:31" x14ac:dyDescent="0.25">
      <c r="B6" s="9" t="s">
        <v>2</v>
      </c>
      <c r="C6" s="11">
        <v>41</v>
      </c>
      <c r="D6" s="11">
        <v>42</v>
      </c>
      <c r="E6" s="11"/>
      <c r="F6" s="11">
        <v>40</v>
      </c>
      <c r="T6">
        <v>4</v>
      </c>
      <c r="U6" s="32" t="s">
        <v>237</v>
      </c>
      <c r="V6" s="32"/>
      <c r="W6" s="32"/>
      <c r="X6" s="32"/>
      <c r="AA6" s="29">
        <f>WorkCoefficients!B14</f>
        <v>11</v>
      </c>
      <c r="AB6" s="29" t="str">
        <f>WorkCoefficients!C14</f>
        <v>dt-nocars</v>
      </c>
      <c r="AC6" s="58">
        <f>WorkCoefficients!E14</f>
        <v>-1.5216688378030001</v>
      </c>
      <c r="AD6" s="57">
        <f si="0" t="shared"/>
        <v>-1.4343442781511702</v>
      </c>
      <c r="AE6">
        <f si="1" t="shared"/>
        <v>1</v>
      </c>
    </row>
    <row r="7" spans="2:31" x14ac:dyDescent="0.25">
      <c r="B7" s="9" t="s">
        <v>3</v>
      </c>
      <c r="C7" s="11" t="s">
        <v>254</v>
      </c>
      <c r="D7" s="11" t="s">
        <v>255</v>
      </c>
      <c r="E7" s="11"/>
      <c r="F7" s="11">
        <v>30</v>
      </c>
      <c r="T7" s="32">
        <v>5</v>
      </c>
      <c r="U7" s="32" t="s">
        <v>238</v>
      </c>
      <c r="V7" s="32"/>
      <c r="W7" s="32"/>
      <c r="X7" s="32"/>
      <c r="AA7" s="29">
        <f>WorkCoefficients!B15</f>
        <v>13</v>
      </c>
      <c r="AB7" s="29" t="str">
        <f>WorkCoefficients!C15</f>
        <v>dt-carsltw</v>
      </c>
      <c r="AC7" s="58">
        <f>WorkCoefficients!E15</f>
        <v>-2.2179916638749999</v>
      </c>
      <c r="AD7" s="57">
        <f si="0" t="shared"/>
        <v>-1.1816910713507742</v>
      </c>
      <c r="AE7">
        <f si="1" t="shared"/>
        <v>1</v>
      </c>
    </row>
    <row r="8" spans="2:31" x14ac:dyDescent="0.25">
      <c r="B8" s="9" t="s">
        <v>4</v>
      </c>
      <c r="C8" s="11">
        <v>11</v>
      </c>
      <c r="D8" s="11"/>
      <c r="E8" s="11">
        <v>13</v>
      </c>
      <c r="F8" s="11">
        <v>10</v>
      </c>
      <c r="T8" s="32"/>
      <c r="U8" s="32"/>
      <c r="V8" s="32"/>
      <c r="W8" s="32"/>
      <c r="X8" s="32"/>
      <c r="AA8" s="29">
        <f>WorkCoefficients!B16</f>
        <v>20</v>
      </c>
      <c r="AB8" s="29" t="str">
        <f>WorkCoefficients!C16</f>
        <v>wt-const</v>
      </c>
      <c r="AC8" s="58">
        <f>WorkCoefficients!E16</f>
        <v>-3.7228693618880002</v>
      </c>
      <c r="AD8" s="57">
        <f si="0" t="shared"/>
        <v>-2.8705072474026911</v>
      </c>
      <c r="AE8">
        <f si="1" t="shared"/>
        <v>1</v>
      </c>
    </row>
    <row r="9" spans="2:31" x14ac:dyDescent="0.25">
      <c r="B9" s="9" t="s">
        <v>5</v>
      </c>
      <c r="C9" s="11">
        <v>21</v>
      </c>
      <c r="D9" s="11">
        <v>22</v>
      </c>
      <c r="E9" s="11"/>
      <c r="F9" s="11">
        <v>20</v>
      </c>
      <c r="T9" s="32"/>
      <c r="U9" s="34" t="s">
        <v>239</v>
      </c>
      <c r="V9" s="32"/>
      <c r="W9" s="32"/>
      <c r="X9" s="32"/>
      <c r="AA9" s="29">
        <f>WorkCoefficients!B17</f>
        <v>21</v>
      </c>
      <c r="AB9" s="29" t="str">
        <f>WorkCoefficients!C17</f>
        <v>wt-nocars</v>
      </c>
      <c r="AC9" s="58">
        <f>WorkCoefficients!E17</f>
        <v>0.49616873415399998</v>
      </c>
      <c r="AD9" s="57">
        <f si="0" t="shared"/>
        <v>0.95007784233738635</v>
      </c>
      <c r="AE9">
        <f si="1" t="shared"/>
        <v>1</v>
      </c>
    </row>
    <row r="10" spans="2:31" x14ac:dyDescent="0.25">
      <c r="B10" s="9" t="s">
        <v>6</v>
      </c>
      <c r="C10" s="11">
        <v>67</v>
      </c>
      <c r="D10" s="11">
        <v>68</v>
      </c>
      <c r="E10" s="11"/>
      <c r="F10" s="11">
        <v>60</v>
      </c>
      <c r="T10" s="32">
        <v>1</v>
      </c>
      <c r="U10" s="33" t="s">
        <v>244</v>
      </c>
      <c r="V10" s="32"/>
      <c r="W10" s="32"/>
      <c r="X10" s="32"/>
      <c r="AA10" s="29">
        <f>WorkCoefficients!B18</f>
        <v>22</v>
      </c>
      <c r="AB10" s="29" t="str">
        <f>WorkCoefficients!C18</f>
        <v>wt-carsltd</v>
      </c>
      <c r="AC10" s="58">
        <f>WorkCoefficients!E18</f>
        <v>-0.63179454813900005</v>
      </c>
      <c r="AD10" s="57">
        <f si="0" t="shared"/>
        <v>0.53854207494442752</v>
      </c>
      <c r="AE10">
        <f si="1" t="shared"/>
        <v>1</v>
      </c>
    </row>
    <row r="11" spans="2:31" x14ac:dyDescent="0.25">
      <c r="B11" s="9" t="s">
        <v>7</v>
      </c>
      <c r="C11" s="11">
        <v>77</v>
      </c>
      <c r="D11" s="11">
        <v>78</v>
      </c>
      <c r="E11" s="11"/>
      <c r="F11" s="11">
        <v>70</v>
      </c>
      <c r="T11" s="32">
        <v>2</v>
      </c>
      <c r="U11" s="32" t="s">
        <v>240</v>
      </c>
      <c r="V11" s="32"/>
      <c r="W11" s="32"/>
      <c r="X11" s="32"/>
      <c r="AA11" s="29">
        <f>WorkCoefficients!B19</f>
        <v>30</v>
      </c>
      <c r="AB11" s="29" t="str">
        <f>WorkCoefficients!C19</f>
        <v>s3-const</v>
      </c>
      <c r="AC11" s="58">
        <f>WorkCoefficients!E19</f>
        <v>0.493317392247</v>
      </c>
      <c r="AD11" s="57">
        <f si="0" t="shared"/>
        <v>0.54844986540243013</v>
      </c>
      <c r="AE11">
        <f si="1" t="shared"/>
        <v>1</v>
      </c>
    </row>
    <row r="12" spans="2:31" x14ac:dyDescent="0.25">
      <c r="B12" s="12" t="s">
        <v>8</v>
      </c>
      <c r="C12" s="11"/>
      <c r="D12" s="11"/>
      <c r="E12" s="7"/>
      <c r="F12" s="7"/>
      <c r="T12" s="32">
        <v>3</v>
      </c>
      <c r="U12" s="32" t="s">
        <v>241</v>
      </c>
      <c r="V12" s="32"/>
      <c r="W12" s="32"/>
      <c r="X12" s="32"/>
      <c r="AA12">
        <f>WorkCoefficients!B20</f>
        <v>31</v>
      </c>
      <c r="AB12" t="str">
        <f>WorkCoefficients!C20</f>
        <v>sr-hhcu5</v>
      </c>
      <c r="AC12" s="56">
        <f>WorkCoefficients!E20</f>
        <v>0.43571264025700002</v>
      </c>
      <c r="AD12" s="57">
        <f si="0" t="shared"/>
        <v>0.43571264025700002</v>
      </c>
      <c r="AE12">
        <f si="1" t="shared"/>
        <v>0</v>
      </c>
    </row>
    <row r="13" spans="2:31" x14ac:dyDescent="0.25">
      <c r="C13" s="25"/>
      <c r="D13" s="25"/>
      <c r="T13" s="32">
        <v>4</v>
      </c>
      <c r="U13" s="32" t="s">
        <v>242</v>
      </c>
      <c r="V13" s="32"/>
      <c r="W13" s="32"/>
      <c r="X13" s="32"/>
      <c r="AA13">
        <f>WorkCoefficients!B21</f>
        <v>32</v>
      </c>
      <c r="AB13" t="str">
        <f>WorkCoefficients!C21</f>
        <v>sr-hh515</v>
      </c>
      <c r="AC13" s="56">
        <f>WorkCoefficients!E21</f>
        <v>0.268200847646</v>
      </c>
      <c r="AD13" s="57">
        <f si="0" t="shared"/>
        <v>0.268200847646</v>
      </c>
      <c r="AE13">
        <f si="1" t="shared"/>
        <v>0</v>
      </c>
    </row>
    <row r="14" spans="2:31" x14ac:dyDescent="0.25">
      <c r="B14" s="37" t="s">
        <v>337</v>
      </c>
      <c r="T14" s="32">
        <v>5</v>
      </c>
      <c r="U14" s="33" t="s">
        <v>292</v>
      </c>
      <c r="V14" s="32"/>
      <c r="W14" s="32"/>
      <c r="X14" s="32"/>
      <c r="AA14">
        <f>WorkCoefficients!B22</f>
        <v>35</v>
      </c>
      <c r="AB14" t="str">
        <f>WorkCoefficients!C22</f>
        <v>sr-lndist</v>
      </c>
      <c r="AC14" s="56">
        <f>WorkCoefficients!E22</f>
        <v>-0.60408677025199997</v>
      </c>
      <c r="AD14" s="57">
        <f si="0" t="shared"/>
        <v>-0.60408677025199997</v>
      </c>
      <c r="AE14">
        <f si="1" t="shared"/>
        <v>0</v>
      </c>
    </row>
    <row r="15" spans="2:31" x14ac:dyDescent="0.25">
      <c r="B15" s="123" t="s">
        <v>293</v>
      </c>
      <c r="C15" s="123"/>
      <c r="D15" s="123"/>
      <c r="E15" s="123"/>
      <c r="F15" s="123"/>
      <c r="H15" s="122" t="s">
        <v>33</v>
      </c>
      <c r="I15" s="122"/>
      <c r="J15" s="122"/>
      <c r="K15" s="122"/>
      <c r="L15" s="122"/>
      <c r="T15" s="32">
        <v>6</v>
      </c>
      <c r="U15" s="32" t="s">
        <v>246</v>
      </c>
      <c r="V15" s="32"/>
      <c r="W15" s="32"/>
      <c r="X15" s="32"/>
      <c r="AA15" s="29">
        <f>WorkCoefficients!B23</f>
        <v>36</v>
      </c>
      <c r="AB15" s="29" t="str">
        <f>WorkCoefficients!C23</f>
        <v>sr-nocars</v>
      </c>
      <c r="AC15" s="58">
        <f>WorkCoefficients!E23</f>
        <v>0.33576925766499999</v>
      </c>
      <c r="AD15" s="57">
        <f si="0" t="shared"/>
        <v>1.7770703001112294</v>
      </c>
      <c r="AE15">
        <f si="1" t="shared"/>
        <v>1</v>
      </c>
    </row>
    <row ht="15.75" r="16" spans="2:31" thickBot="1" x14ac:dyDescent="0.3">
      <c r="B16" s="5" t="s">
        <v>258</v>
      </c>
      <c r="H16" s="5" t="str">
        <f>B16</f>
        <v>Frequency</v>
      </c>
      <c r="N16" s="5" t="s">
        <v>271</v>
      </c>
      <c r="T16" s="32">
        <v>7</v>
      </c>
      <c r="U16" s="32" t="s">
        <v>237</v>
      </c>
      <c r="V16" s="32"/>
      <c r="W16" s="32"/>
      <c r="X16" s="32"/>
      <c r="AA16" s="29">
        <f>WorkCoefficients!B24</f>
        <v>37</v>
      </c>
      <c r="AB16" s="29" t="str">
        <f>WorkCoefficients!C24</f>
        <v>sr-carsltd</v>
      </c>
      <c r="AC16" s="58">
        <f>WorkCoefficients!E24</f>
        <v>-2.4625361870000001E-2</v>
      </c>
      <c r="AD16" s="57">
        <f si="0" t="shared"/>
        <v>-0.10941002432262761</v>
      </c>
      <c r="AE16">
        <f si="1" t="shared"/>
        <v>1</v>
      </c>
    </row>
    <row r="17" spans="2:31" x14ac:dyDescent="0.25">
      <c r="B17" s="38" t="s">
        <v>0</v>
      </c>
      <c r="C17" s="39" t="s">
        <v>252</v>
      </c>
      <c r="D17" s="39" t="s">
        <v>247</v>
      </c>
      <c r="E17" s="39" t="s">
        <v>250</v>
      </c>
      <c r="F17" s="39" t="s">
        <v>19</v>
      </c>
      <c r="H17" s="38" t="s">
        <v>0</v>
      </c>
      <c r="I17" s="39" t="s">
        <v>252</v>
      </c>
      <c r="J17" s="39" t="s">
        <v>247</v>
      </c>
      <c r="K17" s="39" t="s">
        <v>250</v>
      </c>
      <c r="L17" s="39" t="s">
        <v>19</v>
      </c>
      <c r="M17" s="36"/>
      <c r="N17" s="38" t="s">
        <v>0</v>
      </c>
      <c r="O17" s="39" t="s">
        <v>252</v>
      </c>
      <c r="P17" s="39" t="s">
        <v>247</v>
      </c>
      <c r="Q17" s="39" t="s">
        <v>250</v>
      </c>
      <c r="R17" s="39" t="s">
        <v>253</v>
      </c>
      <c r="T17" s="32">
        <v>8</v>
      </c>
      <c r="U17" s="32" t="s">
        <v>243</v>
      </c>
      <c r="V17" s="32"/>
      <c r="W17" s="32"/>
      <c r="X17" s="32"/>
      <c r="AA17">
        <f>WorkCoefficients!B25</f>
        <v>38</v>
      </c>
      <c r="AB17" t="str">
        <f>WorkCoefficients!C25</f>
        <v>s3-onephh</v>
      </c>
      <c r="AC17" s="56">
        <f>WorkCoefficients!E25</f>
        <v>-2.9491028317699999</v>
      </c>
      <c r="AD17" s="57">
        <f si="0" t="shared"/>
        <v>-2.9491028317699999</v>
      </c>
      <c r="AE17">
        <f si="1" t="shared"/>
        <v>0</v>
      </c>
    </row>
    <row r="18" spans="2:31" x14ac:dyDescent="0.25">
      <c r="B18" s="9" t="s">
        <v>1</v>
      </c>
      <c r="C18" s="9">
        <v>0</v>
      </c>
      <c r="D18" s="9">
        <f>Work!E4+Work!B4</f>
        <v>56616.62320390276</v>
      </c>
      <c r="E18" s="9">
        <f>Work!G4</f>
        <v>14394.163389988134</v>
      </c>
      <c r="F18" s="9">
        <f>Work!H4</f>
        <v>536313.47027948603</v>
      </c>
      <c r="H18" s="9" t="s">
        <v>1</v>
      </c>
      <c r="I18" s="9">
        <f>Work!K4</f>
        <v>0</v>
      </c>
      <c r="J18" s="9">
        <f>Work!N4</f>
        <v>62778</v>
      </c>
      <c r="K18" s="9">
        <f>Work!P4</f>
        <v>19347</v>
      </c>
      <c r="L18" s="9">
        <f>Work!Q4</f>
        <v>481783</v>
      </c>
      <c r="M18" s="9"/>
      <c r="N18" s="9" t="s">
        <v>1</v>
      </c>
      <c r="O18" s="50" t="str">
        <f>IF(ISBLANK(C5),"",C5)</f>
        <v/>
      </c>
      <c r="P18" s="50" t="str">
        <f ref="P18:R18" si="2" t="shared">IF(ISBLANK(D5),"",D5)</f>
        <v/>
      </c>
      <c r="Q18" s="50">
        <f si="2" t="shared"/>
        <v>53</v>
      </c>
      <c r="R18" s="50">
        <f si="2" t="shared"/>
        <v>50</v>
      </c>
      <c r="AA18">
        <f>WorkCoefficients!B26</f>
        <v>39</v>
      </c>
      <c r="AB18" t="str">
        <f>WorkCoefficients!C26</f>
        <v>s3-twophh</v>
      </c>
      <c r="AC18" s="56">
        <f>WorkCoefficients!E26</f>
        <v>-2.0533392782500002</v>
      </c>
      <c r="AD18" s="57">
        <f si="0" t="shared"/>
        <v>-2.0533392782500002</v>
      </c>
      <c r="AE18">
        <f si="1" t="shared"/>
        <v>0</v>
      </c>
    </row>
    <row r="19" spans="2:31" x14ac:dyDescent="0.25">
      <c r="B19" s="84" t="s">
        <v>2</v>
      </c>
      <c r="C19" s="84">
        <f>Work!B5</f>
        <v>488.25689062172592</v>
      </c>
      <c r="D19" s="84">
        <f>Work!E5</f>
        <v>35370.364638132254</v>
      </c>
      <c r="E19" s="84">
        <f>Work!G5</f>
        <v>19098.526792677127</v>
      </c>
      <c r="F19" s="84">
        <f>Work!H5</f>
        <v>151774.44948796942</v>
      </c>
      <c r="H19" s="9" t="s">
        <v>2</v>
      </c>
      <c r="I19" s="9">
        <f>Work!K5</f>
        <v>657</v>
      </c>
      <c r="J19" s="9">
        <f>Work!N5</f>
        <v>33623</v>
      </c>
      <c r="K19" s="9">
        <f>Work!P5</f>
        <v>17739</v>
      </c>
      <c r="L19" s="9">
        <f>Work!Q5</f>
        <v>117975</v>
      </c>
      <c r="M19" s="9"/>
      <c r="N19" s="9" t="s">
        <v>2</v>
      </c>
      <c r="O19" s="11">
        <f ref="O19:O25" si="3" t="shared">IF(ISBLANK(C6),"",C6)</f>
        <v>41</v>
      </c>
      <c r="P19" s="11">
        <f ref="P19:P25" si="4" t="shared">IF(ISBLANK(D6),"",D6)</f>
        <v>42</v>
      </c>
      <c r="Q19" s="11" t="str">
        <f ref="Q19:Q25" si="5" t="shared">IF(ISBLANK(E6),"",E6)</f>
        <v/>
      </c>
      <c r="R19" s="11">
        <f ref="R19:R25" si="6" t="shared">IF(ISBLANK(F6),"",F6)</f>
        <v>40</v>
      </c>
      <c r="T19" s="9"/>
      <c r="AA19" s="29">
        <f>WorkCoefficients!B27</f>
        <v>40</v>
      </c>
      <c r="AB19" s="29" t="str">
        <f>WorkCoefficients!C27</f>
        <v>s2-const</v>
      </c>
      <c r="AC19" s="58">
        <f>WorkCoefficients!E27</f>
        <v>0.25334031755000003</v>
      </c>
      <c r="AD19" s="57">
        <f si="0" t="shared"/>
        <v>0.34686179476631374</v>
      </c>
      <c r="AE19">
        <f si="1" t="shared"/>
        <v>1</v>
      </c>
    </row>
    <row r="20" spans="2:31" x14ac:dyDescent="0.25">
      <c r="B20" s="84" t="s">
        <v>3</v>
      </c>
      <c r="C20" s="84">
        <f>Work!B6</f>
        <v>0</v>
      </c>
      <c r="D20" s="84">
        <f>Work!E6</f>
        <v>10468.362635933376</v>
      </c>
      <c r="E20" s="84">
        <f>Work!G6</f>
        <v>3853.5515191131153</v>
      </c>
      <c r="F20" s="84">
        <f>Work!H6</f>
        <v>56494.484672382336</v>
      </c>
      <c r="H20" s="9" t="s">
        <v>3</v>
      </c>
      <c r="I20" s="9">
        <f>Work!K6</f>
        <v>362</v>
      </c>
      <c r="J20" s="9">
        <f>Work!N6</f>
        <v>11123</v>
      </c>
      <c r="K20" s="9">
        <f>Work!P6</f>
        <v>5756</v>
      </c>
      <c r="L20" s="9">
        <f>Work!Q6</f>
        <v>45632</v>
      </c>
      <c r="M20" s="9"/>
      <c r="N20" s="9" t="s">
        <v>3</v>
      </c>
      <c r="O20" s="11">
        <v>36</v>
      </c>
      <c r="P20" s="11">
        <v>37</v>
      </c>
      <c r="Q20" s="11" t="str">
        <f si="5" t="shared"/>
        <v/>
      </c>
      <c r="R20" s="11">
        <f si="6" t="shared"/>
        <v>30</v>
      </c>
      <c r="T20" s="9"/>
      <c r="AA20" s="29">
        <f>WorkCoefficients!B28</f>
        <v>41</v>
      </c>
      <c r="AB20" s="29" t="str">
        <f>WorkCoefficients!C28</f>
        <v>sr-nocars</v>
      </c>
      <c r="AC20" s="58">
        <f>WorkCoefficients!E28</f>
        <v>-2.787379343874</v>
      </c>
      <c r="AD20" s="57">
        <f si="0" t="shared"/>
        <v>-4.2286803863202298</v>
      </c>
      <c r="AE20">
        <f si="1" t="shared"/>
        <v>1</v>
      </c>
    </row>
    <row r="21" spans="2:31" x14ac:dyDescent="0.25">
      <c r="B21" s="84" t="s">
        <v>4</v>
      </c>
      <c r="C21" s="84">
        <f>Work!B7+School!B7+Escort!B7+Personal_Business!B7+Shop!B7+Meal!B7+SocRec!B7</f>
        <v>402.17886943658061</v>
      </c>
      <c r="D21" s="84">
        <f>Work!E7+School!E7+Escort!E7+Personal_Business!E7+Shop!E7+Meal!E7+SocRec!E7</f>
        <v>2015.896368126673</v>
      </c>
      <c r="E21" s="84">
        <f>Work!G7+School!G7+Escort!G7+Personal_Business!G7+Shop!G7+Meal!G7+SocRec!G7</f>
        <v>1319.1429124667002</v>
      </c>
      <c r="F21" s="84">
        <f>Work!H7+School!H7+Escort!H7+Personal_Business!H7+Shop!H7+Meal!H7+SocRec!H7</f>
        <v>10544.434974228358</v>
      </c>
      <c r="H21" s="9" t="s">
        <v>4</v>
      </c>
      <c r="I21" s="9">
        <f>Work!K7</f>
        <v>182</v>
      </c>
      <c r="J21" s="9">
        <f>Work!N7</f>
        <v>733</v>
      </c>
      <c r="K21" s="9">
        <f>Work!P7</f>
        <v>515</v>
      </c>
      <c r="L21" s="9">
        <f>Work!Q7</f>
        <v>3103</v>
      </c>
      <c r="M21" s="9"/>
      <c r="N21" s="9" t="s">
        <v>4</v>
      </c>
      <c r="O21" s="11">
        <f si="3" t="shared"/>
        <v>11</v>
      </c>
      <c r="P21" s="11" t="str">
        <f si="4" t="shared"/>
        <v/>
      </c>
      <c r="Q21" s="11">
        <f si="5" t="shared"/>
        <v>13</v>
      </c>
      <c r="R21" s="11">
        <f si="6" t="shared"/>
        <v>10</v>
      </c>
      <c r="T21" s="9"/>
      <c r="AA21" s="29">
        <f>WorkCoefficients!B29</f>
        <v>42</v>
      </c>
      <c r="AB21" s="29" t="str">
        <f>WorkCoefficients!C29</f>
        <v>sr-carsltd</v>
      </c>
      <c r="AC21" s="58">
        <f>WorkCoefficients!E29</f>
        <v>-0.39930569078900002</v>
      </c>
      <c r="AD21" s="57">
        <f si="0" t="shared"/>
        <v>-0.35011356624042622</v>
      </c>
      <c r="AE21">
        <f si="1" t="shared"/>
        <v>1</v>
      </c>
    </row>
    <row r="22" spans="2:31" x14ac:dyDescent="0.25">
      <c r="B22" s="84" t="s">
        <v>5</v>
      </c>
      <c r="C22" s="84">
        <f>Work!B8</f>
        <v>5796.253703760688</v>
      </c>
      <c r="D22" s="84">
        <f>Work!E8</f>
        <v>3011.2770255462751</v>
      </c>
      <c r="E22" s="84">
        <f>Work!G8</f>
        <v>1277.6727337052801</v>
      </c>
      <c r="F22" s="84">
        <f>Work!H8</f>
        <v>12095.366152033419</v>
      </c>
      <c r="H22" s="9" t="s">
        <v>5</v>
      </c>
      <c r="I22" s="9">
        <f>Work!K8</f>
        <v>1818</v>
      </c>
      <c r="J22" s="9">
        <f>Work!N8</f>
        <v>958</v>
      </c>
      <c r="K22" s="9">
        <f>Work!P8</f>
        <v>398</v>
      </c>
      <c r="L22" s="9">
        <f>Work!Q8</f>
        <v>4402</v>
      </c>
      <c r="M22" s="9"/>
      <c r="N22" s="9" t="s">
        <v>5</v>
      </c>
      <c r="O22" s="11">
        <f si="3" t="shared"/>
        <v>21</v>
      </c>
      <c r="P22" s="11">
        <f si="4" t="shared"/>
        <v>22</v>
      </c>
      <c r="Q22" s="11" t="str">
        <f si="5" t="shared"/>
        <v/>
      </c>
      <c r="R22" s="11">
        <f si="6" t="shared"/>
        <v>20</v>
      </c>
      <c r="T22" s="9"/>
      <c r="AA22">
        <f>WorkCoefficients!B30</f>
        <v>43</v>
      </c>
      <c r="AB22" t="str">
        <f>WorkCoefficients!C30</f>
        <v>sr-carsltw</v>
      </c>
      <c r="AC22" s="56">
        <f>WorkCoefficients!E30</f>
        <v>-0.92193237718599996</v>
      </c>
      <c r="AD22" s="57">
        <f si="0" t="shared"/>
        <v>-0.92193237718599996</v>
      </c>
      <c r="AE22">
        <f si="1" t="shared"/>
        <v>0</v>
      </c>
    </row>
    <row r="23" spans="2:31" x14ac:dyDescent="0.25">
      <c r="B23" s="84" t="s">
        <v>6</v>
      </c>
      <c r="C23" s="84">
        <f>Work!B9</f>
        <v>408.791798115066</v>
      </c>
      <c r="D23" s="84">
        <f>Work!E9</f>
        <v>1181.7097339798418</v>
      </c>
      <c r="E23" s="84">
        <f>Work!G9</f>
        <v>270.56279038685568</v>
      </c>
      <c r="F23" s="84">
        <f>Work!H9</f>
        <v>4895.5473422259902</v>
      </c>
      <c r="H23" s="9" t="s">
        <v>6</v>
      </c>
      <c r="I23" s="9">
        <f>Work!K9</f>
        <v>505</v>
      </c>
      <c r="J23" s="9">
        <f>Work!N9</f>
        <v>2460</v>
      </c>
      <c r="K23" s="9">
        <f>Work!P9</f>
        <v>1526</v>
      </c>
      <c r="L23" s="9">
        <f>Work!Q9</f>
        <v>7815</v>
      </c>
      <c r="M23" s="9"/>
      <c r="N23" s="9" t="s">
        <v>6</v>
      </c>
      <c r="O23" s="11">
        <f si="3" t="shared"/>
        <v>67</v>
      </c>
      <c r="P23" s="11">
        <f si="4" t="shared"/>
        <v>68</v>
      </c>
      <c r="Q23" s="11" t="str">
        <f si="5" t="shared"/>
        <v/>
      </c>
      <c r="R23" s="11">
        <f si="6" t="shared"/>
        <v>60</v>
      </c>
      <c r="T23" s="9"/>
      <c r="AA23" s="29">
        <f>WorkCoefficients!B31</f>
        <v>48</v>
      </c>
      <c r="AB23" s="29" t="str">
        <f>WorkCoefficients!C31</f>
        <v>s2-onephh</v>
      </c>
      <c r="AC23" s="58">
        <f>WorkCoefficients!E31</f>
        <v>-1.7905367731699999</v>
      </c>
      <c r="AD23" s="57">
        <f si="0" t="shared"/>
        <v>-1.7905367731699999</v>
      </c>
      <c r="AE23">
        <f si="1" t="shared"/>
        <v>0</v>
      </c>
    </row>
    <row r="24" spans="2:31" x14ac:dyDescent="0.25">
      <c r="B24" s="84" t="s">
        <v>7</v>
      </c>
      <c r="C24" s="84">
        <f>Work!B10</f>
        <v>451.66348315275809</v>
      </c>
      <c r="D24" s="84">
        <f>Work!E10</f>
        <v>3770.001427635917</v>
      </c>
      <c r="E24" s="84">
        <f>Work!G10</f>
        <v>2628.3902629315885</v>
      </c>
      <c r="F24" s="84">
        <f>Work!H10</f>
        <v>6814.1788054898452</v>
      </c>
      <c r="H24" s="84" t="s">
        <v>7</v>
      </c>
      <c r="I24" s="84">
        <f>Work!K10</f>
        <v>203</v>
      </c>
      <c r="J24" s="84">
        <f>Work!N10</f>
        <v>3613</v>
      </c>
      <c r="K24" s="84">
        <f>Work!P10</f>
        <v>1865</v>
      </c>
      <c r="L24" s="84">
        <f>Work!Q10</f>
        <v>4114</v>
      </c>
      <c r="M24" s="9"/>
      <c r="N24" s="9" t="s">
        <v>7</v>
      </c>
      <c r="O24" s="11">
        <f si="3" t="shared"/>
        <v>77</v>
      </c>
      <c r="P24" s="11">
        <f si="4" t="shared"/>
        <v>78</v>
      </c>
      <c r="Q24" s="11" t="str">
        <f si="5" t="shared"/>
        <v/>
      </c>
      <c r="R24" s="11">
        <f si="6" t="shared"/>
        <v>70</v>
      </c>
      <c r="T24" s="9"/>
      <c r="AA24" s="29">
        <f>WorkCoefficients!B32</f>
        <v>50</v>
      </c>
      <c r="AB24" s="29" t="str">
        <f>WorkCoefficients!C32</f>
        <v>da-const</v>
      </c>
      <c r="AC24" s="58">
        <f>WorkCoefficients!E32</f>
        <v>2.3771221655580002</v>
      </c>
      <c r="AD24" s="57">
        <f si="0" t="shared"/>
        <v>2.3259458640615982</v>
      </c>
      <c r="AE24">
        <f si="1" t="shared"/>
        <v>1</v>
      </c>
    </row>
    <row r="25" spans="2:31" x14ac:dyDescent="0.25">
      <c r="B25" s="84" t="s">
        <v>8</v>
      </c>
      <c r="C25" s="84">
        <v>0</v>
      </c>
      <c r="D25" s="84">
        <v>0</v>
      </c>
      <c r="E25" s="84">
        <v>0</v>
      </c>
      <c r="F25" s="84">
        <v>0</v>
      </c>
      <c r="H25" s="84" t="s">
        <v>8</v>
      </c>
      <c r="I25" s="84">
        <f>Work!K11</f>
        <v>0</v>
      </c>
      <c r="J25" s="84">
        <f>Work!N11</f>
        <v>0</v>
      </c>
      <c r="K25" s="84">
        <f>Work!P11</f>
        <v>0</v>
      </c>
      <c r="L25" s="84">
        <f>Work!Q11</f>
        <v>0</v>
      </c>
      <c r="M25" s="9"/>
      <c r="N25" s="84" t="s">
        <v>8</v>
      </c>
      <c r="O25" s="108" t="str">
        <f si="3" t="shared"/>
        <v/>
      </c>
      <c r="P25" s="108" t="str">
        <f si="4" t="shared"/>
        <v/>
      </c>
      <c r="Q25" s="108" t="str">
        <f si="5" t="shared"/>
        <v/>
      </c>
      <c r="R25" s="108" t="str">
        <f si="6" t="shared"/>
        <v/>
      </c>
      <c r="T25" s="9"/>
      <c r="AA25">
        <f>WorkCoefficients!B33</f>
        <v>53</v>
      </c>
      <c r="AB25" t="str">
        <f>WorkCoefficients!C33</f>
        <v>da-carsltw</v>
      </c>
      <c r="AC25" s="56">
        <f>WorkCoefficients!E33</f>
        <v>-2.5076394762410001</v>
      </c>
      <c r="AD25" s="57">
        <f si="0" t="shared"/>
        <v>-2.7076240434224128</v>
      </c>
      <c r="AE25">
        <f si="1" t="shared"/>
        <v>1</v>
      </c>
    </row>
    <row r="26" spans="2:31" x14ac:dyDescent="0.25">
      <c r="B26" s="105" t="s">
        <v>302</v>
      </c>
      <c r="C26" s="9">
        <f>Work!B12</f>
        <v>0</v>
      </c>
      <c r="D26" s="9">
        <f>Work!E12</f>
        <v>0</v>
      </c>
      <c r="E26" s="9">
        <f>Work!G12</f>
        <v>0</v>
      </c>
      <c r="F26" s="9">
        <f>Work!H12</f>
        <v>0</v>
      </c>
      <c r="H26" s="105" t="s">
        <v>302</v>
      </c>
      <c r="I26" s="9">
        <f>Work!K12</f>
        <v>0</v>
      </c>
      <c r="J26" s="9">
        <f>Work!N12</f>
        <v>0</v>
      </c>
      <c r="K26" s="9">
        <f>Work!P12</f>
        <v>0</v>
      </c>
      <c r="L26" s="9">
        <f>Work!Q12</f>
        <v>0</v>
      </c>
      <c r="M26" s="9"/>
      <c r="N26" s="109" t="s">
        <v>302</v>
      </c>
      <c r="O26" s="7">
        <v>81</v>
      </c>
      <c r="P26" s="7">
        <v>82</v>
      </c>
      <c r="Q26" s="7"/>
      <c r="R26" s="7">
        <v>80</v>
      </c>
      <c r="T26" s="9"/>
      <c r="AA26" s="29">
        <f>WorkCoefficients!B34</f>
        <v>54</v>
      </c>
      <c r="AB26" s="29" t="str">
        <f>WorkCoefficients!C34</f>
        <v>da-incu25</v>
      </c>
      <c r="AC26" s="58">
        <f>WorkCoefficients!E34</f>
        <v>0</v>
      </c>
      <c r="AD26" s="57">
        <f si="0" t="shared"/>
        <v>0</v>
      </c>
      <c r="AE26">
        <f si="1" t="shared"/>
        <v>0</v>
      </c>
    </row>
    <row ht="15.75" r="27" spans="2:31" thickBot="1" x14ac:dyDescent="0.3">
      <c r="B27" s="43" t="s">
        <v>19</v>
      </c>
      <c r="C27" s="43">
        <f>SUM(C18:C26)</f>
        <v>7547.1447450868181</v>
      </c>
      <c r="D27" s="43">
        <f ref="D27:F27" si="7" t="shared">SUM(D18:D26)</f>
        <v>112434.23503325709</v>
      </c>
      <c r="E27" s="43">
        <f si="7" t="shared"/>
        <v>42842.010401268795</v>
      </c>
      <c r="F27" s="43">
        <f si="7" t="shared"/>
        <v>778931.93171381543</v>
      </c>
      <c r="H27" s="43" t="s">
        <v>19</v>
      </c>
      <c r="I27" s="43">
        <f>SUM(I18:I26)</f>
        <v>3727</v>
      </c>
      <c r="J27" s="43">
        <f ref="J27" si="8" t="shared">SUM(J18:J26)</f>
        <v>115288</v>
      </c>
      <c r="K27" s="43">
        <f ref="K27" si="9" t="shared">SUM(K18:K26)</f>
        <v>47146</v>
      </c>
      <c r="L27" s="43">
        <f ref="L27" si="10" t="shared">SUM(L18:L26)</f>
        <v>664824</v>
      </c>
      <c r="AA27">
        <f>WorkCoefficients!B35</f>
        <v>60</v>
      </c>
      <c r="AB27" t="str">
        <f>WorkCoefficients!C35</f>
        <v>bi-const</v>
      </c>
      <c r="AC27" s="56">
        <f>WorkCoefficients!E35</f>
        <v>-2.835622054795</v>
      </c>
      <c r="AD27" s="57">
        <f si="0" t="shared"/>
        <v>-3.4617422513656404</v>
      </c>
      <c r="AE27">
        <f si="1" t="shared"/>
        <v>1</v>
      </c>
    </row>
    <row r="28" spans="2:31" x14ac:dyDescent="0.25">
      <c r="F28" s="9"/>
      <c r="AA28">
        <f>WorkCoefficients!B36</f>
        <v>61</v>
      </c>
      <c r="AB28" t="str">
        <f>WorkCoefficients!C36</f>
        <v>bi-male</v>
      </c>
      <c r="AC28" s="56">
        <f>WorkCoefficients!E36</f>
        <v>-0.71011385941500005</v>
      </c>
      <c r="AD28" s="57">
        <f si="0" t="shared"/>
        <v>-0.71011385941500005</v>
      </c>
      <c r="AE28">
        <f si="1" t="shared"/>
        <v>0</v>
      </c>
    </row>
    <row ht="15.75" r="29" spans="2:31" thickBot="1" x14ac:dyDescent="0.3">
      <c r="B29" s="37" t="s">
        <v>267</v>
      </c>
      <c r="H29" s="37" t="s">
        <v>268</v>
      </c>
      <c r="N29" s="23" t="s">
        <v>257</v>
      </c>
      <c r="T29" s="5" t="s">
        <v>213</v>
      </c>
      <c r="AA29" s="29">
        <f>WorkCoefficients!B37</f>
        <v>63</v>
      </c>
      <c r="AB29" s="29" t="str">
        <f>WorkCoefficients!C37</f>
        <v>bi-ageo50</v>
      </c>
      <c r="AC29" s="58">
        <f>WorkCoefficients!E37</f>
        <v>-0.57171976779</v>
      </c>
      <c r="AD29" s="57">
        <f si="0" t="shared"/>
        <v>-0.57171976779</v>
      </c>
      <c r="AE29">
        <f si="1" t="shared"/>
        <v>0</v>
      </c>
    </row>
    <row r="30" spans="2:31" x14ac:dyDescent="0.25">
      <c r="B30" s="38" t="s">
        <v>0</v>
      </c>
      <c r="C30" s="39" t="s">
        <v>252</v>
      </c>
      <c r="D30" s="39" t="s">
        <v>247</v>
      </c>
      <c r="E30" s="39" t="str">
        <f>E17</f>
        <v>cars &lt; workers</v>
      </c>
      <c r="F30" s="39" t="s">
        <v>19</v>
      </c>
      <c r="H30" s="38" t="s">
        <v>0</v>
      </c>
      <c r="I30" s="39" t="s">
        <v>252</v>
      </c>
      <c r="J30" s="39" t="s">
        <v>247</v>
      </c>
      <c r="K30" s="39" t="s">
        <v>250</v>
      </c>
      <c r="L30" s="39" t="s">
        <v>19</v>
      </c>
      <c r="M30" s="36"/>
      <c r="N30" s="38" t="s">
        <v>0</v>
      </c>
      <c r="O30" s="39" t="s">
        <v>252</v>
      </c>
      <c r="P30" s="39" t="s">
        <v>247</v>
      </c>
      <c r="Q30" s="39" t="s">
        <v>250</v>
      </c>
      <c r="R30" s="39" t="s">
        <v>253</v>
      </c>
      <c r="T30" s="39" t="s">
        <v>59</v>
      </c>
      <c r="U30" s="39" t="s">
        <v>60</v>
      </c>
      <c r="V30" s="39" t="s">
        <v>213</v>
      </c>
      <c r="AA30" s="29">
        <f>WorkCoefficients!B38</f>
        <v>67</v>
      </c>
      <c r="AB30" s="29" t="str">
        <f>WorkCoefficients!C38</f>
        <v>bi-nocars</v>
      </c>
      <c r="AC30" s="58">
        <f>WorkCoefficients!E38</f>
        <v>-2.8960847333520001</v>
      </c>
      <c r="AD30" s="57">
        <f si="0" t="shared"/>
        <v>-3.8130028790356731</v>
      </c>
      <c r="AE30">
        <f si="1" t="shared"/>
        <v>1</v>
      </c>
    </row>
    <row r="31" spans="2:31" x14ac:dyDescent="0.25">
      <c r="B31" s="9" t="s">
        <v>1</v>
      </c>
      <c r="C31" s="35">
        <f ref="C31:C39" si="11" t="shared">$C18/C$27</f>
        <v>0</v>
      </c>
      <c r="D31" s="35">
        <f ref="D31:D39" si="12" t="shared">$D18/D$27</f>
        <v>0.50355323880805558</v>
      </c>
      <c r="E31" s="35">
        <f ref="E31:E39" si="13" t="shared">$E18/E$27</f>
        <v>0.33598244468849298</v>
      </c>
      <c r="F31" s="35">
        <f ref="F31:F39" si="14" t="shared">$F18/F$27</f>
        <v>0.68852418092487577</v>
      </c>
      <c r="H31" s="9" t="s">
        <v>1</v>
      </c>
      <c r="I31" s="26">
        <f ref="I31:I39" si="15" t="shared">$I18/I$27</f>
        <v>0</v>
      </c>
      <c r="J31" s="26">
        <f ref="J31:J39" si="16" t="shared">$J18/J$27</f>
        <v>0.54453195475678307</v>
      </c>
      <c r="K31" s="26">
        <f ref="K31:K39" si="17" t="shared">$K18/K$27</f>
        <v>0.41036355152080772</v>
      </c>
      <c r="L31" s="26">
        <f ref="L31:L39" si="18" t="shared">$L18/L$27</f>
        <v>0.72467750863386404</v>
      </c>
      <c r="M31" s="26"/>
      <c r="N31" s="9" t="s">
        <v>1</v>
      </c>
      <c r="O31" s="40" t="str">
        <f ref="O31:R38" si="19" t="shared">IF(O18="","-",C31/I31)</f>
        <v>-</v>
      </c>
      <c r="P31" s="40" t="str">
        <f si="19" t="shared"/>
        <v>-</v>
      </c>
      <c r="Q31" s="40">
        <f si="19" t="shared"/>
        <v>0.8187433884986659</v>
      </c>
      <c r="R31" s="40">
        <f si="19" t="shared"/>
        <v>0.95011114974832978</v>
      </c>
      <c r="T31">
        <v>10</v>
      </c>
      <c r="U31" t="str">
        <f>VLOOKUP(T31,$AA$3:$AB$48,2,FALSE)</f>
        <v>dt-const</v>
      </c>
      <c r="V31" s="30">
        <f>R85</f>
        <v>-3.1046584733920732</v>
      </c>
      <c r="AA31" s="29">
        <f>WorkCoefficients!B39</f>
        <v>68</v>
      </c>
      <c r="AB31" s="29" t="str">
        <f>WorkCoefficients!C39</f>
        <v>bi-carsltd</v>
      </c>
      <c r="AC31" s="58">
        <f>WorkCoefficients!E39</f>
        <v>0.91435696055000004</v>
      </c>
      <c r="AD31" s="57">
        <f si="0" t="shared"/>
        <v>0.20622279980862346</v>
      </c>
      <c r="AE31">
        <f si="1" t="shared"/>
        <v>1</v>
      </c>
    </row>
    <row r="32" spans="2:31" x14ac:dyDescent="0.25">
      <c r="B32" s="9" t="s">
        <v>2</v>
      </c>
      <c r="C32" s="35">
        <f si="11" t="shared"/>
        <v>6.4694252874847868E-2</v>
      </c>
      <c r="D32" s="35">
        <f si="12" t="shared"/>
        <v>0.31458714178710784</v>
      </c>
      <c r="E32" s="35">
        <f si="13" t="shared"/>
        <v>0.44578969599688795</v>
      </c>
      <c r="F32" s="35">
        <f si="14" t="shared"/>
        <v>0.19484943845354169</v>
      </c>
      <c r="H32" s="9" t="s">
        <v>2</v>
      </c>
      <c r="I32" s="26">
        <f si="15" t="shared"/>
        <v>0.17628119130668099</v>
      </c>
      <c r="J32" s="26">
        <f si="16" t="shared"/>
        <v>0.29164353618763444</v>
      </c>
      <c r="K32" s="26">
        <f si="17" t="shared"/>
        <v>0.37625673439952489</v>
      </c>
      <c r="L32" s="26">
        <f si="18" t="shared"/>
        <v>0.17745298003682178</v>
      </c>
      <c r="M32" s="26"/>
      <c r="N32" s="9" t="s">
        <v>2</v>
      </c>
      <c r="O32" s="59">
        <f>IF(O19="","-",(C32+C33)/(I32+I33))</f>
        <v>0.2366197060496153</v>
      </c>
      <c r="P32" s="60">
        <f>IF(P19="","-",(D32+D33)/(J32+J33))</f>
        <v>1.0504221432348424</v>
      </c>
      <c r="Q32" s="41" t="str">
        <f si="19" t="shared"/>
        <v>-</v>
      </c>
      <c r="R32" s="41">
        <f si="19" t="shared"/>
        <v>1.0980341858057843</v>
      </c>
      <c r="T32">
        <v>11</v>
      </c>
      <c r="U32" t="str">
        <f ref="U32:U53" si="20" t="shared">VLOOKUP(T32,$AA$3:$AB$48,2,FALSE)</f>
        <v>dt-nocars</v>
      </c>
      <c r="V32" s="30">
        <f>O85</f>
        <v>-1.4343442781511702</v>
      </c>
      <c r="AA32">
        <f>WorkCoefficients!B40</f>
        <v>70</v>
      </c>
      <c r="AB32" t="str">
        <f>WorkCoefficients!C40</f>
        <v>wk-const</v>
      </c>
      <c r="AC32" s="56">
        <f>WorkCoefficients!E40</f>
        <v>-0.68937617037800003</v>
      </c>
      <c r="AD32" s="57">
        <f si="0" t="shared"/>
        <v>-0.34316772083701158</v>
      </c>
      <c r="AE32">
        <f si="1" t="shared"/>
        <v>1</v>
      </c>
    </row>
    <row r="33" spans="2:31" x14ac:dyDescent="0.25">
      <c r="B33" s="9" t="s">
        <v>3</v>
      </c>
      <c r="C33" s="35">
        <f si="11" t="shared"/>
        <v>0</v>
      </c>
      <c r="D33" s="35">
        <f si="12" t="shared"/>
        <v>9.3106540306312602E-2</v>
      </c>
      <c r="E33" s="35">
        <f si="13" t="shared"/>
        <v>8.9947961895807532E-2</v>
      </c>
      <c r="F33" s="35">
        <f si="14" t="shared"/>
        <v>7.2528140614395525E-2</v>
      </c>
      <c r="H33" s="9" t="s">
        <v>3</v>
      </c>
      <c r="I33" s="26">
        <f si="15" t="shared"/>
        <v>9.7129058223772477E-2</v>
      </c>
      <c r="J33" s="26">
        <f si="16" t="shared"/>
        <v>9.6480119353271804E-2</v>
      </c>
      <c r="K33" s="26">
        <f si="17" t="shared"/>
        <v>0.12208883044160693</v>
      </c>
      <c r="L33" s="26">
        <f si="18" t="shared"/>
        <v>6.8637714643274006E-2</v>
      </c>
      <c r="M33" s="26"/>
      <c r="N33" s="9" t="s">
        <v>3</v>
      </c>
      <c r="O33" s="41">
        <f si="19" t="shared"/>
        <v>0</v>
      </c>
      <c r="P33" s="41">
        <f si="19" t="shared"/>
        <v>0.96503342792719293</v>
      </c>
      <c r="Q33" s="41" t="str">
        <f si="19" t="shared"/>
        <v>-</v>
      </c>
      <c r="R33" s="41">
        <f si="19" t="shared"/>
        <v>1.0566805872156577</v>
      </c>
      <c r="T33">
        <v>13</v>
      </c>
      <c r="U33" t="str">
        <f si="20" t="shared"/>
        <v>dt-carsltw</v>
      </c>
      <c r="V33" s="30">
        <f>Q85</f>
        <v>-1.1816910713507742</v>
      </c>
      <c r="AA33" s="29">
        <f>WorkCoefficients!B41</f>
        <v>71</v>
      </c>
      <c r="AB33" s="29" t="str">
        <f>WorkCoefficients!C41</f>
        <v>wk-male</v>
      </c>
      <c r="AC33" s="58">
        <f>WorkCoefficients!E41</f>
        <v>-1.0362972676</v>
      </c>
      <c r="AD33" s="57">
        <f si="0" t="shared"/>
        <v>-1.0362972676</v>
      </c>
      <c r="AE33">
        <f si="1" t="shared"/>
        <v>0</v>
      </c>
    </row>
    <row r="34" spans="2:31" x14ac:dyDescent="0.25">
      <c r="B34" s="9" t="s">
        <v>4</v>
      </c>
      <c r="C34" s="81">
        <f si="11" t="shared"/>
        <v>5.3288877187415616E-2</v>
      </c>
      <c r="D34" s="81">
        <f si="12" t="shared"/>
        <v>1.7929560044859894E-2</v>
      </c>
      <c r="E34" s="81">
        <f si="13" t="shared"/>
        <v>3.0790873259944705E-2</v>
      </c>
      <c r="F34" s="81">
        <f si="14" t="shared"/>
        <v>1.3537042897995418E-2</v>
      </c>
      <c r="H34" s="9" t="s">
        <v>4</v>
      </c>
      <c r="I34" s="13">
        <f si="15" t="shared"/>
        <v>4.8832841427421517E-2</v>
      </c>
      <c r="J34" s="13">
        <f si="16" t="shared"/>
        <v>6.3579904239816805E-3</v>
      </c>
      <c r="K34" s="13">
        <f si="17" t="shared"/>
        <v>1.0923514189963093E-2</v>
      </c>
      <c r="L34" s="13">
        <f si="18" t="shared"/>
        <v>4.6674006955224239E-3</v>
      </c>
      <c r="M34" s="26"/>
      <c r="N34" s="9" t="s">
        <v>4</v>
      </c>
      <c r="O34" s="41">
        <f>IFERROR(IF(O21="","-",C34/I34),1)</f>
        <v>1.0912507982280111</v>
      </c>
      <c r="P34" s="41" t="str">
        <f si="19" t="shared"/>
        <v>-</v>
      </c>
      <c r="Q34" s="41">
        <f>IFERROR(IF(Q21="","-",E34/K34),1)</f>
        <v>2.8187699237152488</v>
      </c>
      <c r="R34" s="41">
        <f>IFERROR(IF(R21="","-",F34/L34),1)</f>
        <v>2.9003387069342268</v>
      </c>
      <c r="T34">
        <v>20</v>
      </c>
      <c r="U34" t="str">
        <f si="20" t="shared"/>
        <v>wt-const</v>
      </c>
      <c r="V34" s="30">
        <f>R86</f>
        <v>-2.8705072474026911</v>
      </c>
      <c r="AA34" s="29">
        <f>WorkCoefficients!B42</f>
        <v>77</v>
      </c>
      <c r="AB34" s="29" t="str">
        <f>WorkCoefficients!C42</f>
        <v>wk-nocars</v>
      </c>
      <c r="AC34" s="58">
        <f>WorkCoefficients!E42</f>
        <v>-2.1963904726400001</v>
      </c>
      <c r="AD34" s="57">
        <f si="0" t="shared"/>
        <v>-2.1022247472084397</v>
      </c>
      <c r="AE34">
        <f si="1" t="shared"/>
        <v>1</v>
      </c>
    </row>
    <row r="35" spans="2:31" x14ac:dyDescent="0.25">
      <c r="B35" s="9" t="s">
        <v>5</v>
      </c>
      <c r="C35" s="81">
        <f si="11" t="shared"/>
        <v>0.76800616650873721</v>
      </c>
      <c r="D35" s="81">
        <f si="12" t="shared"/>
        <v>2.6782563377209485E-2</v>
      </c>
      <c r="E35" s="81">
        <f si="13" t="shared"/>
        <v>2.9822893971087804E-2</v>
      </c>
      <c r="F35" s="81">
        <f si="14" t="shared"/>
        <v>1.5528142652235411E-2</v>
      </c>
      <c r="H35" s="9" t="s">
        <v>5</v>
      </c>
      <c r="I35" s="13">
        <f si="15" t="shared"/>
        <v>0.48779178964314462</v>
      </c>
      <c r="J35" s="13">
        <f si="16" t="shared"/>
        <v>8.3096245923253067E-3</v>
      </c>
      <c r="K35" s="13">
        <f si="17" t="shared"/>
        <v>8.4418614516607992E-3</v>
      </c>
      <c r="L35" s="13">
        <f si="18" t="shared"/>
        <v>6.621301276728879E-3</v>
      </c>
      <c r="M35" s="26"/>
      <c r="N35" s="9" t="s">
        <v>5</v>
      </c>
      <c r="O35" s="41">
        <f si="19" t="shared"/>
        <v>1.5744548859065257</v>
      </c>
      <c r="P35" s="41">
        <f si="19" t="shared"/>
        <v>3.2230774181959574</v>
      </c>
      <c r="Q35" s="41" t="str">
        <f si="19" t="shared"/>
        <v>-</v>
      </c>
      <c r="R35" s="41">
        <f si="19" t="shared"/>
        <v>2.3451798979168004</v>
      </c>
      <c r="T35">
        <v>21</v>
      </c>
      <c r="U35" t="str">
        <f si="20" t="shared"/>
        <v>wt-nocars</v>
      </c>
      <c r="V35" s="30">
        <f>O86</f>
        <v>0.95007784233738635</v>
      </c>
      <c r="AA35">
        <f>WorkCoefficients!B43</f>
        <v>78</v>
      </c>
      <c r="AB35" t="str">
        <f>WorkCoefficients!C43</f>
        <v>wk-carsltd</v>
      </c>
      <c r="AC35" s="56">
        <f>WorkCoefficients!E43</f>
        <v>0.74411496046699999</v>
      </c>
      <c r="AD35" s="57">
        <f si="0" t="shared"/>
        <v>0.81171676075039145</v>
      </c>
      <c r="AE35">
        <f si="1" t="shared"/>
        <v>1</v>
      </c>
    </row>
    <row r="36" spans="2:31" x14ac:dyDescent="0.25">
      <c r="B36" s="9" t="s">
        <v>6</v>
      </c>
      <c r="C36" s="81">
        <f si="11" t="shared"/>
        <v>5.4165093147469971E-2</v>
      </c>
      <c r="D36" s="81">
        <f si="12" t="shared"/>
        <v>1.0510230568387841E-2</v>
      </c>
      <c r="E36" s="81">
        <f si="13" t="shared"/>
        <v>6.3153616707689042E-3</v>
      </c>
      <c r="F36" s="81">
        <f si="14" t="shared"/>
        <v>6.2849488420056781E-3</v>
      </c>
      <c r="H36" s="9" t="s">
        <v>6</v>
      </c>
      <c r="I36" s="13">
        <f si="15" t="shared"/>
        <v>0.13549771934531796</v>
      </c>
      <c r="J36" s="13">
        <f si="16" t="shared"/>
        <v>2.1337866907223647E-2</v>
      </c>
      <c r="K36" s="13">
        <f si="17" t="shared"/>
        <v>3.2367539133754716E-2</v>
      </c>
      <c r="L36" s="13">
        <f si="18" t="shared"/>
        <v>1.1754990794556153E-2</v>
      </c>
      <c r="M36" s="26"/>
      <c r="N36" s="9" t="s">
        <v>6</v>
      </c>
      <c r="O36" s="41">
        <f si="19" t="shared"/>
        <v>0.39974911318934769</v>
      </c>
      <c r="P36" s="41">
        <f si="19" t="shared"/>
        <v>0.49256238283264125</v>
      </c>
      <c r="Q36" s="41" t="str">
        <f si="19" t="shared"/>
        <v>-</v>
      </c>
      <c r="R36" s="41">
        <f>IF(R23="","-",F36/L36)</f>
        <v>0.53466216621082319</v>
      </c>
      <c r="T36">
        <v>22</v>
      </c>
      <c r="U36" t="str">
        <f si="20" t="shared"/>
        <v>wt-carsltd</v>
      </c>
      <c r="V36" s="30">
        <f>P86</f>
        <v>0.53854207494442752</v>
      </c>
      <c r="AA36" s="29">
        <f>WorkCoefficients!B44</f>
        <v>80</v>
      </c>
      <c r="AB36" s="29" t="str">
        <f>WorkCoefficients!C44</f>
        <v>tnc-const</v>
      </c>
      <c r="AC36" s="58">
        <f>WorkCoefficients!E44</f>
        <v>-6.0327691247040001</v>
      </c>
      <c r="AD36" s="57">
        <f si="0" t="shared"/>
        <v>-6.0327691247040001</v>
      </c>
      <c r="AE36">
        <f si="1" t="shared"/>
        <v>0</v>
      </c>
    </row>
    <row r="37" spans="2:31" x14ac:dyDescent="0.25">
      <c r="B37" s="84" t="s">
        <v>7</v>
      </c>
      <c r="C37" s="106">
        <f si="11" t="shared"/>
        <v>5.9845610281529377E-2</v>
      </c>
      <c r="D37" s="106">
        <f si="12" t="shared"/>
        <v>3.3530725108066796E-2</v>
      </c>
      <c r="E37" s="106">
        <f si="13" t="shared"/>
        <v>6.1350768517010282E-2</v>
      </c>
      <c r="F37" s="106">
        <f si="14" t="shared"/>
        <v>8.7481056149504698E-3</v>
      </c>
      <c r="H37" s="84" t="s">
        <v>7</v>
      </c>
      <c r="I37" s="107">
        <f si="15" t="shared"/>
        <v>5.4467400053662463E-2</v>
      </c>
      <c r="J37" s="107">
        <f si="16" t="shared"/>
        <v>3.1338907778780095E-2</v>
      </c>
      <c r="K37" s="107">
        <f si="17" t="shared"/>
        <v>3.9557968862681883E-2</v>
      </c>
      <c r="L37" s="107">
        <f si="18" t="shared"/>
        <v>6.1881039192327597E-3</v>
      </c>
      <c r="M37" s="26"/>
      <c r="N37" s="9" t="s">
        <v>7</v>
      </c>
      <c r="O37" s="41">
        <f si="19" t="shared"/>
        <v>1.098741820291921</v>
      </c>
      <c r="P37" s="41">
        <f si="19" t="shared"/>
        <v>1.0699391741651827</v>
      </c>
      <c r="Q37" s="41" t="str">
        <f si="19" t="shared"/>
        <v>-</v>
      </c>
      <c r="R37" s="41">
        <f>IF(R24="","-",F37/L37)</f>
        <v>1.4136972696533376</v>
      </c>
      <c r="T37">
        <v>30</v>
      </c>
      <c r="U37" t="str">
        <f si="20" t="shared"/>
        <v>s3-const</v>
      </c>
      <c r="V37" s="30">
        <f>R84</f>
        <v>0.54844986540243013</v>
      </c>
      <c r="AA37" s="29">
        <f>WorkCoefficients!B45</f>
        <v>81</v>
      </c>
      <c r="AB37" s="29" t="str">
        <f>WorkCoefficients!C45</f>
        <v>tnc-nocars</v>
      </c>
      <c r="AC37" s="58">
        <f>WorkCoefficients!E45</f>
        <v>0.54246090563500005</v>
      </c>
      <c r="AD37" s="57">
        <f si="0" t="shared"/>
        <v>0.54246090563500005</v>
      </c>
      <c r="AE37">
        <f si="1" t="shared"/>
        <v>0</v>
      </c>
    </row>
    <row r="38" spans="2:31" x14ac:dyDescent="0.25">
      <c r="B38" s="84" t="s">
        <v>8</v>
      </c>
      <c r="C38" s="106">
        <f si="11" t="shared"/>
        <v>0</v>
      </c>
      <c r="D38" s="106">
        <f si="12" t="shared"/>
        <v>0</v>
      </c>
      <c r="E38" s="106">
        <f si="13" t="shared"/>
        <v>0</v>
      </c>
      <c r="F38" s="106">
        <f si="14" t="shared"/>
        <v>0</v>
      </c>
      <c r="H38" s="84" t="s">
        <v>8</v>
      </c>
      <c r="I38" s="107">
        <f si="15" t="shared"/>
        <v>0</v>
      </c>
      <c r="J38" s="107">
        <f si="16" t="shared"/>
        <v>0</v>
      </c>
      <c r="K38" s="107">
        <f si="17" t="shared"/>
        <v>0</v>
      </c>
      <c r="L38" s="107">
        <f si="18" t="shared"/>
        <v>0</v>
      </c>
      <c r="M38" s="26"/>
      <c r="N38" s="84" t="s">
        <v>8</v>
      </c>
      <c r="O38" s="110" t="str">
        <f si="19" t="shared"/>
        <v>-</v>
      </c>
      <c r="P38" s="110" t="str">
        <f si="19" t="shared"/>
        <v>-</v>
      </c>
      <c r="Q38" s="110" t="str">
        <f si="19" t="shared"/>
        <v>-</v>
      </c>
      <c r="R38" s="110" t="str">
        <f si="19" t="shared"/>
        <v>-</v>
      </c>
      <c r="T38">
        <v>36</v>
      </c>
      <c r="U38" t="str">
        <f si="20" t="shared"/>
        <v>sr-nocars</v>
      </c>
      <c r="V38" s="30">
        <f>O84</f>
        <v>1.7770703001112294</v>
      </c>
      <c r="AA38" s="29">
        <f>WorkCoefficients!B46</f>
        <v>82</v>
      </c>
      <c r="AB38" s="29" t="str">
        <f>WorkCoefficients!C46</f>
        <v>tnc-carltd</v>
      </c>
      <c r="AC38" s="58">
        <f>WorkCoefficients!E46</f>
        <v>4.0887863357249996</v>
      </c>
      <c r="AD38" s="57">
        <f si="0" t="shared"/>
        <v>4.0887863357249996</v>
      </c>
      <c r="AE38">
        <f si="1" t="shared"/>
        <v>0</v>
      </c>
    </row>
    <row r="39" spans="2:31" x14ac:dyDescent="0.25">
      <c r="B39" s="105" t="s">
        <v>302</v>
      </c>
      <c r="C39" s="35">
        <f si="11" t="shared"/>
        <v>0</v>
      </c>
      <c r="D39" s="35">
        <f si="12" t="shared"/>
        <v>0</v>
      </c>
      <c r="E39" s="35">
        <f si="13" t="shared"/>
        <v>0</v>
      </c>
      <c r="F39" s="35">
        <f si="14" t="shared"/>
        <v>0</v>
      </c>
      <c r="H39" s="105" t="s">
        <v>302</v>
      </c>
      <c r="I39" s="26">
        <f si="15" t="shared"/>
        <v>0</v>
      </c>
      <c r="J39" s="26">
        <f si="16" t="shared"/>
        <v>0</v>
      </c>
      <c r="K39" s="26">
        <f si="17" t="shared"/>
        <v>0</v>
      </c>
      <c r="L39" s="26">
        <f si="18" t="shared"/>
        <v>0</v>
      </c>
      <c r="M39" s="26"/>
      <c r="N39" s="109" t="s">
        <v>302</v>
      </c>
      <c r="O39" s="42">
        <f>IFERROR(IF(O26="","-",C39/I39),1)</f>
        <v>1</v>
      </c>
      <c r="P39" s="42">
        <f ref="P39:R39" si="21" t="shared">IFERROR(IF(P26="","-",D39/J39),1)</f>
        <v>1</v>
      </c>
      <c r="Q39" s="42" t="str">
        <f si="21" t="shared"/>
        <v>-</v>
      </c>
      <c r="R39" s="42">
        <f si="21" t="shared"/>
        <v>1</v>
      </c>
      <c r="T39">
        <v>37</v>
      </c>
      <c r="U39" t="str">
        <f si="20" t="shared"/>
        <v>sr-carsltd</v>
      </c>
      <c r="V39" s="30">
        <f>P84</f>
        <v>-0.10941002432262761</v>
      </c>
      <c r="AA39">
        <f>WorkCoefficients!B47</f>
        <v>83</v>
      </c>
      <c r="AB39" t="str">
        <f>WorkCoefficients!C47</f>
        <v>tnc-und35</v>
      </c>
      <c r="AC39" s="56">
        <f>WorkCoefficients!E47</f>
        <v>0.77710732458999998</v>
      </c>
      <c r="AD39" s="57">
        <f si="0" t="shared"/>
        <v>0.77710732458999998</v>
      </c>
      <c r="AE39">
        <f si="1" t="shared"/>
        <v>0</v>
      </c>
    </row>
    <row ht="15.75" r="40" spans="2:31" thickBot="1" x14ac:dyDescent="0.3">
      <c r="B40" s="43" t="s">
        <v>19</v>
      </c>
      <c r="C40" s="44">
        <f>SUM(C31:C39)</f>
        <v>1</v>
      </c>
      <c r="D40" s="44">
        <f ref="D40:F40" si="22" t="shared">SUM(D31:D39)</f>
        <v>1.0000000000000002</v>
      </c>
      <c r="E40" s="44">
        <f si="22" t="shared"/>
        <v>1.0000000000000002</v>
      </c>
      <c r="F40" s="44">
        <f si="22" t="shared"/>
        <v>0.99999999999999989</v>
      </c>
      <c r="H40" s="43" t="s">
        <v>19</v>
      </c>
      <c r="I40" s="44">
        <f>SUM(I31:I39)</f>
        <v>1</v>
      </c>
      <c r="J40" s="44">
        <f ref="J40" si="23" t="shared">SUM(J31:J39)</f>
        <v>1</v>
      </c>
      <c r="K40" s="44">
        <f ref="K40" si="24" t="shared">SUM(K31:K39)</f>
        <v>1</v>
      </c>
      <c r="L40" s="44">
        <f ref="L40" si="25" t="shared">SUM(L31:L39)</f>
        <v>0.99999999999999989</v>
      </c>
      <c r="N40" s="9" t="s">
        <v>272</v>
      </c>
      <c r="T40">
        <v>40</v>
      </c>
      <c r="U40" t="str">
        <f si="20" t="shared"/>
        <v>s2-const</v>
      </c>
      <c r="V40" s="30">
        <f>R83</f>
        <v>0.34686179476631374</v>
      </c>
      <c r="AA40">
        <f>WorkCoefficients!B48</f>
        <v>84</v>
      </c>
      <c r="AB40" t="str">
        <f>WorkCoefficients!C48</f>
        <v>tnc-a65up</v>
      </c>
      <c r="AC40" s="56">
        <f>WorkCoefficients!E48</f>
        <v>0</v>
      </c>
      <c r="AD40" s="57">
        <f si="0" t="shared"/>
        <v>0</v>
      </c>
      <c r="AE40">
        <f si="1" t="shared"/>
        <v>0</v>
      </c>
    </row>
    <row r="41" spans="2:31" x14ac:dyDescent="0.25">
      <c r="T41">
        <v>41</v>
      </c>
      <c r="U41" t="str">
        <f si="20" t="shared"/>
        <v>sr-nocars</v>
      </c>
      <c r="V41" s="30">
        <f>O83</f>
        <v>-4.2286803863202298</v>
      </c>
      <c r="AA41">
        <f>WorkCoefficients!B49</f>
        <v>85</v>
      </c>
      <c r="AB41" t="str">
        <f>WorkCoefficients!C49</f>
        <v>tnc-odens</v>
      </c>
      <c r="AC41" s="56">
        <f>WorkCoefficients!E49</f>
        <v>3.6091864000000001E-5</v>
      </c>
      <c r="AD41" s="57">
        <f si="0" t="shared"/>
        <v>3.6091864000000001E-5</v>
      </c>
      <c r="AE41">
        <f si="1" t="shared"/>
        <v>0</v>
      </c>
    </row>
    <row ht="15.75" r="42" spans="2:31" thickBot="1" x14ac:dyDescent="0.3">
      <c r="N42" s="23" t="s">
        <v>269</v>
      </c>
      <c r="T42">
        <v>42</v>
      </c>
      <c r="U42" t="str">
        <f si="20" t="shared"/>
        <v>sr-carsltd</v>
      </c>
      <c r="V42" s="30">
        <f>P83</f>
        <v>-0.35011356624042622</v>
      </c>
      <c r="AA42">
        <f>WorkCoefficients!B50</f>
        <v>86</v>
      </c>
      <c r="AB42" t="str">
        <f>WorkCoefficients!C50</f>
        <v>tnc-ddens</v>
      </c>
      <c r="AC42" s="56">
        <f>WorkCoefficients!E50</f>
        <v>3.2451793000000001E-5</v>
      </c>
      <c r="AD42" s="57">
        <f si="0" t="shared"/>
        <v>3.2451793000000001E-5</v>
      </c>
      <c r="AE42">
        <f si="1" t="shared"/>
        <v>0</v>
      </c>
    </row>
    <row r="43" spans="2:31" x14ac:dyDescent="0.25">
      <c r="N43" s="38" t="s">
        <v>0</v>
      </c>
      <c r="O43" s="39" t="s">
        <v>252</v>
      </c>
      <c r="P43" s="39" t="s">
        <v>247</v>
      </c>
      <c r="Q43" s="39" t="s">
        <v>250</v>
      </c>
      <c r="R43" s="39" t="s">
        <v>253</v>
      </c>
      <c r="T43">
        <v>50</v>
      </c>
      <c r="U43" t="str">
        <f si="20" t="shared"/>
        <v>da-const</v>
      </c>
      <c r="V43" s="30">
        <f>R82</f>
        <v>2.3259458640615982</v>
      </c>
      <c r="AA43">
        <f>WorkCoefficients!B51</f>
        <v>87</v>
      </c>
      <c r="AB43" t="str">
        <f>WorkCoefficients!C51</f>
        <v>tnc-incu25</v>
      </c>
      <c r="AC43" s="56">
        <f>WorkCoefficients!E51</f>
        <v>2.4408076145500002</v>
      </c>
      <c r="AD43" s="57">
        <f si="0" t="shared"/>
        <v>2.4408076145500002</v>
      </c>
      <c r="AE43">
        <f si="1" t="shared"/>
        <v>0</v>
      </c>
    </row>
    <row r="44" spans="2:31" x14ac:dyDescent="0.25">
      <c r="E44" s="5"/>
      <c r="N44" s="9" t="s">
        <v>1</v>
      </c>
      <c r="O44" s="51" t="str">
        <f ref="O44:R52" si="26" t="shared">IF(O18="","-",IF(O31&gt;0,LN(O31),0))</f>
        <v>-</v>
      </c>
      <c r="P44" s="51" t="str">
        <f si="26" t="shared"/>
        <v>-</v>
      </c>
      <c r="Q44" s="51">
        <f si="26" t="shared"/>
        <v>-0.19998456718141255</v>
      </c>
      <c r="R44" s="51">
        <f si="26" t="shared"/>
        <v>-5.1176301496401747E-2</v>
      </c>
      <c r="T44">
        <v>53</v>
      </c>
      <c r="U44" t="str">
        <f si="20" t="shared"/>
        <v>da-carsltw</v>
      </c>
      <c r="V44" s="30">
        <f>Q82</f>
        <v>-2.7076240434224128</v>
      </c>
      <c r="AA44">
        <f>WorkCoefficients!B52</f>
        <v>88</v>
      </c>
      <c r="AB44" t="str">
        <f>WorkCoefficients!C52</f>
        <v>tnc-inc100</v>
      </c>
      <c r="AC44" s="56">
        <f>WorkCoefficients!E52</f>
        <v>0</v>
      </c>
      <c r="AD44" s="57">
        <f si="0" t="shared"/>
        <v>0</v>
      </c>
      <c r="AE44">
        <f si="1" t="shared"/>
        <v>0</v>
      </c>
    </row>
    <row r="45" spans="2:31" x14ac:dyDescent="0.25">
      <c r="B45" s="23"/>
      <c r="N45" s="9" t="s">
        <v>2</v>
      </c>
      <c r="O45" s="52">
        <f si="26" t="shared"/>
        <v>-1.4413010424462294</v>
      </c>
      <c r="P45" s="52">
        <f si="26" t="shared"/>
        <v>4.9192124548573829E-2</v>
      </c>
      <c r="Q45" s="52" t="str">
        <f si="26" t="shared"/>
        <v>-</v>
      </c>
      <c r="R45" s="52">
        <f si="26" t="shared"/>
        <v>9.3521477216313736E-2</v>
      </c>
      <c r="T45">
        <v>60</v>
      </c>
      <c r="U45" t="str">
        <f si="20" t="shared"/>
        <v>bi-const</v>
      </c>
      <c r="V45" s="30">
        <f>R87</f>
        <v>-3.4617422513656404</v>
      </c>
      <c r="AA45">
        <f>WorkCoefficients!B53</f>
        <v>100</v>
      </c>
      <c r="AB45" t="str">
        <f>WorkCoefficients!C53</f>
        <v>ex-hhidx</v>
      </c>
      <c r="AC45" s="56">
        <f>WorkCoefficients!E53</f>
        <v>0</v>
      </c>
      <c r="AD45" s="57">
        <f si="0" t="shared"/>
        <v>0</v>
      </c>
      <c r="AE45">
        <f si="1" t="shared"/>
        <v>0</v>
      </c>
    </row>
    <row r="46" spans="2:31" x14ac:dyDescent="0.25">
      <c r="C46" s="11"/>
      <c r="D46" s="11"/>
      <c r="E46" s="11"/>
      <c r="N46" s="9" t="s">
        <v>3</v>
      </c>
      <c r="O46" s="52">
        <f si="26" t="shared"/>
        <v>0</v>
      </c>
      <c r="P46" s="52">
        <f si="26" t="shared"/>
        <v>-3.5592537904053784E-2</v>
      </c>
      <c r="Q46" s="52" t="str">
        <f si="26" t="shared"/>
        <v>-</v>
      </c>
      <c r="R46" s="52">
        <f si="26" t="shared"/>
        <v>5.513247315543008E-2</v>
      </c>
      <c r="T46">
        <v>67</v>
      </c>
      <c r="U46" t="str">
        <f si="20" t="shared"/>
        <v>bi-nocars</v>
      </c>
      <c r="V46" s="30">
        <f>O87</f>
        <v>-3.8130028790356731</v>
      </c>
      <c r="AA46">
        <f>WorkCoefficients!B54</f>
        <v>124</v>
      </c>
      <c r="AB46" t="str">
        <f>WorkCoefficients!C54</f>
        <v>tr-omixed</v>
      </c>
      <c r="AC46" s="56">
        <f>WorkCoefficients!E54</f>
        <v>0.56516994677099996</v>
      </c>
      <c r="AD46" s="57">
        <f si="0" t="shared"/>
        <v>0.56516994677099996</v>
      </c>
      <c r="AE46">
        <f si="1" t="shared"/>
        <v>0</v>
      </c>
    </row>
    <row r="47" spans="2:31" x14ac:dyDescent="0.25">
      <c r="B47" s="9"/>
      <c r="C47" s="11"/>
      <c r="D47" s="11"/>
      <c r="E47" s="11"/>
      <c r="N47" s="9" t="s">
        <v>4</v>
      </c>
      <c r="O47" s="52">
        <f si="26" t="shared"/>
        <v>8.7324559651829892E-2</v>
      </c>
      <c r="P47" s="52" t="str">
        <f si="26" t="shared"/>
        <v>-</v>
      </c>
      <c r="Q47" s="52">
        <f si="26" t="shared"/>
        <v>1.0363005925242257</v>
      </c>
      <c r="R47" s="52">
        <f si="26" t="shared"/>
        <v>1.0648275256669266</v>
      </c>
      <c r="T47">
        <v>68</v>
      </c>
      <c r="U47" t="str">
        <f si="20" t="shared"/>
        <v>bi-carsltd</v>
      </c>
      <c r="V47" s="30">
        <f>P87</f>
        <v>0.20622279980862346</v>
      </c>
      <c r="AA47">
        <f>WorkCoefficients!B55</f>
        <v>127</v>
      </c>
      <c r="AB47" t="str">
        <f>WorkCoefficients!C55</f>
        <v>tr-dintdn</v>
      </c>
      <c r="AC47" s="56">
        <f>WorkCoefficients!E55</f>
        <v>0</v>
      </c>
      <c r="AD47" s="57">
        <f si="0" t="shared"/>
        <v>0</v>
      </c>
      <c r="AE47">
        <f si="1" t="shared"/>
        <v>0</v>
      </c>
    </row>
    <row r="48" spans="2:31" x14ac:dyDescent="0.25">
      <c r="B48" s="9"/>
      <c r="C48" s="11"/>
      <c r="D48" s="11"/>
      <c r="E48" s="11"/>
      <c r="N48" s="9" t="s">
        <v>5</v>
      </c>
      <c r="O48" s="52">
        <f si="26" t="shared"/>
        <v>0.45390910818338631</v>
      </c>
      <c r="P48" s="52">
        <f si="26" t="shared"/>
        <v>1.1703366230834276</v>
      </c>
      <c r="Q48" s="52" t="str">
        <f si="26" t="shared"/>
        <v>-</v>
      </c>
      <c r="R48" s="52">
        <f si="26" t="shared"/>
        <v>0.8523621144853093</v>
      </c>
      <c r="T48">
        <v>70</v>
      </c>
      <c r="U48" t="str">
        <f si="20" t="shared"/>
        <v>wk-const</v>
      </c>
      <c r="V48" s="30">
        <f>R88</f>
        <v>-0.34316772083701158</v>
      </c>
      <c r="AA48">
        <f>WorkCoefficients!B56</f>
        <v>128</v>
      </c>
      <c r="AB48" t="str">
        <f>WorkCoefficients!C56</f>
        <v>tr-dempdn</v>
      </c>
      <c r="AC48" s="56">
        <f>WorkCoefficients!E56</f>
        <v>1.8686399999999999E-4</v>
      </c>
      <c r="AD48" s="57">
        <f si="0" t="shared"/>
        <v>1.8686399999999999E-4</v>
      </c>
      <c r="AE48">
        <f si="1" t="shared"/>
        <v>0</v>
      </c>
    </row>
    <row r="49" spans="2:31" x14ac:dyDescent="0.25">
      <c r="B49" s="9"/>
      <c r="C49" s="11"/>
      <c r="D49" s="11"/>
      <c r="E49" s="11"/>
      <c r="N49" s="9" t="s">
        <v>6</v>
      </c>
      <c r="O49" s="52">
        <f si="26" t="shared"/>
        <v>-0.91691814568367314</v>
      </c>
      <c r="P49" s="52">
        <f si="26" t="shared"/>
        <v>-0.70813416074137658</v>
      </c>
      <c r="Q49" s="52" t="str">
        <f si="26" t="shared"/>
        <v>-</v>
      </c>
      <c r="R49" s="52">
        <f si="26" t="shared"/>
        <v>-0.62612019657064066</v>
      </c>
      <c r="T49" s="95">
        <v>77</v>
      </c>
      <c r="U49" s="95" t="str">
        <f si="20" t="shared"/>
        <v>wk-nocars</v>
      </c>
      <c r="V49" s="113">
        <f>O88</f>
        <v>-2.1022247472084397</v>
      </c>
      <c r="AA49">
        <f>WorkCoefficients!B57</f>
        <v>131</v>
      </c>
      <c r="AB49" t="str">
        <f>WorkCoefficients!C57</f>
        <v>da-escsptr</v>
      </c>
      <c r="AC49" s="56">
        <f>WorkCoefficients!E57</f>
        <v>-1.97107849253</v>
      </c>
      <c r="AD49" s="57">
        <f si="0" t="shared"/>
        <v>-1.97107849253</v>
      </c>
      <c r="AE49">
        <f si="1" t="shared"/>
        <v>0</v>
      </c>
    </row>
    <row r="50" spans="2:31" x14ac:dyDescent="0.25">
      <c r="B50" s="9"/>
      <c r="C50" s="11"/>
      <c r="D50" s="11"/>
      <c r="E50" s="5"/>
      <c r="N50" s="9" t="s">
        <v>7</v>
      </c>
      <c r="O50" s="52">
        <f si="26" t="shared"/>
        <v>9.4165725431560252E-2</v>
      </c>
      <c r="P50" s="52">
        <f si="26" t="shared"/>
        <v>6.7601800283391439E-2</v>
      </c>
      <c r="Q50" s="52" t="str">
        <f si="26" t="shared"/>
        <v>-</v>
      </c>
      <c r="R50" s="52">
        <f si="26" t="shared"/>
        <v>0.34620844954098845</v>
      </c>
      <c r="T50" s="95">
        <v>78</v>
      </c>
      <c r="U50" s="95" t="str">
        <f si="20" t="shared"/>
        <v>wk-carsltd</v>
      </c>
      <c r="V50" s="113">
        <f>P88</f>
        <v>0.81171676075039145</v>
      </c>
      <c r="AA50">
        <f>WorkCoefficients!B58</f>
        <v>132</v>
      </c>
      <c r="AB50" t="str">
        <f>WorkCoefficients!C58</f>
        <v>da-othsptr</v>
      </c>
      <c r="AC50" s="56">
        <f>WorkCoefficients!E58</f>
        <v>-5.6643063026000001E-2</v>
      </c>
      <c r="AD50" s="57">
        <f si="0" t="shared"/>
        <v>-5.6643063026000001E-2</v>
      </c>
      <c r="AE50">
        <f si="1" t="shared"/>
        <v>0</v>
      </c>
    </row>
    <row r="51" spans="2:31" x14ac:dyDescent="0.25">
      <c r="B51" s="9"/>
      <c r="C51" s="11"/>
      <c r="D51" s="11"/>
      <c r="N51" s="84" t="s">
        <v>8</v>
      </c>
      <c r="O51" s="111" t="str">
        <f si="26" t="shared"/>
        <v>-</v>
      </c>
      <c r="P51" s="111" t="str">
        <f si="26" t="shared"/>
        <v>-</v>
      </c>
      <c r="Q51" s="111" t="str">
        <f si="26" t="shared"/>
        <v>-</v>
      </c>
      <c r="R51" s="111" t="str">
        <f si="26" t="shared"/>
        <v>-</v>
      </c>
      <c r="T51" s="96">
        <v>80</v>
      </c>
      <c r="U51" s="96" t="str">
        <f si="20" t="shared"/>
        <v>tnc-const</v>
      </c>
      <c r="V51" s="113">
        <f>R90</f>
        <v>-6.0327691247040001</v>
      </c>
      <c r="AA51">
        <f>WorkCoefficients!B59</f>
        <v>133</v>
      </c>
      <c r="AB51" t="str">
        <f>WorkCoefficients!C59</f>
        <v>sr-escsptr</v>
      </c>
      <c r="AC51" s="56">
        <f>WorkCoefficients!E59</f>
        <v>4.3312129562499999</v>
      </c>
      <c r="AD51" s="57">
        <f si="0" t="shared"/>
        <v>4.3312129562499999</v>
      </c>
      <c r="AE51">
        <f si="1" t="shared"/>
        <v>0</v>
      </c>
    </row>
    <row r="52" spans="2:31" x14ac:dyDescent="0.25">
      <c r="B52" s="9"/>
      <c r="C52" s="11"/>
      <c r="D52" s="11"/>
      <c r="E52" s="11"/>
      <c r="N52" s="109" t="s">
        <v>302</v>
      </c>
      <c r="O52" s="53">
        <f si="26" t="shared"/>
        <v>0</v>
      </c>
      <c r="P52" s="53">
        <f si="26" t="shared"/>
        <v>0</v>
      </c>
      <c r="Q52" s="53" t="str">
        <f si="26" t="shared"/>
        <v>-</v>
      </c>
      <c r="R52" s="53">
        <f si="26" t="shared"/>
        <v>0</v>
      </c>
      <c r="T52" s="96">
        <v>81</v>
      </c>
      <c r="U52" s="96" t="str">
        <f si="20" t="shared"/>
        <v>tnc-nocars</v>
      </c>
      <c r="V52" s="113">
        <f>O90</f>
        <v>0.54246090563500005</v>
      </c>
      <c r="AA52">
        <f>WorkCoefficients!B60</f>
        <v>134</v>
      </c>
      <c r="AB52" t="str">
        <f>WorkCoefficients!C60</f>
        <v>sr-othsptr</v>
      </c>
      <c r="AC52" s="56">
        <f>WorkCoefficients!E60</f>
        <v>0.12937128629399999</v>
      </c>
      <c r="AD52" s="57">
        <f si="0" t="shared"/>
        <v>0.12937128629399999</v>
      </c>
      <c r="AE52">
        <f si="1" t="shared"/>
        <v>0</v>
      </c>
    </row>
    <row r="53" spans="2:31" x14ac:dyDescent="0.25">
      <c r="B53" s="9"/>
      <c r="C53" s="11"/>
      <c r="D53" s="11"/>
      <c r="E53" s="11"/>
      <c r="T53" s="114">
        <v>82</v>
      </c>
      <c r="U53" s="114" t="str">
        <f si="20" t="shared"/>
        <v>tnc-carltd</v>
      </c>
      <c r="V53" s="55">
        <f>P90</f>
        <v>4.0887863357249996</v>
      </c>
      <c r="AA53">
        <f>WorkCoefficients!B61</f>
        <v>161</v>
      </c>
      <c r="AB53" t="str">
        <f>WorkCoefficients!C61</f>
        <v>bi-class1</v>
      </c>
      <c r="AC53" s="56">
        <f>WorkCoefficients!E61</f>
        <v>0.52181730896699996</v>
      </c>
      <c r="AD53" s="57">
        <f si="0" t="shared"/>
        <v>0.52181730896699996</v>
      </c>
      <c r="AE53">
        <f si="1" t="shared"/>
        <v>0</v>
      </c>
    </row>
    <row r="54" spans="2:31" x14ac:dyDescent="0.25">
      <c r="B54" s="9"/>
      <c r="P54" t="s">
        <v>259</v>
      </c>
      <c r="AA54">
        <f>WorkCoefficients!B62</f>
        <v>162</v>
      </c>
      <c r="AB54" t="str">
        <f>WorkCoefficients!C62</f>
        <v>bi-class2</v>
      </c>
      <c r="AC54" s="56">
        <f>WorkCoefficients!E62</f>
        <v>0.93626758455400005</v>
      </c>
      <c r="AD54" s="57">
        <f si="0" t="shared"/>
        <v>0.93626758455400005</v>
      </c>
      <c r="AE54">
        <f si="1" t="shared"/>
        <v>0</v>
      </c>
    </row>
    <row ht="15.75" r="55" spans="2:31" thickBot="1" x14ac:dyDescent="0.3">
      <c r="B55" s="23"/>
      <c r="N55" s="23" t="s">
        <v>211</v>
      </c>
      <c r="O55" s="54">
        <v>1</v>
      </c>
      <c r="P55" s="54">
        <v>1</v>
      </c>
      <c r="Q55" s="54">
        <v>1</v>
      </c>
      <c r="R55" s="54">
        <v>1</v>
      </c>
      <c r="AA55">
        <f>WorkCoefficients!B63</f>
        <v>163</v>
      </c>
      <c r="AB55" t="str">
        <f>WorkCoefficients!C63</f>
        <v>bi-worst</v>
      </c>
      <c r="AC55" s="56">
        <f>WorkCoefficients!E63</f>
        <v>-0.65749372243799997</v>
      </c>
      <c r="AD55" s="57">
        <f si="0" t="shared"/>
        <v>-0.65749372243799997</v>
      </c>
      <c r="AE55">
        <f si="1" t="shared"/>
        <v>0</v>
      </c>
    </row>
    <row r="56" spans="2:31" x14ac:dyDescent="0.25">
      <c r="C56" s="11"/>
      <c r="D56" s="11"/>
      <c r="E56" s="11"/>
      <c r="N56" s="2" t="s">
        <v>0</v>
      </c>
      <c r="O56" s="39" t="str">
        <f>O43</f>
        <v>nocars</v>
      </c>
      <c r="P56" s="39" t="str">
        <f>P43</f>
        <v>cars &lt; adults</v>
      </c>
      <c r="Q56" s="64" t="str">
        <f>Q43</f>
        <v>cars &lt; workers</v>
      </c>
      <c r="R56" s="39" t="str">
        <f>R43</f>
        <v>constant</v>
      </c>
      <c r="AA56">
        <f>WorkCoefficients!B64</f>
        <v>164</v>
      </c>
      <c r="AB56" t="str">
        <f>WorkCoefficients!C64</f>
        <v>bi-omixed</v>
      </c>
      <c r="AC56" s="56">
        <f>WorkCoefficients!E64</f>
        <v>0</v>
      </c>
      <c r="AD56" s="57">
        <f si="0" t="shared"/>
        <v>0</v>
      </c>
      <c r="AE56">
        <f si="1" t="shared"/>
        <v>0</v>
      </c>
    </row>
    <row r="57" spans="2:31" x14ac:dyDescent="0.25">
      <c r="B57" s="9"/>
      <c r="C57" s="11"/>
      <c r="D57" s="11"/>
      <c r="E57" s="11"/>
      <c r="N57" s="9" t="s">
        <v>1</v>
      </c>
      <c r="O57" s="47" t="str">
        <f>IF(O18="","-",IF($R18="",$O$55*O44,$O$55*(O44-$R44)))</f>
        <v>-</v>
      </c>
      <c r="P57" s="47" t="str">
        <f>IF(P18="","-",IF($R18="",$P$55*P44,$P$55*(P44-$R44)))</f>
        <v>-</v>
      </c>
      <c r="Q57" s="47">
        <f ref="Q57:Q65" si="27" t="shared">IF(Q18="","-",IF($R18="",$Q$55*Q44,$Q$55*(Q44)))</f>
        <v>-0.19998456718141255</v>
      </c>
      <c r="R57" s="47">
        <f ref="R57:R65" si="28" t="shared">IF(R18="","-",$R$55*R44)</f>
        <v>-5.1176301496401747E-2</v>
      </c>
      <c r="AA57">
        <f>WorkCoefficients!B65</f>
        <v>165</v>
      </c>
      <c r="AB57" t="str">
        <f>WorkCoefficients!C65</f>
        <v>bi-ohhden</v>
      </c>
      <c r="AC57" s="56">
        <f>WorkCoefficients!E65</f>
        <v>9.8596845699999995E-4</v>
      </c>
      <c r="AD57" s="57">
        <f si="0" t="shared"/>
        <v>9.8596845699999995E-4</v>
      </c>
      <c r="AE57">
        <f si="1" t="shared"/>
        <v>0</v>
      </c>
    </row>
    <row r="58" spans="2:31" x14ac:dyDescent="0.25">
      <c r="B58" s="9"/>
      <c r="C58" s="46"/>
      <c r="D58" s="46"/>
      <c r="E58" s="46"/>
      <c r="N58" s="9" t="s">
        <v>2</v>
      </c>
      <c r="O58" s="48">
        <f>IF(O19="","-",IF($R19="",$O$55*O45,$O$55*(O45)))</f>
        <v>-1.4413010424462294</v>
      </c>
      <c r="P58" s="48">
        <f>IF(P19="","-",IF($R19="",$P$55*P45,$P$55*(P45)))</f>
        <v>4.9192124548573829E-2</v>
      </c>
      <c r="Q58" s="48" t="str">
        <f si="27" t="shared"/>
        <v>-</v>
      </c>
      <c r="R58" s="48">
        <f si="28" t="shared"/>
        <v>9.3521477216313736E-2</v>
      </c>
      <c r="AA58">
        <f>WorkCoefficients!B66</f>
        <v>166</v>
      </c>
      <c r="AB58" t="str">
        <f>WorkCoefficients!C66</f>
        <v>bi-ointdn</v>
      </c>
      <c r="AC58" s="56">
        <f>WorkCoefficients!E66</f>
        <v>0</v>
      </c>
      <c r="AD58" s="57">
        <f si="0" t="shared"/>
        <v>0</v>
      </c>
      <c r="AE58">
        <f si="1" t="shared"/>
        <v>0</v>
      </c>
    </row>
    <row r="59" spans="2:31" x14ac:dyDescent="0.25">
      <c r="B59" s="9"/>
      <c r="C59" s="46"/>
      <c r="D59" s="46"/>
      <c r="E59" s="46"/>
      <c r="N59" s="9" t="s">
        <v>3</v>
      </c>
      <c r="O59" s="61">
        <f>IF(O20="","-",IF($R20="",$O$55*O46,$O$55*(O46-O58)))</f>
        <v>1.4413010424462294</v>
      </c>
      <c r="P59" s="63">
        <f>IF(P20="","-",IF($R20="",$P$55*P46,$P$55*(P46-P58)))</f>
        <v>-8.4784662452627613E-2</v>
      </c>
      <c r="Q59" s="48" t="str">
        <f si="27" t="shared"/>
        <v>-</v>
      </c>
      <c r="R59" s="48">
        <f si="28" t="shared"/>
        <v>5.513247315543008E-2</v>
      </c>
      <c r="AA59">
        <f>WorkCoefficients!B67</f>
        <v>167</v>
      </c>
      <c r="AB59" t="str">
        <f>WorkCoefficients!C67</f>
        <v>bi-dintdn</v>
      </c>
      <c r="AC59" s="56">
        <f>WorkCoefficients!E67</f>
        <v>0</v>
      </c>
      <c r="AD59" s="57">
        <f si="0" t="shared"/>
        <v>0</v>
      </c>
      <c r="AE59">
        <f si="1" t="shared"/>
        <v>0</v>
      </c>
    </row>
    <row r="60" spans="2:31" x14ac:dyDescent="0.25">
      <c r="B60" s="9"/>
      <c r="C60" s="11"/>
      <c r="D60" s="11"/>
      <c r="E60" s="11"/>
      <c r="N60" s="9" t="s">
        <v>4</v>
      </c>
      <c r="O60" s="48">
        <f ref="O60:O65" si="29" t="shared">IF(O21="","-",IF($R21="",$O$55*O47,$O$55*(O47)))</f>
        <v>8.7324559651829892E-2</v>
      </c>
      <c r="P60" s="48" t="str">
        <f ref="P60:P65" si="30" t="shared">IF(P21="","-",IF($R21="",$P$55*P47,$P$55*(P47)))</f>
        <v>-</v>
      </c>
      <c r="Q60" s="48">
        <f si="27" t="shared"/>
        <v>1.0363005925242257</v>
      </c>
      <c r="R60" s="48">
        <f si="28" t="shared"/>
        <v>1.0648275256669266</v>
      </c>
      <c r="AA60">
        <f>WorkCoefficients!B68</f>
        <v>168</v>
      </c>
      <c r="AB60" t="str">
        <f>WorkCoefficients!C68</f>
        <v>bi-dempdn</v>
      </c>
      <c r="AC60" s="56">
        <f>WorkCoefficients!E68</f>
        <v>1.03250188E-4</v>
      </c>
      <c r="AD60" s="57">
        <f si="0" t="shared"/>
        <v>1.03250188E-4</v>
      </c>
      <c r="AE60">
        <f si="1" t="shared"/>
        <v>0</v>
      </c>
    </row>
    <row r="61" spans="2:31" x14ac:dyDescent="0.25">
      <c r="B61" s="9"/>
      <c r="C61" s="11"/>
      <c r="D61" s="11"/>
      <c r="E61" s="11"/>
      <c r="N61" s="9" t="s">
        <v>5</v>
      </c>
      <c r="O61" s="48">
        <f si="29" t="shared"/>
        <v>0.45390910818338631</v>
      </c>
      <c r="P61" s="48">
        <f si="30" t="shared"/>
        <v>1.1703366230834276</v>
      </c>
      <c r="Q61" s="48" t="str">
        <f si="27" t="shared"/>
        <v>-</v>
      </c>
      <c r="R61" s="48">
        <f si="28" t="shared"/>
        <v>0.8523621144853093</v>
      </c>
      <c r="AA61">
        <f>WorkCoefficients!B69</f>
        <v>169</v>
      </c>
      <c r="AB61" t="str">
        <f>WorkCoefficients!C69</f>
        <v>bi-dmixed</v>
      </c>
      <c r="AC61" s="56">
        <f>WorkCoefficients!E69</f>
        <v>0</v>
      </c>
      <c r="AD61" s="57">
        <f si="0" t="shared"/>
        <v>0</v>
      </c>
      <c r="AE61">
        <f si="1" t="shared"/>
        <v>0</v>
      </c>
    </row>
    <row r="62" spans="2:31" x14ac:dyDescent="0.25">
      <c r="B62" s="9"/>
      <c r="C62" s="11"/>
      <c r="D62" s="11"/>
      <c r="E62" s="11"/>
      <c r="N62" s="9" t="s">
        <v>6</v>
      </c>
      <c r="O62" s="48">
        <f si="29" t="shared"/>
        <v>-0.91691814568367314</v>
      </c>
      <c r="P62" s="48">
        <f si="30" t="shared"/>
        <v>-0.70813416074137658</v>
      </c>
      <c r="Q62" s="48" t="str">
        <f si="27" t="shared"/>
        <v>-</v>
      </c>
      <c r="R62" s="48">
        <f si="28" t="shared"/>
        <v>-0.62612019657064066</v>
      </c>
      <c r="AA62">
        <f>WorkCoefficients!B70</f>
        <v>175</v>
      </c>
      <c r="AB62" t="str">
        <f>WorkCoefficients!C70</f>
        <v>wk-ohhden</v>
      </c>
      <c r="AC62" s="56">
        <f>WorkCoefficients!E70</f>
        <v>7.2893821499999995E-4</v>
      </c>
      <c r="AD62" s="57">
        <f si="0" t="shared"/>
        <v>7.2893821499999995E-4</v>
      </c>
      <c r="AE62">
        <f si="1" t="shared"/>
        <v>0</v>
      </c>
    </row>
    <row r="63" spans="2:31" x14ac:dyDescent="0.25">
      <c r="B63" s="9"/>
      <c r="C63" s="11"/>
      <c r="D63" s="11"/>
      <c r="E63" s="11"/>
      <c r="N63" s="9" t="s">
        <v>7</v>
      </c>
      <c r="O63" s="48">
        <f si="29" t="shared"/>
        <v>9.4165725431560252E-2</v>
      </c>
      <c r="P63" s="48">
        <f si="30" t="shared"/>
        <v>6.7601800283391439E-2</v>
      </c>
      <c r="Q63" s="48" t="str">
        <f si="27" t="shared"/>
        <v>-</v>
      </c>
      <c r="R63" s="48">
        <f si="28" t="shared"/>
        <v>0.34620844954098845</v>
      </c>
      <c r="AA63">
        <f>WorkCoefficients!B71</f>
        <v>176</v>
      </c>
      <c r="AB63" t="str">
        <f>WorkCoefficients!C71</f>
        <v>wk-ointdn</v>
      </c>
      <c r="AC63" s="56">
        <f>WorkCoefficients!E71</f>
        <v>0</v>
      </c>
      <c r="AD63" s="57">
        <f si="0" t="shared"/>
        <v>0</v>
      </c>
      <c r="AE63">
        <f si="1" t="shared"/>
        <v>0</v>
      </c>
    </row>
    <row r="64" spans="2:31" x14ac:dyDescent="0.25">
      <c r="B64" s="9"/>
      <c r="C64" s="11"/>
      <c r="D64" s="11"/>
      <c r="E64" s="11"/>
      <c r="N64" s="84" t="s">
        <v>8</v>
      </c>
      <c r="O64" s="112" t="str">
        <f si="29" t="shared"/>
        <v>-</v>
      </c>
      <c r="P64" s="112" t="str">
        <f si="30" t="shared"/>
        <v>-</v>
      </c>
      <c r="Q64" s="112" t="str">
        <f si="27" t="shared"/>
        <v>-</v>
      </c>
      <c r="R64" s="112" t="str">
        <f si="28" t="shared"/>
        <v>-</v>
      </c>
      <c r="AA64">
        <f>WorkCoefficients!B72</f>
        <v>177</v>
      </c>
      <c r="AB64" t="str">
        <f>WorkCoefficients!C72</f>
        <v>wk-dintdn</v>
      </c>
      <c r="AC64" s="56">
        <f>WorkCoefficients!E72</f>
        <v>0</v>
      </c>
      <c r="AD64" s="57">
        <f si="0" t="shared"/>
        <v>0</v>
      </c>
      <c r="AE64">
        <f si="1" t="shared"/>
        <v>0</v>
      </c>
    </row>
    <row r="65" spans="2:31" x14ac:dyDescent="0.25">
      <c r="B65" s="9"/>
      <c r="C65" s="11"/>
      <c r="D65" s="11"/>
      <c r="E65" s="11"/>
      <c r="N65" s="109" t="s">
        <v>302</v>
      </c>
      <c r="O65" s="49">
        <f si="29" t="shared"/>
        <v>0</v>
      </c>
      <c r="P65" s="49">
        <f si="30" t="shared"/>
        <v>0</v>
      </c>
      <c r="Q65" s="49" t="str">
        <f si="27" t="shared"/>
        <v>-</v>
      </c>
      <c r="R65" s="49">
        <f si="28" t="shared"/>
        <v>0</v>
      </c>
      <c r="AA65">
        <f>WorkCoefficients!B73</f>
        <v>178</v>
      </c>
      <c r="AB65" t="str">
        <f>WorkCoefficients!C73</f>
        <v>wk-dempdn</v>
      </c>
      <c r="AC65" s="56">
        <f>WorkCoefficients!E73</f>
        <v>1.9052288199999999E-4</v>
      </c>
      <c r="AD65" s="57">
        <f si="0" t="shared"/>
        <v>1.9052288199999999E-4</v>
      </c>
      <c r="AE65">
        <f si="1" t="shared"/>
        <v>0</v>
      </c>
    </row>
    <row r="66" spans="2:31" x14ac:dyDescent="0.25">
      <c r="N66" s="9" t="s">
        <v>273</v>
      </c>
      <c r="AA66">
        <f>WorkCoefficients!B74</f>
        <v>179</v>
      </c>
      <c r="AB66" t="str">
        <f>WorkCoefficients!C74</f>
        <v>wk-odmixed</v>
      </c>
      <c r="AC66" s="56">
        <f>WorkCoefficients!E74</f>
        <v>0</v>
      </c>
      <c r="AD66" s="57">
        <f si="0" t="shared"/>
        <v>0</v>
      </c>
      <c r="AE66">
        <f si="1" t="shared"/>
        <v>0</v>
      </c>
    </row>
    <row r="67" spans="2:31" x14ac:dyDescent="0.25">
      <c r="B67" s="23"/>
      <c r="AA67">
        <f>WorkCoefficients!B75</f>
        <v>99</v>
      </c>
      <c r="AB67" t="str">
        <f>WorkCoefficients!C75</f>
        <v>modenest</v>
      </c>
      <c r="AC67" s="56">
        <f>WorkCoefficients!E75</f>
        <v>0.63589016532800002</v>
      </c>
      <c r="AD67" s="57">
        <f si="0" t="shared"/>
        <v>0.63589016532800002</v>
      </c>
      <c r="AE67">
        <f si="1" t="shared"/>
        <v>0</v>
      </c>
    </row>
    <row ht="15.75" r="68" spans="2:31" thickBot="1" x14ac:dyDescent="0.3">
      <c r="C68" s="11"/>
      <c r="D68" s="11"/>
      <c r="E68" s="11"/>
      <c r="N68" s="37" t="s">
        <v>212</v>
      </c>
    </row>
    <row r="69" spans="2:31" x14ac:dyDescent="0.25">
      <c r="B69" s="9"/>
      <c r="C69" s="11"/>
      <c r="D69" s="11"/>
      <c r="E69" s="11"/>
      <c r="N69" s="2" t="s">
        <v>0</v>
      </c>
      <c r="O69" s="39" t="str">
        <f>O43</f>
        <v>nocars</v>
      </c>
      <c r="P69" s="39" t="str">
        <f>P43</f>
        <v>cars &lt; adults</v>
      </c>
      <c r="Q69" s="39" t="str">
        <f>Q43</f>
        <v>cars &lt; workers</v>
      </c>
      <c r="R69" s="39" t="str">
        <f>R43</f>
        <v>constant</v>
      </c>
    </row>
    <row r="70" spans="2:31" x14ac:dyDescent="0.25">
      <c r="B70" s="9"/>
      <c r="C70" s="46"/>
      <c r="D70" s="11"/>
      <c r="E70" s="11"/>
      <c r="N70" s="9" t="s">
        <v>1</v>
      </c>
      <c r="O70" s="47" t="str">
        <f ref="O70:R78" si="31" t="shared">IFERROR(VLOOKUP(O18,$AA$3:$AC$48,3,FALSE),"-")</f>
        <v>-</v>
      </c>
      <c r="P70" s="47" t="str">
        <f si="31" t="shared"/>
        <v>-</v>
      </c>
      <c r="Q70" s="47">
        <f si="31" t="shared"/>
        <v>-2.5076394762410001</v>
      </c>
      <c r="R70" s="47">
        <f si="31" t="shared"/>
        <v>2.3771221655580002</v>
      </c>
    </row>
    <row r="71" spans="2:31" x14ac:dyDescent="0.25">
      <c r="B71" s="9"/>
      <c r="C71" s="46"/>
      <c r="D71" s="11"/>
      <c r="E71" s="11"/>
      <c r="N71" s="9" t="s">
        <v>2</v>
      </c>
      <c r="O71" s="48">
        <f si="31" t="shared"/>
        <v>-2.787379343874</v>
      </c>
      <c r="P71" s="48">
        <f si="31" t="shared"/>
        <v>-0.39930569078900002</v>
      </c>
      <c r="Q71" s="48" t="str">
        <f si="31" t="shared"/>
        <v>-</v>
      </c>
      <c r="R71" s="48">
        <f si="31" t="shared"/>
        <v>0.25334031755000003</v>
      </c>
    </row>
    <row r="72" spans="2:31" x14ac:dyDescent="0.25">
      <c r="B72" s="9"/>
      <c r="C72" s="11"/>
      <c r="D72" s="11"/>
      <c r="E72" s="11"/>
      <c r="N72" s="9" t="s">
        <v>3</v>
      </c>
      <c r="O72" s="48">
        <f si="31" t="shared"/>
        <v>0.33576925766499999</v>
      </c>
      <c r="P72" s="48">
        <f si="31" t="shared"/>
        <v>-2.4625361870000001E-2</v>
      </c>
      <c r="Q72" s="48" t="str">
        <f si="31" t="shared"/>
        <v>-</v>
      </c>
      <c r="R72" s="48">
        <f si="31" t="shared"/>
        <v>0.493317392247</v>
      </c>
    </row>
    <row r="73" spans="2:31" x14ac:dyDescent="0.25">
      <c r="B73" s="9"/>
      <c r="C73" s="11"/>
      <c r="D73" s="11"/>
      <c r="E73" s="11"/>
      <c r="N73" s="9" t="s">
        <v>4</v>
      </c>
      <c r="O73" s="48">
        <f si="31" t="shared"/>
        <v>-1.5216688378030001</v>
      </c>
      <c r="P73" s="48" t="str">
        <f si="31" t="shared"/>
        <v>-</v>
      </c>
      <c r="Q73" s="48">
        <f si="31" t="shared"/>
        <v>-2.2179916638749999</v>
      </c>
      <c r="R73" s="48">
        <f si="31" t="shared"/>
        <v>-4.1694859990589999</v>
      </c>
    </row>
    <row r="74" spans="2:31" x14ac:dyDescent="0.25">
      <c r="B74" s="9"/>
      <c r="C74" s="11"/>
      <c r="D74" s="11"/>
      <c r="E74" s="11"/>
      <c r="N74" s="9" t="s">
        <v>5</v>
      </c>
      <c r="O74" s="48">
        <f si="31" t="shared"/>
        <v>0.49616873415399998</v>
      </c>
      <c r="P74" s="48">
        <f si="31" t="shared"/>
        <v>-0.63179454813900005</v>
      </c>
      <c r="Q74" s="48" t="str">
        <f si="31" t="shared"/>
        <v>-</v>
      </c>
      <c r="R74" s="48">
        <f si="31" t="shared"/>
        <v>-3.7228693618880002</v>
      </c>
    </row>
    <row r="75" spans="2:31" x14ac:dyDescent="0.25">
      <c r="B75" s="9"/>
      <c r="C75" s="11"/>
      <c r="D75" s="11"/>
      <c r="E75" s="11"/>
      <c r="N75" s="9" t="s">
        <v>6</v>
      </c>
      <c r="O75" s="48">
        <f si="31" t="shared"/>
        <v>-2.8960847333520001</v>
      </c>
      <c r="P75" s="48">
        <f si="31" t="shared"/>
        <v>0.91435696055000004</v>
      </c>
      <c r="Q75" s="48" t="str">
        <f si="31" t="shared"/>
        <v>-</v>
      </c>
      <c r="R75" s="48">
        <f si="31" t="shared"/>
        <v>-2.835622054795</v>
      </c>
    </row>
    <row r="76" spans="2:31" x14ac:dyDescent="0.25">
      <c r="B76" s="9"/>
      <c r="C76" s="11"/>
      <c r="D76" s="11"/>
      <c r="E76" s="11"/>
      <c r="N76" s="9" t="s">
        <v>7</v>
      </c>
      <c r="O76" s="48">
        <f si="31" t="shared"/>
        <v>-2.1963904726400001</v>
      </c>
      <c r="P76" s="48">
        <f si="31" t="shared"/>
        <v>0.74411496046699999</v>
      </c>
      <c r="Q76" s="48" t="str">
        <f si="31" t="shared"/>
        <v>-</v>
      </c>
      <c r="R76" s="48">
        <f si="31" t="shared"/>
        <v>-0.68937617037800003</v>
      </c>
    </row>
    <row r="77" spans="2:31" x14ac:dyDescent="0.25">
      <c r="B77" s="9"/>
      <c r="N77" s="84" t="s">
        <v>8</v>
      </c>
      <c r="O77" s="112" t="str">
        <f si="31" t="shared"/>
        <v>-</v>
      </c>
      <c r="P77" s="112" t="str">
        <f si="31" t="shared"/>
        <v>-</v>
      </c>
      <c r="Q77" s="112" t="str">
        <f si="31" t="shared"/>
        <v>-</v>
      </c>
      <c r="R77" s="112" t="str">
        <f si="31" t="shared"/>
        <v>-</v>
      </c>
    </row>
    <row r="78" spans="2:31" x14ac:dyDescent="0.25">
      <c r="N78" s="109" t="s">
        <v>302</v>
      </c>
      <c r="O78" s="49">
        <f si="31" t="shared"/>
        <v>0.54246090563500005</v>
      </c>
      <c r="P78" s="49">
        <f si="31" t="shared"/>
        <v>4.0887863357249996</v>
      </c>
      <c r="Q78" s="49" t="str">
        <f si="31" t="shared"/>
        <v>-</v>
      </c>
      <c r="R78" s="49">
        <f si="31" t="shared"/>
        <v>-6.0327691247040001</v>
      </c>
    </row>
    <row ht="15.75" r="80" spans="2:31" thickBot="1" x14ac:dyDescent="0.3">
      <c r="H80" s="5" t="s">
        <v>235</v>
      </c>
      <c r="N80" s="37" t="s">
        <v>213</v>
      </c>
    </row>
    <row r="81" spans="8:18" x14ac:dyDescent="0.25">
      <c r="H81" s="38" t="s">
        <v>0</v>
      </c>
      <c r="I81" s="39" t="s">
        <v>252</v>
      </c>
      <c r="J81" s="39" t="s">
        <v>247</v>
      </c>
      <c r="K81" s="39" t="s">
        <v>250</v>
      </c>
      <c r="L81" s="39" t="s">
        <v>253</v>
      </c>
      <c r="N81" s="2" t="s">
        <v>0</v>
      </c>
      <c r="O81" s="39" t="str">
        <f>O69</f>
        <v>nocars</v>
      </c>
      <c r="P81" s="39" t="str">
        <f>P69</f>
        <v>cars &lt; adults</v>
      </c>
      <c r="Q81" s="39" t="str">
        <f>Q69</f>
        <v>cars &lt; workers</v>
      </c>
      <c r="R81" s="39" t="str">
        <f>R69</f>
        <v>constant</v>
      </c>
    </row>
    <row r="82" spans="8:18" x14ac:dyDescent="0.25">
      <c r="H82" s="9" t="s">
        <v>1</v>
      </c>
      <c r="I82" s="11" t="str">
        <f ref="I82:L89" si="32" t="shared">IF(ISBLANK(O18),"",O18)</f>
        <v/>
      </c>
      <c r="J82" s="11" t="str">
        <f si="32" t="shared"/>
        <v/>
      </c>
      <c r="K82" s="11">
        <f si="32" t="shared"/>
        <v>53</v>
      </c>
      <c r="L82" s="11">
        <f si="32" t="shared"/>
        <v>50</v>
      </c>
      <c r="N82" s="9" t="s">
        <v>1</v>
      </c>
      <c r="O82" s="48" t="str">
        <f ref="O82:R90" si="33" t="shared">IF(O18="","-",O57+O70)</f>
        <v>-</v>
      </c>
      <c r="P82" s="48" t="str">
        <f si="33" t="shared"/>
        <v>-</v>
      </c>
      <c r="Q82" s="48">
        <f si="33" t="shared"/>
        <v>-2.7076240434224128</v>
      </c>
      <c r="R82" s="48">
        <f si="33" t="shared"/>
        <v>2.3259458640615982</v>
      </c>
    </row>
    <row r="83" spans="8:18" x14ac:dyDescent="0.25">
      <c r="H83" s="9" t="s">
        <v>2</v>
      </c>
      <c r="I83" s="11">
        <f si="32" t="shared"/>
        <v>41</v>
      </c>
      <c r="J83" s="11">
        <f si="32" t="shared"/>
        <v>42</v>
      </c>
      <c r="K83" s="11" t="str">
        <f si="32" t="shared"/>
        <v/>
      </c>
      <c r="L83" s="11">
        <f si="32" t="shared"/>
        <v>40</v>
      </c>
      <c r="N83" s="9" t="s">
        <v>2</v>
      </c>
      <c r="O83" s="48">
        <f si="33" t="shared"/>
        <v>-4.2286803863202298</v>
      </c>
      <c r="P83" s="48">
        <f si="33" t="shared"/>
        <v>-0.35011356624042622</v>
      </c>
      <c r="Q83" s="48" t="str">
        <f si="33" t="shared"/>
        <v>-</v>
      </c>
      <c r="R83" s="48">
        <f si="33" t="shared"/>
        <v>0.34686179476631374</v>
      </c>
    </row>
    <row r="84" spans="8:18" x14ac:dyDescent="0.25">
      <c r="H84" s="9" t="s">
        <v>3</v>
      </c>
      <c r="I84" s="11">
        <f si="32" t="shared"/>
        <v>36</v>
      </c>
      <c r="J84" s="11">
        <f si="32" t="shared"/>
        <v>37</v>
      </c>
      <c r="K84" s="11" t="str">
        <f si="32" t="shared"/>
        <v/>
      </c>
      <c r="L84" s="11">
        <f si="32" t="shared"/>
        <v>30</v>
      </c>
      <c r="N84" s="9" t="s">
        <v>3</v>
      </c>
      <c r="O84" s="48">
        <f si="33" t="shared"/>
        <v>1.7770703001112294</v>
      </c>
      <c r="P84" s="48">
        <f si="33" t="shared"/>
        <v>-0.10941002432262761</v>
      </c>
      <c r="Q84" s="48" t="str">
        <f si="33" t="shared"/>
        <v>-</v>
      </c>
      <c r="R84" s="48">
        <f si="33" t="shared"/>
        <v>0.54844986540243013</v>
      </c>
    </row>
    <row r="85" spans="8:18" x14ac:dyDescent="0.25">
      <c r="H85" s="9" t="s">
        <v>4</v>
      </c>
      <c r="I85" s="11">
        <f si="32" t="shared"/>
        <v>11</v>
      </c>
      <c r="J85" s="11" t="str">
        <f si="32" t="shared"/>
        <v/>
      </c>
      <c r="K85" s="11">
        <f si="32" t="shared"/>
        <v>13</v>
      </c>
      <c r="L85" s="11">
        <f si="32" t="shared"/>
        <v>10</v>
      </c>
      <c r="N85" s="9" t="s">
        <v>4</v>
      </c>
      <c r="O85" s="48">
        <f si="33" t="shared"/>
        <v>-1.4343442781511702</v>
      </c>
      <c r="P85" s="48" t="str">
        <f si="33" t="shared"/>
        <v>-</v>
      </c>
      <c r="Q85" s="48">
        <f si="33" t="shared"/>
        <v>-1.1816910713507742</v>
      </c>
      <c r="R85" s="48">
        <f si="33" t="shared"/>
        <v>-3.1046584733920732</v>
      </c>
    </row>
    <row r="86" spans="8:18" x14ac:dyDescent="0.25">
      <c r="H86" s="9" t="s">
        <v>5</v>
      </c>
      <c r="I86" s="11">
        <f si="32" t="shared"/>
        <v>21</v>
      </c>
      <c r="J86" s="11">
        <f si="32" t="shared"/>
        <v>22</v>
      </c>
      <c r="K86" s="11" t="str">
        <f si="32" t="shared"/>
        <v/>
      </c>
      <c r="L86" s="11">
        <f si="32" t="shared"/>
        <v>20</v>
      </c>
      <c r="N86" s="84" t="s">
        <v>5</v>
      </c>
      <c r="O86" s="112">
        <f si="33" t="shared"/>
        <v>0.95007784233738635</v>
      </c>
      <c r="P86" s="112">
        <f si="33" t="shared"/>
        <v>0.53854207494442752</v>
      </c>
      <c r="Q86" s="112" t="str">
        <f si="33" t="shared"/>
        <v>-</v>
      </c>
      <c r="R86" s="112">
        <f si="33" t="shared"/>
        <v>-2.8705072474026911</v>
      </c>
    </row>
    <row r="87" spans="8:18" x14ac:dyDescent="0.25">
      <c r="H87" s="9" t="s">
        <v>6</v>
      </c>
      <c r="I87" s="11">
        <f si="32" t="shared"/>
        <v>67</v>
      </c>
      <c r="J87" s="11">
        <f si="32" t="shared"/>
        <v>68</v>
      </c>
      <c r="K87" s="11" t="str">
        <f si="32" t="shared"/>
        <v/>
      </c>
      <c r="L87" s="11">
        <f si="32" t="shared"/>
        <v>60</v>
      </c>
      <c r="N87" s="84" t="s">
        <v>6</v>
      </c>
      <c r="O87" s="112">
        <f si="33" t="shared"/>
        <v>-3.8130028790356731</v>
      </c>
      <c r="P87" s="112">
        <f si="33" t="shared"/>
        <v>0.20622279980862346</v>
      </c>
      <c r="Q87" s="112" t="str">
        <f si="33" t="shared"/>
        <v>-</v>
      </c>
      <c r="R87" s="112">
        <f si="33" t="shared"/>
        <v>-3.4617422513656404</v>
      </c>
    </row>
    <row r="88" spans="8:18" x14ac:dyDescent="0.25">
      <c r="H88" s="9" t="s">
        <v>7</v>
      </c>
      <c r="I88" s="11">
        <f si="32" t="shared"/>
        <v>77</v>
      </c>
      <c r="J88" s="11">
        <f si="32" t="shared"/>
        <v>78</v>
      </c>
      <c r="K88" s="11" t="str">
        <f si="32" t="shared"/>
        <v/>
      </c>
      <c r="L88" s="11">
        <f si="32" t="shared"/>
        <v>70</v>
      </c>
      <c r="N88" s="84" t="s">
        <v>7</v>
      </c>
      <c r="O88" s="112">
        <f si="33" t="shared"/>
        <v>-2.1022247472084397</v>
      </c>
      <c r="P88" s="112">
        <f si="33" t="shared"/>
        <v>0.81171676075039145</v>
      </c>
      <c r="Q88" s="112" t="str">
        <f si="33" t="shared"/>
        <v>-</v>
      </c>
      <c r="R88" s="112">
        <f si="33" t="shared"/>
        <v>-0.34316772083701158</v>
      </c>
    </row>
    <row r="89" spans="8:18" x14ac:dyDescent="0.25">
      <c r="H89" s="84" t="s">
        <v>8</v>
      </c>
      <c r="I89" s="108" t="str">
        <f si="32" t="shared"/>
        <v/>
      </c>
      <c r="J89" s="108" t="str">
        <f si="32" t="shared"/>
        <v/>
      </c>
      <c r="K89" s="108" t="str">
        <f si="32" t="shared"/>
        <v/>
      </c>
      <c r="L89" s="108" t="str">
        <f si="32" t="shared"/>
        <v/>
      </c>
      <c r="N89" s="84" t="s">
        <v>8</v>
      </c>
      <c r="O89" s="112" t="str">
        <f si="33" t="shared"/>
        <v>-</v>
      </c>
      <c r="P89" s="112" t="str">
        <f si="33" t="shared"/>
        <v>-</v>
      </c>
      <c r="Q89" s="112" t="str">
        <f si="33" t="shared"/>
        <v>-</v>
      </c>
      <c r="R89" s="112" t="str">
        <f si="33" t="shared"/>
        <v>-</v>
      </c>
    </row>
    <row r="90" spans="8:18" x14ac:dyDescent="0.25">
      <c r="H90" s="109" t="s">
        <v>302</v>
      </c>
      <c r="I90" s="7">
        <f ref="I90" si="34" t="shared">IF(ISBLANK(O26),"",O26)</f>
        <v>81</v>
      </c>
      <c r="J90" s="7">
        <f ref="J90" si="35" t="shared">IF(ISBLANK(P26),"",P26)</f>
        <v>82</v>
      </c>
      <c r="K90" s="7" t="str">
        <f ref="K90" si="36" t="shared">IF(ISBLANK(Q26),"",Q26)</f>
        <v/>
      </c>
      <c r="L90" s="7">
        <f ref="L90" si="37" t="shared">IF(ISBLANK(R26),"",R26)</f>
        <v>80</v>
      </c>
      <c r="N90" s="109" t="s">
        <v>302</v>
      </c>
      <c r="O90" s="49">
        <f si="33" t="shared"/>
        <v>0.54246090563500005</v>
      </c>
      <c r="P90" s="49">
        <f si="33" t="shared"/>
        <v>4.0887863357249996</v>
      </c>
      <c r="Q90" s="49" t="str">
        <f si="33" t="shared"/>
        <v>-</v>
      </c>
      <c r="R90" s="49">
        <f si="33" t="shared"/>
        <v>-6.0327691247040001</v>
      </c>
    </row>
  </sheetData>
  <mergeCells count="2">
    <mergeCell ref="H15:L15"/>
    <mergeCell ref="B15:F15"/>
  </mergeCells>
  <conditionalFormatting sqref="AE3:AE67">
    <cfRule dxfId="19" operator="greaterThan" priority="4" type="cellIs">
      <formula>0</formula>
    </cfRule>
  </conditionalFormatting>
  <conditionalFormatting sqref="Q31:R31 O35:P37 O32:P33 R32:R33 O34 Q34:R34 O39:P39 R35:R37 R39">
    <cfRule dxfId="18" operator="greaterThan" priority="3" type="cellIs">
      <formula>1.05</formula>
    </cfRule>
    <cfRule dxfId="17" operator="lessThan" priority="2" type="cellIs">
      <formula>0.95</formula>
    </cfRule>
  </conditionalFormatting>
  <pageMargins bottom="0.75" footer="0.3" header="0.3" left="0.7" right="0.7" top="0.75"/>
  <pageSetup orientation="portrait" r:id="rId1"/>
  <ignoredErrors>
    <ignoredError formula="1" sqref="O32:P32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id="{13854566-7D48-43EA-8988-71B408F3B8FD}" operator="containsText" priority="1" type="containsText">
            <xm:f>NOT(ISERROR(SEARCH("-",O31)))</xm:f>
            <xm:f>"-"</xm:f>
            <x14:dxf>
              <fill>
                <patternFill>
                  <bgColor theme="0" tint="-0.24994659260841701"/>
                </patternFill>
              </fill>
            </x14:dxf>
          </x14:cfRule>
          <xm:sqref>O31:R39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AF90"/>
  <sheetViews>
    <sheetView workbookViewId="0" zoomScaleNormal="100">
      <selection activeCell="C18" sqref="C18:F26"/>
    </sheetView>
  </sheetViews>
  <sheetFormatPr defaultRowHeight="15" x14ac:dyDescent="0.25"/>
  <cols>
    <col min="2" max="2" bestFit="true" customWidth="true" width="14.140625" collapsed="true"/>
    <col min="4" max="4" bestFit="true" customWidth="true" width="11.7109375" collapsed="true"/>
    <col min="5" max="5" bestFit="true" customWidth="true" width="13.5703125" collapsed="true"/>
    <col min="6" max="6" bestFit="true" customWidth="true" width="9.140625" collapsed="true"/>
    <col min="8" max="8" bestFit="true" customWidth="true" width="14.140625" collapsed="true"/>
    <col min="10" max="10" bestFit="true" customWidth="true" width="11.7109375" collapsed="true"/>
    <col min="11" max="11" bestFit="true" customWidth="true" width="13.5703125" collapsed="true"/>
    <col min="12" max="12" bestFit="true" customWidth="true" width="7.5703125" collapsed="true"/>
    <col min="13" max="13" width="9.140625" collapsed="true"/>
    <col min="14" max="14" bestFit="true" customWidth="true" width="14.140625" collapsed="true"/>
    <col min="15" max="15" bestFit="true" customWidth="true" width="10.28515625" collapsed="true"/>
    <col min="16" max="16" bestFit="true" customWidth="true" width="12.0" collapsed="true"/>
    <col min="17" max="17" bestFit="true" customWidth="true" width="13.85546875" collapsed="true"/>
    <col min="18" max="18" bestFit="true" customWidth="true" width="9.28515625" collapsed="true"/>
    <col min="20" max="20" customWidth="true" width="5.5703125" collapsed="true"/>
    <col min="21" max="21" customWidth="true" width="12.85546875" collapsed="true"/>
    <col min="22" max="22" bestFit="true" customWidth="true" width="11.7109375" collapsed="true"/>
    <col min="23" max="23" bestFit="true" customWidth="true" width="13.5703125" collapsed="true"/>
    <col min="28" max="28" bestFit="true" customWidth="true" width="11.0" collapsed="true"/>
    <col min="29" max="29" bestFit="true" customWidth="true" width="16.42578125" collapsed="true"/>
    <col min="30" max="30" bestFit="true" customWidth="true" width="15.42578125" collapsed="true"/>
  </cols>
  <sheetData>
    <row r="1" spans="2:31" x14ac:dyDescent="0.25">
      <c r="T1" s="23" t="s">
        <v>108</v>
      </c>
      <c r="U1" s="32"/>
      <c r="V1" s="32"/>
      <c r="W1" s="32"/>
      <c r="X1" s="32"/>
      <c r="AA1" s="23" t="s">
        <v>108</v>
      </c>
    </row>
    <row r="2" spans="2:31" x14ac:dyDescent="0.25">
      <c r="T2" s="32"/>
      <c r="U2" s="23" t="s">
        <v>236</v>
      </c>
      <c r="W2" s="32"/>
      <c r="X2" s="32"/>
      <c r="AC2" s="28" t="s">
        <v>233</v>
      </c>
      <c r="AD2" s="28" t="s">
        <v>234</v>
      </c>
      <c r="AE2" s="28" t="s">
        <v>34</v>
      </c>
    </row>
    <row ht="15.75" r="3" spans="2:31" thickBot="1" x14ac:dyDescent="0.3">
      <c r="B3" s="23" t="s">
        <v>278</v>
      </c>
      <c r="T3">
        <v>1</v>
      </c>
      <c r="U3" s="33" t="s">
        <v>244</v>
      </c>
      <c r="W3" s="32"/>
      <c r="X3" s="32"/>
      <c r="AA3">
        <f>SchoolCoeffcients!B11</f>
        <v>1</v>
      </c>
      <c r="AB3" t="str">
        <f>SchoolCoeffcients!C11</f>
        <v>costutil</v>
      </c>
      <c r="AC3" s="56">
        <f>SchoolCoeffcients!E11</f>
        <v>0.619603587043</v>
      </c>
      <c r="AD3" s="57">
        <f>_xlfn.IFNA(VLOOKUP(AA3,$T$31:$V$53,3,FALSE),AC3)</f>
        <v>0.619603587043</v>
      </c>
      <c r="AE3">
        <f>IF(AC3=AD3,0,1)</f>
        <v>0</v>
      </c>
    </row>
    <row r="4" spans="2:31" x14ac:dyDescent="0.25">
      <c r="B4" s="38" t="s">
        <v>0</v>
      </c>
      <c r="C4" s="39" t="s">
        <v>252</v>
      </c>
      <c r="D4" s="39" t="s">
        <v>247</v>
      </c>
      <c r="E4" s="39" t="s">
        <v>250</v>
      </c>
      <c r="F4" s="39" t="s">
        <v>253</v>
      </c>
      <c r="T4">
        <v>2</v>
      </c>
      <c r="U4" s="33" t="s">
        <v>288</v>
      </c>
      <c r="W4" s="32"/>
      <c r="X4" s="32"/>
      <c r="AA4">
        <f>SchoolCoeffcients!B12</f>
        <v>2</v>
      </c>
      <c r="AB4" t="str">
        <f>SchoolCoeffcients!C12</f>
        <v>timeutil</v>
      </c>
      <c r="AC4" s="56">
        <f>SchoolCoeffcients!E12</f>
        <v>1.56909035852</v>
      </c>
      <c r="AD4" s="57">
        <f ref="AD4:AD67" si="0" t="shared">_xlfn.IFNA(VLOOKUP(AA4,$T$31:$V$53,3,FALSE),AC4)</f>
        <v>1.56909035852</v>
      </c>
      <c r="AE4">
        <f ref="AE4:AE67" si="1" t="shared">IF(AC4=AD4,0,1)</f>
        <v>0</v>
      </c>
    </row>
    <row r="5" spans="2:31" x14ac:dyDescent="0.25">
      <c r="B5" s="9" t="s">
        <v>1</v>
      </c>
      <c r="C5" s="11"/>
      <c r="D5" s="11">
        <v>52</v>
      </c>
      <c r="E5" s="11"/>
      <c r="F5" s="11">
        <v>50</v>
      </c>
      <c r="T5">
        <v>3</v>
      </c>
      <c r="U5" s="32" t="s">
        <v>245</v>
      </c>
      <c r="V5" s="32"/>
      <c r="W5" s="32"/>
      <c r="X5" s="32"/>
      <c r="AA5">
        <f>SchoolCoeffcients!B13</f>
        <v>10</v>
      </c>
      <c r="AB5" t="str">
        <f>SchoolCoeffcients!C13</f>
        <v>sb-const</v>
      </c>
      <c r="AC5" s="56">
        <f>SchoolCoeffcients!E13</f>
        <v>-3.9122263535999999</v>
      </c>
      <c r="AD5" s="57">
        <f si="0" t="shared"/>
        <v>-3.8535844133333699</v>
      </c>
      <c r="AE5">
        <f si="1" t="shared"/>
        <v>1</v>
      </c>
    </row>
    <row r="6" spans="2:31" x14ac:dyDescent="0.25">
      <c r="B6" s="9" t="s">
        <v>2</v>
      </c>
      <c r="C6" s="11">
        <v>41</v>
      </c>
      <c r="D6" s="11">
        <v>42</v>
      </c>
      <c r="E6" s="11"/>
      <c r="F6" s="11">
        <v>40</v>
      </c>
      <c r="T6">
        <v>4</v>
      </c>
      <c r="U6" s="32" t="s">
        <v>237</v>
      </c>
      <c r="V6" s="32"/>
      <c r="W6" s="32"/>
      <c r="X6" s="32"/>
      <c r="AA6">
        <f>SchoolCoeffcients!B14</f>
        <v>11</v>
      </c>
      <c r="AB6" t="str">
        <f>SchoolCoeffcients!C14</f>
        <v>sb-nocars</v>
      </c>
      <c r="AC6" s="56">
        <f>SchoolCoeffcients!E14</f>
        <v>-3.8297482943549999</v>
      </c>
      <c r="AD6" s="57">
        <f si="0" t="shared"/>
        <v>-3.8297482943549999</v>
      </c>
      <c r="AE6">
        <f si="1" t="shared"/>
        <v>0</v>
      </c>
    </row>
    <row r="7" spans="2:31" x14ac:dyDescent="0.25">
      <c r="B7" s="9" t="s">
        <v>3</v>
      </c>
      <c r="C7" s="11" t="s">
        <v>254</v>
      </c>
      <c r="D7" s="11">
        <v>35</v>
      </c>
      <c r="E7" s="11"/>
      <c r="F7" s="11">
        <v>30</v>
      </c>
      <c r="T7" s="32">
        <v>5</v>
      </c>
      <c r="U7" s="32" t="s">
        <v>238</v>
      </c>
      <c r="V7" s="32"/>
      <c r="W7" s="32"/>
      <c r="X7" s="32"/>
      <c r="AA7">
        <f>SchoolCoeffcients!B15</f>
        <v>13</v>
      </c>
      <c r="AB7" t="str">
        <f>SchoolCoeffcients!C15</f>
        <v>sb-carsltd</v>
      </c>
      <c r="AC7" s="56">
        <f>SchoolCoeffcients!E15</f>
        <v>1.968648028</v>
      </c>
      <c r="AD7" s="57">
        <f si="0" t="shared"/>
        <v>1.968648028</v>
      </c>
      <c r="AE7">
        <f si="1" t="shared"/>
        <v>0</v>
      </c>
    </row>
    <row r="8" spans="2:31" x14ac:dyDescent="0.25">
      <c r="B8" s="9" t="s">
        <v>4</v>
      </c>
      <c r="C8" s="11"/>
      <c r="D8" s="11"/>
      <c r="E8" s="11"/>
      <c r="F8" s="11"/>
      <c r="T8" s="32"/>
      <c r="U8" s="32"/>
      <c r="V8" s="32"/>
      <c r="W8" s="32"/>
      <c r="X8" s="32"/>
      <c r="AA8">
        <f>SchoolCoeffcients!B16</f>
        <v>17</v>
      </c>
      <c r="AB8" t="str">
        <f>SchoolCoeffcients!C16</f>
        <v>sb-chun5</v>
      </c>
      <c r="AC8" s="56">
        <f>SchoolCoeffcients!E16</f>
        <v>-5</v>
      </c>
      <c r="AD8" s="57">
        <f si="0" t="shared"/>
        <v>-5</v>
      </c>
      <c r="AE8">
        <f si="1" t="shared"/>
        <v>0</v>
      </c>
    </row>
    <row r="9" spans="2:31" x14ac:dyDescent="0.25">
      <c r="B9" s="9" t="s">
        <v>5</v>
      </c>
      <c r="C9" s="11">
        <v>21</v>
      </c>
      <c r="D9" s="11">
        <v>22</v>
      </c>
      <c r="E9" s="11"/>
      <c r="F9" s="11">
        <v>20</v>
      </c>
      <c r="T9" s="32"/>
      <c r="U9" s="34" t="s">
        <v>239</v>
      </c>
      <c r="V9" s="32"/>
      <c r="W9" s="32"/>
      <c r="X9" s="32"/>
      <c r="AA9">
        <f>SchoolCoeffcients!B17</f>
        <v>18</v>
      </c>
      <c r="AB9" t="str">
        <f>SchoolCoeffcients!C17</f>
        <v>sb-univtr</v>
      </c>
      <c r="AC9" s="56">
        <f>SchoolCoeffcients!E17</f>
        <v>-0.57693711057499997</v>
      </c>
      <c r="AD9" s="57">
        <f si="0" t="shared"/>
        <v>-0.57693711057499997</v>
      </c>
      <c r="AE9">
        <f si="1" t="shared"/>
        <v>0</v>
      </c>
    </row>
    <row r="10" spans="2:31" x14ac:dyDescent="0.25">
      <c r="B10" s="9" t="s">
        <v>6</v>
      </c>
      <c r="C10" s="11">
        <v>67</v>
      </c>
      <c r="D10" s="11">
        <v>68</v>
      </c>
      <c r="E10" s="11"/>
      <c r="F10" s="11">
        <v>60</v>
      </c>
      <c r="T10" s="32">
        <v>1</v>
      </c>
      <c r="U10" s="33" t="s">
        <v>244</v>
      </c>
      <c r="V10" s="32"/>
      <c r="W10" s="32"/>
      <c r="X10" s="32"/>
      <c r="AA10">
        <f>SchoolCoeffcients!B18</f>
        <v>20</v>
      </c>
      <c r="AB10" t="str">
        <f>SchoolCoeffcients!C18</f>
        <v>wt-const</v>
      </c>
      <c r="AC10" s="56">
        <f>SchoolCoeffcients!E18</f>
        <v>-3.0290641271480001</v>
      </c>
      <c r="AD10" s="57">
        <f si="0" t="shared"/>
        <v>-1.8163886123304773</v>
      </c>
      <c r="AE10">
        <f si="1" t="shared"/>
        <v>1</v>
      </c>
    </row>
    <row r="11" spans="2:31" x14ac:dyDescent="0.25">
      <c r="B11" s="9" t="s">
        <v>7</v>
      </c>
      <c r="C11" s="11">
        <v>77</v>
      </c>
      <c r="D11" s="11">
        <v>78</v>
      </c>
      <c r="E11" s="11"/>
      <c r="F11" s="11">
        <v>70</v>
      </c>
      <c r="T11" s="32">
        <v>2</v>
      </c>
      <c r="U11" s="32" t="s">
        <v>240</v>
      </c>
      <c r="V11" s="32"/>
      <c r="W11" s="32"/>
      <c r="X11" s="32"/>
      <c r="AA11">
        <f>SchoolCoeffcients!B19</f>
        <v>21</v>
      </c>
      <c r="AB11" t="str">
        <f>SchoolCoeffcients!C19</f>
        <v>wt-nocars</v>
      </c>
      <c r="AC11" s="56">
        <f>SchoolCoeffcients!E19</f>
        <v>2.7167830999050002</v>
      </c>
      <c r="AD11" s="57">
        <f si="0" t="shared"/>
        <v>2.7167830999050002</v>
      </c>
      <c r="AE11">
        <f si="1" t="shared"/>
        <v>0</v>
      </c>
    </row>
    <row r="12" spans="2:31" x14ac:dyDescent="0.25">
      <c r="B12" s="12" t="s">
        <v>8</v>
      </c>
      <c r="C12" s="11">
        <v>11</v>
      </c>
      <c r="D12" s="11">
        <v>13</v>
      </c>
      <c r="E12" s="7"/>
      <c r="F12" s="7">
        <v>10</v>
      </c>
      <c r="T12" s="32">
        <v>3</v>
      </c>
      <c r="U12" s="32" t="s">
        <v>241</v>
      </c>
      <c r="V12" s="32"/>
      <c r="W12" s="32"/>
      <c r="X12" s="32"/>
      <c r="AA12">
        <f>SchoolCoeffcients!B20</f>
        <v>22</v>
      </c>
      <c r="AB12" t="str">
        <f>SchoolCoeffcients!C20</f>
        <v>wt-carsltd</v>
      </c>
      <c r="AC12" s="56">
        <f>SchoolCoeffcients!E20</f>
        <v>1.5381532013170001</v>
      </c>
      <c r="AD12" s="57">
        <f si="0" t="shared"/>
        <v>1.5381532013170001</v>
      </c>
      <c r="AE12">
        <f si="1" t="shared"/>
        <v>0</v>
      </c>
    </row>
    <row r="13" spans="2:31" x14ac:dyDescent="0.25">
      <c r="C13" s="25"/>
      <c r="D13" s="25"/>
      <c r="T13" s="32">
        <v>4</v>
      </c>
      <c r="U13" s="32" t="s">
        <v>242</v>
      </c>
      <c r="V13" s="32"/>
      <c r="W13" s="32"/>
      <c r="X13" s="32"/>
      <c r="AA13">
        <f>SchoolCoeffcients!B21</f>
        <v>27</v>
      </c>
      <c r="AB13" t="str">
        <f>SchoolCoeffcients!C21</f>
        <v>wt-chun5</v>
      </c>
      <c r="AC13" s="56">
        <f>SchoolCoeffcients!E21</f>
        <v>-5</v>
      </c>
      <c r="AD13" s="57">
        <f si="0" t="shared"/>
        <v>-5</v>
      </c>
      <c r="AE13">
        <f si="1" t="shared"/>
        <v>0</v>
      </c>
    </row>
    <row r="14" spans="2:31" x14ac:dyDescent="0.25">
      <c r="B14" s="37" t="s">
        <v>337</v>
      </c>
      <c r="T14" s="32">
        <v>5</v>
      </c>
      <c r="U14" s="33" t="s">
        <v>289</v>
      </c>
      <c r="V14" s="32"/>
      <c r="W14" s="32"/>
      <c r="X14" s="32"/>
      <c r="AA14">
        <f>SchoolCoeffcients!B22</f>
        <v>28</v>
      </c>
      <c r="AB14" t="str">
        <f>SchoolCoeffcients!C22</f>
        <v>wt-univtr</v>
      </c>
      <c r="AC14" s="56">
        <f>SchoolCoeffcients!E22</f>
        <v>3.6006196525799998</v>
      </c>
      <c r="AD14" s="57">
        <f si="0" t="shared"/>
        <v>3.6006196525799998</v>
      </c>
      <c r="AE14">
        <f si="1" t="shared"/>
        <v>0</v>
      </c>
    </row>
    <row r="15" spans="2:31" x14ac:dyDescent="0.25">
      <c r="B15" s="123" t="s">
        <v>293</v>
      </c>
      <c r="C15" s="123"/>
      <c r="D15" s="123"/>
      <c r="E15" s="123"/>
      <c r="F15" s="123"/>
      <c r="H15" s="122" t="s">
        <v>33</v>
      </c>
      <c r="I15" s="122"/>
      <c r="J15" s="122"/>
      <c r="K15" s="122"/>
      <c r="L15" s="122"/>
      <c r="T15" s="32">
        <v>6</v>
      </c>
      <c r="U15" s="32" t="s">
        <v>246</v>
      </c>
      <c r="V15" s="32"/>
      <c r="W15" s="32"/>
      <c r="X15" s="32"/>
      <c r="AA15">
        <f>SchoolCoeffcients!B23</f>
        <v>29</v>
      </c>
      <c r="AB15" t="str">
        <f>SchoolCoeffcients!C23</f>
        <v>wt-ch1617</v>
      </c>
      <c r="AC15" s="56">
        <f>SchoolCoeffcients!E23</f>
        <v>0</v>
      </c>
      <c r="AD15" s="57">
        <f si="0" t="shared"/>
        <v>0</v>
      </c>
      <c r="AE15">
        <f si="1" t="shared"/>
        <v>0</v>
      </c>
    </row>
    <row ht="15.75" r="16" spans="2:31" thickBot="1" x14ac:dyDescent="0.3">
      <c r="B16" s="5" t="s">
        <v>258</v>
      </c>
      <c r="H16" s="5" t="str">
        <f>B16</f>
        <v>Frequency</v>
      </c>
      <c r="N16" s="5" t="s">
        <v>271</v>
      </c>
      <c r="T16" s="32">
        <v>7</v>
      </c>
      <c r="U16" s="32" t="s">
        <v>237</v>
      </c>
      <c r="V16" s="32"/>
      <c r="W16" s="32"/>
      <c r="X16" s="32"/>
      <c r="AA16">
        <f>SchoolCoeffcients!B24</f>
        <v>30</v>
      </c>
      <c r="AB16" t="str">
        <f>SchoolCoeffcients!C24</f>
        <v>s3-const</v>
      </c>
      <c r="AC16" s="56">
        <f>SchoolCoeffcients!E24</f>
        <v>0.74191500699000001</v>
      </c>
      <c r="AD16" s="57">
        <f si="0" t="shared"/>
        <v>0.64847977747918817</v>
      </c>
      <c r="AE16">
        <f si="1" t="shared"/>
        <v>1</v>
      </c>
    </row>
    <row r="17" spans="2:31" x14ac:dyDescent="0.25">
      <c r="B17" s="38" t="s">
        <v>0</v>
      </c>
      <c r="C17" s="39" t="s">
        <v>252</v>
      </c>
      <c r="D17" s="39" t="s">
        <v>247</v>
      </c>
      <c r="E17" s="39" t="s">
        <v>250</v>
      </c>
      <c r="F17" s="39" t="s">
        <v>19</v>
      </c>
      <c r="H17" s="38" t="s">
        <v>0</v>
      </c>
      <c r="I17" s="39" t="s">
        <v>252</v>
      </c>
      <c r="J17" s="39" t="s">
        <v>247</v>
      </c>
      <c r="K17" s="39" t="s">
        <v>250</v>
      </c>
      <c r="L17" s="39" t="s">
        <v>19</v>
      </c>
      <c r="M17" s="36"/>
      <c r="N17" s="38" t="s">
        <v>0</v>
      </c>
      <c r="O17" s="39" t="s">
        <v>252</v>
      </c>
      <c r="P17" s="39" t="s">
        <v>247</v>
      </c>
      <c r="Q17" s="39" t="s">
        <v>250</v>
      </c>
      <c r="R17" s="39" t="s">
        <v>253</v>
      </c>
      <c r="T17" s="32">
        <v>8</v>
      </c>
      <c r="U17" s="32" t="s">
        <v>243</v>
      </c>
      <c r="V17" s="32"/>
      <c r="W17" s="32"/>
      <c r="X17" s="32"/>
      <c r="AA17">
        <f>SchoolCoeffcients!B25</f>
        <v>35</v>
      </c>
      <c r="AB17" t="str">
        <f>SchoolCoeffcients!C25</f>
        <v>s3-carsltd</v>
      </c>
      <c r="AC17" s="56">
        <f>SchoolCoeffcients!E25</f>
        <v>-0.37580245259400002</v>
      </c>
      <c r="AD17" s="57">
        <f si="0" t="shared"/>
        <v>-0.37580245259400002</v>
      </c>
      <c r="AE17">
        <f si="1" t="shared"/>
        <v>0</v>
      </c>
    </row>
    <row r="18" spans="2:31" x14ac:dyDescent="0.25">
      <c r="B18" s="9" t="s">
        <v>1</v>
      </c>
      <c r="C18" s="9">
        <f>School!B4</f>
        <v>0</v>
      </c>
      <c r="D18" s="9">
        <f>School!E4</f>
        <v>3494.8437079414493</v>
      </c>
      <c r="E18" s="9">
        <f>School!G4</f>
        <v>219.60575328004171</v>
      </c>
      <c r="F18" s="9">
        <f>School!H4</f>
        <v>27060.442840261683</v>
      </c>
      <c r="H18" s="9" t="s">
        <v>1</v>
      </c>
      <c r="I18" s="9">
        <f>School!K4</f>
        <v>0</v>
      </c>
      <c r="J18" s="9">
        <f>School!N4</f>
        <v>4988</v>
      </c>
      <c r="K18" s="9">
        <f>School!P4</f>
        <v>1372</v>
      </c>
      <c r="L18" s="9">
        <f>School!Q4</f>
        <v>23040</v>
      </c>
      <c r="M18" s="9"/>
      <c r="N18" s="9" t="s">
        <v>1</v>
      </c>
      <c r="O18" s="50" t="str">
        <f>IF(ISBLANK(C5),"",C5)</f>
        <v/>
      </c>
      <c r="P18" s="50">
        <f ref="P18:R25" si="2" t="shared">IF(ISBLANK(D5),"",D5)</f>
        <v>52</v>
      </c>
      <c r="Q18" s="50" t="str">
        <f si="2" t="shared"/>
        <v/>
      </c>
      <c r="R18" s="50">
        <f si="2" t="shared"/>
        <v>50</v>
      </c>
      <c r="AA18">
        <f>SchoolCoeffcients!B26</f>
        <v>36</v>
      </c>
      <c r="AB18" t="str">
        <f>SchoolCoeffcients!C26</f>
        <v>s3-nocars</v>
      </c>
      <c r="AC18" s="56">
        <f>SchoolCoeffcients!E26</f>
        <v>-0.450461799878</v>
      </c>
      <c r="AD18" s="57">
        <f si="0" t="shared"/>
        <v>-0.450461799878</v>
      </c>
      <c r="AE18">
        <f si="1" t="shared"/>
        <v>0</v>
      </c>
    </row>
    <row r="19" spans="2:31" x14ac:dyDescent="0.25">
      <c r="B19" s="9" t="s">
        <v>2</v>
      </c>
      <c r="C19" s="9">
        <f>School!B5</f>
        <v>393.96398696273047</v>
      </c>
      <c r="D19" s="9">
        <f>School!E5</f>
        <v>9018.6917087208403</v>
      </c>
      <c r="E19" s="9">
        <f>School!G5</f>
        <v>1452.6530714380758</v>
      </c>
      <c r="F19" s="9">
        <f>School!H5</f>
        <v>42860.695621993276</v>
      </c>
      <c r="H19" s="9" t="s">
        <v>2</v>
      </c>
      <c r="I19" s="9">
        <f>School!K5</f>
        <v>192</v>
      </c>
      <c r="J19" s="9">
        <f>School!N5</f>
        <v>9775</v>
      </c>
      <c r="K19" s="9">
        <f>School!P5</f>
        <v>2512</v>
      </c>
      <c r="L19" s="9">
        <f>School!Q5</f>
        <v>40894</v>
      </c>
      <c r="M19" s="9"/>
      <c r="N19" s="9" t="s">
        <v>2</v>
      </c>
      <c r="O19" s="11">
        <f ref="O19:O25" si="3" t="shared">IF(ISBLANK(C6),"",C6)</f>
        <v>41</v>
      </c>
      <c r="P19" s="11">
        <f si="2" t="shared"/>
        <v>42</v>
      </c>
      <c r="Q19" s="11" t="str">
        <f si="2" t="shared"/>
        <v/>
      </c>
      <c r="R19" s="11">
        <f si="2" t="shared"/>
        <v>40</v>
      </c>
      <c r="T19" s="9"/>
      <c r="AA19">
        <f>SchoolCoeffcients!B27</f>
        <v>37</v>
      </c>
      <c r="AB19" t="str">
        <f>SchoolCoeffcients!C27</f>
        <v>s3-twophh</v>
      </c>
      <c r="AC19" s="56">
        <f>SchoolCoeffcients!E27</f>
        <v>-3.44700065974</v>
      </c>
      <c r="AD19" s="57">
        <f si="0" t="shared"/>
        <v>-3.44700065974</v>
      </c>
      <c r="AE19">
        <f si="1" t="shared"/>
        <v>0</v>
      </c>
    </row>
    <row r="20" spans="2:31" x14ac:dyDescent="0.25">
      <c r="B20" s="9" t="s">
        <v>3</v>
      </c>
      <c r="C20" s="9">
        <f>School!B6</f>
        <v>446.67592486448081</v>
      </c>
      <c r="D20" s="9">
        <f>School!E6</f>
        <v>16036.331067359135</v>
      </c>
      <c r="E20" s="9">
        <f>School!G6</f>
        <v>834.74742372893593</v>
      </c>
      <c r="F20" s="9">
        <f>School!H6</f>
        <v>92028.671134955031</v>
      </c>
      <c r="H20" s="9" t="s">
        <v>3</v>
      </c>
      <c r="I20" s="9">
        <f>School!K6</f>
        <v>356</v>
      </c>
      <c r="J20" s="9">
        <f>School!N6</f>
        <v>20170</v>
      </c>
      <c r="K20" s="9">
        <f>School!P6</f>
        <v>5255</v>
      </c>
      <c r="L20" s="9">
        <f>School!Q6</f>
        <v>94175</v>
      </c>
      <c r="M20" s="9"/>
      <c r="N20" s="9" t="s">
        <v>3</v>
      </c>
      <c r="O20" s="11">
        <v>36</v>
      </c>
      <c r="P20" s="11">
        <f si="2" t="shared"/>
        <v>35</v>
      </c>
      <c r="Q20" s="11" t="str">
        <f si="2" t="shared"/>
        <v/>
      </c>
      <c r="R20" s="11">
        <f si="2" t="shared"/>
        <v>30</v>
      </c>
      <c r="T20" s="9"/>
      <c r="AA20">
        <f>SchoolCoeffcients!B28</f>
        <v>38</v>
      </c>
      <c r="AB20" t="str">
        <f>SchoolCoeffcients!C28</f>
        <v>s2-onephh</v>
      </c>
      <c r="AC20" s="56">
        <f>SchoolCoeffcients!E28</f>
        <v>-0.91632215658299998</v>
      </c>
      <c r="AD20" s="57">
        <f si="0" t="shared"/>
        <v>-0.91632215658299998</v>
      </c>
      <c r="AE20">
        <f si="1" t="shared"/>
        <v>0</v>
      </c>
    </row>
    <row r="21" spans="2:31" x14ac:dyDescent="0.25">
      <c r="B21" s="9" t="s">
        <v>4</v>
      </c>
      <c r="C21" s="9">
        <v>0</v>
      </c>
      <c r="D21" s="9">
        <v>0</v>
      </c>
      <c r="E21" s="9">
        <v>0</v>
      </c>
      <c r="F21" s="9">
        <v>0</v>
      </c>
      <c r="H21" s="9" t="s">
        <v>4</v>
      </c>
      <c r="I21" s="9">
        <f>School!K7</f>
        <v>0</v>
      </c>
      <c r="J21" s="9">
        <f>School!N7</f>
        <v>0</v>
      </c>
      <c r="K21" s="9">
        <f>School!P7</f>
        <v>0</v>
      </c>
      <c r="L21" s="9">
        <f>School!Q7</f>
        <v>0</v>
      </c>
      <c r="M21" s="9"/>
      <c r="N21" s="9" t="s">
        <v>4</v>
      </c>
      <c r="O21" s="11" t="str">
        <f si="3" t="shared"/>
        <v/>
      </c>
      <c r="P21" s="11" t="str">
        <f si="2" t="shared"/>
        <v/>
      </c>
      <c r="Q21" s="11" t="str">
        <f si="2" t="shared"/>
        <v/>
      </c>
      <c r="R21" s="11" t="str">
        <f si="2" t="shared"/>
        <v/>
      </c>
      <c r="T21" s="9"/>
      <c r="AA21">
        <f>SchoolCoeffcients!B29</f>
        <v>40</v>
      </c>
      <c r="AB21" t="str">
        <f>SchoolCoeffcients!C29</f>
        <v>s2-const</v>
      </c>
      <c r="AC21" s="56">
        <f>SchoolCoeffcients!E29</f>
        <v>-0.28884416060599999</v>
      </c>
      <c r="AD21" s="57">
        <f si="0" t="shared"/>
        <v>-0.31225294081777744</v>
      </c>
      <c r="AE21">
        <f si="1" t="shared"/>
        <v>1</v>
      </c>
    </row>
    <row r="22" spans="2:31" x14ac:dyDescent="0.25">
      <c r="B22" s="9" t="s">
        <v>5</v>
      </c>
      <c r="C22" s="9">
        <f>School!B8</f>
        <v>2614.0281787655404</v>
      </c>
      <c r="D22" s="9">
        <f>School!E8</f>
        <v>660.65531225613483</v>
      </c>
      <c r="E22" s="9">
        <f>School!G8</f>
        <v>199.97506857326721</v>
      </c>
      <c r="F22" s="9">
        <f>School!H8</f>
        <v>4062.2121580294433</v>
      </c>
      <c r="H22" s="9" t="s">
        <v>5</v>
      </c>
      <c r="I22" s="9">
        <f>School!K8</f>
        <v>509</v>
      </c>
      <c r="J22" s="9">
        <f>School!N8</f>
        <v>252</v>
      </c>
      <c r="K22" s="9">
        <f>School!P8</f>
        <v>61</v>
      </c>
      <c r="L22" s="9">
        <f>School!Q8</f>
        <v>1126</v>
      </c>
      <c r="M22" s="9"/>
      <c r="N22" s="84" t="s">
        <v>5</v>
      </c>
      <c r="O22" s="108">
        <f si="3" t="shared"/>
        <v>21</v>
      </c>
      <c r="P22" s="108">
        <f si="2" t="shared"/>
        <v>22</v>
      </c>
      <c r="Q22" s="108" t="str">
        <f si="2" t="shared"/>
        <v/>
      </c>
      <c r="R22" s="108">
        <f si="2" t="shared"/>
        <v>20</v>
      </c>
      <c r="T22" s="9"/>
      <c r="AA22">
        <f>SchoolCoeffcients!B30</f>
        <v>41</v>
      </c>
      <c r="AB22" t="str">
        <f>SchoolCoeffcients!C30</f>
        <v>sr-nocars</v>
      </c>
      <c r="AC22" s="56">
        <f>SchoolCoeffcients!E30</f>
        <v>-11.9257351127411</v>
      </c>
      <c r="AD22" s="57">
        <f si="0" t="shared"/>
        <v>-11.9257351127411</v>
      </c>
      <c r="AE22">
        <f si="1" t="shared"/>
        <v>0</v>
      </c>
    </row>
    <row r="23" spans="2:31" x14ac:dyDescent="0.25">
      <c r="B23" s="9" t="s">
        <v>6</v>
      </c>
      <c r="C23" s="9">
        <f>School!B9</f>
        <v>51.652948102995197</v>
      </c>
      <c r="D23" s="9">
        <f>School!E9</f>
        <v>353.06510851371416</v>
      </c>
      <c r="E23" s="9">
        <f>School!G9</f>
        <v>263.59749020712997</v>
      </c>
      <c r="F23" s="9">
        <f>School!H9</f>
        <v>591.53200777710492</v>
      </c>
      <c r="H23" s="84" t="s">
        <v>6</v>
      </c>
      <c r="I23" s="84">
        <f>School!K9</f>
        <v>359</v>
      </c>
      <c r="J23" s="84">
        <f>School!N9</f>
        <v>831</v>
      </c>
      <c r="K23" s="84">
        <f>School!P9</f>
        <v>185</v>
      </c>
      <c r="L23" s="84">
        <f>School!Q9</f>
        <v>2185</v>
      </c>
      <c r="M23" s="9"/>
      <c r="N23" s="84" t="s">
        <v>6</v>
      </c>
      <c r="O23" s="108">
        <f si="3" t="shared"/>
        <v>67</v>
      </c>
      <c r="P23" s="108">
        <f si="2" t="shared"/>
        <v>68</v>
      </c>
      <c r="Q23" s="108" t="str">
        <f si="2" t="shared"/>
        <v/>
      </c>
      <c r="R23" s="108">
        <f si="2" t="shared"/>
        <v>60</v>
      </c>
      <c r="T23" s="9"/>
      <c r="AA23">
        <f>SchoolCoeffcients!B31</f>
        <v>42</v>
      </c>
      <c r="AB23" t="str">
        <f>SchoolCoeffcients!C31</f>
        <v>sr-carsltd</v>
      </c>
      <c r="AC23" s="56">
        <f>SchoolCoeffcients!E31</f>
        <v>3.9227926870999998E-2</v>
      </c>
      <c r="AD23" s="57">
        <f si="0" t="shared"/>
        <v>3.9227926870999998E-2</v>
      </c>
      <c r="AE23">
        <f si="1" t="shared"/>
        <v>0</v>
      </c>
    </row>
    <row r="24" spans="2:31" x14ac:dyDescent="0.25">
      <c r="B24" s="84" t="s">
        <v>7</v>
      </c>
      <c r="C24" s="9">
        <f>School!B10</f>
        <v>185.41011009435789</v>
      </c>
      <c r="D24" s="9">
        <f>School!E10</f>
        <v>2743.6847432112409</v>
      </c>
      <c r="E24" s="9">
        <f>School!G10</f>
        <v>199.29052434578222</v>
      </c>
      <c r="F24" s="9">
        <f>School!H10</f>
        <v>6799.7572624713666</v>
      </c>
      <c r="H24" s="84" t="s">
        <v>7</v>
      </c>
      <c r="I24" s="84">
        <f>School!K10</f>
        <v>92</v>
      </c>
      <c r="J24" s="84">
        <f>School!N10</f>
        <v>4440</v>
      </c>
      <c r="K24" s="84">
        <f>School!P10</f>
        <v>1112</v>
      </c>
      <c r="L24" s="84">
        <f>School!Q10</f>
        <v>6224</v>
      </c>
      <c r="M24" s="9"/>
      <c r="N24" s="84" t="s">
        <v>7</v>
      </c>
      <c r="O24" s="108">
        <f si="3" t="shared"/>
        <v>77</v>
      </c>
      <c r="P24" s="108">
        <f si="2" t="shared"/>
        <v>78</v>
      </c>
      <c r="Q24" s="108" t="str">
        <f si="2" t="shared"/>
        <v/>
      </c>
      <c r="R24" s="108">
        <f si="2" t="shared"/>
        <v>70</v>
      </c>
      <c r="T24" s="9"/>
      <c r="AA24">
        <f>SchoolCoeffcients!B32</f>
        <v>44</v>
      </c>
      <c r="AB24" t="str">
        <f>SchoolCoeffcients!C32</f>
        <v>sr-incu25</v>
      </c>
      <c r="AC24" s="56">
        <f>SchoolCoeffcients!E32</f>
        <v>0.192045382396</v>
      </c>
      <c r="AD24" s="57">
        <f si="0" t="shared"/>
        <v>0.192045382396</v>
      </c>
      <c r="AE24">
        <f si="1" t="shared"/>
        <v>0</v>
      </c>
    </row>
    <row r="25" spans="2:31" x14ac:dyDescent="0.25">
      <c r="B25" s="84" t="s">
        <v>8</v>
      </c>
      <c r="C25" s="9">
        <f>School!B11+Work!B11+Escort!B11+Personal_Business!B11+Shop!B11+Meal!B11+SocRec!B11</f>
        <v>3298.1418034114381</v>
      </c>
      <c r="D25" s="9">
        <f>School!E11+Work!E11+Escort!E11+Personal_Business!E11+Shop!E11+Meal!E11+SocRec!E11</f>
        <v>29396.082275493405</v>
      </c>
      <c r="E25" s="9">
        <f>School!G11+Work!G11+Escort!G11+Personal_Business!G11+Shop!G11+Meal!G11+SocRec!G11</f>
        <v>8328.0302646735217</v>
      </c>
      <c r="F25" s="9">
        <f>School!H11+Work!H11+Escort!H11+Personal_Business!H11+Shop!H11+Meal!H11+SocRec!H11</f>
        <v>113504.21898147951</v>
      </c>
      <c r="H25" s="84" t="s">
        <v>8</v>
      </c>
      <c r="I25" s="84">
        <f>School!K11</f>
        <v>3175</v>
      </c>
      <c r="J25" s="84">
        <f>School!N11</f>
        <v>28433</v>
      </c>
      <c r="K25" s="84">
        <f>School!P11</f>
        <v>7008</v>
      </c>
      <c r="L25" s="84">
        <f>School!Q11</f>
        <v>99765</v>
      </c>
      <c r="M25" s="9"/>
      <c r="N25" s="84" t="s">
        <v>8</v>
      </c>
      <c r="O25" s="108">
        <f si="3" t="shared"/>
        <v>11</v>
      </c>
      <c r="P25" s="108">
        <f si="2" t="shared"/>
        <v>13</v>
      </c>
      <c r="Q25" s="108" t="str">
        <f si="2" t="shared"/>
        <v/>
      </c>
      <c r="R25" s="108">
        <f si="2" t="shared"/>
        <v>10</v>
      </c>
      <c r="T25" s="9"/>
      <c r="AA25">
        <f>SchoolCoeffcients!B33</f>
        <v>45</v>
      </c>
      <c r="AB25" t="str">
        <f>SchoolCoeffcients!C33</f>
        <v>sr-inc2550</v>
      </c>
      <c r="AC25" s="56">
        <f>SchoolCoeffcients!E33</f>
        <v>0.39589717514</v>
      </c>
      <c r="AD25" s="57">
        <f si="0" t="shared"/>
        <v>0.39589717514</v>
      </c>
      <c r="AE25">
        <f si="1" t="shared"/>
        <v>0</v>
      </c>
    </row>
    <row r="26" spans="2:31" x14ac:dyDescent="0.25">
      <c r="B26" s="105" t="s">
        <v>302</v>
      </c>
      <c r="C26" s="9">
        <f>School!B12</f>
        <v>0</v>
      </c>
      <c r="D26" s="9">
        <f>School!E12</f>
        <v>0</v>
      </c>
      <c r="E26" s="9">
        <f>School!G12</f>
        <v>0</v>
      </c>
      <c r="F26" s="9">
        <f>School!H12</f>
        <v>0</v>
      </c>
      <c r="H26" s="109" t="s">
        <v>302</v>
      </c>
      <c r="I26" s="12">
        <f>School!K12</f>
        <v>0</v>
      </c>
      <c r="J26" s="12">
        <f>School!N12</f>
        <v>0</v>
      </c>
      <c r="K26" s="12">
        <f>School!P12</f>
        <v>0</v>
      </c>
      <c r="L26" s="12">
        <f>School!Q12</f>
        <v>0</v>
      </c>
      <c r="M26" s="9"/>
      <c r="N26" s="109" t="s">
        <v>302</v>
      </c>
      <c r="O26" s="7">
        <v>81</v>
      </c>
      <c r="P26" s="7">
        <v>82</v>
      </c>
      <c r="Q26" s="7"/>
      <c r="R26" s="7">
        <v>80</v>
      </c>
      <c r="T26" s="9"/>
      <c r="AA26">
        <f>SchoolCoeffcients!B34</f>
        <v>47</v>
      </c>
      <c r="AB26" t="str">
        <f>SchoolCoeffcients!C34</f>
        <v>sr-chun5</v>
      </c>
      <c r="AC26" s="56">
        <f>SchoolCoeffcients!E34</f>
        <v>0</v>
      </c>
      <c r="AD26" s="57">
        <f si="0" t="shared"/>
        <v>0</v>
      </c>
      <c r="AE26">
        <f si="1" t="shared"/>
        <v>0</v>
      </c>
    </row>
    <row ht="15.75" r="27" spans="2:31" thickBot="1" x14ac:dyDescent="0.3">
      <c r="B27" s="43" t="s">
        <v>19</v>
      </c>
      <c r="C27" s="43">
        <f>SUM(C18:C26)</f>
        <v>6989.8729522015428</v>
      </c>
      <c r="D27" s="43">
        <f ref="D27:F27" si="4" t="shared">SUM(D18:D26)</f>
        <v>61703.353923495917</v>
      </c>
      <c r="E27" s="43">
        <f si="4" t="shared"/>
        <v>11497.899596246754</v>
      </c>
      <c r="F27" s="43">
        <f si="4" t="shared"/>
        <v>286907.53000696737</v>
      </c>
      <c r="H27" s="85" t="s">
        <v>19</v>
      </c>
      <c r="I27" s="85">
        <f>SUM(I18:I26)</f>
        <v>4683</v>
      </c>
      <c r="J27" s="85">
        <f ref="J27:L27" si="5" t="shared">SUM(J18:J26)</f>
        <v>68889</v>
      </c>
      <c r="K27" s="85">
        <f si="5" t="shared"/>
        <v>17505</v>
      </c>
      <c r="L27" s="85">
        <f si="5" t="shared"/>
        <v>267409</v>
      </c>
      <c r="AA27">
        <f>SchoolCoeffcients!B35</f>
        <v>50</v>
      </c>
      <c r="AB27" t="str">
        <f>SchoolCoeffcients!C35</f>
        <v>da-const</v>
      </c>
      <c r="AC27" s="56">
        <f>SchoolCoeffcients!E35</f>
        <v>2.2563889294499999</v>
      </c>
      <c r="AD27" s="57">
        <f si="0" t="shared"/>
        <v>2.3468494341527988</v>
      </c>
      <c r="AE27">
        <f si="1" t="shared"/>
        <v>1</v>
      </c>
    </row>
    <row r="28" spans="2:31" x14ac:dyDescent="0.25">
      <c r="F28" s="9"/>
      <c r="AA28">
        <f>SchoolCoeffcients!B36</f>
        <v>52</v>
      </c>
      <c r="AB28" t="str">
        <f>SchoolCoeffcients!C36</f>
        <v>da-carsltd</v>
      </c>
      <c r="AC28" s="56">
        <f>SchoolCoeffcients!E36</f>
        <v>-1.3657398963230001</v>
      </c>
      <c r="AD28" s="57">
        <f si="0" t="shared"/>
        <v>-1.3657398963230001</v>
      </c>
      <c r="AE28">
        <f si="1" t="shared"/>
        <v>0</v>
      </c>
    </row>
    <row ht="15.75" r="29" spans="2:31" thickBot="1" x14ac:dyDescent="0.3">
      <c r="B29" s="37" t="s">
        <v>267</v>
      </c>
      <c r="H29" s="37" t="s">
        <v>268</v>
      </c>
      <c r="N29" s="23" t="s">
        <v>257</v>
      </c>
      <c r="T29" t="s">
        <v>270</v>
      </c>
      <c r="AA29">
        <f>SchoolCoeffcients!B37</f>
        <v>54</v>
      </c>
      <c r="AB29" t="str">
        <f>SchoolCoeffcients!C37</f>
        <v>da-incu25</v>
      </c>
      <c r="AC29" s="56">
        <f>SchoolCoeffcients!E37</f>
        <v>0</v>
      </c>
      <c r="AD29" s="57">
        <f si="0" t="shared"/>
        <v>0</v>
      </c>
      <c r="AE29">
        <f si="1" t="shared"/>
        <v>0</v>
      </c>
    </row>
    <row r="30" spans="2:31" x14ac:dyDescent="0.25">
      <c r="B30" s="38" t="s">
        <v>0</v>
      </c>
      <c r="C30" s="39" t="s">
        <v>252</v>
      </c>
      <c r="D30" s="39" t="s">
        <v>247</v>
      </c>
      <c r="E30" s="39" t="str">
        <f>E17</f>
        <v>cars &lt; workers</v>
      </c>
      <c r="F30" s="39" t="s">
        <v>19</v>
      </c>
      <c r="H30" s="38" t="s">
        <v>0</v>
      </c>
      <c r="I30" s="39" t="s">
        <v>252</v>
      </c>
      <c r="J30" s="39" t="s">
        <v>247</v>
      </c>
      <c r="K30" s="39" t="s">
        <v>250</v>
      </c>
      <c r="L30" s="39" t="s">
        <v>19</v>
      </c>
      <c r="M30" s="36"/>
      <c r="N30" s="38" t="s">
        <v>0</v>
      </c>
      <c r="O30" s="39" t="s">
        <v>252</v>
      </c>
      <c r="P30" s="39" t="s">
        <v>247</v>
      </c>
      <c r="Q30" s="39" t="s">
        <v>250</v>
      </c>
      <c r="R30" s="39" t="s">
        <v>253</v>
      </c>
      <c r="T30" s="39" t="s">
        <v>59</v>
      </c>
      <c r="U30" s="39" t="s">
        <v>60</v>
      </c>
      <c r="V30" s="39" t="s">
        <v>213</v>
      </c>
      <c r="AA30">
        <f>SchoolCoeffcients!B38</f>
        <v>56</v>
      </c>
      <c r="AB30" t="str">
        <f>SchoolCoeffcients!C38</f>
        <v>da-inco75</v>
      </c>
      <c r="AC30" s="56">
        <f>SchoolCoeffcients!E38</f>
        <v>0</v>
      </c>
      <c r="AD30" s="57">
        <f si="0" t="shared"/>
        <v>0</v>
      </c>
      <c r="AE30">
        <f si="1" t="shared"/>
        <v>0</v>
      </c>
    </row>
    <row r="31" spans="2:31" x14ac:dyDescent="0.25">
      <c r="B31" s="9" t="s">
        <v>1</v>
      </c>
      <c r="C31" s="35">
        <f ref="C31:C39" si="6" t="shared">$C18/C$27</f>
        <v>0</v>
      </c>
      <c r="D31" s="35">
        <f ref="D31:D39" si="7" t="shared">$D18/D$27</f>
        <v>5.6639444790547333E-2</v>
      </c>
      <c r="E31" s="35">
        <f ref="E31:E40" si="8" t="shared">$E18/E$27</f>
        <v>1.9099640890213317E-2</v>
      </c>
      <c r="F31" s="35">
        <f ref="F31:F40" si="9" t="shared">$F18/F$27</f>
        <v>9.4317645966296312E-2</v>
      </c>
      <c r="H31" s="9" t="s">
        <v>1</v>
      </c>
      <c r="I31" s="26">
        <f ref="I31:I39" si="10" t="shared">$I18/I$27</f>
        <v>0</v>
      </c>
      <c r="J31" s="26">
        <f ref="J31:J39" si="11" t="shared">$J18/J$27</f>
        <v>7.2406334828492208E-2</v>
      </c>
      <c r="K31" s="26">
        <f ref="K31:K39" si="12" t="shared">$K18/K$27</f>
        <v>7.8377606398171956E-2</v>
      </c>
      <c r="L31" s="26">
        <f ref="L31:L40" si="13" t="shared">$L18/L$27</f>
        <v>8.6160151677767013E-2</v>
      </c>
      <c r="M31" s="26"/>
      <c r="N31" s="9" t="s">
        <v>1</v>
      </c>
      <c r="O31" s="40" t="str">
        <f ref="O31:R38" si="14" t="shared">IF(O18="","-",C31/I31)</f>
        <v>-</v>
      </c>
      <c r="P31" s="40">
        <f si="14" t="shared"/>
        <v>0.78224432882438155</v>
      </c>
      <c r="Q31" s="40" t="str">
        <f si="14" t="shared"/>
        <v>-</v>
      </c>
      <c r="R31" s="40">
        <f si="14" t="shared"/>
        <v>1.094678272144155</v>
      </c>
      <c r="T31">
        <v>10</v>
      </c>
      <c r="U31" t="str">
        <f>VLOOKUP(T31,$AA$3:$AB$48,2,FALSE)</f>
        <v>sb-const</v>
      </c>
      <c r="V31" s="30">
        <f>R89</f>
        <v>-3.8535844133333699</v>
      </c>
      <c r="AA31">
        <f>SchoolCoeffcients!B39</f>
        <v>59</v>
      </c>
      <c r="AB31" t="str">
        <f>SchoolCoeffcients!C39</f>
        <v>da-ch1617</v>
      </c>
      <c r="AC31" s="56">
        <f>SchoolCoeffcients!E39</f>
        <v>-2.04951466168</v>
      </c>
      <c r="AD31" s="57">
        <f si="0" t="shared"/>
        <v>-2.04951466168</v>
      </c>
      <c r="AE31">
        <f si="1" t="shared"/>
        <v>0</v>
      </c>
    </row>
    <row r="32" spans="2:31" x14ac:dyDescent="0.25">
      <c r="B32" s="9" t="s">
        <v>2</v>
      </c>
      <c r="C32" s="35">
        <f si="6" t="shared"/>
        <v>5.6362109820414813E-2</v>
      </c>
      <c r="D32" s="35">
        <f si="7" t="shared"/>
        <v>0.14616209873944352</v>
      </c>
      <c r="E32" s="35">
        <f si="8" t="shared"/>
        <v>0.12634073373820934</v>
      </c>
      <c r="F32" s="35">
        <f si="9" t="shared"/>
        <v>0.14938853511775183</v>
      </c>
      <c r="H32" s="9" t="s">
        <v>2</v>
      </c>
      <c r="I32" s="26">
        <f si="10" t="shared"/>
        <v>4.0999359385009607E-2</v>
      </c>
      <c r="J32" s="26">
        <f si="11" t="shared"/>
        <v>0.14189493242752835</v>
      </c>
      <c r="K32" s="26">
        <f si="12" t="shared"/>
        <v>0.14350185661239645</v>
      </c>
      <c r="L32" s="26">
        <f si="13" t="shared"/>
        <v>0.15292679004820331</v>
      </c>
      <c r="M32" s="26"/>
      <c r="N32" s="9" t="s">
        <v>2</v>
      </c>
      <c r="O32" s="62">
        <f>IF(O19="","-",(C32+C33)/(I32+I33))</f>
        <v>1.0277425155788702</v>
      </c>
      <c r="P32" s="41">
        <f si="14" t="shared"/>
        <v>1.0300727181648619</v>
      </c>
      <c r="Q32" s="41" t="str">
        <f si="14" t="shared"/>
        <v>-</v>
      </c>
      <c r="R32" s="41">
        <f si="14" t="shared"/>
        <v>0.97686307984797038</v>
      </c>
      <c r="T32">
        <v>11</v>
      </c>
      <c r="U32" t="str">
        <f ref="U32:U53" si="15" t="shared">VLOOKUP(T32,$AA$3:$AB$48,2,FALSE)</f>
        <v>sb-nocars</v>
      </c>
      <c r="V32" s="30">
        <f>O89</f>
        <v>-3.8297482943549999</v>
      </c>
      <c r="AA32">
        <f>SchoolCoeffcients!B40</f>
        <v>60</v>
      </c>
      <c r="AB32" t="str">
        <f>SchoolCoeffcients!C40</f>
        <v>bi-const</v>
      </c>
      <c r="AC32" s="56">
        <f>SchoolCoeffcients!E40</f>
        <v>-3.377903764559</v>
      </c>
      <c r="AD32" s="57">
        <f si="0" t="shared"/>
        <v>-4.7549397244422611</v>
      </c>
      <c r="AE32">
        <f si="1" t="shared"/>
        <v>1</v>
      </c>
    </row>
    <row r="33" spans="2:31" x14ac:dyDescent="0.25">
      <c r="B33" s="9" t="s">
        <v>3</v>
      </c>
      <c r="C33" s="35">
        <f si="6" t="shared"/>
        <v>6.3903296657744676E-2</v>
      </c>
      <c r="D33" s="35">
        <f si="7" t="shared"/>
        <v>0.259893993562199</v>
      </c>
      <c r="E33" s="35">
        <f si="8" t="shared"/>
        <v>7.2599992437003144E-2</v>
      </c>
      <c r="F33" s="35">
        <f si="9" t="shared"/>
        <v>0.32076073825152018</v>
      </c>
      <c r="H33" s="9" t="s">
        <v>3</v>
      </c>
      <c r="I33" s="26">
        <f si="10" t="shared"/>
        <v>7.6019645526371984E-2</v>
      </c>
      <c r="J33" s="26">
        <f si="11" t="shared"/>
        <v>0.29278985033895105</v>
      </c>
      <c r="K33" s="26">
        <f si="12" t="shared"/>
        <v>0.30019994287346474</v>
      </c>
      <c r="L33" s="26">
        <f si="13" t="shared"/>
        <v>0.35217588039295611</v>
      </c>
      <c r="M33" s="26"/>
      <c r="N33" s="9" t="s">
        <v>3</v>
      </c>
      <c r="O33" s="41">
        <f si="14" t="shared"/>
        <v>0.84061555687701772</v>
      </c>
      <c r="P33" s="41">
        <f si="14" t="shared"/>
        <v>0.88764686774944612</v>
      </c>
      <c r="Q33" s="41" t="str">
        <f si="14" t="shared"/>
        <v>-</v>
      </c>
      <c r="R33" s="41">
        <f si="14" t="shared"/>
        <v>0.91079700828352284</v>
      </c>
      <c r="T33">
        <v>13</v>
      </c>
      <c r="U33" t="str">
        <f si="15" t="shared"/>
        <v>sb-carsltd</v>
      </c>
      <c r="V33" s="30">
        <f>P89</f>
        <v>1.968648028</v>
      </c>
      <c r="AA33">
        <f>SchoolCoeffcients!B41</f>
        <v>61</v>
      </c>
      <c r="AB33" t="str">
        <f>SchoolCoeffcients!C41</f>
        <v>bi-male</v>
      </c>
      <c r="AC33" s="56">
        <f>SchoolCoeffcients!E41</f>
        <v>0</v>
      </c>
      <c r="AD33" s="57">
        <f si="0" t="shared"/>
        <v>0</v>
      </c>
      <c r="AE33">
        <f si="1" t="shared"/>
        <v>0</v>
      </c>
    </row>
    <row r="34" spans="2:31" x14ac:dyDescent="0.25">
      <c r="B34" s="9" t="s">
        <v>4</v>
      </c>
      <c r="C34" s="35">
        <f si="6" t="shared"/>
        <v>0</v>
      </c>
      <c r="D34" s="35">
        <f si="7" t="shared"/>
        <v>0</v>
      </c>
      <c r="E34" s="35">
        <f si="8" t="shared"/>
        <v>0</v>
      </c>
      <c r="F34" s="35">
        <f si="9" t="shared"/>
        <v>0</v>
      </c>
      <c r="H34" s="9" t="s">
        <v>4</v>
      </c>
      <c r="I34" s="26">
        <f si="10" t="shared"/>
        <v>0</v>
      </c>
      <c r="J34" s="26">
        <f si="11" t="shared"/>
        <v>0</v>
      </c>
      <c r="K34" s="26">
        <f si="12" t="shared"/>
        <v>0</v>
      </c>
      <c r="L34" s="26">
        <f si="13" t="shared"/>
        <v>0</v>
      </c>
      <c r="M34" s="26"/>
      <c r="N34" s="9" t="s">
        <v>4</v>
      </c>
      <c r="O34" s="41" t="str">
        <f si="14" t="shared"/>
        <v>-</v>
      </c>
      <c r="P34" s="41" t="str">
        <f si="14" t="shared"/>
        <v>-</v>
      </c>
      <c r="Q34" s="41" t="str">
        <f si="14" t="shared"/>
        <v>-</v>
      </c>
      <c r="R34" s="41" t="str">
        <f si="14" t="shared"/>
        <v>-</v>
      </c>
      <c r="T34">
        <v>20</v>
      </c>
      <c r="U34" t="str">
        <f si="15" t="shared"/>
        <v>wt-const</v>
      </c>
      <c r="V34" s="30">
        <f>R86</f>
        <v>-1.8163886123304773</v>
      </c>
      <c r="AA34">
        <f>SchoolCoeffcients!B42</f>
        <v>67</v>
      </c>
      <c r="AB34" t="str">
        <f>SchoolCoeffcients!C42</f>
        <v>bi-nocars</v>
      </c>
      <c r="AC34" s="56">
        <f>SchoolCoeffcients!E42</f>
        <v>0.897530440835</v>
      </c>
      <c r="AD34" s="57">
        <f si="0" t="shared"/>
        <v>0.897530440835</v>
      </c>
      <c r="AE34">
        <f si="1" t="shared"/>
        <v>0</v>
      </c>
    </row>
    <row r="35" spans="2:31" x14ac:dyDescent="0.25">
      <c r="B35" s="9" t="s">
        <v>5</v>
      </c>
      <c r="C35" s="35">
        <f si="6" t="shared"/>
        <v>0.37397363251677146</v>
      </c>
      <c r="D35" s="35">
        <f si="7" t="shared"/>
        <v>1.0706959512691336E-2</v>
      </c>
      <c r="E35" s="35">
        <f si="8" t="shared"/>
        <v>1.7392312995892296E-2</v>
      </c>
      <c r="F35" s="35">
        <f si="9" t="shared"/>
        <v>1.4158611166220681E-2</v>
      </c>
      <c r="H35" s="9" t="s">
        <v>5</v>
      </c>
      <c r="I35" s="26">
        <f si="10" t="shared"/>
        <v>0.10869101003630152</v>
      </c>
      <c r="J35" s="26">
        <f si="11" t="shared"/>
        <v>3.6580586160344904E-3</v>
      </c>
      <c r="K35" s="26">
        <f si="12" t="shared"/>
        <v>3.4847186518137674E-3</v>
      </c>
      <c r="L35" s="26">
        <f si="13" t="shared"/>
        <v>4.2107782460575373E-3</v>
      </c>
      <c r="M35" s="26"/>
      <c r="N35" s="9" t="s">
        <v>5</v>
      </c>
      <c r="O35" s="41">
        <f si="14" t="shared"/>
        <v>3.4407043636071526</v>
      </c>
      <c r="P35" s="41">
        <f si="14" t="shared"/>
        <v>2.9269513248801324</v>
      </c>
      <c r="Q35" s="41" t="str">
        <f si="14" t="shared"/>
        <v>-</v>
      </c>
      <c r="R35" s="41">
        <f si="14" t="shared"/>
        <v>3.3624689638968972</v>
      </c>
      <c r="T35">
        <v>21</v>
      </c>
      <c r="U35" t="str">
        <f si="15" t="shared"/>
        <v>wt-nocars</v>
      </c>
      <c r="V35" s="30">
        <f>O86</f>
        <v>2.7167830999050002</v>
      </c>
      <c r="AA35">
        <f>SchoolCoeffcients!B43</f>
        <v>68</v>
      </c>
      <c r="AB35" t="str">
        <f>SchoolCoeffcients!C43</f>
        <v>bi-carsltd</v>
      </c>
      <c r="AC35" s="56">
        <f>SchoolCoeffcients!E43</f>
        <v>1.64137554159</v>
      </c>
      <c r="AD35" s="57">
        <f si="0" t="shared"/>
        <v>1.64137554159</v>
      </c>
      <c r="AE35">
        <f si="1" t="shared"/>
        <v>0</v>
      </c>
    </row>
    <row r="36" spans="2:31" x14ac:dyDescent="0.25">
      <c r="B36" s="9" t="s">
        <v>6</v>
      </c>
      <c r="C36" s="81">
        <f si="6" t="shared"/>
        <v>7.3896833971390701E-3</v>
      </c>
      <c r="D36" s="81">
        <f si="7" t="shared"/>
        <v>5.7219759715406828E-3</v>
      </c>
      <c r="E36" s="81">
        <f si="8" t="shared"/>
        <v>2.2925708126132514E-2</v>
      </c>
      <c r="F36" s="81">
        <f si="9" t="shared"/>
        <v>2.0617514213124347E-3</v>
      </c>
      <c r="H36" s="9" t="s">
        <v>6</v>
      </c>
      <c r="I36" s="13">
        <f si="10" t="shared"/>
        <v>7.6660260516762765E-2</v>
      </c>
      <c r="J36" s="13">
        <f si="11" t="shared"/>
        <v>1.2062883769542307E-2</v>
      </c>
      <c r="K36" s="13">
        <f si="12" t="shared"/>
        <v>1.0568409025992574E-2</v>
      </c>
      <c r="L36" s="13">
        <f si="13" t="shared"/>
        <v>8.1710039677049019E-3</v>
      </c>
      <c r="M36" s="26"/>
      <c r="N36" s="9" t="s">
        <v>6</v>
      </c>
      <c r="O36" s="41">
        <f si="14" t="shared"/>
        <v>9.6395229383850312E-2</v>
      </c>
      <c r="P36" s="41">
        <f si="14" t="shared"/>
        <v>0.47434561095483285</v>
      </c>
      <c r="Q36" s="41" t="str">
        <f si="14" t="shared"/>
        <v>-</v>
      </c>
      <c r="R36" s="41">
        <f>IF(R23="","-",F36/L36)</f>
        <v>0.2523253482021679</v>
      </c>
      <c r="T36">
        <v>22</v>
      </c>
      <c r="U36" t="str">
        <f si="15" t="shared"/>
        <v>wt-carsltd</v>
      </c>
      <c r="V36" s="30">
        <f>P86</f>
        <v>1.5381532013170001</v>
      </c>
      <c r="AA36">
        <f>SchoolCoeffcients!B44</f>
        <v>69</v>
      </c>
      <c r="AB36" t="str">
        <f>SchoolCoeffcients!C44</f>
        <v>bi-univtr</v>
      </c>
      <c r="AC36" s="56">
        <f>SchoolCoeffcients!E44</f>
        <v>2.1188702639299999</v>
      </c>
      <c r="AD36" s="57">
        <f si="0" t="shared"/>
        <v>2.1188702639299999</v>
      </c>
      <c r="AE36">
        <f si="1" t="shared"/>
        <v>0</v>
      </c>
    </row>
    <row r="37" spans="2:31" x14ac:dyDescent="0.25">
      <c r="B37" s="9" t="s">
        <v>7</v>
      </c>
      <c r="C37" s="35">
        <f si="6" t="shared"/>
        <v>2.6525533634479119E-2</v>
      </c>
      <c r="D37" s="35">
        <f si="7" t="shared"/>
        <v>4.4465731094829153E-2</v>
      </c>
      <c r="E37" s="35">
        <f si="8" t="shared"/>
        <v>1.7332776536928222E-2</v>
      </c>
      <c r="F37" s="35">
        <f si="9" t="shared"/>
        <v>2.3700170094198083E-2</v>
      </c>
      <c r="H37" s="9" t="s">
        <v>7</v>
      </c>
      <c r="I37" s="26">
        <f si="10" t="shared"/>
        <v>1.964552637198377E-2</v>
      </c>
      <c r="J37" s="26">
        <f si="11" t="shared"/>
        <v>6.4451508949179115E-2</v>
      </c>
      <c r="K37" s="26">
        <f si="12" t="shared"/>
        <v>6.3524707226506716E-2</v>
      </c>
      <c r="L37" s="26">
        <f si="13" t="shared"/>
        <v>2.3275207640730117E-2</v>
      </c>
      <c r="M37" s="26"/>
      <c r="N37" s="9" t="s">
        <v>7</v>
      </c>
      <c r="O37" s="41">
        <f si="14" t="shared"/>
        <v>1.3502073261985403</v>
      </c>
      <c r="P37" s="41">
        <f si="14" t="shared"/>
        <v>0.68990985346659583</v>
      </c>
      <c r="Q37" s="41" t="str">
        <f si="14" t="shared"/>
        <v>-</v>
      </c>
      <c r="R37" s="41">
        <f>IF(R24="","-",F37/L37)</f>
        <v>1.0182581594986206</v>
      </c>
      <c r="T37">
        <v>30</v>
      </c>
      <c r="U37" t="str">
        <f si="15" t="shared"/>
        <v>s3-const</v>
      </c>
      <c r="V37" s="30">
        <f>R84</f>
        <v>0.64847977747918817</v>
      </c>
      <c r="AA37">
        <f>SchoolCoeffcients!B45</f>
        <v>70</v>
      </c>
      <c r="AB37" t="str">
        <f>SchoolCoeffcients!C45</f>
        <v>wk-const</v>
      </c>
      <c r="AC37" s="56">
        <f>SchoolCoeffcients!E45</f>
        <v>-0.28136050622100001</v>
      </c>
      <c r="AD37" s="57">
        <f si="0" t="shared"/>
        <v>-0.26326702545003494</v>
      </c>
      <c r="AE37">
        <f si="1" t="shared"/>
        <v>1</v>
      </c>
    </row>
    <row r="38" spans="2:31" x14ac:dyDescent="0.25">
      <c r="B38" s="84" t="s">
        <v>8</v>
      </c>
      <c r="C38" s="106">
        <f si="6" t="shared"/>
        <v>0.47184574397345086</v>
      </c>
      <c r="D38" s="106">
        <f si="7" t="shared"/>
        <v>0.47640979632874902</v>
      </c>
      <c r="E38" s="106">
        <f si="8" t="shared"/>
        <v>0.72430883527562118</v>
      </c>
      <c r="F38" s="106">
        <f si="9" t="shared"/>
        <v>0.39561254798270068</v>
      </c>
      <c r="H38" s="84" t="s">
        <v>8</v>
      </c>
      <c r="I38" s="26">
        <f si="10" t="shared"/>
        <v>0.67798419816357036</v>
      </c>
      <c r="J38" s="26">
        <f si="11" t="shared"/>
        <v>0.41273643107027247</v>
      </c>
      <c r="K38" s="26">
        <f si="12" t="shared"/>
        <v>0.4003427592116538</v>
      </c>
      <c r="L38" s="26">
        <f si="13" t="shared"/>
        <v>0.37308018802658099</v>
      </c>
      <c r="M38" s="26"/>
      <c r="N38" s="84" t="s">
        <v>8</v>
      </c>
      <c r="O38" s="110">
        <f si="14" t="shared"/>
        <v>0.6959538957567466</v>
      </c>
      <c r="P38" s="110">
        <f si="14" t="shared"/>
        <v>1.1542712502828119</v>
      </c>
      <c r="Q38" s="110" t="str">
        <f si="14" t="shared"/>
        <v>-</v>
      </c>
      <c r="R38" s="110">
        <f si="14" t="shared"/>
        <v>1.0603954878314641</v>
      </c>
      <c r="T38">
        <v>35</v>
      </c>
      <c r="U38" t="str">
        <f si="15" t="shared"/>
        <v>s3-carsltd</v>
      </c>
      <c r="V38" s="30">
        <f>P84</f>
        <v>-0.37580245259400002</v>
      </c>
      <c r="AA38">
        <f>SchoolCoeffcients!B46</f>
        <v>77</v>
      </c>
      <c r="AB38" t="str">
        <f>SchoolCoeffcients!C46</f>
        <v>wk-nocars</v>
      </c>
      <c r="AC38" s="56">
        <f>SchoolCoeffcients!E46</f>
        <v>1.255943066485</v>
      </c>
      <c r="AD38" s="57">
        <f si="0" t="shared"/>
        <v>1.255943066485</v>
      </c>
      <c r="AE38">
        <f si="1" t="shared"/>
        <v>0</v>
      </c>
    </row>
    <row r="39" spans="2:31" x14ac:dyDescent="0.25">
      <c r="B39" s="105" t="s">
        <v>302</v>
      </c>
      <c r="C39" s="35">
        <f si="6" t="shared"/>
        <v>0</v>
      </c>
      <c r="D39" s="35">
        <f si="7" t="shared"/>
        <v>0</v>
      </c>
      <c r="E39" s="35">
        <f si="8" t="shared"/>
        <v>0</v>
      </c>
      <c r="F39" s="35">
        <f si="9" t="shared"/>
        <v>0</v>
      </c>
      <c r="H39" s="105" t="s">
        <v>302</v>
      </c>
      <c r="I39" s="26">
        <f si="10" t="shared"/>
        <v>0</v>
      </c>
      <c r="J39" s="26">
        <f si="11" t="shared"/>
        <v>0</v>
      </c>
      <c r="K39" s="26">
        <f si="12" t="shared"/>
        <v>0</v>
      </c>
      <c r="L39" s="26">
        <f si="13" t="shared"/>
        <v>0</v>
      </c>
      <c r="N39" s="109" t="s">
        <v>302</v>
      </c>
      <c r="O39" s="42">
        <f>IFERROR(IF(O26="","-",C39/I39),1)</f>
        <v>1</v>
      </c>
      <c r="P39" s="42">
        <f ref="P39:R39" si="16" t="shared">IFERROR(IF(P26="","-",D39/J39),1)</f>
        <v>1</v>
      </c>
      <c r="Q39" s="42" t="str">
        <f si="16" t="shared"/>
        <v>-</v>
      </c>
      <c r="R39" s="42">
        <f si="16" t="shared"/>
        <v>1</v>
      </c>
      <c r="T39">
        <v>36</v>
      </c>
      <c r="U39" t="str">
        <f si="15" t="shared"/>
        <v>s3-nocars</v>
      </c>
      <c r="V39" s="30">
        <f>O84</f>
        <v>-0.450461799878</v>
      </c>
      <c r="AA39">
        <f>SchoolCoeffcients!B47</f>
        <v>78</v>
      </c>
      <c r="AB39" t="str">
        <f>SchoolCoeffcients!C47</f>
        <v>wk-carsltd</v>
      </c>
      <c r="AC39" s="56">
        <f>SchoolCoeffcients!E47</f>
        <v>-0.50624726280300003</v>
      </c>
      <c r="AD39" s="57">
        <f si="0" t="shared"/>
        <v>-0.50624726280300003</v>
      </c>
      <c r="AE39">
        <f si="1" t="shared"/>
        <v>0</v>
      </c>
    </row>
    <row ht="15.75" r="40" spans="2:31" thickBot="1" x14ac:dyDescent="0.3">
      <c r="B40" s="43" t="s">
        <v>19</v>
      </c>
      <c r="C40" s="44">
        <f>SUM(C31:C38)</f>
        <v>1</v>
      </c>
      <c r="D40" s="44">
        <f>SUM(D31:D38)</f>
        <v>1</v>
      </c>
      <c r="E40" s="44">
        <f si="8" t="shared"/>
        <v>1</v>
      </c>
      <c r="F40" s="44">
        <f si="9" t="shared"/>
        <v>1</v>
      </c>
      <c r="H40" s="43" t="s">
        <v>19</v>
      </c>
      <c r="I40" s="45">
        <f>SUM(I31:I38)</f>
        <v>1</v>
      </c>
      <c r="J40" s="45">
        <f>SUM(J31:J38)</f>
        <v>1</v>
      </c>
      <c r="K40" s="45">
        <f>SUM(K31:K38)</f>
        <v>1</v>
      </c>
      <c r="L40" s="45">
        <f si="13" t="shared"/>
        <v>1</v>
      </c>
      <c r="M40" s="26"/>
      <c r="N40" s="9" t="s">
        <v>272</v>
      </c>
      <c r="T40">
        <v>40</v>
      </c>
      <c r="U40" t="str">
        <f si="15" t="shared"/>
        <v>s2-const</v>
      </c>
      <c r="V40" s="30">
        <f>R83</f>
        <v>-0.31225294081777744</v>
      </c>
      <c r="AA40">
        <f>SchoolCoeffcients!B48</f>
        <v>79</v>
      </c>
      <c r="AB40" t="str">
        <f>SchoolCoeffcients!C48</f>
        <v>wk-univtr</v>
      </c>
      <c r="AC40" s="56">
        <f>SchoolCoeffcients!E48</f>
        <v>1.9004467764099999</v>
      </c>
      <c r="AD40" s="57">
        <f si="0" t="shared"/>
        <v>1.9004467764099999</v>
      </c>
      <c r="AE40">
        <f si="1" t="shared"/>
        <v>0</v>
      </c>
    </row>
    <row r="41" spans="2:31" x14ac:dyDescent="0.25">
      <c r="T41">
        <v>41</v>
      </c>
      <c r="U41" t="str">
        <f si="15" t="shared"/>
        <v>sr-nocars</v>
      </c>
      <c r="V41" s="30">
        <f>O83</f>
        <v>-11.9257351127411</v>
      </c>
      <c r="AA41">
        <f>SchoolCoeffcients!B49</f>
        <v>80</v>
      </c>
      <c r="AB41" t="str">
        <f>SchoolCoeffcients!C49</f>
        <v>tnc-const</v>
      </c>
      <c r="AC41" s="56">
        <f>SchoolCoeffcients!E49</f>
        <v>-3.2208124875830002</v>
      </c>
      <c r="AD41" s="57">
        <f si="0" t="shared"/>
        <v>-3.2208124875830002</v>
      </c>
      <c r="AE41">
        <f si="1" t="shared"/>
        <v>0</v>
      </c>
    </row>
    <row ht="15.75" r="42" spans="2:31" thickBot="1" x14ac:dyDescent="0.3">
      <c r="N42" s="23" t="s">
        <v>269</v>
      </c>
      <c r="T42">
        <v>42</v>
      </c>
      <c r="U42" t="str">
        <f si="15" t="shared"/>
        <v>sr-carsltd</v>
      </c>
      <c r="V42" s="30">
        <f>P83</f>
        <v>3.9227926870999998E-2</v>
      </c>
      <c r="AA42">
        <f>SchoolCoeffcients!B50</f>
        <v>81</v>
      </c>
      <c r="AB42" t="str">
        <f>SchoolCoeffcients!C50</f>
        <v>tnc-nocars</v>
      </c>
      <c r="AC42" s="56">
        <f>SchoolCoeffcients!E50</f>
        <v>1</v>
      </c>
      <c r="AD42" s="57">
        <f si="0" t="shared"/>
        <v>1</v>
      </c>
      <c r="AE42">
        <f si="1" t="shared"/>
        <v>0</v>
      </c>
    </row>
    <row r="43" spans="2:31" x14ac:dyDescent="0.25">
      <c r="N43" s="38" t="s">
        <v>0</v>
      </c>
      <c r="O43" s="39" t="s">
        <v>252</v>
      </c>
      <c r="P43" s="39" t="s">
        <v>247</v>
      </c>
      <c r="Q43" s="39" t="s">
        <v>250</v>
      </c>
      <c r="R43" s="39" t="s">
        <v>253</v>
      </c>
      <c r="T43">
        <v>50</v>
      </c>
      <c r="U43" t="str">
        <f si="15" t="shared"/>
        <v>da-const</v>
      </c>
      <c r="V43" s="30">
        <f>R82</f>
        <v>2.3468494341527988</v>
      </c>
      <c r="AA43">
        <f>SchoolCoeffcients!B51</f>
        <v>82</v>
      </c>
      <c r="AB43" t="str">
        <f>SchoolCoeffcients!C51</f>
        <v>tnc-carltd</v>
      </c>
      <c r="AC43" s="56">
        <f>SchoolCoeffcients!E51</f>
        <v>-3.0117538767530001</v>
      </c>
      <c r="AD43" s="57">
        <f si="0" t="shared"/>
        <v>-3.0117538767530001</v>
      </c>
      <c r="AE43">
        <f si="1" t="shared"/>
        <v>0</v>
      </c>
    </row>
    <row r="44" spans="2:31" x14ac:dyDescent="0.25">
      <c r="N44" s="9" t="s">
        <v>1</v>
      </c>
      <c r="O44" s="51" t="str">
        <f ref="O44:R52" si="17" t="shared">IF(O18="","-",IF(O31&gt;0,LN(O31),0))</f>
        <v>-</v>
      </c>
      <c r="P44" s="51">
        <f si="17" t="shared"/>
        <v>-0.24558814628444123</v>
      </c>
      <c r="Q44" s="51" t="str">
        <f si="17" t="shared"/>
        <v>-</v>
      </c>
      <c r="R44" s="51">
        <f si="17" t="shared"/>
        <v>9.0460504702799052E-2</v>
      </c>
      <c r="T44">
        <v>52</v>
      </c>
      <c r="U44" t="str">
        <f si="15" t="shared"/>
        <v>da-carsltd</v>
      </c>
      <c r="V44" s="30">
        <f>P82</f>
        <v>-1.3657398963230001</v>
      </c>
      <c r="AA44">
        <f>SchoolCoeffcients!B52</f>
        <v>83</v>
      </c>
      <c r="AB44" t="str">
        <f>SchoolCoeffcients!C52</f>
        <v>tnc-ag1835</v>
      </c>
      <c r="AC44" s="56">
        <f>SchoolCoeffcients!E52</f>
        <v>0</v>
      </c>
      <c r="AD44" s="57">
        <f si="0" t="shared"/>
        <v>0</v>
      </c>
      <c r="AE44">
        <f si="1" t="shared"/>
        <v>0</v>
      </c>
    </row>
    <row r="45" spans="2:31" x14ac:dyDescent="0.25">
      <c r="B45" s="23"/>
      <c r="N45" s="9" t="s">
        <v>2</v>
      </c>
      <c r="O45" s="52">
        <f si="17" t="shared"/>
        <v>2.7364664433036853E-2</v>
      </c>
      <c r="P45" s="52">
        <f si="17" t="shared"/>
        <v>2.9629399909530493E-2</v>
      </c>
      <c r="Q45" s="52" t="str">
        <f si="17" t="shared"/>
        <v>-</v>
      </c>
      <c r="R45" s="52">
        <f si="17" t="shared"/>
        <v>-2.3408780211777471E-2</v>
      </c>
      <c r="T45">
        <v>60</v>
      </c>
      <c r="U45" t="str">
        <f si="15" t="shared"/>
        <v>bi-const</v>
      </c>
      <c r="V45" s="30">
        <f>R87</f>
        <v>-4.7549397244422611</v>
      </c>
      <c r="AA45">
        <f>SchoolCoeffcients!B53</f>
        <v>84</v>
      </c>
      <c r="AB45" t="str">
        <f>SchoolCoeffcients!C53</f>
        <v>tnc-ageu18</v>
      </c>
      <c r="AC45" s="56">
        <f>SchoolCoeffcients!E53</f>
        <v>0</v>
      </c>
      <c r="AD45" s="57">
        <f si="0" t="shared"/>
        <v>0</v>
      </c>
      <c r="AE45">
        <f si="1" t="shared"/>
        <v>0</v>
      </c>
    </row>
    <row r="46" spans="2:31" x14ac:dyDescent="0.25">
      <c r="C46" s="11"/>
      <c r="D46" s="11"/>
      <c r="E46" s="11"/>
      <c r="N46" s="9" t="s">
        <v>3</v>
      </c>
      <c r="O46" s="52">
        <f si="17" t="shared"/>
        <v>-0.17362084970987765</v>
      </c>
      <c r="P46" s="52">
        <f si="17" t="shared"/>
        <v>-0.119181286535555</v>
      </c>
      <c r="Q46" s="52" t="str">
        <f si="17" t="shared"/>
        <v>-</v>
      </c>
      <c r="R46" s="52">
        <f si="17" t="shared"/>
        <v>-9.3435229510811874E-2</v>
      </c>
      <c r="T46">
        <v>67</v>
      </c>
      <c r="U46" t="str">
        <f si="15" t="shared"/>
        <v>bi-nocars</v>
      </c>
      <c r="V46" s="30">
        <f>O87</f>
        <v>0.897530440835</v>
      </c>
      <c r="AA46">
        <f>SchoolCoeffcients!B54</f>
        <v>85</v>
      </c>
      <c r="AB46" t="str">
        <f>SchoolCoeffcients!C54</f>
        <v>tnc-odens</v>
      </c>
      <c r="AC46" s="56">
        <f>SchoolCoeffcients!E54</f>
        <v>0</v>
      </c>
      <c r="AD46" s="57">
        <f si="0" t="shared"/>
        <v>0</v>
      </c>
      <c r="AE46">
        <f si="1" t="shared"/>
        <v>0</v>
      </c>
    </row>
    <row r="47" spans="2:31" x14ac:dyDescent="0.25">
      <c r="B47" s="9"/>
      <c r="C47" s="11"/>
      <c r="D47" s="11"/>
      <c r="E47" s="11"/>
      <c r="N47" s="9" t="s">
        <v>4</v>
      </c>
      <c r="O47" s="52" t="str">
        <f si="17" t="shared"/>
        <v>-</v>
      </c>
      <c r="P47" s="52" t="str">
        <f si="17" t="shared"/>
        <v>-</v>
      </c>
      <c r="Q47" s="52" t="str">
        <f si="17" t="shared"/>
        <v>-</v>
      </c>
      <c r="R47" s="52" t="str">
        <f si="17" t="shared"/>
        <v>-</v>
      </c>
      <c r="T47">
        <v>68</v>
      </c>
      <c r="U47" t="str">
        <f si="15" t="shared"/>
        <v>bi-carsltd</v>
      </c>
      <c r="V47" s="30">
        <f>P87</f>
        <v>1.64137554159</v>
      </c>
      <c r="AA47">
        <f>SchoolCoeffcients!B55</f>
        <v>86</v>
      </c>
      <c r="AB47" t="str">
        <f>SchoolCoeffcients!C55</f>
        <v>tnc-ddens</v>
      </c>
      <c r="AC47" s="56">
        <f>SchoolCoeffcients!E55</f>
        <v>0</v>
      </c>
      <c r="AD47" s="57">
        <f si="0" t="shared"/>
        <v>0</v>
      </c>
      <c r="AE47">
        <f si="1" t="shared"/>
        <v>0</v>
      </c>
    </row>
    <row r="48" spans="2:31" x14ac:dyDescent="0.25">
      <c r="B48" s="9"/>
      <c r="C48" s="11"/>
      <c r="D48" s="11"/>
      <c r="E48" s="11"/>
      <c r="N48" s="9" t="s">
        <v>5</v>
      </c>
      <c r="O48" s="52">
        <f si="17" t="shared"/>
        <v>1.2356762072880261</v>
      </c>
      <c r="P48" s="52">
        <f si="17" t="shared"/>
        <v>1.0739613778755848</v>
      </c>
      <c r="Q48" s="52" t="str">
        <f si="17" t="shared"/>
        <v>-</v>
      </c>
      <c r="R48" s="52">
        <f si="17" t="shared"/>
        <v>1.2126755148175228</v>
      </c>
      <c r="T48">
        <v>70</v>
      </c>
      <c r="U48" t="str">
        <f si="15" t="shared"/>
        <v>wk-const</v>
      </c>
      <c r="V48" s="30">
        <f>R88</f>
        <v>-0.26326702545003494</v>
      </c>
      <c r="AA48">
        <f>SchoolCoeffcients!B56</f>
        <v>87</v>
      </c>
      <c r="AB48" t="str">
        <f>SchoolCoeffcients!C56</f>
        <v>tnc-incu25</v>
      </c>
      <c r="AC48" s="56">
        <f>SchoolCoeffcients!E56</f>
        <v>0</v>
      </c>
      <c r="AD48" s="57">
        <f si="0" t="shared"/>
        <v>0</v>
      </c>
      <c r="AE48">
        <f si="1" t="shared"/>
        <v>0</v>
      </c>
    </row>
    <row r="49" spans="2:31" x14ac:dyDescent="0.25">
      <c r="B49" s="9"/>
      <c r="C49" s="11"/>
      <c r="D49" s="11"/>
      <c r="E49" s="11"/>
      <c r="N49" s="9" t="s">
        <v>6</v>
      </c>
      <c r="O49" s="52">
        <f si="17" t="shared"/>
        <v>-2.3392985663095898</v>
      </c>
      <c r="P49" s="52">
        <f si="17" t="shared"/>
        <v>-0.7458190859428141</v>
      </c>
      <c r="Q49" s="52" t="str">
        <f si="17" t="shared"/>
        <v>-</v>
      </c>
      <c r="R49" s="52">
        <f si="17" t="shared"/>
        <v>-1.3770359598832611</v>
      </c>
      <c r="T49">
        <v>77</v>
      </c>
      <c r="U49" t="str">
        <f si="15" t="shared"/>
        <v>wk-nocars</v>
      </c>
      <c r="V49" s="30">
        <f>O88</f>
        <v>1.255943066485</v>
      </c>
      <c r="AA49">
        <f>SchoolCoeffcients!B57</f>
        <v>88</v>
      </c>
      <c r="AB49" t="str">
        <f>SchoolCoeffcients!C57</f>
        <v>tnc-inc100</v>
      </c>
      <c r="AC49" s="56">
        <f>SchoolCoeffcients!E57</f>
        <v>0</v>
      </c>
      <c r="AD49" s="57">
        <f si="0" t="shared"/>
        <v>0</v>
      </c>
      <c r="AE49">
        <f si="1" t="shared"/>
        <v>0</v>
      </c>
    </row>
    <row r="50" spans="2:31" x14ac:dyDescent="0.25">
      <c r="B50" s="9"/>
      <c r="C50" s="11"/>
      <c r="D50" s="11"/>
      <c r="E50" s="11"/>
      <c r="N50" s="9" t="s">
        <v>7</v>
      </c>
      <c r="O50" s="52">
        <f si="17" t="shared"/>
        <v>0.30025815562079256</v>
      </c>
      <c r="P50" s="52">
        <f si="17" t="shared"/>
        <v>-0.37119433707577537</v>
      </c>
      <c r="Q50" s="52" t="str">
        <f si="17" t="shared"/>
        <v>-</v>
      </c>
      <c r="R50" s="52">
        <f si="17" t="shared"/>
        <v>1.8093480770965058E-2</v>
      </c>
      <c r="T50" s="95">
        <v>78</v>
      </c>
      <c r="U50" s="95" t="str">
        <f si="15" t="shared"/>
        <v>wk-carsltd</v>
      </c>
      <c r="V50" s="113">
        <f>P88</f>
        <v>-0.50624726280300003</v>
      </c>
      <c r="AA50">
        <f>SchoolCoeffcients!B58</f>
        <v>122</v>
      </c>
      <c r="AB50" t="str">
        <f>SchoolCoeffcients!C58</f>
        <v>tr-ologts</v>
      </c>
      <c r="AC50" s="56">
        <f>SchoolCoeffcients!E58</f>
        <v>0.38901971125399998</v>
      </c>
      <c r="AD50" s="57">
        <f si="0" t="shared"/>
        <v>0.38901971125399998</v>
      </c>
      <c r="AE50">
        <f si="1" t="shared"/>
        <v>0</v>
      </c>
    </row>
    <row r="51" spans="2:31" x14ac:dyDescent="0.25">
      <c r="B51" s="9"/>
      <c r="C51" s="11"/>
      <c r="D51" s="11"/>
      <c r="E51" s="11"/>
      <c r="N51" s="84" t="s">
        <v>8</v>
      </c>
      <c r="O51" s="111">
        <f si="17" t="shared"/>
        <v>-0.36247186257060998</v>
      </c>
      <c r="P51" s="111">
        <f si="17" t="shared"/>
        <v>0.14346919270359709</v>
      </c>
      <c r="Q51" s="111" t="str">
        <f si="17" t="shared"/>
        <v>-</v>
      </c>
      <c r="R51" s="111">
        <f si="17" t="shared"/>
        <v>5.8641940266630131E-2</v>
      </c>
      <c r="T51" s="96">
        <v>80</v>
      </c>
      <c r="U51" s="96" t="str">
        <f si="15" t="shared"/>
        <v>tnc-const</v>
      </c>
      <c r="V51" s="113">
        <f>R90</f>
        <v>-3.2208124875830002</v>
      </c>
      <c r="AA51">
        <f>SchoolCoeffcients!B59</f>
        <v>129</v>
      </c>
      <c r="AB51" t="str">
        <f>SchoolCoeffcients!C59</f>
        <v>tr-dmixed</v>
      </c>
      <c r="AC51" s="56">
        <f>SchoolCoeffcients!E59</f>
        <v>0</v>
      </c>
      <c r="AD51" s="57">
        <f si="0" t="shared"/>
        <v>0</v>
      </c>
      <c r="AE51">
        <f si="1" t="shared"/>
        <v>0</v>
      </c>
    </row>
    <row r="52" spans="2:31" x14ac:dyDescent="0.25">
      <c r="B52" s="9"/>
      <c r="C52" s="11"/>
      <c r="D52" s="11"/>
      <c r="E52" s="11"/>
      <c r="N52" s="109" t="s">
        <v>302</v>
      </c>
      <c r="O52" s="53">
        <f si="17" t="shared"/>
        <v>0</v>
      </c>
      <c r="P52" s="53">
        <f si="17" t="shared"/>
        <v>0</v>
      </c>
      <c r="Q52" s="53" t="str">
        <f si="17" t="shared"/>
        <v>-</v>
      </c>
      <c r="R52" s="53">
        <f si="17" t="shared"/>
        <v>0</v>
      </c>
      <c r="T52" s="96">
        <v>81</v>
      </c>
      <c r="U52" s="96" t="str">
        <f si="15" t="shared"/>
        <v>tnc-nocars</v>
      </c>
      <c r="V52" s="113">
        <f>O90</f>
        <v>1</v>
      </c>
      <c r="AA52">
        <f>SchoolCoeffcients!B60</f>
        <v>131</v>
      </c>
      <c r="AB52" t="str">
        <f>SchoolCoeffcients!C60</f>
        <v>da-escsptr</v>
      </c>
      <c r="AC52" s="56">
        <f>SchoolCoeffcients!E60</f>
        <v>-2.3020544512900001</v>
      </c>
      <c r="AD52" s="57">
        <f si="0" t="shared"/>
        <v>-2.3020544512900001</v>
      </c>
      <c r="AE52">
        <f si="1" t="shared"/>
        <v>0</v>
      </c>
    </row>
    <row r="53" spans="2:31" x14ac:dyDescent="0.25">
      <c r="B53" s="9"/>
      <c r="C53" s="11"/>
      <c r="D53" s="11"/>
      <c r="E53" s="11"/>
      <c r="T53" s="114">
        <v>82</v>
      </c>
      <c r="U53" s="114" t="str">
        <f si="15" t="shared"/>
        <v>tnc-carltd</v>
      </c>
      <c r="V53" s="55">
        <f>P90</f>
        <v>-3.0117538767530001</v>
      </c>
      <c r="AA53">
        <f>SchoolCoeffcients!B61</f>
        <v>132</v>
      </c>
      <c r="AB53" t="str">
        <f>SchoolCoeffcients!C61</f>
        <v>da-othsptr</v>
      </c>
      <c r="AC53" s="56">
        <f>SchoolCoeffcients!E61</f>
        <v>0.243467351498</v>
      </c>
      <c r="AD53" s="57">
        <f si="0" t="shared"/>
        <v>0.243467351498</v>
      </c>
      <c r="AE53">
        <f si="1" t="shared"/>
        <v>0</v>
      </c>
    </row>
    <row r="54" spans="2:31" x14ac:dyDescent="0.25">
      <c r="B54" s="9"/>
      <c r="P54" t="s">
        <v>259</v>
      </c>
      <c r="AA54">
        <f>SchoolCoeffcients!B62</f>
        <v>133</v>
      </c>
      <c r="AB54" t="str">
        <f>SchoolCoeffcients!C62</f>
        <v>sr-escsptr</v>
      </c>
      <c r="AC54" s="56">
        <f>SchoolCoeffcients!E62</f>
        <v>1.35380935853</v>
      </c>
      <c r="AD54" s="57">
        <f si="0" t="shared"/>
        <v>1.35380935853</v>
      </c>
      <c r="AE54">
        <f si="1" t="shared"/>
        <v>0</v>
      </c>
    </row>
    <row ht="15.75" r="55" spans="2:31" thickBot="1" x14ac:dyDescent="0.3">
      <c r="B55" s="23"/>
      <c r="N55" s="23" t="s">
        <v>211</v>
      </c>
      <c r="O55" s="54">
        <v>0</v>
      </c>
      <c r="P55" s="54">
        <v>0</v>
      </c>
      <c r="Q55" s="54">
        <v>0</v>
      </c>
      <c r="R55" s="54">
        <v>1</v>
      </c>
      <c r="AA55">
        <f>SchoolCoeffcients!B63</f>
        <v>134</v>
      </c>
      <c r="AB55" t="str">
        <f>SchoolCoeffcients!C63</f>
        <v>sr-othsptr</v>
      </c>
      <c r="AC55" s="56">
        <f>SchoolCoeffcients!E63</f>
        <v>0.26967860675499999</v>
      </c>
      <c r="AD55" s="57">
        <f si="0" t="shared"/>
        <v>0.26967860675499999</v>
      </c>
      <c r="AE55">
        <f si="1" t="shared"/>
        <v>0</v>
      </c>
    </row>
    <row r="56" spans="2:31" x14ac:dyDescent="0.25">
      <c r="C56" s="11"/>
      <c r="D56" s="11"/>
      <c r="E56" s="11"/>
      <c r="N56" s="2" t="s">
        <v>0</v>
      </c>
      <c r="O56" s="39" t="str">
        <f>O43</f>
        <v>nocars</v>
      </c>
      <c r="P56" s="39" t="str">
        <f>P43</f>
        <v>cars &lt; adults</v>
      </c>
      <c r="Q56" s="39" t="str">
        <f>Q43</f>
        <v>cars &lt; workers</v>
      </c>
      <c r="R56" s="39" t="str">
        <f>R43</f>
        <v>constant</v>
      </c>
      <c r="AA56">
        <f>SchoolCoeffcients!B64</f>
        <v>161</v>
      </c>
      <c r="AB56" t="str">
        <f>SchoolCoeffcients!C64</f>
        <v>bi-class1</v>
      </c>
      <c r="AC56" s="56">
        <f>SchoolCoeffcients!E64</f>
        <v>0.81071229355899999</v>
      </c>
      <c r="AD56" s="57">
        <f si="0" t="shared"/>
        <v>0.81071229355899999</v>
      </c>
      <c r="AE56">
        <f si="1" t="shared"/>
        <v>0</v>
      </c>
    </row>
    <row r="57" spans="2:31" x14ac:dyDescent="0.25">
      <c r="B57" s="9"/>
      <c r="C57" s="11"/>
      <c r="D57" s="11"/>
      <c r="E57" s="11"/>
      <c r="N57" s="9" t="s">
        <v>1</v>
      </c>
      <c r="O57" s="47" t="str">
        <f>IF(O18="","-",IF($R18="",$O$55*O44,$O$55*(O44)))</f>
        <v>-</v>
      </c>
      <c r="P57" s="47">
        <f ref="P57:P65" si="18" t="shared">IF(P18="","-",IF($R18="",$P$55*P44,$P$55*(P44)))</f>
        <v>0</v>
      </c>
      <c r="Q57" s="48" t="str">
        <f ref="Q57:Q65" si="19" t="shared">IF(Q18="","-",IF($R18="",$Q$55*Q44,$Q$55*(Q44)))</f>
        <v>-</v>
      </c>
      <c r="R57" s="47">
        <f ref="R57:R65" si="20" t="shared">IF(R18="","-",$R$55*R44)</f>
        <v>9.0460504702799052E-2</v>
      </c>
      <c r="AA57">
        <f>SchoolCoeffcients!B65</f>
        <v>162</v>
      </c>
      <c r="AB57" t="str">
        <f>SchoolCoeffcients!C65</f>
        <v>bi-class2</v>
      </c>
      <c r="AC57" s="56">
        <f>SchoolCoeffcients!E65</f>
        <v>0.31418468507800001</v>
      </c>
      <c r="AD57" s="57">
        <f si="0" t="shared"/>
        <v>0.31418468507800001</v>
      </c>
      <c r="AE57">
        <f si="1" t="shared"/>
        <v>0</v>
      </c>
    </row>
    <row r="58" spans="2:31" x14ac:dyDescent="0.25">
      <c r="B58" s="9"/>
      <c r="C58" s="46"/>
      <c r="D58" s="46"/>
      <c r="E58" s="46"/>
      <c r="N58" s="9" t="s">
        <v>2</v>
      </c>
      <c r="O58" s="48">
        <f>IF(O19="","-",IF($R19="",$O$55*O45,$O$55*(O45)))</f>
        <v>0</v>
      </c>
      <c r="P58" s="48">
        <f si="18" t="shared"/>
        <v>0</v>
      </c>
      <c r="Q58" s="48" t="str">
        <f si="19" t="shared"/>
        <v>-</v>
      </c>
      <c r="R58" s="48">
        <f si="20" t="shared"/>
        <v>-2.3408780211777471E-2</v>
      </c>
      <c r="AA58">
        <f>SchoolCoeffcients!B66</f>
        <v>163</v>
      </c>
      <c r="AB58" t="str">
        <f>SchoolCoeffcients!C66</f>
        <v>bi-gauntl</v>
      </c>
      <c r="AC58" s="56">
        <f>SchoolCoeffcients!E66</f>
        <v>-0.37977447349100002</v>
      </c>
      <c r="AD58" s="57">
        <f si="0" t="shared"/>
        <v>-0.37977447349100002</v>
      </c>
      <c r="AE58">
        <f si="1" t="shared"/>
        <v>0</v>
      </c>
    </row>
    <row r="59" spans="2:31" x14ac:dyDescent="0.25">
      <c r="B59" s="9"/>
      <c r="C59" s="46"/>
      <c r="D59" s="46"/>
      <c r="E59" s="46"/>
      <c r="N59" s="9" t="s">
        <v>3</v>
      </c>
      <c r="O59" s="61">
        <f>IF(O20="","-",IF($R20="",$O$55*O46,$O$55*(O46-O58)))</f>
        <v>0</v>
      </c>
      <c r="P59" s="63">
        <f si="18" t="shared"/>
        <v>0</v>
      </c>
      <c r="Q59" s="48" t="str">
        <f si="19" t="shared"/>
        <v>-</v>
      </c>
      <c r="R59" s="48">
        <f si="20" t="shared"/>
        <v>-9.3435229510811874E-2</v>
      </c>
      <c r="AA59">
        <f>SchoolCoeffcients!B67</f>
        <v>164</v>
      </c>
      <c r="AB59" t="str">
        <f>SchoolCoeffcients!C67</f>
        <v>bi-omixed</v>
      </c>
      <c r="AC59" s="56">
        <f>SchoolCoeffcients!E67</f>
        <v>0</v>
      </c>
      <c r="AD59" s="57">
        <f si="0" t="shared"/>
        <v>0</v>
      </c>
      <c r="AE59">
        <f si="1" t="shared"/>
        <v>0</v>
      </c>
    </row>
    <row r="60" spans="2:31" x14ac:dyDescent="0.25">
      <c r="B60" s="9"/>
      <c r="C60" s="11"/>
      <c r="D60" s="11"/>
      <c r="E60" s="11"/>
      <c r="N60" s="9" t="s">
        <v>4</v>
      </c>
      <c r="O60" s="47" t="str">
        <f ref="O60:O65" si="21" t="shared">IF(O21="","-",IF($R21="",$O$55*O47,$O$55*(O47)))</f>
        <v>-</v>
      </c>
      <c r="P60" s="47" t="str">
        <f si="18" t="shared"/>
        <v>-</v>
      </c>
      <c r="Q60" s="48" t="str">
        <f si="19" t="shared"/>
        <v>-</v>
      </c>
      <c r="R60" s="48" t="str">
        <f si="20" t="shared"/>
        <v>-</v>
      </c>
      <c r="AA60">
        <f>SchoolCoeffcients!B68</f>
        <v>165</v>
      </c>
      <c r="AB60" t="str">
        <f>SchoolCoeffcients!C68</f>
        <v>bi-ohhden</v>
      </c>
      <c r="AC60" s="56">
        <f>SchoolCoeffcients!E68</f>
        <v>4.5309996900000002E-4</v>
      </c>
      <c r="AD60" s="57">
        <f si="0" t="shared"/>
        <v>4.5309996900000002E-4</v>
      </c>
      <c r="AE60">
        <f si="1" t="shared"/>
        <v>0</v>
      </c>
    </row>
    <row r="61" spans="2:31" x14ac:dyDescent="0.25">
      <c r="B61" s="9"/>
      <c r="C61" s="11"/>
      <c r="D61" s="11"/>
      <c r="E61" s="11"/>
      <c r="N61" s="9" t="s">
        <v>5</v>
      </c>
      <c r="O61" s="48">
        <f si="21" t="shared"/>
        <v>0</v>
      </c>
      <c r="P61" s="48">
        <f si="18" t="shared"/>
        <v>0</v>
      </c>
      <c r="Q61" s="48" t="str">
        <f si="19" t="shared"/>
        <v>-</v>
      </c>
      <c r="R61" s="48">
        <f si="20" t="shared"/>
        <v>1.2126755148175228</v>
      </c>
      <c r="AA61">
        <f>SchoolCoeffcients!B69</f>
        <v>166</v>
      </c>
      <c r="AB61" t="str">
        <f>SchoolCoeffcients!C69</f>
        <v>bi-ointdn</v>
      </c>
      <c r="AC61" s="56">
        <f>SchoolCoeffcients!E69</f>
        <v>0</v>
      </c>
      <c r="AD61" s="57">
        <f si="0" t="shared"/>
        <v>0</v>
      </c>
      <c r="AE61">
        <f si="1" t="shared"/>
        <v>0</v>
      </c>
    </row>
    <row r="62" spans="2:31" x14ac:dyDescent="0.25">
      <c r="B62" s="9"/>
      <c r="C62" s="11"/>
      <c r="D62" s="11"/>
      <c r="E62" s="11"/>
      <c r="N62" s="9" t="s">
        <v>6</v>
      </c>
      <c r="O62" s="48">
        <f si="21" t="shared"/>
        <v>0</v>
      </c>
      <c r="P62" s="48">
        <f si="18" t="shared"/>
        <v>0</v>
      </c>
      <c r="Q62" s="48" t="str">
        <f si="19" t="shared"/>
        <v>-</v>
      </c>
      <c r="R62" s="48">
        <f si="20" t="shared"/>
        <v>-1.3770359598832611</v>
      </c>
      <c r="AA62">
        <f>SchoolCoeffcients!B70</f>
        <v>167</v>
      </c>
      <c r="AB62" t="str">
        <f>SchoolCoeffcients!C70</f>
        <v>bi-dintdn</v>
      </c>
      <c r="AC62" s="56">
        <f>SchoolCoeffcients!E70</f>
        <v>0</v>
      </c>
      <c r="AD62" s="57">
        <f si="0" t="shared"/>
        <v>0</v>
      </c>
      <c r="AE62">
        <f si="1" t="shared"/>
        <v>0</v>
      </c>
    </row>
    <row r="63" spans="2:31" x14ac:dyDescent="0.25">
      <c r="B63" s="9"/>
      <c r="C63" s="11"/>
      <c r="D63" s="11"/>
      <c r="E63" s="11"/>
      <c r="N63" s="9" t="s">
        <v>7</v>
      </c>
      <c r="O63" s="48">
        <f si="21" t="shared"/>
        <v>0</v>
      </c>
      <c r="P63" s="48">
        <f si="18" t="shared"/>
        <v>0</v>
      </c>
      <c r="Q63" s="48" t="str">
        <f si="19" t="shared"/>
        <v>-</v>
      </c>
      <c r="R63" s="48">
        <f si="20" t="shared"/>
        <v>1.8093480770965058E-2</v>
      </c>
      <c r="AA63">
        <f>SchoolCoeffcients!B71</f>
        <v>168</v>
      </c>
      <c r="AB63" t="str">
        <f>SchoolCoeffcients!C71</f>
        <v>bi-dempdn</v>
      </c>
      <c r="AC63" s="56">
        <f>SchoolCoeffcients!E71</f>
        <v>0</v>
      </c>
      <c r="AD63" s="57">
        <f si="0" t="shared"/>
        <v>0</v>
      </c>
      <c r="AE63">
        <f si="1" t="shared"/>
        <v>0</v>
      </c>
    </row>
    <row r="64" spans="2:31" x14ac:dyDescent="0.25">
      <c r="B64" s="9"/>
      <c r="C64" s="11"/>
      <c r="D64" s="11"/>
      <c r="E64" s="11"/>
      <c r="N64" s="84" t="s">
        <v>8</v>
      </c>
      <c r="O64" s="112">
        <f si="21" t="shared"/>
        <v>0</v>
      </c>
      <c r="P64" s="112">
        <f si="18" t="shared"/>
        <v>0</v>
      </c>
      <c r="Q64" s="112" t="str">
        <f si="19" t="shared"/>
        <v>-</v>
      </c>
      <c r="R64" s="112">
        <f si="20" t="shared"/>
        <v>5.8641940266630131E-2</v>
      </c>
      <c r="AA64">
        <f>SchoolCoeffcients!B72</f>
        <v>169</v>
      </c>
      <c r="AB64" t="str">
        <f>SchoolCoeffcients!C72</f>
        <v>bi-dmixed</v>
      </c>
      <c r="AC64" s="56">
        <f>SchoolCoeffcients!E72</f>
        <v>0</v>
      </c>
      <c r="AD64" s="57">
        <f si="0" t="shared"/>
        <v>0</v>
      </c>
      <c r="AE64">
        <f si="1" t="shared"/>
        <v>0</v>
      </c>
    </row>
    <row r="65" spans="2:31" x14ac:dyDescent="0.25">
      <c r="B65" s="9"/>
      <c r="C65" s="11"/>
      <c r="D65" s="11"/>
      <c r="E65" s="11"/>
      <c r="N65" s="109" t="s">
        <v>302</v>
      </c>
      <c r="O65" s="49">
        <f si="21" t="shared"/>
        <v>0</v>
      </c>
      <c r="P65" s="49">
        <f si="18" t="shared"/>
        <v>0</v>
      </c>
      <c r="Q65" s="49" t="str">
        <f si="19" t="shared"/>
        <v>-</v>
      </c>
      <c r="R65" s="49">
        <f si="20" t="shared"/>
        <v>0</v>
      </c>
      <c r="AA65">
        <f>SchoolCoeffcients!B73</f>
        <v>175</v>
      </c>
      <c r="AB65" t="str">
        <f>SchoolCoeffcients!C73</f>
        <v>wk-ohhden</v>
      </c>
      <c r="AC65" s="56">
        <f>SchoolCoeffcients!E73</f>
        <v>0</v>
      </c>
      <c r="AD65" s="57">
        <f si="0" t="shared"/>
        <v>0</v>
      </c>
      <c r="AE65">
        <f si="1" t="shared"/>
        <v>0</v>
      </c>
    </row>
    <row r="66" spans="2:31" x14ac:dyDescent="0.25">
      <c r="N66" s="9" t="s">
        <v>273</v>
      </c>
      <c r="AA66">
        <f>SchoolCoeffcients!B74</f>
        <v>176</v>
      </c>
      <c r="AB66" t="str">
        <f>SchoolCoeffcients!C74</f>
        <v>wk-ointdn</v>
      </c>
      <c r="AC66" s="56">
        <f>SchoolCoeffcients!E74</f>
        <v>0</v>
      </c>
      <c r="AD66" s="57">
        <f si="0" t="shared"/>
        <v>0</v>
      </c>
      <c r="AE66">
        <f si="1" t="shared"/>
        <v>0</v>
      </c>
    </row>
    <row r="67" spans="2:31" x14ac:dyDescent="0.25">
      <c r="B67" s="23"/>
      <c r="AA67">
        <f>SchoolCoeffcients!B75</f>
        <v>177</v>
      </c>
      <c r="AB67" t="str">
        <f>SchoolCoeffcients!C75</f>
        <v>wk-dintdn</v>
      </c>
      <c r="AC67" s="56">
        <f>SchoolCoeffcients!E75</f>
        <v>0</v>
      </c>
      <c r="AD67" s="57">
        <f si="0" t="shared"/>
        <v>0</v>
      </c>
      <c r="AE67">
        <f si="1" t="shared"/>
        <v>0</v>
      </c>
    </row>
    <row ht="15.75" r="68" spans="2:31" thickBot="1" x14ac:dyDescent="0.3">
      <c r="C68" s="11"/>
      <c r="D68" s="11"/>
      <c r="E68" s="11"/>
      <c r="N68" s="37" t="s">
        <v>212</v>
      </c>
      <c r="AA68">
        <f>SchoolCoeffcients!B76</f>
        <v>178</v>
      </c>
      <c r="AB68" t="str">
        <f>SchoolCoeffcients!C76</f>
        <v>wk-dempdn</v>
      </c>
      <c r="AC68" s="56">
        <f>SchoolCoeffcients!E76</f>
        <v>0</v>
      </c>
      <c r="AD68" s="57">
        <f ref="AD68:AD70" si="22" t="shared">_xlfn.IFNA(VLOOKUP(AA68,$T$31:$V$53,3,FALSE),AC68)</f>
        <v>0</v>
      </c>
      <c r="AE68">
        <f ref="AE68:AE70" si="23" t="shared">IF(AC68=AD68,0,1)</f>
        <v>0</v>
      </c>
    </row>
    <row r="69" spans="2:31" x14ac:dyDescent="0.25">
      <c r="B69" s="9"/>
      <c r="C69" s="11"/>
      <c r="D69" s="11"/>
      <c r="E69" s="11"/>
      <c r="N69" s="2" t="s">
        <v>0</v>
      </c>
      <c r="O69" s="39" t="str">
        <f>O43</f>
        <v>nocars</v>
      </c>
      <c r="P69" s="39" t="str">
        <f>P43</f>
        <v>cars &lt; adults</v>
      </c>
      <c r="Q69" s="39" t="str">
        <f>Q43</f>
        <v>cars &lt; workers</v>
      </c>
      <c r="R69" s="39" t="str">
        <f>R43</f>
        <v>constant</v>
      </c>
      <c r="AA69">
        <f>SchoolCoeffcients!B77</f>
        <v>179</v>
      </c>
      <c r="AB69" t="str">
        <f>SchoolCoeffcients!C77</f>
        <v>wk-odmixed</v>
      </c>
      <c r="AC69" s="56">
        <f>SchoolCoeffcients!E77</f>
        <v>0</v>
      </c>
      <c r="AD69" s="57">
        <f si="22" t="shared"/>
        <v>0</v>
      </c>
      <c r="AE69">
        <f si="23" t="shared"/>
        <v>0</v>
      </c>
    </row>
    <row r="70" spans="2:31" x14ac:dyDescent="0.25">
      <c r="B70" s="9"/>
      <c r="C70" s="46"/>
      <c r="D70" s="11"/>
      <c r="E70" s="11"/>
      <c r="N70" s="9" t="s">
        <v>1</v>
      </c>
      <c r="O70" s="47" t="str">
        <f ref="O70:R78" si="24" t="shared">IFERROR(VLOOKUP(O18,$AA$3:$AC$48,3,FALSE),"-")</f>
        <v>-</v>
      </c>
      <c r="P70" s="47">
        <f si="24" t="shared"/>
        <v>-1.3657398963230001</v>
      </c>
      <c r="Q70" s="47" t="str">
        <f si="24" t="shared"/>
        <v>-</v>
      </c>
      <c r="R70" s="47">
        <f si="24" t="shared"/>
        <v>2.2563889294499999</v>
      </c>
      <c r="AA70">
        <f>SchoolCoeffcients!B78</f>
        <v>99</v>
      </c>
      <c r="AB70" t="str">
        <f>SchoolCoeffcients!C78</f>
        <v>modenest</v>
      </c>
      <c r="AC70" s="56">
        <f>SchoolCoeffcients!E78</f>
        <v>0.76797404821600002</v>
      </c>
      <c r="AD70" s="57">
        <f si="22" t="shared"/>
        <v>0.76797404821600002</v>
      </c>
      <c r="AE70">
        <f si="23" t="shared"/>
        <v>0</v>
      </c>
    </row>
    <row r="71" spans="2:31" x14ac:dyDescent="0.25">
      <c r="B71" s="9"/>
      <c r="C71" s="46"/>
      <c r="D71" s="11"/>
      <c r="E71" s="11"/>
      <c r="N71" s="9" t="s">
        <v>2</v>
      </c>
      <c r="O71" s="48">
        <f si="24" t="shared"/>
        <v>-11.9257351127411</v>
      </c>
      <c r="P71" s="48">
        <f si="24" t="shared"/>
        <v>3.9227926870999998E-2</v>
      </c>
      <c r="Q71" s="48" t="str">
        <f si="24" t="shared"/>
        <v>-</v>
      </c>
      <c r="R71" s="48">
        <f si="24" t="shared"/>
        <v>-0.28884416060599999</v>
      </c>
    </row>
    <row r="72" spans="2:31" x14ac:dyDescent="0.25">
      <c r="B72" s="9"/>
      <c r="C72" s="11"/>
      <c r="D72" s="11"/>
      <c r="E72" s="11"/>
      <c r="N72" s="9" t="s">
        <v>3</v>
      </c>
      <c r="O72" s="48">
        <f si="24" t="shared"/>
        <v>-0.450461799878</v>
      </c>
      <c r="P72" s="48">
        <f si="24" t="shared"/>
        <v>-0.37580245259400002</v>
      </c>
      <c r="Q72" s="48" t="str">
        <f si="24" t="shared"/>
        <v>-</v>
      </c>
      <c r="R72" s="48">
        <f si="24" t="shared"/>
        <v>0.74191500699000001</v>
      </c>
    </row>
    <row r="73" spans="2:31" x14ac:dyDescent="0.25">
      <c r="B73" s="9"/>
      <c r="C73" s="11"/>
      <c r="D73" s="11"/>
      <c r="E73" s="11"/>
      <c r="N73" s="9" t="s">
        <v>4</v>
      </c>
      <c r="O73" s="48" t="str">
        <f si="24" t="shared"/>
        <v>-</v>
      </c>
      <c r="P73" s="48" t="str">
        <f si="24" t="shared"/>
        <v>-</v>
      </c>
      <c r="Q73" s="48" t="str">
        <f si="24" t="shared"/>
        <v>-</v>
      </c>
      <c r="R73" s="48" t="str">
        <f si="24" t="shared"/>
        <v>-</v>
      </c>
    </row>
    <row r="74" spans="2:31" x14ac:dyDescent="0.25">
      <c r="B74" s="9"/>
      <c r="C74" s="11"/>
      <c r="D74" s="11"/>
      <c r="E74" s="11"/>
      <c r="N74" s="9" t="s">
        <v>5</v>
      </c>
      <c r="O74" s="48">
        <f si="24" t="shared"/>
        <v>2.7167830999050002</v>
      </c>
      <c r="P74" s="48">
        <f si="24" t="shared"/>
        <v>1.5381532013170001</v>
      </c>
      <c r="Q74" s="48" t="str">
        <f si="24" t="shared"/>
        <v>-</v>
      </c>
      <c r="R74" s="48">
        <f si="24" t="shared"/>
        <v>-3.0290641271480001</v>
      </c>
    </row>
    <row r="75" spans="2:31" x14ac:dyDescent="0.25">
      <c r="B75" s="9"/>
      <c r="C75" s="11"/>
      <c r="D75" s="11"/>
      <c r="E75" s="11"/>
      <c r="N75" s="9" t="s">
        <v>6</v>
      </c>
      <c r="O75" s="48">
        <f si="24" t="shared"/>
        <v>0.897530440835</v>
      </c>
      <c r="P75" s="48">
        <f si="24" t="shared"/>
        <v>1.64137554159</v>
      </c>
      <c r="Q75" s="48" t="str">
        <f si="24" t="shared"/>
        <v>-</v>
      </c>
      <c r="R75" s="48">
        <f si="24" t="shared"/>
        <v>-3.377903764559</v>
      </c>
    </row>
    <row r="76" spans="2:31" x14ac:dyDescent="0.25">
      <c r="B76" s="9"/>
      <c r="C76" s="11"/>
      <c r="D76" s="11"/>
      <c r="E76" s="11"/>
      <c r="N76" s="9" t="s">
        <v>7</v>
      </c>
      <c r="O76" s="48">
        <f si="24" t="shared"/>
        <v>1.255943066485</v>
      </c>
      <c r="P76" s="48">
        <f si="24" t="shared"/>
        <v>-0.50624726280300003</v>
      </c>
      <c r="Q76" s="48" t="str">
        <f si="24" t="shared"/>
        <v>-</v>
      </c>
      <c r="R76" s="48">
        <f si="24" t="shared"/>
        <v>-0.28136050622100001</v>
      </c>
    </row>
    <row r="77" spans="2:31" x14ac:dyDescent="0.25">
      <c r="B77" s="9"/>
      <c r="N77" s="84" t="s">
        <v>8</v>
      </c>
      <c r="O77" s="112">
        <f si="24" t="shared"/>
        <v>-3.8297482943549999</v>
      </c>
      <c r="P77" s="112">
        <f si="24" t="shared"/>
        <v>1.968648028</v>
      </c>
      <c r="Q77" s="112" t="str">
        <f si="24" t="shared"/>
        <v>-</v>
      </c>
      <c r="R77" s="112">
        <f si="24" t="shared"/>
        <v>-3.9122263535999999</v>
      </c>
    </row>
    <row r="78" spans="2:31" x14ac:dyDescent="0.25">
      <c r="N78" s="109" t="s">
        <v>302</v>
      </c>
      <c r="O78" s="49">
        <f si="24" t="shared"/>
        <v>1</v>
      </c>
      <c r="P78" s="49">
        <f si="24" t="shared"/>
        <v>-3.0117538767530001</v>
      </c>
      <c r="Q78" s="49" t="str">
        <f si="24" t="shared"/>
        <v>-</v>
      </c>
      <c r="R78" s="49">
        <f si="24" t="shared"/>
        <v>-3.2208124875830002</v>
      </c>
    </row>
    <row ht="15.75" r="80" spans="2:31" thickBot="1" x14ac:dyDescent="0.3">
      <c r="H80" s="5" t="s">
        <v>235</v>
      </c>
      <c r="N80" s="37" t="s">
        <v>213</v>
      </c>
    </row>
    <row r="81" spans="8:18" x14ac:dyDescent="0.25">
      <c r="H81" s="115" t="s">
        <v>0</v>
      </c>
      <c r="I81" s="64" t="s">
        <v>252</v>
      </c>
      <c r="J81" s="64" t="s">
        <v>247</v>
      </c>
      <c r="K81" s="64" t="s">
        <v>250</v>
      </c>
      <c r="L81" s="64" t="s">
        <v>253</v>
      </c>
      <c r="N81" s="2" t="s">
        <v>0</v>
      </c>
      <c r="O81" s="39" t="str">
        <f>O69</f>
        <v>nocars</v>
      </c>
      <c r="P81" s="39" t="str">
        <f>P69</f>
        <v>cars &lt; adults</v>
      </c>
      <c r="Q81" s="39" t="str">
        <f>Q69</f>
        <v>cars &lt; workers</v>
      </c>
      <c r="R81" s="39" t="str">
        <f>R69</f>
        <v>constant</v>
      </c>
    </row>
    <row r="82" spans="8:18" x14ac:dyDescent="0.25">
      <c r="H82" s="84" t="s">
        <v>1</v>
      </c>
      <c r="I82" s="108" t="str">
        <f ref="I82:I90" si="25" t="shared">IF(ISBLANK(O18),"",O18)</f>
        <v/>
      </c>
      <c r="J82" s="108">
        <f ref="J82:J90" si="26" t="shared">IF(ISBLANK(P18),"",P18)</f>
        <v>52</v>
      </c>
      <c r="K82" s="108" t="str">
        <f ref="K82:K90" si="27" t="shared">IF(ISBLANK(Q18),"",Q18)</f>
        <v/>
      </c>
      <c r="L82" s="108">
        <f ref="L82:L90" si="28" t="shared">IF(ISBLANK(R18),"",R18)</f>
        <v>50</v>
      </c>
      <c r="N82" s="9" t="s">
        <v>1</v>
      </c>
      <c r="O82" s="48" t="str">
        <f ref="O82:R90" si="29" t="shared">IF(O18="","-",O57+O70)</f>
        <v>-</v>
      </c>
      <c r="P82" s="48">
        <f si="29" t="shared"/>
        <v>-1.3657398963230001</v>
      </c>
      <c r="Q82" s="48" t="str">
        <f si="29" t="shared"/>
        <v>-</v>
      </c>
      <c r="R82" s="48">
        <f si="29" t="shared"/>
        <v>2.3468494341527988</v>
      </c>
    </row>
    <row r="83" spans="8:18" x14ac:dyDescent="0.25">
      <c r="H83" s="84" t="s">
        <v>2</v>
      </c>
      <c r="I83" s="108">
        <f si="25" t="shared"/>
        <v>41</v>
      </c>
      <c r="J83" s="108">
        <f si="26" t="shared"/>
        <v>42</v>
      </c>
      <c r="K83" s="108" t="str">
        <f si="27" t="shared"/>
        <v/>
      </c>
      <c r="L83" s="108">
        <f si="28" t="shared"/>
        <v>40</v>
      </c>
      <c r="N83" s="9" t="s">
        <v>2</v>
      </c>
      <c r="O83" s="48">
        <f si="29" t="shared"/>
        <v>-11.9257351127411</v>
      </c>
      <c r="P83" s="48">
        <f si="29" t="shared"/>
        <v>3.9227926870999998E-2</v>
      </c>
      <c r="Q83" s="48" t="str">
        <f si="29" t="shared"/>
        <v>-</v>
      </c>
      <c r="R83" s="48">
        <f si="29" t="shared"/>
        <v>-0.31225294081777744</v>
      </c>
    </row>
    <row r="84" spans="8:18" x14ac:dyDescent="0.25">
      <c r="H84" s="84" t="s">
        <v>3</v>
      </c>
      <c r="I84" s="108">
        <f si="25" t="shared"/>
        <v>36</v>
      </c>
      <c r="J84" s="108">
        <f si="26" t="shared"/>
        <v>35</v>
      </c>
      <c r="K84" s="108" t="str">
        <f si="27" t="shared"/>
        <v/>
      </c>
      <c r="L84" s="108">
        <f si="28" t="shared"/>
        <v>30</v>
      </c>
      <c r="N84" s="9" t="s">
        <v>3</v>
      </c>
      <c r="O84" s="48">
        <f si="29" t="shared"/>
        <v>-0.450461799878</v>
      </c>
      <c r="P84" s="48">
        <f si="29" t="shared"/>
        <v>-0.37580245259400002</v>
      </c>
      <c r="Q84" s="48" t="str">
        <f si="29" t="shared"/>
        <v>-</v>
      </c>
      <c r="R84" s="48">
        <f si="29" t="shared"/>
        <v>0.64847977747918817</v>
      </c>
    </row>
    <row r="85" spans="8:18" x14ac:dyDescent="0.25">
      <c r="H85" s="84" t="s">
        <v>4</v>
      </c>
      <c r="I85" s="108" t="str">
        <f si="25" t="shared"/>
        <v/>
      </c>
      <c r="J85" s="108" t="str">
        <f si="26" t="shared"/>
        <v/>
      </c>
      <c r="K85" s="108" t="str">
        <f si="27" t="shared"/>
        <v/>
      </c>
      <c r="L85" s="108" t="str">
        <f si="28" t="shared"/>
        <v/>
      </c>
      <c r="N85" s="9" t="s">
        <v>4</v>
      </c>
      <c r="O85" s="48" t="str">
        <f si="29" t="shared"/>
        <v>-</v>
      </c>
      <c r="P85" s="48" t="str">
        <f si="29" t="shared"/>
        <v>-</v>
      </c>
      <c r="Q85" s="48" t="str">
        <f si="29" t="shared"/>
        <v>-</v>
      </c>
      <c r="R85" s="48" t="str">
        <f si="29" t="shared"/>
        <v>-</v>
      </c>
    </row>
    <row r="86" spans="8:18" x14ac:dyDescent="0.25">
      <c r="H86" s="84" t="s">
        <v>5</v>
      </c>
      <c r="I86" s="108">
        <f si="25" t="shared"/>
        <v>21</v>
      </c>
      <c r="J86" s="108">
        <f si="26" t="shared"/>
        <v>22</v>
      </c>
      <c r="K86" s="108" t="str">
        <f si="27" t="shared"/>
        <v/>
      </c>
      <c r="L86" s="108">
        <f si="28" t="shared"/>
        <v>20</v>
      </c>
      <c r="N86" s="9" t="s">
        <v>5</v>
      </c>
      <c r="O86" s="48">
        <f si="29" t="shared"/>
        <v>2.7167830999050002</v>
      </c>
      <c r="P86" s="48">
        <f si="29" t="shared"/>
        <v>1.5381532013170001</v>
      </c>
      <c r="Q86" s="48" t="str">
        <f si="29" t="shared"/>
        <v>-</v>
      </c>
      <c r="R86" s="48">
        <f si="29" t="shared"/>
        <v>-1.8163886123304773</v>
      </c>
    </row>
    <row r="87" spans="8:18" x14ac:dyDescent="0.25">
      <c r="H87" s="84" t="s">
        <v>6</v>
      </c>
      <c r="I87" s="108">
        <f si="25" t="shared"/>
        <v>67</v>
      </c>
      <c r="J87" s="108">
        <f si="26" t="shared"/>
        <v>68</v>
      </c>
      <c r="K87" s="108" t="str">
        <f si="27" t="shared"/>
        <v/>
      </c>
      <c r="L87" s="108">
        <f si="28" t="shared"/>
        <v>60</v>
      </c>
      <c r="N87" s="9" t="s">
        <v>6</v>
      </c>
      <c r="O87" s="48">
        <f si="29" t="shared"/>
        <v>0.897530440835</v>
      </c>
      <c r="P87" s="48">
        <f si="29" t="shared"/>
        <v>1.64137554159</v>
      </c>
      <c r="Q87" s="48" t="str">
        <f si="29" t="shared"/>
        <v>-</v>
      </c>
      <c r="R87" s="48">
        <f si="29" t="shared"/>
        <v>-4.7549397244422611</v>
      </c>
    </row>
    <row r="88" spans="8:18" x14ac:dyDescent="0.25">
      <c r="H88" s="84" t="s">
        <v>7</v>
      </c>
      <c r="I88" s="108">
        <f si="25" t="shared"/>
        <v>77</v>
      </c>
      <c r="J88" s="108">
        <f si="26" t="shared"/>
        <v>78</v>
      </c>
      <c r="K88" s="108" t="str">
        <f si="27" t="shared"/>
        <v/>
      </c>
      <c r="L88" s="108">
        <f si="28" t="shared"/>
        <v>70</v>
      </c>
      <c r="N88" s="9" t="s">
        <v>7</v>
      </c>
      <c r="O88" s="48">
        <f si="29" t="shared"/>
        <v>1.255943066485</v>
      </c>
      <c r="P88" s="48">
        <f si="29" t="shared"/>
        <v>-0.50624726280300003</v>
      </c>
      <c r="Q88" s="48" t="str">
        <f si="29" t="shared"/>
        <v>-</v>
      </c>
      <c r="R88" s="48">
        <f si="29" t="shared"/>
        <v>-0.26326702545003494</v>
      </c>
    </row>
    <row r="89" spans="8:18" x14ac:dyDescent="0.25">
      <c r="H89" s="84" t="s">
        <v>8</v>
      </c>
      <c r="I89" s="108">
        <f si="25" t="shared"/>
        <v>11</v>
      </c>
      <c r="J89" s="108">
        <f si="26" t="shared"/>
        <v>13</v>
      </c>
      <c r="K89" s="108" t="str">
        <f si="27" t="shared"/>
        <v/>
      </c>
      <c r="L89" s="108">
        <f si="28" t="shared"/>
        <v>10</v>
      </c>
      <c r="N89" s="84" t="s">
        <v>8</v>
      </c>
      <c r="O89" s="112">
        <f si="29" t="shared"/>
        <v>-3.8297482943549999</v>
      </c>
      <c r="P89" s="112">
        <f si="29" t="shared"/>
        <v>1.968648028</v>
      </c>
      <c r="Q89" s="112" t="str">
        <f si="29" t="shared"/>
        <v>-</v>
      </c>
      <c r="R89" s="112">
        <f si="29" t="shared"/>
        <v>-3.8535844133333699</v>
      </c>
    </row>
    <row r="90" spans="8:18" x14ac:dyDescent="0.25">
      <c r="H90" s="109" t="s">
        <v>302</v>
      </c>
      <c r="I90" s="7">
        <f si="25" t="shared"/>
        <v>81</v>
      </c>
      <c r="J90" s="7">
        <f si="26" t="shared"/>
        <v>82</v>
      </c>
      <c r="K90" s="7" t="str">
        <f si="27" t="shared"/>
        <v/>
      </c>
      <c r="L90" s="7">
        <f si="28" t="shared"/>
        <v>80</v>
      </c>
      <c r="N90" s="109" t="s">
        <v>302</v>
      </c>
      <c r="O90" s="49">
        <f si="29" t="shared"/>
        <v>1</v>
      </c>
      <c r="P90" s="49">
        <f si="29" t="shared"/>
        <v>-3.0117538767530001</v>
      </c>
      <c r="Q90" s="49" t="str">
        <f si="29" t="shared"/>
        <v>-</v>
      </c>
      <c r="R90" s="49">
        <f si="29" t="shared"/>
        <v>-3.2208124875830002</v>
      </c>
    </row>
  </sheetData>
  <mergeCells count="2">
    <mergeCell ref="B15:F15"/>
    <mergeCell ref="H15:L15"/>
  </mergeCells>
  <conditionalFormatting sqref="AE3:AE70">
    <cfRule dxfId="15" operator="greaterThan" priority="4" type="cellIs">
      <formula>0</formula>
    </cfRule>
  </conditionalFormatting>
  <conditionalFormatting sqref="O32:P33 P31 O35:P39 R31:R33 R35:R39">
    <cfRule dxfId="14" operator="greaterThan" priority="3" type="cellIs">
      <formula>1.05</formula>
    </cfRule>
    <cfRule dxfId="13" operator="lessThan" priority="2" type="cellIs">
      <formula>0.95</formula>
    </cfRule>
  </conditionalFormatting>
  <pageMargins bottom="0.75" footer="0.3" header="0.3" left="0.7" right="0.7" top="0.75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id="{D2FD83AF-A941-4965-A15C-3ACA6EAF6CFF}" operator="containsText" priority="1" type="containsText">
            <xm:f>NOT(ISERROR(SEARCH("-",O31)))</xm:f>
            <xm:f>"-"</xm:f>
            <x14:dxf>
              <fill>
                <patternFill>
                  <bgColor theme="0" tint="-0.24994659260841701"/>
                </patternFill>
              </fill>
            </x14:dxf>
          </x14:cfRule>
          <xm:sqref>O31:R39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AF86"/>
  <sheetViews>
    <sheetView workbookViewId="0">
      <selection activeCell="C18" sqref="C18"/>
    </sheetView>
  </sheetViews>
  <sheetFormatPr defaultRowHeight="15" x14ac:dyDescent="0.25"/>
  <cols>
    <col min="2" max="2" bestFit="true" customWidth="true" width="14.140625" collapsed="true"/>
    <col min="4" max="4" bestFit="true" customWidth="true" width="11.7109375" collapsed="true"/>
    <col min="5" max="5" bestFit="true" customWidth="true" width="13.5703125" collapsed="true"/>
    <col min="6" max="6" bestFit="true" customWidth="true" width="9.140625" collapsed="true"/>
    <col min="8" max="8" bestFit="true" customWidth="true" width="14.140625" collapsed="true"/>
    <col min="10" max="10" bestFit="true" customWidth="true" width="11.7109375" collapsed="true"/>
    <col min="11" max="11" bestFit="true" customWidth="true" width="13.5703125" collapsed="true"/>
    <col min="12" max="12" bestFit="true" customWidth="true" width="7.5703125" collapsed="true"/>
    <col min="13" max="13" width="9.140625" collapsed="true"/>
    <col min="14" max="14" bestFit="true" customWidth="true" width="14.140625" collapsed="true"/>
    <col min="15" max="15" bestFit="true" customWidth="true" width="9.28515625" collapsed="true"/>
    <col min="16" max="16" bestFit="true" customWidth="true" width="12.0" collapsed="true"/>
    <col min="17" max="17" bestFit="true" customWidth="true" width="13.85546875" collapsed="true"/>
    <col min="18" max="18" bestFit="true" customWidth="true" width="10.28515625" collapsed="true"/>
    <col min="20" max="20" customWidth="true" width="5.5703125" collapsed="true"/>
    <col min="21" max="21" customWidth="true" width="12.85546875" collapsed="true"/>
    <col min="22" max="22" bestFit="true" customWidth="true" width="11.7109375" collapsed="true"/>
    <col min="23" max="23" bestFit="true" customWidth="true" width="13.5703125" collapsed="true"/>
    <col min="28" max="28" bestFit="true" customWidth="true" width="11.0" collapsed="true"/>
    <col min="29" max="30" bestFit="true" customWidth="true" width="16.42578125" collapsed="true"/>
  </cols>
  <sheetData>
    <row r="1" spans="2:31" x14ac:dyDescent="0.25">
      <c r="T1" s="23" t="s">
        <v>143</v>
      </c>
      <c r="U1" s="32"/>
      <c r="V1" s="32"/>
      <c r="W1" s="32"/>
      <c r="X1" s="32"/>
      <c r="AA1" s="23" t="s">
        <v>143</v>
      </c>
    </row>
    <row r="2" spans="2:31" x14ac:dyDescent="0.25">
      <c r="T2" s="32"/>
      <c r="U2" s="23" t="s">
        <v>236</v>
      </c>
      <c r="W2" s="32"/>
      <c r="X2" s="32"/>
      <c r="AC2" s="28" t="s">
        <v>233</v>
      </c>
      <c r="AD2" s="28" t="s">
        <v>234</v>
      </c>
      <c r="AE2" s="28" t="s">
        <v>34</v>
      </c>
    </row>
    <row ht="15.75" r="3" spans="2:31" thickBot="1" x14ac:dyDescent="0.3">
      <c r="B3" s="23" t="s">
        <v>279</v>
      </c>
      <c r="T3">
        <v>1</v>
      </c>
      <c r="U3" s="33" t="s">
        <v>244</v>
      </c>
      <c r="W3" s="32"/>
      <c r="X3" s="32"/>
      <c r="AA3">
        <f>EscortCoefficients!B11</f>
        <v>2</v>
      </c>
      <c r="AB3" t="str">
        <f>EscortCoefficients!C11</f>
        <v>timeutil</v>
      </c>
      <c r="AC3" s="56">
        <f>EscortCoefficients!E11</f>
        <v>2.7320863424400001</v>
      </c>
      <c r="AD3" s="57">
        <f ref="AD3:AD25" si="0" t="shared">_xlfn.IFNA(VLOOKUP(AA3,$T$31:$V$44,3,FALSE),AC3)</f>
        <v>2.7320863424400001</v>
      </c>
      <c r="AE3">
        <f>IF(AC3=AD3,0,1)</f>
        <v>0</v>
      </c>
    </row>
    <row r="4" spans="2:31" x14ac:dyDescent="0.25">
      <c r="B4" s="38" t="s">
        <v>0</v>
      </c>
      <c r="C4" s="39" t="s">
        <v>252</v>
      </c>
      <c r="D4" s="39" t="s">
        <v>247</v>
      </c>
      <c r="E4" s="39" t="s">
        <v>250</v>
      </c>
      <c r="F4" s="39" t="s">
        <v>253</v>
      </c>
      <c r="T4">
        <v>2</v>
      </c>
      <c r="U4" s="33" t="s">
        <v>284</v>
      </c>
      <c r="W4" s="32"/>
      <c r="X4" s="32"/>
      <c r="AA4">
        <f>EscortCoefficients!B12</f>
        <v>30</v>
      </c>
      <c r="AB4" t="str">
        <f>EscortCoefficients!C12</f>
        <v>s3-const</v>
      </c>
      <c r="AC4" s="56">
        <f>EscortCoefficients!E12</f>
        <v>-6.9398997343640003</v>
      </c>
      <c r="AD4" s="57">
        <f si="0" t="shared"/>
        <v>-7.0311987021451507</v>
      </c>
      <c r="AE4">
        <f ref="AE4:AE26" si="1" t="shared">IF(AC4=AD4,0,1)</f>
        <v>1</v>
      </c>
    </row>
    <row r="5" spans="2:31" x14ac:dyDescent="0.25">
      <c r="B5" s="9" t="s">
        <v>1</v>
      </c>
      <c r="C5" s="11"/>
      <c r="D5" s="11">
        <v>52</v>
      </c>
      <c r="E5" s="11"/>
      <c r="F5" s="11">
        <v>50</v>
      </c>
      <c r="T5">
        <v>3</v>
      </c>
      <c r="U5" s="32" t="s">
        <v>245</v>
      </c>
      <c r="V5" s="32"/>
      <c r="W5" s="32"/>
      <c r="X5" s="32"/>
      <c r="AA5">
        <f>EscortCoefficients!B13</f>
        <v>31</v>
      </c>
      <c r="AB5" t="str">
        <f>EscortCoefficients!C13</f>
        <v>s3-hhcu5</v>
      </c>
      <c r="AC5" s="56">
        <f>EscortCoefficients!E13</f>
        <v>1.0545738203499999</v>
      </c>
      <c r="AD5" s="57">
        <f si="0" t="shared"/>
        <v>1.0545738203499999</v>
      </c>
      <c r="AE5">
        <f si="1" t="shared"/>
        <v>0</v>
      </c>
    </row>
    <row r="6" spans="2:31" x14ac:dyDescent="0.25">
      <c r="B6" s="9" t="s">
        <v>2</v>
      </c>
      <c r="C6" s="11">
        <v>41</v>
      </c>
      <c r="D6" s="11">
        <v>42</v>
      </c>
      <c r="E6" s="11"/>
      <c r="F6" s="11">
        <v>40</v>
      </c>
      <c r="T6">
        <v>4</v>
      </c>
      <c r="U6" s="32" t="s">
        <v>237</v>
      </c>
      <c r="V6" s="32"/>
      <c r="W6" s="32"/>
      <c r="X6" s="32"/>
      <c r="AA6">
        <f>EscortCoefficients!B14</f>
        <v>32</v>
      </c>
      <c r="AB6" t="str">
        <f>EscortCoefficients!C14</f>
        <v>s3-hh515</v>
      </c>
      <c r="AC6" s="56">
        <f>EscortCoefficients!E14</f>
        <v>0.64710165113499996</v>
      </c>
      <c r="AD6" s="57">
        <f si="0" t="shared"/>
        <v>0.64710165113499996</v>
      </c>
      <c r="AE6">
        <f si="1" t="shared"/>
        <v>0</v>
      </c>
    </row>
    <row r="7" spans="2:31" x14ac:dyDescent="0.25">
      <c r="B7" s="9" t="s">
        <v>3</v>
      </c>
      <c r="C7" s="11" t="s">
        <v>254</v>
      </c>
      <c r="D7" s="11">
        <v>37</v>
      </c>
      <c r="E7" s="11"/>
      <c r="F7" s="11">
        <v>30</v>
      </c>
      <c r="T7" s="32">
        <v>5</v>
      </c>
      <c r="U7" s="32" t="s">
        <v>238</v>
      </c>
      <c r="V7" s="32"/>
      <c r="W7" s="32"/>
      <c r="X7" s="32"/>
      <c r="AA7">
        <f>EscortCoefficients!B15</f>
        <v>33</v>
      </c>
      <c r="AB7" t="str">
        <f>EscortCoefficients!C15</f>
        <v>s3-hhdas</v>
      </c>
      <c r="AC7" s="56">
        <f>EscortCoefficients!E15</f>
        <v>0</v>
      </c>
      <c r="AD7" s="57">
        <f si="0" t="shared"/>
        <v>0</v>
      </c>
      <c r="AE7">
        <f si="1" t="shared"/>
        <v>0</v>
      </c>
    </row>
    <row r="8" spans="2:31" x14ac:dyDescent="0.25">
      <c r="B8" s="9" t="s">
        <v>4</v>
      </c>
      <c r="C8" s="11"/>
      <c r="D8" s="11"/>
      <c r="E8" s="11"/>
      <c r="F8" s="11"/>
      <c r="T8" s="32"/>
      <c r="U8" s="32"/>
      <c r="V8" s="32"/>
      <c r="W8" s="32"/>
      <c r="X8" s="32"/>
      <c r="AA8">
        <f>EscortCoefficients!B16</f>
        <v>36</v>
      </c>
      <c r="AB8" t="str">
        <f>EscortCoefficients!C16</f>
        <v>s3-nocars</v>
      </c>
      <c r="AC8" s="56">
        <f>EscortCoefficients!E16</f>
        <v>-0.89787089007999998</v>
      </c>
      <c r="AD8" s="57">
        <f si="0" t="shared"/>
        <v>-0.89787089007999998</v>
      </c>
      <c r="AE8">
        <f si="1" t="shared"/>
        <v>0</v>
      </c>
    </row>
    <row r="9" spans="2:31" x14ac:dyDescent="0.25">
      <c r="B9" s="9" t="s">
        <v>5</v>
      </c>
      <c r="C9" s="11"/>
      <c r="D9" s="11"/>
      <c r="E9" s="11"/>
      <c r="F9" s="11"/>
      <c r="T9" s="32"/>
      <c r="U9" s="34" t="s">
        <v>239</v>
      </c>
      <c r="V9" s="32"/>
      <c r="W9" s="32"/>
      <c r="X9" s="32"/>
      <c r="AA9">
        <f>EscortCoefficients!B17</f>
        <v>37</v>
      </c>
      <c r="AB9" t="str">
        <f>EscortCoefficients!C17</f>
        <v>s3-carsltd</v>
      </c>
      <c r="AC9" s="56">
        <f>EscortCoefficients!E17</f>
        <v>-7.8974546559999997E-2</v>
      </c>
      <c r="AD9" s="57">
        <f si="0" t="shared"/>
        <v>-7.8974546559999997E-2</v>
      </c>
      <c r="AE9">
        <f si="1" t="shared"/>
        <v>0</v>
      </c>
    </row>
    <row r="10" spans="2:31" x14ac:dyDescent="0.25">
      <c r="B10" s="9" t="s">
        <v>6</v>
      </c>
      <c r="C10" s="11">
        <v>67</v>
      </c>
      <c r="D10" s="11">
        <v>68</v>
      </c>
      <c r="E10" s="11"/>
      <c r="F10" s="11">
        <v>60</v>
      </c>
      <c r="T10" s="32">
        <v>1</v>
      </c>
      <c r="U10" s="33" t="s">
        <v>244</v>
      </c>
      <c r="V10" s="32"/>
      <c r="W10" s="32"/>
      <c r="X10" s="32"/>
      <c r="AA10">
        <f>EscortCoefficients!B18</f>
        <v>40</v>
      </c>
      <c r="AB10" t="str">
        <f>EscortCoefficients!C18</f>
        <v>s2-const</v>
      </c>
      <c r="AC10" s="56">
        <f>EscortCoefficients!E18</f>
        <v>-6.2680582356360004</v>
      </c>
      <c r="AD10" s="57">
        <f si="0" t="shared"/>
        <v>-6.1828040304231751</v>
      </c>
      <c r="AE10">
        <f si="1" t="shared"/>
        <v>1</v>
      </c>
    </row>
    <row r="11" spans="2:31" x14ac:dyDescent="0.25">
      <c r="B11" s="9" t="s">
        <v>7</v>
      </c>
      <c r="C11" s="11">
        <v>77</v>
      </c>
      <c r="D11" s="11">
        <v>78</v>
      </c>
      <c r="E11" s="11"/>
      <c r="F11" s="11">
        <v>70</v>
      </c>
      <c r="T11" s="32">
        <v>2</v>
      </c>
      <c r="U11" s="32" t="s">
        <v>240</v>
      </c>
      <c r="V11" s="32"/>
      <c r="W11" s="32"/>
      <c r="X11" s="32"/>
      <c r="AA11">
        <f>EscortCoefficients!B19</f>
        <v>41</v>
      </c>
      <c r="AB11" t="str">
        <f>EscortCoefficients!C19</f>
        <v>sr-nocars</v>
      </c>
      <c r="AC11" s="56">
        <f>EscortCoefficients!E19</f>
        <v>-3.3043422143660002</v>
      </c>
      <c r="AD11" s="57">
        <f si="0" t="shared"/>
        <v>-3.3043422143660002</v>
      </c>
      <c r="AE11">
        <f si="1" t="shared"/>
        <v>0</v>
      </c>
    </row>
    <row r="12" spans="2:31" x14ac:dyDescent="0.25">
      <c r="B12" s="12" t="s">
        <v>8</v>
      </c>
      <c r="C12" s="11"/>
      <c r="D12" s="11"/>
      <c r="E12" s="7"/>
      <c r="F12" s="7"/>
      <c r="T12" s="32">
        <v>3</v>
      </c>
      <c r="U12" s="32" t="s">
        <v>241</v>
      </c>
      <c r="V12" s="32"/>
      <c r="W12" s="32"/>
      <c r="X12" s="32"/>
      <c r="AA12">
        <f>EscortCoefficients!B20</f>
        <v>42</v>
      </c>
      <c r="AB12" t="str">
        <f>EscortCoefficients!C20</f>
        <v>sr-carsltd</v>
      </c>
      <c r="AC12" s="56">
        <f>EscortCoefficients!E20</f>
        <v>0.25589449116099999</v>
      </c>
      <c r="AD12" s="57">
        <f si="0" t="shared"/>
        <v>0.25589449116099999</v>
      </c>
      <c r="AE12">
        <f si="1" t="shared"/>
        <v>0</v>
      </c>
    </row>
    <row r="13" spans="2:31" x14ac:dyDescent="0.25">
      <c r="C13" s="25"/>
      <c r="D13" s="25"/>
      <c r="T13" s="32">
        <v>4</v>
      </c>
      <c r="U13" s="32" t="s">
        <v>242</v>
      </c>
      <c r="V13" s="32"/>
      <c r="W13" s="32"/>
      <c r="X13" s="32"/>
      <c r="AA13">
        <f>EscortCoefficients!B21</f>
        <v>50</v>
      </c>
      <c r="AB13" t="str">
        <f>EscortCoefficients!C21</f>
        <v>sov-const</v>
      </c>
      <c r="AC13" s="56">
        <f>EscortCoefficients!E21</f>
        <v>-9.8609981837039999</v>
      </c>
      <c r="AD13" s="57">
        <f si="0" t="shared"/>
        <v>-9.8034223473070394</v>
      </c>
      <c r="AE13">
        <f si="1" t="shared"/>
        <v>1</v>
      </c>
    </row>
    <row r="14" spans="2:31" x14ac:dyDescent="0.25">
      <c r="B14" s="37" t="s">
        <v>337</v>
      </c>
      <c r="T14" s="32">
        <v>5</v>
      </c>
      <c r="U14" s="33" t="s">
        <v>285</v>
      </c>
      <c r="V14" s="32"/>
      <c r="W14" s="32"/>
      <c r="X14" s="32"/>
      <c r="AA14">
        <f>EscortCoefficients!B22</f>
        <v>52</v>
      </c>
      <c r="AB14" t="str">
        <f>EscortCoefficients!C22</f>
        <v>da-carsltd</v>
      </c>
      <c r="AC14" s="56">
        <f>EscortCoefficients!E22</f>
        <v>-0.86772357690299995</v>
      </c>
      <c r="AD14" s="57">
        <f si="0" t="shared"/>
        <v>-0.86772357690299995</v>
      </c>
      <c r="AE14">
        <f si="1" t="shared"/>
        <v>0</v>
      </c>
    </row>
    <row r="15" spans="2:31" x14ac:dyDescent="0.25">
      <c r="B15" s="123" t="s">
        <v>293</v>
      </c>
      <c r="C15" s="123"/>
      <c r="D15" s="123"/>
      <c r="E15" s="123"/>
      <c r="F15" s="123"/>
      <c r="H15" s="122" t="s">
        <v>33</v>
      </c>
      <c r="I15" s="122"/>
      <c r="J15" s="122"/>
      <c r="K15" s="122"/>
      <c r="L15" s="122"/>
      <c r="T15" s="32">
        <v>6</v>
      </c>
      <c r="U15" s="32" t="s">
        <v>246</v>
      </c>
      <c r="V15" s="32"/>
      <c r="W15" s="32"/>
      <c r="X15" s="32"/>
      <c r="AA15">
        <f>EscortCoefficients!B23</f>
        <v>60</v>
      </c>
      <c r="AB15" t="str">
        <f>EscortCoefficients!C23</f>
        <v>bi-const</v>
      </c>
      <c r="AC15" s="56">
        <f>EscortCoefficients!E23</f>
        <v>-13.621753923630999</v>
      </c>
      <c r="AD15" s="57">
        <f si="0" t="shared"/>
        <v>-13.621753923630999</v>
      </c>
      <c r="AE15">
        <f si="1" t="shared"/>
        <v>0</v>
      </c>
    </row>
    <row ht="15.75" r="16" spans="2:31" thickBot="1" x14ac:dyDescent="0.3">
      <c r="B16" s="5" t="s">
        <v>258</v>
      </c>
      <c r="H16" s="5" t="str">
        <f>B16</f>
        <v>Frequency</v>
      </c>
      <c r="N16" s="5" t="s">
        <v>271</v>
      </c>
      <c r="T16" s="32">
        <v>7</v>
      </c>
      <c r="U16" s="32" t="s">
        <v>237</v>
      </c>
      <c r="V16" s="32"/>
      <c r="W16" s="32"/>
      <c r="X16" s="32"/>
      <c r="AA16">
        <f>EscortCoefficients!B24</f>
        <v>67</v>
      </c>
      <c r="AB16" t="str">
        <f>EscortCoefficients!C24</f>
        <v>bi-nocars</v>
      </c>
      <c r="AC16" s="56">
        <f>EscortCoefficients!E24</f>
        <v>2.3646780759819999</v>
      </c>
      <c r="AD16" s="57">
        <f si="0" t="shared"/>
        <v>2.3646780759819999</v>
      </c>
      <c r="AE16">
        <f si="1" t="shared"/>
        <v>0</v>
      </c>
    </row>
    <row r="17" spans="2:31" x14ac:dyDescent="0.25">
      <c r="B17" s="38" t="s">
        <v>0</v>
      </c>
      <c r="C17" s="39" t="s">
        <v>252</v>
      </c>
      <c r="D17" s="39" t="s">
        <v>247</v>
      </c>
      <c r="E17" s="39" t="s">
        <v>250</v>
      </c>
      <c r="F17" s="39" t="s">
        <v>19</v>
      </c>
      <c r="H17" s="38" t="s">
        <v>0</v>
      </c>
      <c r="I17" s="39" t="s">
        <v>252</v>
      </c>
      <c r="J17" s="39" t="s">
        <v>247</v>
      </c>
      <c r="K17" s="39" t="s">
        <v>250</v>
      </c>
      <c r="L17" s="39" t="s">
        <v>19</v>
      </c>
      <c r="M17" s="36"/>
      <c r="N17" s="38" t="s">
        <v>0</v>
      </c>
      <c r="O17" s="39" t="s">
        <v>252</v>
      </c>
      <c r="P17" s="39" t="s">
        <v>247</v>
      </c>
      <c r="Q17" s="39" t="s">
        <v>250</v>
      </c>
      <c r="R17" s="39" t="s">
        <v>253</v>
      </c>
      <c r="T17" s="32">
        <v>8</v>
      </c>
      <c r="U17" s="32" t="s">
        <v>243</v>
      </c>
      <c r="V17" s="32"/>
      <c r="W17" s="32"/>
      <c r="X17" s="32"/>
      <c r="AA17">
        <f>EscortCoefficients!B25</f>
        <v>68</v>
      </c>
      <c r="AB17" t="str">
        <f>EscortCoefficients!C25</f>
        <v>bi-carsltd</v>
      </c>
      <c r="AC17" s="56">
        <f>EscortCoefficients!E25</f>
        <v>1.7575454809019999</v>
      </c>
      <c r="AD17" s="57">
        <f si="0" t="shared"/>
        <v>1.7575454809019999</v>
      </c>
      <c r="AE17">
        <f si="1" t="shared"/>
        <v>0</v>
      </c>
    </row>
    <row r="18" spans="2:31" x14ac:dyDescent="0.25">
      <c r="B18" s="9" t="s">
        <v>1</v>
      </c>
      <c r="C18" s="9">
        <f>Escort!B4</f>
        <v>0</v>
      </c>
      <c r="D18" s="9">
        <f>Escort!E4</f>
        <v>264.12991304847424</v>
      </c>
      <c r="E18" s="9">
        <f>Escort!G4</f>
        <v>0</v>
      </c>
      <c r="F18" s="9">
        <f>Escort!H4</f>
        <v>4864.9635479435292</v>
      </c>
      <c r="H18" s="9" t="s">
        <v>1</v>
      </c>
      <c r="I18" s="9">
        <f>Escort!K4</f>
        <v>0</v>
      </c>
      <c r="J18" s="9">
        <f>Escort!N4</f>
        <v>735</v>
      </c>
      <c r="K18" s="9">
        <f>Escort!P4</f>
        <v>95</v>
      </c>
      <c r="L18" s="9">
        <f>Escort!Q4</f>
        <v>4756</v>
      </c>
      <c r="M18" s="9"/>
      <c r="N18" s="9" t="s">
        <v>1</v>
      </c>
      <c r="O18" s="50" t="str">
        <f>IF(ISBLANK(C5),"",C5)</f>
        <v/>
      </c>
      <c r="P18" s="50">
        <f ref="P18:R25" si="2" t="shared">IF(ISBLANK(D5),"",D5)</f>
        <v>52</v>
      </c>
      <c r="Q18" s="50" t="str">
        <f si="2" t="shared"/>
        <v/>
      </c>
      <c r="R18" s="50">
        <f si="2" t="shared"/>
        <v>50</v>
      </c>
      <c r="AA18">
        <f>EscortCoefficients!B26</f>
        <v>69</v>
      </c>
      <c r="AB18" t="str">
        <f>EscortCoefficients!C26</f>
        <v>bi-univtr</v>
      </c>
      <c r="AC18" s="56">
        <f>EscortCoefficients!E26</f>
        <v>2.1188702639299999</v>
      </c>
      <c r="AD18" s="57">
        <f si="0" t="shared"/>
        <v>2.1188702639299999</v>
      </c>
      <c r="AE18">
        <f si="1" t="shared"/>
        <v>0</v>
      </c>
    </row>
    <row r="19" spans="2:31" x14ac:dyDescent="0.25">
      <c r="B19" s="9" t="s">
        <v>2</v>
      </c>
      <c r="C19" s="9">
        <f>Escort!B5</f>
        <v>22.947196073453199</v>
      </c>
      <c r="D19" s="9">
        <f>Escort!E5</f>
        <v>21544.807261144397</v>
      </c>
      <c r="E19" s="9">
        <f>Escort!G5</f>
        <v>5263.0624185426868</v>
      </c>
      <c r="F19" s="9">
        <f>Escort!H5</f>
        <v>105818.08184023465</v>
      </c>
      <c r="H19" s="9" t="s">
        <v>2</v>
      </c>
      <c r="I19" s="9">
        <f>Escort!K5</f>
        <v>1273</v>
      </c>
      <c r="J19" s="9">
        <f>Escort!N5</f>
        <v>32107</v>
      </c>
      <c r="K19" s="9">
        <f>Escort!P5</f>
        <v>8234</v>
      </c>
      <c r="L19" s="9">
        <f>Escort!Q5</f>
        <v>100624</v>
      </c>
      <c r="M19" s="9"/>
      <c r="N19" s="9" t="s">
        <v>2</v>
      </c>
      <c r="O19" s="11">
        <f ref="O19:O25" si="3" t="shared">IF(ISBLANK(C6),"",C6)</f>
        <v>41</v>
      </c>
      <c r="P19" s="11">
        <f si="2" t="shared"/>
        <v>42</v>
      </c>
      <c r="Q19" s="11" t="str">
        <f si="2" t="shared"/>
        <v/>
      </c>
      <c r="R19" s="11">
        <f si="2" t="shared"/>
        <v>40</v>
      </c>
      <c r="T19" s="9"/>
      <c r="AA19">
        <f>EscortCoefficients!B27</f>
        <v>70</v>
      </c>
      <c r="AB19" t="str">
        <f>EscortCoefficients!C27</f>
        <v>wk-const</v>
      </c>
      <c r="AC19" s="56">
        <f>EscortCoefficients!E27</f>
        <v>-1.7686436508109999</v>
      </c>
      <c r="AD19" s="57">
        <f si="0" t="shared"/>
        <v>-1.7164446112178411</v>
      </c>
      <c r="AE19">
        <f si="1" t="shared"/>
        <v>1</v>
      </c>
    </row>
    <row r="20" spans="2:31" x14ac:dyDescent="0.25">
      <c r="B20" s="9" t="s">
        <v>3</v>
      </c>
      <c r="C20" s="9">
        <f>Escort!B6</f>
        <v>1218.1315651445566</v>
      </c>
      <c r="D20" s="9">
        <f>Escort!E6</f>
        <v>18112.032176952212</v>
      </c>
      <c r="E20" s="9">
        <f>Escort!G6</f>
        <v>2076.1605220937131</v>
      </c>
      <c r="F20" s="9">
        <f>Escort!H6</f>
        <v>102827.18186469738</v>
      </c>
      <c r="H20" s="9" t="s">
        <v>3</v>
      </c>
      <c r="I20" s="9">
        <f>Escort!K6</f>
        <v>4601</v>
      </c>
      <c r="J20" s="9">
        <f>Escort!N6</f>
        <v>38380</v>
      </c>
      <c r="K20" s="9">
        <f>Escort!P6</f>
        <v>9868</v>
      </c>
      <c r="L20" s="9">
        <f>Escort!Q6</f>
        <v>116661</v>
      </c>
      <c r="M20" s="9"/>
      <c r="N20" s="9" t="s">
        <v>3</v>
      </c>
      <c r="O20" s="11">
        <v>36</v>
      </c>
      <c r="P20" s="11">
        <v>37</v>
      </c>
      <c r="Q20" s="11" t="str">
        <f si="2" t="shared"/>
        <v/>
      </c>
      <c r="R20" s="11">
        <f si="2" t="shared"/>
        <v>30</v>
      </c>
      <c r="T20" s="9"/>
      <c r="AA20">
        <f>EscortCoefficients!B28</f>
        <v>73</v>
      </c>
      <c r="AB20" t="str">
        <f>EscortCoefficients!C28</f>
        <v>wk-ageo50</v>
      </c>
      <c r="AC20" s="56">
        <f>EscortCoefficients!E28</f>
        <v>-4.9194139576199998</v>
      </c>
      <c r="AD20" s="57">
        <f si="0" t="shared"/>
        <v>-4.9194139576199998</v>
      </c>
      <c r="AE20">
        <f si="1" t="shared"/>
        <v>0</v>
      </c>
    </row>
    <row r="21" spans="2:31" x14ac:dyDescent="0.25">
      <c r="B21" s="9" t="s">
        <v>4</v>
      </c>
      <c r="C21" s="9">
        <v>0</v>
      </c>
      <c r="D21" s="9">
        <v>0</v>
      </c>
      <c r="E21" s="9">
        <v>0</v>
      </c>
      <c r="F21" s="9">
        <v>0</v>
      </c>
      <c r="H21" s="9" t="s">
        <v>4</v>
      </c>
      <c r="I21" s="9">
        <f>Escort!K7</f>
        <v>0</v>
      </c>
      <c r="J21" s="9">
        <f>Escort!N7</f>
        <v>0</v>
      </c>
      <c r="K21" s="9">
        <f>Escort!P7</f>
        <v>0</v>
      </c>
      <c r="L21" s="9">
        <f>Escort!Q7</f>
        <v>0</v>
      </c>
      <c r="M21" s="9"/>
      <c r="N21" s="9" t="s">
        <v>4</v>
      </c>
      <c r="O21" s="11" t="str">
        <f si="3" t="shared"/>
        <v/>
      </c>
      <c r="P21" s="11" t="str">
        <f si="2" t="shared"/>
        <v/>
      </c>
      <c r="Q21" s="11" t="str">
        <f si="2" t="shared"/>
        <v/>
      </c>
      <c r="R21" s="11" t="str">
        <f si="2" t="shared"/>
        <v/>
      </c>
      <c r="T21" s="9"/>
      <c r="AA21">
        <f>EscortCoefficients!B29</f>
        <v>76</v>
      </c>
      <c r="AB21" t="str">
        <f>EscortCoefficients!C29</f>
        <v>wk-dintd</v>
      </c>
      <c r="AC21" s="56">
        <f>EscortCoefficients!E29</f>
        <v>-9.3626403287999996E-2</v>
      </c>
      <c r="AD21" s="57">
        <f si="0" t="shared"/>
        <v>-9.3626403287999996E-2</v>
      </c>
      <c r="AE21">
        <f si="1" t="shared"/>
        <v>0</v>
      </c>
    </row>
    <row r="22" spans="2:31" x14ac:dyDescent="0.25">
      <c r="B22" s="9" t="s">
        <v>5</v>
      </c>
      <c r="C22" s="9">
        <f>Escort!B8</f>
        <v>324.57727236764453</v>
      </c>
      <c r="D22" s="9">
        <f>Escort!E8</f>
        <v>0</v>
      </c>
      <c r="E22" s="9">
        <f>Escort!G8</f>
        <v>0</v>
      </c>
      <c r="F22" s="9">
        <f>Escort!H8</f>
        <v>744.85260816204755</v>
      </c>
      <c r="H22" s="9" t="s">
        <v>5</v>
      </c>
      <c r="I22" s="9">
        <f>Escort!K8</f>
        <v>0</v>
      </c>
      <c r="J22" s="9">
        <f>Escort!N8</f>
        <v>0</v>
      </c>
      <c r="K22" s="9">
        <f>Escort!P8</f>
        <v>0</v>
      </c>
      <c r="L22" s="9">
        <f>Escort!Q8</f>
        <v>0</v>
      </c>
      <c r="M22" s="9"/>
      <c r="N22" s="9" t="s">
        <v>5</v>
      </c>
      <c r="O22" s="11" t="str">
        <f si="3" t="shared"/>
        <v/>
      </c>
      <c r="P22" s="11" t="str">
        <f si="2" t="shared"/>
        <v/>
      </c>
      <c r="Q22" s="11" t="str">
        <f si="2" t="shared"/>
        <v/>
      </c>
      <c r="R22" s="11" t="str">
        <f si="2" t="shared"/>
        <v/>
      </c>
      <c r="T22" s="9"/>
      <c r="AA22">
        <f>EscortCoefficients!B30</f>
        <v>77</v>
      </c>
      <c r="AB22" t="str">
        <f>EscortCoefficients!C30</f>
        <v>wk-nocars</v>
      </c>
      <c r="AC22" s="56">
        <f>EscortCoefficients!E30</f>
        <v>-0.37110146947</v>
      </c>
      <c r="AD22" s="57">
        <f si="0" t="shared"/>
        <v>-0.37110146947</v>
      </c>
      <c r="AE22">
        <f si="1" t="shared"/>
        <v>0</v>
      </c>
    </row>
    <row r="23" spans="2:31" x14ac:dyDescent="0.25">
      <c r="B23" s="9" t="s">
        <v>6</v>
      </c>
      <c r="C23" s="9">
        <f>Escort!B9</f>
        <v>0</v>
      </c>
      <c r="D23" s="9">
        <f>Escort!E9</f>
        <v>0</v>
      </c>
      <c r="E23" s="9">
        <f>Escort!G9</f>
        <v>0</v>
      </c>
      <c r="F23" s="9">
        <f>Escort!H9</f>
        <v>0</v>
      </c>
      <c r="H23" s="9" t="s">
        <v>6</v>
      </c>
      <c r="I23" s="9">
        <f>Escort!K9</f>
        <v>126</v>
      </c>
      <c r="J23" s="9">
        <f>Escort!N9</f>
        <v>6</v>
      </c>
      <c r="K23" s="9">
        <f>Escort!P9</f>
        <v>1</v>
      </c>
      <c r="L23" s="9">
        <f>Escort!Q9</f>
        <v>137</v>
      </c>
      <c r="M23" s="9"/>
      <c r="N23" s="9" t="s">
        <v>6</v>
      </c>
      <c r="O23" s="11">
        <f si="3" t="shared"/>
        <v>67</v>
      </c>
      <c r="P23" s="11">
        <f si="2" t="shared"/>
        <v>68</v>
      </c>
      <c r="Q23" s="11" t="str">
        <f si="2" t="shared"/>
        <v/>
      </c>
      <c r="R23" s="11">
        <f si="2" t="shared"/>
        <v>60</v>
      </c>
      <c r="T23" s="9"/>
      <c r="AA23">
        <f>EscortCoefficients!B31</f>
        <v>78</v>
      </c>
      <c r="AB23" t="str">
        <f>EscortCoefficients!C31</f>
        <v>wk-carsltd</v>
      </c>
      <c r="AC23" s="56">
        <f>EscortCoefficients!E31</f>
        <v>-0.96454934530299996</v>
      </c>
      <c r="AD23" s="57">
        <f si="0" t="shared"/>
        <v>-0.96454934530299996</v>
      </c>
      <c r="AE23">
        <f si="1" t="shared"/>
        <v>0</v>
      </c>
    </row>
    <row r="24" spans="2:31" x14ac:dyDescent="0.25">
      <c r="B24" s="9" t="s">
        <v>7</v>
      </c>
      <c r="C24" s="9">
        <f>Escort!B10</f>
        <v>293.17943413943669</v>
      </c>
      <c r="D24" s="9">
        <f>Escort!E10</f>
        <v>1765.581495332128</v>
      </c>
      <c r="E24" s="9">
        <f>Escort!G10</f>
        <v>119.45067373039831</v>
      </c>
      <c r="F24" s="9">
        <f>Escort!H10</f>
        <v>5851.2142276876175</v>
      </c>
      <c r="H24" s="9" t="s">
        <v>7</v>
      </c>
      <c r="I24" s="9">
        <f>Escort!K10</f>
        <v>865</v>
      </c>
      <c r="J24" s="9">
        <f>Escort!N10</f>
        <v>2212</v>
      </c>
      <c r="K24" s="9">
        <f>Escort!P10</f>
        <v>547</v>
      </c>
      <c r="L24" s="9">
        <f>Escort!Q10</f>
        <v>5751</v>
      </c>
      <c r="M24" s="9"/>
      <c r="N24" s="9" t="s">
        <v>7</v>
      </c>
      <c r="O24" s="11">
        <f si="3" t="shared"/>
        <v>77</v>
      </c>
      <c r="P24" s="11">
        <f si="2" t="shared"/>
        <v>78</v>
      </c>
      <c r="Q24" s="11" t="str">
        <f si="2" t="shared"/>
        <v/>
      </c>
      <c r="R24" s="11">
        <f si="2" t="shared"/>
        <v>70</v>
      </c>
      <c r="T24" s="9"/>
      <c r="AA24">
        <f>EscortCoefficients!B32</f>
        <v>81</v>
      </c>
      <c r="AB24" t="str">
        <f>EscortCoefficients!C32</f>
        <v>wk-hhcu5</v>
      </c>
      <c r="AC24" s="56">
        <f>EscortCoefficients!E32</f>
        <v>-0.91620966688100003</v>
      </c>
      <c r="AD24" s="57">
        <f si="0" t="shared"/>
        <v>-0.91620966688100003</v>
      </c>
      <c r="AE24">
        <f si="1" t="shared"/>
        <v>0</v>
      </c>
    </row>
    <row r="25" spans="2:31" x14ac:dyDescent="0.25">
      <c r="B25" s="12" t="s">
        <v>8</v>
      </c>
      <c r="C25" s="9">
        <v>0</v>
      </c>
      <c r="D25" s="9">
        <v>0</v>
      </c>
      <c r="E25" s="9">
        <v>0</v>
      </c>
      <c r="F25" s="9">
        <v>0</v>
      </c>
      <c r="H25" s="12" t="s">
        <v>8</v>
      </c>
      <c r="I25" s="9">
        <f>Escort!K11</f>
        <v>0</v>
      </c>
      <c r="J25" s="9">
        <f>Escort!N11</f>
        <v>0</v>
      </c>
      <c r="K25" s="9">
        <f>Escort!P11</f>
        <v>0</v>
      </c>
      <c r="L25" s="9">
        <f>Escort!Q11</f>
        <v>0</v>
      </c>
      <c r="M25" s="9"/>
      <c r="N25" s="12" t="s">
        <v>8</v>
      </c>
      <c r="O25" s="7" t="str">
        <f si="3" t="shared"/>
        <v/>
      </c>
      <c r="P25" s="7" t="str">
        <f si="2" t="shared"/>
        <v/>
      </c>
      <c r="Q25" s="7" t="str">
        <f si="2" t="shared"/>
        <v/>
      </c>
      <c r="R25" s="7" t="str">
        <f si="2" t="shared"/>
        <v/>
      </c>
      <c r="T25" s="9"/>
      <c r="AA25">
        <f>EscortCoefficients!B33</f>
        <v>82</v>
      </c>
      <c r="AB25" t="str">
        <f>EscortCoefficients!C33</f>
        <v>wk-hh515</v>
      </c>
      <c r="AC25" s="56">
        <f>EscortCoefficients!E33</f>
        <v>-1.81445233558</v>
      </c>
      <c r="AD25" s="57">
        <f si="0" t="shared"/>
        <v>-1.81445233558</v>
      </c>
      <c r="AE25">
        <f si="1" t="shared"/>
        <v>0</v>
      </c>
    </row>
    <row ht="15.75" r="26" spans="2:31" thickBot="1" x14ac:dyDescent="0.3">
      <c r="B26" s="43" t="s">
        <v>19</v>
      </c>
      <c r="C26" s="43">
        <f>SUM(C18:C25)</f>
        <v>1858.8354677250909</v>
      </c>
      <c r="D26" s="43">
        <f ref="D26:F26" si="4" t="shared">SUM(D18:D25)</f>
        <v>41686.550846477214</v>
      </c>
      <c r="E26" s="43">
        <f si="4" t="shared"/>
        <v>7458.6736143667986</v>
      </c>
      <c r="F26" s="43">
        <f si="4" t="shared"/>
        <v>220106.29408872523</v>
      </c>
      <c r="H26" s="43" t="s">
        <v>19</v>
      </c>
      <c r="I26" s="43">
        <f>SUM(I18:I25)</f>
        <v>6865</v>
      </c>
      <c r="J26" s="43">
        <f ref="J26:L26" si="5" t="shared">SUM(J18:J25)</f>
        <v>73440</v>
      </c>
      <c r="K26" s="43">
        <f si="5" t="shared"/>
        <v>18745</v>
      </c>
      <c r="L26" s="43">
        <f si="5" t="shared"/>
        <v>227929</v>
      </c>
      <c r="M26" s="9"/>
      <c r="T26" s="9"/>
      <c r="AA26">
        <f>EscortCoefficients!B34</f>
        <v>83</v>
      </c>
      <c r="AB26" t="str">
        <f>EscortCoefficients!C34</f>
        <v>wk-hhdas</v>
      </c>
      <c r="AC26" s="56">
        <f>EscortCoefficients!E34</f>
        <v>-2.2381648197800001</v>
      </c>
      <c r="AD26" s="57">
        <f ref="AD26" si="6" t="shared">_xlfn.IFNA(VLOOKUP(AA26,$T$31:$V$44,3,FALSE),AC26)</f>
        <v>-2.2381648197800001</v>
      </c>
      <c r="AE26">
        <f si="1" t="shared"/>
        <v>0</v>
      </c>
    </row>
    <row r="27" spans="2:31" x14ac:dyDescent="0.25">
      <c r="AC27" s="56"/>
      <c r="AD27" s="56"/>
    </row>
    <row r="28" spans="2:31" x14ac:dyDescent="0.25">
      <c r="F28" s="9"/>
      <c r="AC28" s="56"/>
      <c r="AD28" s="56"/>
    </row>
    <row ht="15.75" r="29" spans="2:31" thickBot="1" x14ac:dyDescent="0.3">
      <c r="B29" s="37" t="s">
        <v>267</v>
      </c>
      <c r="H29" s="37" t="s">
        <v>268</v>
      </c>
      <c r="N29" s="23" t="s">
        <v>257</v>
      </c>
      <c r="T29" t="s">
        <v>270</v>
      </c>
      <c r="AC29" s="56"/>
      <c r="AD29" s="56"/>
    </row>
    <row r="30" spans="2:31" x14ac:dyDescent="0.25">
      <c r="B30" s="38" t="s">
        <v>0</v>
      </c>
      <c r="C30" s="39" t="s">
        <v>252</v>
      </c>
      <c r="D30" s="39" t="s">
        <v>247</v>
      </c>
      <c r="E30" s="39" t="str">
        <f>E17</f>
        <v>cars &lt; workers</v>
      </c>
      <c r="F30" s="39" t="s">
        <v>19</v>
      </c>
      <c r="H30" s="38" t="s">
        <v>0</v>
      </c>
      <c r="I30" s="39" t="s">
        <v>252</v>
      </c>
      <c r="J30" s="39" t="s">
        <v>247</v>
      </c>
      <c r="K30" s="39" t="s">
        <v>250</v>
      </c>
      <c r="L30" s="39" t="s">
        <v>19</v>
      </c>
      <c r="M30" s="36"/>
      <c r="N30" s="38" t="s">
        <v>0</v>
      </c>
      <c r="O30" s="39" t="s">
        <v>252</v>
      </c>
      <c r="P30" s="39" t="s">
        <v>247</v>
      </c>
      <c r="Q30" s="39" t="s">
        <v>250</v>
      </c>
      <c r="R30" s="39" t="s">
        <v>253</v>
      </c>
      <c r="T30" s="39" t="s">
        <v>59</v>
      </c>
      <c r="U30" s="39" t="s">
        <v>60</v>
      </c>
      <c r="V30" s="39" t="s">
        <v>213</v>
      </c>
      <c r="AC30" s="56"/>
      <c r="AD30" s="56"/>
    </row>
    <row r="31" spans="2:31" x14ac:dyDescent="0.25">
      <c r="B31" s="9" t="s">
        <v>1</v>
      </c>
      <c r="C31" s="35">
        <f>$C18/C$26</f>
        <v>0</v>
      </c>
      <c r="D31" s="35">
        <f>$D18/D$26</f>
        <v>6.3360942002903785E-3</v>
      </c>
      <c r="E31" s="35">
        <f>$E18/E$26</f>
        <v>0</v>
      </c>
      <c r="F31" s="35">
        <f>$F18/F$26</f>
        <v>2.210279159932816E-2</v>
      </c>
      <c r="H31" s="9" t="s">
        <v>1</v>
      </c>
      <c r="I31" s="26">
        <f>$I18/I$26</f>
        <v>0</v>
      </c>
      <c r="J31" s="26">
        <f>$J18/J$26</f>
        <v>1.0008169934640522E-2</v>
      </c>
      <c r="K31" s="26">
        <f>$K18/K$26</f>
        <v>5.0680181381701789E-3</v>
      </c>
      <c r="L31" s="26">
        <f>$L18/L$26</f>
        <v>2.0866146914170641E-2</v>
      </c>
      <c r="M31" s="26"/>
      <c r="N31" s="9" t="s">
        <v>1</v>
      </c>
      <c r="O31" s="40" t="str">
        <f ref="O31:R38" si="7" t="shared">IF(O18="","-",C31/I31)</f>
        <v>-</v>
      </c>
      <c r="P31" s="40">
        <f si="7" t="shared"/>
        <v>0.63309218784942234</v>
      </c>
      <c r="Q31" s="40" t="str">
        <f si="7" t="shared"/>
        <v>-</v>
      </c>
      <c r="R31" s="40">
        <f si="7" t="shared"/>
        <v>1.0592655984952204</v>
      </c>
      <c r="T31">
        <v>30</v>
      </c>
      <c r="U31" t="str">
        <f ref="U31:U44" si="8" t="shared">VLOOKUP(T31,$AA$3:$AB$48,2,FALSE)</f>
        <v>s3-const</v>
      </c>
      <c r="V31" s="30">
        <f>R81</f>
        <v>-7.0311987021451507</v>
      </c>
      <c r="AC31" s="56"/>
      <c r="AD31" s="56"/>
    </row>
    <row r="32" spans="2:31" x14ac:dyDescent="0.25">
      <c r="B32" s="9" t="s">
        <v>2</v>
      </c>
      <c r="C32" s="35">
        <f ref="C32:C38" si="9" t="shared">$C19/C$26</f>
        <v>1.2344931260396487E-2</v>
      </c>
      <c r="D32" s="35">
        <f ref="D32:D38" si="10" t="shared">$D19/D$26</f>
        <v>0.51682873309642197</v>
      </c>
      <c r="E32" s="35">
        <f ref="E32:E39" si="11" t="shared">$E19/E$26</f>
        <v>0.70562980640486073</v>
      </c>
      <c r="F32" s="35">
        <f ref="F32:F39" si="12" t="shared">$F19/F$26</f>
        <v>0.48075900000196814</v>
      </c>
      <c r="H32" s="9" t="s">
        <v>2</v>
      </c>
      <c r="I32" s="26">
        <f ref="I32:I38" si="13" t="shared">$I19/I$26</f>
        <v>0.18543335761107066</v>
      </c>
      <c r="J32" s="26">
        <f ref="J32:J38" si="14" t="shared">$J19/J$26</f>
        <v>0.43718681917211327</v>
      </c>
      <c r="K32" s="26">
        <f ref="K32:K38" si="15" t="shared">$K19/K$26</f>
        <v>0.43926380368098161</v>
      </c>
      <c r="L32" s="26">
        <f ref="L32:L39" si="16" t="shared">$L19/L$26</f>
        <v>0.44147080889224277</v>
      </c>
      <c r="M32" s="26"/>
      <c r="N32" s="9" t="s">
        <v>2</v>
      </c>
      <c r="O32" s="59">
        <f>IF(O19="","-",(C32+C33)/(I32+I33))</f>
        <v>0.78030608278545466</v>
      </c>
      <c r="P32" s="60">
        <f>IF(P19="","-",(D32)/(J32))</f>
        <v>1.1821690646463772</v>
      </c>
      <c r="Q32" s="41" t="str">
        <f si="7" t="shared"/>
        <v>-</v>
      </c>
      <c r="R32" s="41">
        <f si="7" t="shared"/>
        <v>1.0889938594316326</v>
      </c>
      <c r="T32">
        <v>36</v>
      </c>
      <c r="U32" t="str">
        <f si="8" t="shared"/>
        <v>s3-nocars</v>
      </c>
      <c r="V32" s="30">
        <f>O81</f>
        <v>-0.89787089007999998</v>
      </c>
      <c r="AC32" s="56"/>
      <c r="AD32" s="56"/>
    </row>
    <row r="33" spans="2:30" x14ac:dyDescent="0.25">
      <c r="B33" s="9" t="s">
        <v>3</v>
      </c>
      <c r="C33" s="35">
        <f si="9" t="shared"/>
        <v>0.65531973447620373</v>
      </c>
      <c r="D33" s="35">
        <f si="10" t="shared"/>
        <v>0.43448142888230334</v>
      </c>
      <c r="E33" s="35">
        <f si="11" t="shared"/>
        <v>0.27835519147729432</v>
      </c>
      <c r="F33" s="35">
        <f si="12" t="shared"/>
        <v>0.46717056543257035</v>
      </c>
      <c r="H33" s="9" t="s">
        <v>3</v>
      </c>
      <c r="I33" s="26">
        <f si="13" t="shared"/>
        <v>0.67021121631463942</v>
      </c>
      <c r="J33" s="26">
        <f si="14" t="shared"/>
        <v>0.52260348583877991</v>
      </c>
      <c r="K33" s="26">
        <f si="15" t="shared"/>
        <v>0.52643371565750863</v>
      </c>
      <c r="L33" s="26">
        <f si="16" t="shared"/>
        <v>0.51183043842600107</v>
      </c>
      <c r="M33" s="26"/>
      <c r="N33" s="9" t="s">
        <v>3</v>
      </c>
      <c r="O33" s="41">
        <f si="7" t="shared"/>
        <v>0.97778091223193631</v>
      </c>
      <c r="P33" s="41">
        <f si="7" t="shared"/>
        <v>0.83137874249912347</v>
      </c>
      <c r="Q33" s="41" t="str">
        <f si="7" t="shared"/>
        <v>-</v>
      </c>
      <c r="R33" s="41">
        <f si="7" t="shared"/>
        <v>0.9127447888195741</v>
      </c>
      <c r="T33">
        <v>37</v>
      </c>
      <c r="U33" t="str">
        <f si="8" t="shared"/>
        <v>s3-carsltd</v>
      </c>
      <c r="V33" s="30">
        <f>P81</f>
        <v>-7.8974546559999997E-2</v>
      </c>
      <c r="AC33" s="56"/>
      <c r="AD33" s="56"/>
    </row>
    <row r="34" spans="2:30" x14ac:dyDescent="0.25">
      <c r="B34" s="9" t="s">
        <v>4</v>
      </c>
      <c r="C34" s="35">
        <f si="9" t="shared"/>
        <v>0</v>
      </c>
      <c r="D34" s="35">
        <f si="10" t="shared"/>
        <v>0</v>
      </c>
      <c r="E34" s="35">
        <f si="11" t="shared"/>
        <v>0</v>
      </c>
      <c r="F34" s="35">
        <f si="12" t="shared"/>
        <v>0</v>
      </c>
      <c r="H34" s="9" t="s">
        <v>4</v>
      </c>
      <c r="I34" s="26">
        <f si="13" t="shared"/>
        <v>0</v>
      </c>
      <c r="J34" s="26">
        <f si="14" t="shared"/>
        <v>0</v>
      </c>
      <c r="K34" s="26">
        <f si="15" t="shared"/>
        <v>0</v>
      </c>
      <c r="L34" s="26">
        <f si="16" t="shared"/>
        <v>0</v>
      </c>
      <c r="M34" s="26"/>
      <c r="N34" s="9" t="s">
        <v>4</v>
      </c>
      <c r="O34" s="41" t="str">
        <f si="7" t="shared"/>
        <v>-</v>
      </c>
      <c r="P34" s="41" t="str">
        <f si="7" t="shared"/>
        <v>-</v>
      </c>
      <c r="Q34" s="41" t="str">
        <f si="7" t="shared"/>
        <v>-</v>
      </c>
      <c r="R34" s="41" t="str">
        <f si="7" t="shared"/>
        <v>-</v>
      </c>
      <c r="T34">
        <v>40</v>
      </c>
      <c r="U34" t="str">
        <f si="8" t="shared"/>
        <v>s2-const</v>
      </c>
      <c r="V34" s="30">
        <f>R80</f>
        <v>-6.1828040304231751</v>
      </c>
      <c r="AC34" s="56"/>
      <c r="AD34" s="56"/>
    </row>
    <row r="35" spans="2:30" x14ac:dyDescent="0.25">
      <c r="B35" s="9" t="s">
        <v>5</v>
      </c>
      <c r="C35" s="35">
        <f si="9" t="shared"/>
        <v>0.17461323393235753</v>
      </c>
      <c r="D35" s="35">
        <f si="10" t="shared"/>
        <v>0</v>
      </c>
      <c r="E35" s="35">
        <f si="11" t="shared"/>
        <v>0</v>
      </c>
      <c r="F35" s="35">
        <f si="12" t="shared"/>
        <v>3.3840586487808304E-3</v>
      </c>
      <c r="H35" s="9" t="s">
        <v>5</v>
      </c>
      <c r="I35" s="26">
        <f si="13" t="shared"/>
        <v>0</v>
      </c>
      <c r="J35" s="26">
        <f si="14" t="shared"/>
        <v>0</v>
      </c>
      <c r="K35" s="26">
        <f si="15" t="shared"/>
        <v>0</v>
      </c>
      <c r="L35" s="26">
        <f si="16" t="shared"/>
        <v>0</v>
      </c>
      <c r="M35" s="26"/>
      <c r="N35" s="9" t="s">
        <v>5</v>
      </c>
      <c r="O35" s="41" t="str">
        <f si="7" t="shared"/>
        <v>-</v>
      </c>
      <c r="P35" s="41" t="str">
        <f si="7" t="shared"/>
        <v>-</v>
      </c>
      <c r="Q35" s="41" t="str">
        <f si="7" t="shared"/>
        <v>-</v>
      </c>
      <c r="R35" s="41" t="str">
        <f si="7" t="shared"/>
        <v>-</v>
      </c>
      <c r="T35">
        <v>41</v>
      </c>
      <c r="U35" t="str">
        <f si="8" t="shared"/>
        <v>sr-nocars</v>
      </c>
      <c r="V35" s="30">
        <f>O80</f>
        <v>-3.3043422143660002</v>
      </c>
      <c r="AC35" s="56"/>
      <c r="AD35" s="56"/>
    </row>
    <row r="36" spans="2:30" x14ac:dyDescent="0.25">
      <c r="B36" s="9" t="s">
        <v>6</v>
      </c>
      <c r="C36" s="35">
        <f si="9" t="shared"/>
        <v>0</v>
      </c>
      <c r="D36" s="35">
        <f si="10" t="shared"/>
        <v>0</v>
      </c>
      <c r="E36" s="35">
        <f si="11" t="shared"/>
        <v>0</v>
      </c>
      <c r="F36" s="35">
        <f si="12" t="shared"/>
        <v>0</v>
      </c>
      <c r="H36" s="9" t="s">
        <v>6</v>
      </c>
      <c r="I36" s="26">
        <f si="13" t="shared"/>
        <v>1.8353969410050984E-2</v>
      </c>
      <c r="J36" s="26">
        <f si="14" t="shared"/>
        <v>8.1699346405228753E-5</v>
      </c>
      <c r="K36" s="26">
        <f si="15" t="shared"/>
        <v>5.3347559349159773E-5</v>
      </c>
      <c r="L36" s="26">
        <f si="16" t="shared"/>
        <v>6.0106436653519293E-4</v>
      </c>
      <c r="M36" s="26"/>
      <c r="N36" s="9" t="s">
        <v>6</v>
      </c>
      <c r="O36" s="41">
        <f si="7" t="shared"/>
        <v>0</v>
      </c>
      <c r="P36" s="41">
        <f si="7" t="shared"/>
        <v>0</v>
      </c>
      <c r="Q36" s="41" t="str">
        <f si="7" t="shared"/>
        <v>-</v>
      </c>
      <c r="R36" s="41">
        <f si="7" t="shared"/>
        <v>0</v>
      </c>
      <c r="T36">
        <v>42</v>
      </c>
      <c r="U36" t="str">
        <f si="8" t="shared"/>
        <v>sr-carsltd</v>
      </c>
      <c r="V36" s="30">
        <f>P80</f>
        <v>0.25589449116099999</v>
      </c>
      <c r="AC36" s="56"/>
      <c r="AD36" s="56"/>
    </row>
    <row r="37" spans="2:30" x14ac:dyDescent="0.25">
      <c r="B37" s="9" t="s">
        <v>7</v>
      </c>
      <c r="C37" s="35">
        <f si="9" t="shared"/>
        <v>0.15772210033104228</v>
      </c>
      <c r="D37" s="35">
        <f si="10" t="shared"/>
        <v>4.2353743820984203E-2</v>
      </c>
      <c r="E37" s="35">
        <f si="11" t="shared"/>
        <v>1.6015002117844922E-2</v>
      </c>
      <c r="F37" s="35">
        <f si="12" t="shared"/>
        <v>2.658358431735252E-2</v>
      </c>
      <c r="H37" s="9" t="s">
        <v>7</v>
      </c>
      <c r="I37" s="26">
        <f si="13" t="shared"/>
        <v>0.1260014566642389</v>
      </c>
      <c r="J37" s="26">
        <f si="14" t="shared"/>
        <v>3.0119825708061002E-2</v>
      </c>
      <c r="K37" s="26">
        <f si="15" t="shared"/>
        <v>2.9181114963990399E-2</v>
      </c>
      <c r="L37" s="26">
        <f si="16" t="shared"/>
        <v>2.5231541401050328E-2</v>
      </c>
      <c r="M37" s="26"/>
      <c r="N37" s="9" t="s">
        <v>7</v>
      </c>
      <c r="O37" s="41">
        <f si="7" t="shared"/>
        <v>1.2517482297949194</v>
      </c>
      <c r="P37" s="41">
        <f si="7" t="shared"/>
        <v>1.406174930476076</v>
      </c>
      <c r="Q37" s="41" t="str">
        <f si="7" t="shared"/>
        <v>-</v>
      </c>
      <c r="R37" s="41">
        <f>IF(R24="","-",F37/L37)</f>
        <v>1.0535854268596492</v>
      </c>
      <c r="T37">
        <v>50</v>
      </c>
      <c r="U37" t="str">
        <f si="8" t="shared"/>
        <v>sov-const</v>
      </c>
      <c r="V37" s="30">
        <f>R79</f>
        <v>-9.8034223473070394</v>
      </c>
      <c r="AC37" s="56"/>
      <c r="AD37" s="56"/>
    </row>
    <row r="38" spans="2:30" x14ac:dyDescent="0.25">
      <c r="B38" s="12" t="s">
        <v>8</v>
      </c>
      <c r="C38" s="35">
        <f si="9" t="shared"/>
        <v>0</v>
      </c>
      <c r="D38" s="35">
        <f si="10" t="shared"/>
        <v>0</v>
      </c>
      <c r="E38" s="35">
        <f si="11" t="shared"/>
        <v>0</v>
      </c>
      <c r="F38" s="35">
        <f si="12" t="shared"/>
        <v>0</v>
      </c>
      <c r="H38" s="12" t="s">
        <v>8</v>
      </c>
      <c r="I38" s="26">
        <f si="13" t="shared"/>
        <v>0</v>
      </c>
      <c r="J38" s="26">
        <f si="14" t="shared"/>
        <v>0</v>
      </c>
      <c r="K38" s="26">
        <f si="15" t="shared"/>
        <v>0</v>
      </c>
      <c r="L38" s="26">
        <f si="16" t="shared"/>
        <v>0</v>
      </c>
      <c r="M38" s="26"/>
      <c r="N38" s="12" t="s">
        <v>8</v>
      </c>
      <c r="O38" s="42" t="str">
        <f si="7" t="shared"/>
        <v>-</v>
      </c>
      <c r="P38" s="42" t="str">
        <f si="7" t="shared"/>
        <v>-</v>
      </c>
      <c r="Q38" s="42" t="str">
        <f si="7" t="shared"/>
        <v>-</v>
      </c>
      <c r="R38" s="42" t="str">
        <f si="7" t="shared"/>
        <v>-</v>
      </c>
      <c r="T38">
        <v>52</v>
      </c>
      <c r="U38" t="str">
        <f si="8" t="shared"/>
        <v>da-carsltd</v>
      </c>
      <c r="V38" s="30">
        <f>P79</f>
        <v>-0.86772357690299995</v>
      </c>
      <c r="AC38" s="56"/>
      <c r="AD38" s="56"/>
    </row>
    <row ht="15.75" r="39" spans="2:30" thickBot="1" x14ac:dyDescent="0.3">
      <c r="B39" s="43" t="s">
        <v>19</v>
      </c>
      <c r="C39" s="44">
        <f>SUM(C31:C38)</f>
        <v>1</v>
      </c>
      <c r="D39" s="44">
        <f ref="D39" si="17" t="shared">SUM(D31:D38)</f>
        <v>0.99999999999999989</v>
      </c>
      <c r="E39" s="44">
        <f si="11" t="shared"/>
        <v>1</v>
      </c>
      <c r="F39" s="44">
        <f si="12" t="shared"/>
        <v>1</v>
      </c>
      <c r="H39" s="43" t="s">
        <v>19</v>
      </c>
      <c r="I39" s="45">
        <f>SUM(I31:I38)</f>
        <v>1</v>
      </c>
      <c r="J39" s="45">
        <f ref="J39:K39" si="18" t="shared">SUM(J31:J38)</f>
        <v>1</v>
      </c>
      <c r="K39" s="45">
        <f si="18" t="shared"/>
        <v>1</v>
      </c>
      <c r="L39" s="45">
        <f si="16" t="shared"/>
        <v>1</v>
      </c>
      <c r="M39" s="26"/>
      <c r="N39" s="9" t="s">
        <v>272</v>
      </c>
      <c r="T39">
        <v>60</v>
      </c>
      <c r="U39" t="str">
        <f si="8" t="shared"/>
        <v>bi-const</v>
      </c>
      <c r="V39" s="30">
        <f>R84</f>
        <v>-13.621753923630999</v>
      </c>
      <c r="AC39" s="56"/>
      <c r="AD39" s="56"/>
    </row>
    <row r="40" spans="2:30" x14ac:dyDescent="0.25">
      <c r="T40">
        <v>67</v>
      </c>
      <c r="U40" t="str">
        <f si="8" t="shared"/>
        <v>bi-nocars</v>
      </c>
      <c r="V40" s="30">
        <f>O84</f>
        <v>2.3646780759819999</v>
      </c>
      <c r="AC40" s="56"/>
      <c r="AD40" s="56"/>
    </row>
    <row r="41" spans="2:30" x14ac:dyDescent="0.25">
      <c r="T41">
        <v>68</v>
      </c>
      <c r="U41" t="str">
        <f si="8" t="shared"/>
        <v>bi-carsltd</v>
      </c>
      <c r="V41" s="30">
        <f>P84</f>
        <v>1.7575454809019999</v>
      </c>
      <c r="AC41" s="56"/>
      <c r="AD41" s="56"/>
    </row>
    <row ht="15.75" r="42" spans="2:30" thickBot="1" x14ac:dyDescent="0.3">
      <c r="N42" s="23" t="s">
        <v>269</v>
      </c>
      <c r="T42">
        <v>70</v>
      </c>
      <c r="U42" t="str">
        <f si="8" t="shared"/>
        <v>wk-const</v>
      </c>
      <c r="V42" s="30">
        <f>R85</f>
        <v>-1.7164446112178411</v>
      </c>
      <c r="AC42" s="56"/>
      <c r="AD42" s="56"/>
    </row>
    <row r="43" spans="2:30" x14ac:dyDescent="0.25">
      <c r="N43" s="38" t="s">
        <v>0</v>
      </c>
      <c r="O43" s="39" t="s">
        <v>252</v>
      </c>
      <c r="P43" s="39" t="s">
        <v>247</v>
      </c>
      <c r="Q43" s="39" t="s">
        <v>250</v>
      </c>
      <c r="R43" s="39" t="s">
        <v>253</v>
      </c>
      <c r="T43">
        <v>77</v>
      </c>
      <c r="U43" t="str">
        <f si="8" t="shared"/>
        <v>wk-nocars</v>
      </c>
      <c r="V43" s="30">
        <f>O85</f>
        <v>-0.37110146947</v>
      </c>
      <c r="AC43" s="56"/>
      <c r="AD43" s="56"/>
    </row>
    <row r="44" spans="2:30" x14ac:dyDescent="0.25">
      <c r="N44" s="9" t="s">
        <v>1</v>
      </c>
      <c r="O44" s="51" t="str">
        <f ref="O44:R51" si="19" t="shared">IF(O18="","-",IF(O31&gt;0,LN(O31),0))</f>
        <v>-</v>
      </c>
      <c r="P44" s="51">
        <f si="19" t="shared"/>
        <v>-0.45713923102892423</v>
      </c>
      <c r="Q44" s="51" t="str">
        <f si="19" t="shared"/>
        <v>-</v>
      </c>
      <c r="R44" s="51">
        <f si="19" t="shared"/>
        <v>5.7575836396960109E-2</v>
      </c>
      <c r="T44" s="6">
        <v>78</v>
      </c>
      <c r="U44" s="6" t="str">
        <f si="8" t="shared"/>
        <v>wk-carsltd</v>
      </c>
      <c r="V44" s="55">
        <f>P85</f>
        <v>-0.96454934530299996</v>
      </c>
      <c r="AC44" s="56"/>
      <c r="AD44" s="56"/>
    </row>
    <row r="45" spans="2:30" x14ac:dyDescent="0.25">
      <c r="B45" s="23"/>
      <c r="N45" s="9" t="s">
        <v>2</v>
      </c>
      <c r="O45" s="52">
        <f si="19" t="shared"/>
        <v>-0.24806902244516318</v>
      </c>
      <c r="P45" s="52">
        <f si="19" t="shared"/>
        <v>0.16735094145145629</v>
      </c>
      <c r="Q45" s="52" t="str">
        <f si="19" t="shared"/>
        <v>-</v>
      </c>
      <c r="R45" s="52">
        <f si="19" t="shared"/>
        <v>8.5254205212825326E-2</v>
      </c>
      <c r="AC45" s="56"/>
      <c r="AD45" s="56"/>
    </row>
    <row r="46" spans="2:30" x14ac:dyDescent="0.25">
      <c r="C46" s="11"/>
      <c r="D46" s="11"/>
      <c r="E46" s="11"/>
      <c r="N46" s="9" t="s">
        <v>3</v>
      </c>
      <c r="O46" s="52">
        <f si="19" t="shared"/>
        <v>-2.2469650165443774E-2</v>
      </c>
      <c r="P46" s="52">
        <f si="19" t="shared"/>
        <v>-0.18466982081002825</v>
      </c>
      <c r="Q46" s="52" t="str">
        <f si="19" t="shared"/>
        <v>-</v>
      </c>
      <c r="R46" s="52">
        <f si="19" t="shared"/>
        <v>-9.1298967781150708E-2</v>
      </c>
      <c r="AC46" s="56"/>
      <c r="AD46" s="56"/>
    </row>
    <row r="47" spans="2:30" x14ac:dyDescent="0.25">
      <c r="B47" s="9"/>
      <c r="C47" s="11"/>
      <c r="D47" s="11"/>
      <c r="E47" s="11"/>
      <c r="N47" s="9" t="s">
        <v>4</v>
      </c>
      <c r="O47" s="52" t="str">
        <f si="19" t="shared"/>
        <v>-</v>
      </c>
      <c r="P47" s="52" t="str">
        <f si="19" t="shared"/>
        <v>-</v>
      </c>
      <c r="Q47" s="52" t="str">
        <f si="19" t="shared"/>
        <v>-</v>
      </c>
      <c r="R47" s="52" t="str">
        <f si="19" t="shared"/>
        <v>-</v>
      </c>
      <c r="AC47" s="56"/>
      <c r="AD47" s="56"/>
    </row>
    <row r="48" spans="2:30" x14ac:dyDescent="0.25">
      <c r="B48" s="9"/>
      <c r="C48" s="11"/>
      <c r="D48" s="11"/>
      <c r="E48" s="11"/>
      <c r="N48" s="9" t="s">
        <v>5</v>
      </c>
      <c r="O48" s="52" t="str">
        <f si="19" t="shared"/>
        <v>-</v>
      </c>
      <c r="P48" s="52" t="str">
        <f si="19" t="shared"/>
        <v>-</v>
      </c>
      <c r="Q48" s="52" t="str">
        <f si="19" t="shared"/>
        <v>-</v>
      </c>
      <c r="R48" s="52" t="str">
        <f si="19" t="shared"/>
        <v>-</v>
      </c>
      <c r="AC48" s="56"/>
      <c r="AD48" s="56"/>
    </row>
    <row r="49" spans="2:18" x14ac:dyDescent="0.25">
      <c r="B49" s="9"/>
      <c r="C49" s="11"/>
      <c r="D49" s="11"/>
      <c r="E49" s="11"/>
      <c r="N49" s="9" t="s">
        <v>6</v>
      </c>
      <c r="O49" s="52">
        <f si="19" t="shared"/>
        <v>0</v>
      </c>
      <c r="P49" s="52">
        <f si="19" t="shared"/>
        <v>0</v>
      </c>
      <c r="Q49" s="52" t="str">
        <f si="19" t="shared"/>
        <v>-</v>
      </c>
      <c r="R49" s="52">
        <f si="19" t="shared"/>
        <v>0</v>
      </c>
    </row>
    <row r="50" spans="2:18" x14ac:dyDescent="0.25">
      <c r="B50" s="9"/>
      <c r="C50" s="11"/>
      <c r="D50" s="11"/>
      <c r="E50" s="11"/>
      <c r="N50" s="9" t="s">
        <v>7</v>
      </c>
      <c r="O50" s="52">
        <f si="19" t="shared"/>
        <v>0.22454115804271055</v>
      </c>
      <c r="P50" s="52">
        <f si="19" t="shared"/>
        <v>0.34087320277311411</v>
      </c>
      <c r="Q50" s="52" t="str">
        <f si="19" t="shared"/>
        <v>-</v>
      </c>
      <c r="R50" s="52">
        <f si="19" t="shared"/>
        <v>5.2199039593158768E-2</v>
      </c>
    </row>
    <row r="51" spans="2:18" x14ac:dyDescent="0.25">
      <c r="B51" s="9"/>
      <c r="C51" s="11"/>
      <c r="D51" s="11"/>
      <c r="E51" s="11"/>
      <c r="N51" s="12" t="s">
        <v>8</v>
      </c>
      <c r="O51" s="53" t="str">
        <f si="19" t="shared"/>
        <v>-</v>
      </c>
      <c r="P51" s="53" t="str">
        <f si="19" t="shared"/>
        <v>-</v>
      </c>
      <c r="Q51" s="53" t="str">
        <f si="19" t="shared"/>
        <v>-</v>
      </c>
      <c r="R51" s="53" t="str">
        <f si="19" t="shared"/>
        <v>-</v>
      </c>
    </row>
    <row r="52" spans="2:18" x14ac:dyDescent="0.25">
      <c r="B52" s="9"/>
      <c r="C52" s="11"/>
      <c r="D52" s="11"/>
      <c r="E52" s="11"/>
    </row>
    <row r="53" spans="2:18" x14ac:dyDescent="0.25">
      <c r="B53" s="9"/>
      <c r="C53" s="11"/>
      <c r="D53" s="11"/>
      <c r="E53" s="11"/>
      <c r="P53" t="s">
        <v>259</v>
      </c>
    </row>
    <row ht="15.75" r="54" spans="2:18" thickBot="1" x14ac:dyDescent="0.3">
      <c r="B54" s="9"/>
      <c r="N54" s="23" t="s">
        <v>211</v>
      </c>
      <c r="O54" s="54">
        <v>0</v>
      </c>
      <c r="P54" s="54">
        <v>0</v>
      </c>
      <c r="Q54" s="54">
        <v>0</v>
      </c>
      <c r="R54" s="54">
        <v>1</v>
      </c>
    </row>
    <row r="55" spans="2:18" x14ac:dyDescent="0.25">
      <c r="B55" s="23"/>
      <c r="N55" s="2" t="s">
        <v>0</v>
      </c>
      <c r="O55" s="64" t="str">
        <f>O43</f>
        <v>nocars</v>
      </c>
      <c r="P55" s="64" t="str">
        <f>P43</f>
        <v>cars &lt; adults</v>
      </c>
      <c r="Q55" s="64" t="str">
        <f>Q43</f>
        <v>cars &lt; workers</v>
      </c>
      <c r="R55" s="64" t="str">
        <f>R43</f>
        <v>constant</v>
      </c>
    </row>
    <row r="56" spans="2:18" x14ac:dyDescent="0.25">
      <c r="C56" s="11"/>
      <c r="D56" s="11"/>
      <c r="E56" s="11"/>
      <c r="N56" s="9" t="s">
        <v>1</v>
      </c>
      <c r="O56" s="47" t="str">
        <f>IF(O18="","-",IF($R18="",$O$54*O44,$O$54*(O44)))</f>
        <v>-</v>
      </c>
      <c r="P56" s="47">
        <f ref="P56:P63" si="20" t="shared">IF(P18="","-",IF($R18="",$P$54*P44,$P$54*(P44)))</f>
        <v>0</v>
      </c>
      <c r="Q56" s="47" t="str">
        <f ref="Q56:Q63" si="21" t="shared">IF(Q18="","-",IF($R18="",$Q$54*Q44,$Q$54*(Q44)))</f>
        <v>-</v>
      </c>
      <c r="R56" s="47">
        <f ref="R56:R63" si="22" t="shared">IF(R18="","-",$R$54*R44)</f>
        <v>5.7575836396960109E-2</v>
      </c>
    </row>
    <row r="57" spans="2:18" x14ac:dyDescent="0.25">
      <c r="B57" s="9"/>
      <c r="C57" s="11"/>
      <c r="D57" s="11"/>
      <c r="E57" s="11"/>
      <c r="N57" s="9" t="s">
        <v>2</v>
      </c>
      <c r="O57" s="48">
        <f>IF(O19="","-",IF($R19="",$O$54*O45,$O$54*(O45)))</f>
        <v>0</v>
      </c>
      <c r="P57" s="48">
        <f si="20" t="shared"/>
        <v>0</v>
      </c>
      <c r="Q57" s="48" t="str">
        <f si="21" t="shared"/>
        <v>-</v>
      </c>
      <c r="R57" s="48">
        <f si="22" t="shared"/>
        <v>8.5254205212825326E-2</v>
      </c>
    </row>
    <row r="58" spans="2:18" x14ac:dyDescent="0.25">
      <c r="B58" s="9"/>
      <c r="C58" s="46"/>
      <c r="D58" s="46"/>
      <c r="E58" s="46"/>
      <c r="N58" s="9" t="s">
        <v>3</v>
      </c>
      <c r="O58" s="48">
        <f>IF(O20="","-",IF($R20="",$O$54*O46,$O$54*(O46-O57)))</f>
        <v>0</v>
      </c>
      <c r="P58" s="48">
        <f si="20" t="shared"/>
        <v>0</v>
      </c>
      <c r="Q58" s="48" t="str">
        <f si="21" t="shared"/>
        <v>-</v>
      </c>
      <c r="R58" s="48">
        <f si="22" t="shared"/>
        <v>-9.1298967781150708E-2</v>
      </c>
    </row>
    <row r="59" spans="2:18" x14ac:dyDescent="0.25">
      <c r="B59" s="9"/>
      <c r="C59" s="46"/>
      <c r="D59" s="46"/>
      <c r="E59" s="46"/>
      <c r="N59" s="9" t="s">
        <v>4</v>
      </c>
      <c r="O59" s="48" t="str">
        <f>IF(O21="","-",IF($R21="",$O$54*O47,$O$54*(O47)))</f>
        <v>-</v>
      </c>
      <c r="P59" s="48" t="str">
        <f si="20" t="shared"/>
        <v>-</v>
      </c>
      <c r="Q59" s="48" t="str">
        <f si="21" t="shared"/>
        <v>-</v>
      </c>
      <c r="R59" s="48" t="str">
        <f si="22" t="shared"/>
        <v>-</v>
      </c>
    </row>
    <row r="60" spans="2:18" x14ac:dyDescent="0.25">
      <c r="B60" s="9"/>
      <c r="C60" s="11"/>
      <c r="D60" s="11"/>
      <c r="E60" s="11"/>
      <c r="N60" s="9" t="s">
        <v>5</v>
      </c>
      <c r="O60" s="48" t="str">
        <f>IF(O22="","-",IF($R22="",$O$54*O48,$O$54*(O48)))</f>
        <v>-</v>
      </c>
      <c r="P60" s="48" t="str">
        <f si="20" t="shared"/>
        <v>-</v>
      </c>
      <c r="Q60" s="48" t="str">
        <f si="21" t="shared"/>
        <v>-</v>
      </c>
      <c r="R60" s="48" t="str">
        <f si="22" t="shared"/>
        <v>-</v>
      </c>
    </row>
    <row r="61" spans="2:18" x14ac:dyDescent="0.25">
      <c r="B61" s="9"/>
      <c r="C61" s="11"/>
      <c r="D61" s="11"/>
      <c r="E61" s="11"/>
      <c r="N61" s="9" t="s">
        <v>6</v>
      </c>
      <c r="O61" s="48">
        <f>IF(O23="","-",IF($R23="",$O$54*O49,$O$54*(O49)))</f>
        <v>0</v>
      </c>
      <c r="P61" s="48">
        <f si="20" t="shared"/>
        <v>0</v>
      </c>
      <c r="Q61" s="48" t="str">
        <f si="21" t="shared"/>
        <v>-</v>
      </c>
      <c r="R61" s="48">
        <f si="22" t="shared"/>
        <v>0</v>
      </c>
    </row>
    <row r="62" spans="2:18" x14ac:dyDescent="0.25">
      <c r="B62" s="9"/>
      <c r="C62" s="11"/>
      <c r="D62" s="11"/>
      <c r="E62" s="11"/>
      <c r="N62" s="9" t="s">
        <v>7</v>
      </c>
      <c r="O62" s="48">
        <f>IF(O24="","-",IF($R24="",$O$54*O50,$O$54*(O50)))</f>
        <v>0</v>
      </c>
      <c r="P62" s="48">
        <f si="20" t="shared"/>
        <v>0</v>
      </c>
      <c r="Q62" s="48" t="str">
        <f si="21" t="shared"/>
        <v>-</v>
      </c>
      <c r="R62" s="48">
        <f si="22" t="shared"/>
        <v>5.2199039593158768E-2</v>
      </c>
    </row>
    <row r="63" spans="2:18" x14ac:dyDescent="0.25">
      <c r="B63" s="9"/>
      <c r="C63" s="11"/>
      <c r="D63" s="11"/>
      <c r="E63" s="11"/>
      <c r="N63" s="12" t="s">
        <v>8</v>
      </c>
      <c r="O63" s="49" t="str">
        <f>IF(O25="","-",IF($R25="",$O$54*O51,$O$54*(O51)))</f>
        <v>-</v>
      </c>
      <c r="P63" s="49" t="str">
        <f si="20" t="shared"/>
        <v>-</v>
      </c>
      <c r="Q63" s="49" t="str">
        <f si="21" t="shared"/>
        <v>-</v>
      </c>
      <c r="R63" s="49" t="str">
        <f si="22" t="shared"/>
        <v>-</v>
      </c>
    </row>
    <row r="64" spans="2:18" x14ac:dyDescent="0.25">
      <c r="B64" s="9"/>
      <c r="C64" s="11"/>
      <c r="D64" s="11"/>
      <c r="E64" s="11"/>
      <c r="N64" s="9" t="s">
        <v>273</v>
      </c>
    </row>
    <row r="65" spans="2:18" x14ac:dyDescent="0.25">
      <c r="B65" s="9"/>
      <c r="C65" s="11"/>
      <c r="D65" s="11"/>
      <c r="E65" s="11"/>
    </row>
    <row ht="15.75" r="66" spans="2:18" thickBot="1" x14ac:dyDescent="0.3">
      <c r="N66" s="37" t="s">
        <v>212</v>
      </c>
    </row>
    <row r="67" spans="2:18" x14ac:dyDescent="0.25">
      <c r="B67" s="23"/>
      <c r="N67" s="2" t="s">
        <v>0</v>
      </c>
      <c r="O67" s="39" t="str">
        <f>O43</f>
        <v>nocars</v>
      </c>
      <c r="P67" s="39" t="str">
        <f>P43</f>
        <v>cars &lt; adults</v>
      </c>
      <c r="Q67" s="39" t="str">
        <f>Q43</f>
        <v>cars &lt; workers</v>
      </c>
      <c r="R67" s="39" t="str">
        <f>R43</f>
        <v>constant</v>
      </c>
    </row>
    <row r="68" spans="2:18" x14ac:dyDescent="0.25">
      <c r="C68" s="11"/>
      <c r="D68" s="11"/>
      <c r="E68" s="11"/>
      <c r="N68" s="9" t="s">
        <v>1</v>
      </c>
      <c r="O68" s="47" t="str">
        <f ref="O68:R75" si="23" t="shared">IFERROR(VLOOKUP(O18,$AA$3:$AC$48,3,FALSE),"-")</f>
        <v>-</v>
      </c>
      <c r="P68" s="47">
        <f si="23" t="shared"/>
        <v>-0.86772357690299995</v>
      </c>
      <c r="Q68" s="47" t="str">
        <f si="23" t="shared"/>
        <v>-</v>
      </c>
      <c r="R68" s="47">
        <f si="23" t="shared"/>
        <v>-9.8609981837039999</v>
      </c>
    </row>
    <row r="69" spans="2:18" x14ac:dyDescent="0.25">
      <c r="B69" s="9"/>
      <c r="C69" s="11"/>
      <c r="D69" s="11"/>
      <c r="E69" s="11"/>
      <c r="N69" s="9" t="s">
        <v>2</v>
      </c>
      <c r="O69" s="48">
        <f si="23" t="shared"/>
        <v>-3.3043422143660002</v>
      </c>
      <c r="P69" s="48">
        <f si="23" t="shared"/>
        <v>0.25589449116099999</v>
      </c>
      <c r="Q69" s="48" t="str">
        <f si="23" t="shared"/>
        <v>-</v>
      </c>
      <c r="R69" s="48">
        <f si="23" t="shared"/>
        <v>-6.2680582356360004</v>
      </c>
    </row>
    <row r="70" spans="2:18" x14ac:dyDescent="0.25">
      <c r="B70" s="9"/>
      <c r="C70" s="46"/>
      <c r="D70" s="11"/>
      <c r="E70" s="11"/>
      <c r="N70" s="9" t="s">
        <v>3</v>
      </c>
      <c r="O70" s="48">
        <f si="23" t="shared"/>
        <v>-0.89787089007999998</v>
      </c>
      <c r="P70" s="48">
        <f si="23" t="shared"/>
        <v>-7.8974546559999997E-2</v>
      </c>
      <c r="Q70" s="48" t="str">
        <f si="23" t="shared"/>
        <v>-</v>
      </c>
      <c r="R70" s="48">
        <f si="23" t="shared"/>
        <v>-6.9398997343640003</v>
      </c>
    </row>
    <row r="71" spans="2:18" x14ac:dyDescent="0.25">
      <c r="B71" s="9"/>
      <c r="C71" s="46"/>
      <c r="D71" s="11"/>
      <c r="E71" s="11"/>
      <c r="N71" s="9" t="s">
        <v>4</v>
      </c>
      <c r="O71" s="48" t="str">
        <f si="23" t="shared"/>
        <v>-</v>
      </c>
      <c r="P71" s="48" t="str">
        <f si="23" t="shared"/>
        <v>-</v>
      </c>
      <c r="Q71" s="48" t="str">
        <f si="23" t="shared"/>
        <v>-</v>
      </c>
      <c r="R71" s="48" t="str">
        <f si="23" t="shared"/>
        <v>-</v>
      </c>
    </row>
    <row r="72" spans="2:18" x14ac:dyDescent="0.25">
      <c r="B72" s="9"/>
      <c r="C72" s="11"/>
      <c r="D72" s="11"/>
      <c r="E72" s="11"/>
      <c r="N72" s="9" t="s">
        <v>5</v>
      </c>
      <c r="O72" s="48" t="str">
        <f si="23" t="shared"/>
        <v>-</v>
      </c>
      <c r="P72" s="48" t="str">
        <f si="23" t="shared"/>
        <v>-</v>
      </c>
      <c r="Q72" s="48" t="str">
        <f si="23" t="shared"/>
        <v>-</v>
      </c>
      <c r="R72" s="48" t="str">
        <f si="23" t="shared"/>
        <v>-</v>
      </c>
    </row>
    <row r="73" spans="2:18" x14ac:dyDescent="0.25">
      <c r="B73" s="9"/>
      <c r="C73" s="11"/>
      <c r="D73" s="11"/>
      <c r="E73" s="11"/>
      <c r="N73" s="9" t="s">
        <v>6</v>
      </c>
      <c r="O73" s="48">
        <f si="23" t="shared"/>
        <v>2.3646780759819999</v>
      </c>
      <c r="P73" s="48">
        <f si="23" t="shared"/>
        <v>1.7575454809019999</v>
      </c>
      <c r="Q73" s="48" t="str">
        <f si="23" t="shared"/>
        <v>-</v>
      </c>
      <c r="R73" s="48">
        <f si="23" t="shared"/>
        <v>-13.621753923630999</v>
      </c>
    </row>
    <row r="74" spans="2:18" x14ac:dyDescent="0.25">
      <c r="B74" s="9"/>
      <c r="C74" s="11"/>
      <c r="D74" s="11"/>
      <c r="E74" s="11"/>
      <c r="N74" s="9" t="s">
        <v>7</v>
      </c>
      <c r="O74" s="48">
        <f si="23" t="shared"/>
        <v>-0.37110146947</v>
      </c>
      <c r="P74" s="48">
        <f si="23" t="shared"/>
        <v>-0.96454934530299996</v>
      </c>
      <c r="Q74" s="48" t="str">
        <f si="23" t="shared"/>
        <v>-</v>
      </c>
      <c r="R74" s="48">
        <f si="23" t="shared"/>
        <v>-1.7686436508109999</v>
      </c>
    </row>
    <row r="75" spans="2:18" x14ac:dyDescent="0.25">
      <c r="B75" s="9"/>
      <c r="C75" s="11"/>
      <c r="D75" s="11"/>
      <c r="E75" s="11"/>
      <c r="N75" s="12" t="s">
        <v>8</v>
      </c>
      <c r="O75" s="49" t="str">
        <f si="23" t="shared"/>
        <v>-</v>
      </c>
      <c r="P75" s="49" t="str">
        <f si="23" t="shared"/>
        <v>-</v>
      </c>
      <c r="Q75" s="49" t="str">
        <f si="23" t="shared"/>
        <v>-</v>
      </c>
      <c r="R75" s="49" t="str">
        <f si="23" t="shared"/>
        <v>-</v>
      </c>
    </row>
    <row r="76" spans="2:18" x14ac:dyDescent="0.25">
      <c r="B76" s="9"/>
      <c r="C76" s="11"/>
      <c r="D76" s="11"/>
      <c r="E76" s="11"/>
    </row>
    <row ht="15.75" r="77" spans="2:18" thickBot="1" x14ac:dyDescent="0.3">
      <c r="B77" s="9"/>
      <c r="H77" s="5" t="s">
        <v>235</v>
      </c>
      <c r="N77" s="37" t="s">
        <v>213</v>
      </c>
    </row>
    <row r="78" spans="2:18" x14ac:dyDescent="0.25">
      <c r="H78" s="38" t="s">
        <v>0</v>
      </c>
      <c r="I78" s="39" t="s">
        <v>252</v>
      </c>
      <c r="J78" s="39" t="s">
        <v>247</v>
      </c>
      <c r="K78" s="39" t="s">
        <v>250</v>
      </c>
      <c r="L78" s="39" t="s">
        <v>253</v>
      </c>
      <c r="N78" s="2" t="s">
        <v>0</v>
      </c>
      <c r="O78" s="39" t="str">
        <f>O67</f>
        <v>nocars</v>
      </c>
      <c r="P78" s="39" t="str">
        <f>P67</f>
        <v>cars &lt; adults</v>
      </c>
      <c r="Q78" s="39" t="str">
        <f>Q67</f>
        <v>cars &lt; workers</v>
      </c>
      <c r="R78" s="39" t="str">
        <f>R67</f>
        <v>constant</v>
      </c>
    </row>
    <row r="79" spans="2:18" x14ac:dyDescent="0.25">
      <c r="H79" s="9" t="s">
        <v>1</v>
      </c>
      <c r="I79" s="11" t="str">
        <f ref="I79:L86" si="24" t="shared">IF(ISBLANK(O18),"",O18)</f>
        <v/>
      </c>
      <c r="J79" s="11">
        <f si="24" t="shared"/>
        <v>52</v>
      </c>
      <c r="K79" s="11" t="str">
        <f si="24" t="shared"/>
        <v/>
      </c>
      <c r="L79" s="11">
        <f si="24" t="shared"/>
        <v>50</v>
      </c>
      <c r="N79" s="9" t="s">
        <v>1</v>
      </c>
      <c r="O79" s="48" t="str">
        <f ref="O79:R86" si="25" t="shared">IF(O18="","-",O56+O68)</f>
        <v>-</v>
      </c>
      <c r="P79" s="48">
        <f si="25" t="shared"/>
        <v>-0.86772357690299995</v>
      </c>
      <c r="Q79" s="48" t="str">
        <f si="25" t="shared"/>
        <v>-</v>
      </c>
      <c r="R79" s="48">
        <f si="25" t="shared"/>
        <v>-9.8034223473070394</v>
      </c>
    </row>
    <row r="80" spans="2:18" x14ac:dyDescent="0.25">
      <c r="H80" s="9" t="s">
        <v>2</v>
      </c>
      <c r="I80" s="11">
        <f si="24" t="shared"/>
        <v>41</v>
      </c>
      <c r="J80" s="11">
        <f si="24" t="shared"/>
        <v>42</v>
      </c>
      <c r="K80" s="11" t="str">
        <f si="24" t="shared"/>
        <v/>
      </c>
      <c r="L80" s="11">
        <f si="24" t="shared"/>
        <v>40</v>
      </c>
      <c r="N80" s="9" t="s">
        <v>2</v>
      </c>
      <c r="O80" s="48">
        <f si="25" t="shared"/>
        <v>-3.3043422143660002</v>
      </c>
      <c r="P80" s="48">
        <f si="25" t="shared"/>
        <v>0.25589449116099999</v>
      </c>
      <c r="Q80" s="48" t="str">
        <f si="25" t="shared"/>
        <v>-</v>
      </c>
      <c r="R80" s="48">
        <f si="25" t="shared"/>
        <v>-6.1828040304231751</v>
      </c>
    </row>
    <row r="81" spans="8:18" x14ac:dyDescent="0.25">
      <c r="H81" s="9" t="s">
        <v>3</v>
      </c>
      <c r="I81" s="11">
        <f si="24" t="shared"/>
        <v>36</v>
      </c>
      <c r="J81" s="11">
        <f si="24" t="shared"/>
        <v>37</v>
      </c>
      <c r="K81" s="11" t="str">
        <f si="24" t="shared"/>
        <v/>
      </c>
      <c r="L81" s="11">
        <f si="24" t="shared"/>
        <v>30</v>
      </c>
      <c r="N81" s="9" t="s">
        <v>3</v>
      </c>
      <c r="O81" s="48">
        <f si="25" t="shared"/>
        <v>-0.89787089007999998</v>
      </c>
      <c r="P81" s="48">
        <f si="25" t="shared"/>
        <v>-7.8974546559999997E-2</v>
      </c>
      <c r="Q81" s="48" t="str">
        <f si="25" t="shared"/>
        <v>-</v>
      </c>
      <c r="R81" s="48">
        <f si="25" t="shared"/>
        <v>-7.0311987021451507</v>
      </c>
    </row>
    <row r="82" spans="8:18" x14ac:dyDescent="0.25">
      <c r="H82" s="9" t="s">
        <v>4</v>
      </c>
      <c r="I82" s="11" t="str">
        <f si="24" t="shared"/>
        <v/>
      </c>
      <c r="J82" s="11" t="str">
        <f si="24" t="shared"/>
        <v/>
      </c>
      <c r="K82" s="11" t="str">
        <f si="24" t="shared"/>
        <v/>
      </c>
      <c r="L82" s="11" t="str">
        <f si="24" t="shared"/>
        <v/>
      </c>
      <c r="N82" s="9" t="s">
        <v>4</v>
      </c>
      <c r="O82" s="48" t="str">
        <f si="25" t="shared"/>
        <v>-</v>
      </c>
      <c r="P82" s="48" t="str">
        <f si="25" t="shared"/>
        <v>-</v>
      </c>
      <c r="Q82" s="48" t="str">
        <f si="25" t="shared"/>
        <v>-</v>
      </c>
      <c r="R82" s="48" t="str">
        <f si="25" t="shared"/>
        <v>-</v>
      </c>
    </row>
    <row r="83" spans="8:18" x14ac:dyDescent="0.25">
      <c r="H83" s="9" t="s">
        <v>5</v>
      </c>
      <c r="I83" s="11" t="str">
        <f si="24" t="shared"/>
        <v/>
      </c>
      <c r="J83" s="11" t="str">
        <f si="24" t="shared"/>
        <v/>
      </c>
      <c r="K83" s="11" t="str">
        <f si="24" t="shared"/>
        <v/>
      </c>
      <c r="L83" s="11" t="str">
        <f si="24" t="shared"/>
        <v/>
      </c>
      <c r="N83" s="9" t="s">
        <v>5</v>
      </c>
      <c r="O83" s="48" t="str">
        <f si="25" t="shared"/>
        <v>-</v>
      </c>
      <c r="P83" s="48" t="str">
        <f si="25" t="shared"/>
        <v>-</v>
      </c>
      <c r="Q83" s="48" t="str">
        <f si="25" t="shared"/>
        <v>-</v>
      </c>
      <c r="R83" s="48" t="str">
        <f si="25" t="shared"/>
        <v>-</v>
      </c>
    </row>
    <row r="84" spans="8:18" x14ac:dyDescent="0.25">
      <c r="H84" s="9" t="s">
        <v>6</v>
      </c>
      <c r="I84" s="11">
        <f si="24" t="shared"/>
        <v>67</v>
      </c>
      <c r="J84" s="11">
        <f si="24" t="shared"/>
        <v>68</v>
      </c>
      <c r="K84" s="11" t="str">
        <f si="24" t="shared"/>
        <v/>
      </c>
      <c r="L84" s="11">
        <f si="24" t="shared"/>
        <v>60</v>
      </c>
      <c r="N84" s="9" t="s">
        <v>6</v>
      </c>
      <c r="O84" s="48">
        <f si="25" t="shared"/>
        <v>2.3646780759819999</v>
      </c>
      <c r="P84" s="48">
        <f si="25" t="shared"/>
        <v>1.7575454809019999</v>
      </c>
      <c r="Q84" s="48" t="str">
        <f si="25" t="shared"/>
        <v>-</v>
      </c>
      <c r="R84" s="48">
        <f si="25" t="shared"/>
        <v>-13.621753923630999</v>
      </c>
    </row>
    <row r="85" spans="8:18" x14ac:dyDescent="0.25">
      <c r="H85" s="9" t="s">
        <v>7</v>
      </c>
      <c r="I85" s="11">
        <f si="24" t="shared"/>
        <v>77</v>
      </c>
      <c r="J85" s="11">
        <f si="24" t="shared"/>
        <v>78</v>
      </c>
      <c r="K85" s="11" t="str">
        <f si="24" t="shared"/>
        <v/>
      </c>
      <c r="L85" s="11">
        <f si="24" t="shared"/>
        <v>70</v>
      </c>
      <c r="N85" s="9" t="s">
        <v>7</v>
      </c>
      <c r="O85" s="48">
        <f si="25" t="shared"/>
        <v>-0.37110146947</v>
      </c>
      <c r="P85" s="48">
        <f si="25" t="shared"/>
        <v>-0.96454934530299996</v>
      </c>
      <c r="Q85" s="48" t="str">
        <f si="25" t="shared"/>
        <v>-</v>
      </c>
      <c r="R85" s="48">
        <f si="25" t="shared"/>
        <v>-1.7164446112178411</v>
      </c>
    </row>
    <row r="86" spans="8:18" x14ac:dyDescent="0.25">
      <c r="H86" s="12" t="s">
        <v>8</v>
      </c>
      <c r="I86" s="7" t="str">
        <f si="24" t="shared"/>
        <v/>
      </c>
      <c r="J86" s="7" t="str">
        <f si="24" t="shared"/>
        <v/>
      </c>
      <c r="K86" s="7" t="str">
        <f si="24" t="shared"/>
        <v/>
      </c>
      <c r="L86" s="7" t="str">
        <f si="24" t="shared"/>
        <v/>
      </c>
      <c r="N86" s="12" t="s">
        <v>8</v>
      </c>
      <c r="O86" s="49" t="str">
        <f si="25" t="shared"/>
        <v>-</v>
      </c>
      <c r="P86" s="49" t="str">
        <f si="25" t="shared"/>
        <v>-</v>
      </c>
      <c r="Q86" s="49" t="str">
        <f si="25" t="shared"/>
        <v>-</v>
      </c>
      <c r="R86" s="49" t="str">
        <f si="25" t="shared"/>
        <v>-</v>
      </c>
    </row>
  </sheetData>
  <mergeCells count="2">
    <mergeCell ref="B15:F15"/>
    <mergeCell ref="H15:L15"/>
  </mergeCells>
  <conditionalFormatting sqref="AE3:AE26">
    <cfRule dxfId="11" operator="greaterThan" priority="4" type="cellIs">
      <formula>0</formula>
    </cfRule>
  </conditionalFormatting>
  <conditionalFormatting sqref="O32:P33 R31:R33 R36:R37 O36:P37 P31">
    <cfRule dxfId="10" operator="greaterThan" priority="3" type="cellIs">
      <formula>1.05</formula>
    </cfRule>
    <cfRule dxfId="9" operator="lessThan" priority="2" type="cellIs">
      <formula>0.95</formula>
    </cfRule>
  </conditionalFormatting>
  <pageMargins bottom="0.75" footer="0.3" header="0.3" left="0.7" right="0.7" top="0.75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id="{3513019F-FC76-440E-A982-88AED22651EF}" operator="containsText" priority="1" type="containsText">
            <xm:f>NOT(ISERROR(SEARCH("-",O31)))</xm:f>
            <xm:f>"-"</xm:f>
            <x14:dxf>
              <fill>
                <patternFill>
                  <bgColor theme="0" tint="-0.24994659260841701"/>
                </patternFill>
              </fill>
            </x14:dxf>
          </x14:cfRule>
          <xm:sqref>O31:R38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AF90"/>
  <sheetViews>
    <sheetView topLeftCell="A2" workbookViewId="0" zoomScaleNormal="100">
      <selection activeCell="E19" sqref="E19"/>
    </sheetView>
  </sheetViews>
  <sheetFormatPr defaultRowHeight="15" x14ac:dyDescent="0.25"/>
  <cols>
    <col min="2" max="2" bestFit="true" customWidth="true" width="14.140625" collapsed="true"/>
    <col min="4" max="4" bestFit="true" customWidth="true" width="11.7109375" collapsed="true"/>
    <col min="5" max="5" bestFit="true" customWidth="true" width="13.5703125" collapsed="true"/>
    <col min="6" max="6" bestFit="true" customWidth="true" width="9.140625" collapsed="true"/>
    <col min="8" max="8" bestFit="true" customWidth="true" width="14.140625" collapsed="true"/>
    <col min="10" max="10" bestFit="true" customWidth="true" width="11.7109375" collapsed="true"/>
    <col min="11" max="11" bestFit="true" customWidth="true" width="13.5703125" collapsed="true"/>
    <col min="12" max="12" bestFit="true" customWidth="true" width="9.140625" collapsed="true"/>
    <col min="13" max="13" width="9.140625" collapsed="true"/>
    <col min="14" max="14" bestFit="true" customWidth="true" width="14.140625" collapsed="true"/>
    <col min="15" max="15" bestFit="true" customWidth="true" width="9.28515625" collapsed="true"/>
    <col min="16" max="16" bestFit="true" customWidth="true" width="12.0" collapsed="true"/>
    <col min="17" max="17" bestFit="true" customWidth="true" width="13.85546875" collapsed="true"/>
    <col min="18" max="18" bestFit="true" customWidth="true" width="9.28515625" collapsed="true"/>
    <col min="20" max="20" customWidth="true" width="5.5703125" collapsed="true"/>
    <col min="21" max="21" customWidth="true" width="12.85546875" collapsed="true"/>
    <col min="22" max="22" bestFit="true" customWidth="true" width="11.7109375" collapsed="true"/>
    <col min="23" max="23" bestFit="true" customWidth="true" width="13.5703125" collapsed="true"/>
    <col min="28" max="28" bestFit="true" customWidth="true" width="11.0" collapsed="true"/>
    <col min="29" max="30" bestFit="true" customWidth="true" width="15.42578125" collapsed="true"/>
  </cols>
  <sheetData>
    <row r="1" spans="2:31" x14ac:dyDescent="0.25">
      <c r="T1" s="23" t="s">
        <v>184</v>
      </c>
      <c r="U1" s="32"/>
      <c r="V1" s="32"/>
      <c r="W1" s="32"/>
      <c r="X1" s="32"/>
      <c r="AA1" s="23" t="s">
        <v>184</v>
      </c>
    </row>
    <row r="2" spans="2:31" x14ac:dyDescent="0.25">
      <c r="T2" s="32"/>
      <c r="U2" s="23" t="s">
        <v>236</v>
      </c>
      <c r="W2" s="32"/>
      <c r="X2" s="32"/>
      <c r="AC2" s="28" t="s">
        <v>233</v>
      </c>
      <c r="AD2" s="28" t="s">
        <v>234</v>
      </c>
      <c r="AE2" s="28" t="s">
        <v>34</v>
      </c>
    </row>
    <row ht="15.75" r="3" spans="2:31" thickBot="1" x14ac:dyDescent="0.3">
      <c r="B3" s="23" t="s">
        <v>280</v>
      </c>
      <c r="T3">
        <v>1</v>
      </c>
      <c r="U3" s="33" t="s">
        <v>244</v>
      </c>
      <c r="W3" s="32"/>
      <c r="X3" s="32"/>
      <c r="AA3">
        <f>OtherCoefficients!B11</f>
        <v>1</v>
      </c>
      <c r="AB3" t="str">
        <f>OtherCoefficients!C11</f>
        <v>costutil</v>
      </c>
      <c r="AC3" s="56">
        <f>OtherCoefficients!E11</f>
        <v>0</v>
      </c>
      <c r="AD3" s="57">
        <f>_xlfn.IFNA(VLOOKUP(AA3,$T$31:$V$50,3,FALSE),AC3)</f>
        <v>0</v>
      </c>
      <c r="AE3">
        <f>IF(AC3=AD3,0,1)</f>
        <v>0</v>
      </c>
    </row>
    <row r="4" spans="2:31" x14ac:dyDescent="0.25">
      <c r="B4" s="38" t="s">
        <v>0</v>
      </c>
      <c r="C4" s="39" t="s">
        <v>252</v>
      </c>
      <c r="D4" s="39" t="s">
        <v>247</v>
      </c>
      <c r="E4" s="39" t="s">
        <v>250</v>
      </c>
      <c r="F4" s="39" t="s">
        <v>253</v>
      </c>
      <c r="T4">
        <v>2</v>
      </c>
      <c r="U4" s="33" t="s">
        <v>281</v>
      </c>
      <c r="W4" s="32"/>
      <c r="X4" s="32"/>
      <c r="AA4">
        <f>OtherCoefficients!B12</f>
        <v>2</v>
      </c>
      <c r="AB4" t="str">
        <f>OtherCoefficients!C12</f>
        <v>timeutil</v>
      </c>
      <c r="AC4" s="56">
        <f>OtherCoefficients!E12</f>
        <v>0.97868483448400001</v>
      </c>
      <c r="AD4" s="57">
        <f ref="AD4:AD55" si="0" t="shared">_xlfn.IFNA(VLOOKUP(AA4,$T$31:$V$50,3,FALSE),AC4)</f>
        <v>0.97868483448400001</v>
      </c>
      <c r="AE4">
        <f ref="AE4:AE67" si="1" t="shared">IF(AC4=AD4,0,1)</f>
        <v>0</v>
      </c>
    </row>
    <row r="5" spans="2:31" x14ac:dyDescent="0.25">
      <c r="B5" s="9" t="s">
        <v>1</v>
      </c>
      <c r="C5" s="11"/>
      <c r="D5" s="11">
        <v>52</v>
      </c>
      <c r="E5" s="11"/>
      <c r="F5" s="11">
        <v>50</v>
      </c>
      <c r="J5" s="9"/>
      <c r="N5" s="9"/>
      <c r="P5" s="9"/>
      <c r="T5">
        <v>3</v>
      </c>
      <c r="U5" s="32" t="s">
        <v>245</v>
      </c>
      <c r="V5" s="32"/>
      <c r="W5" s="32"/>
      <c r="X5" s="32"/>
      <c r="AA5">
        <f>OtherCoefficients!B13</f>
        <v>20</v>
      </c>
      <c r="AB5" t="str">
        <f>OtherCoefficients!C13</f>
        <v>wt-const</v>
      </c>
      <c r="AC5" s="56">
        <f>OtherCoefficients!E13</f>
        <v>-1.350424988441</v>
      </c>
      <c r="AD5" s="57">
        <f si="0" t="shared"/>
        <v>-1.3662142199726595</v>
      </c>
      <c r="AE5">
        <f si="1" t="shared"/>
        <v>1</v>
      </c>
    </row>
    <row r="6" spans="2:31" x14ac:dyDescent="0.25">
      <c r="B6" s="9" t="s">
        <v>2</v>
      </c>
      <c r="C6" s="11">
        <v>41</v>
      </c>
      <c r="D6" s="11"/>
      <c r="E6" s="11">
        <v>43</v>
      </c>
      <c r="F6" s="11">
        <v>40</v>
      </c>
      <c r="T6">
        <v>4</v>
      </c>
      <c r="U6" s="32" t="s">
        <v>237</v>
      </c>
      <c r="V6" s="32"/>
      <c r="W6" s="32"/>
      <c r="X6" s="32"/>
      <c r="AA6">
        <f>OtherCoefficients!B14</f>
        <v>21</v>
      </c>
      <c r="AB6" t="str">
        <f>OtherCoefficients!C14</f>
        <v>wt-nocars</v>
      </c>
      <c r="AC6" s="56">
        <f>OtherCoefficients!E14</f>
        <v>2.415026607882</v>
      </c>
      <c r="AD6" s="57">
        <f si="0" t="shared"/>
        <v>2.415026607882</v>
      </c>
      <c r="AE6">
        <f si="1" t="shared"/>
        <v>0</v>
      </c>
    </row>
    <row r="7" spans="2:31" x14ac:dyDescent="0.25">
      <c r="B7" s="9" t="s">
        <v>3</v>
      </c>
      <c r="C7" s="11" t="s">
        <v>254</v>
      </c>
      <c r="E7" s="11" t="s">
        <v>276</v>
      </c>
      <c r="F7" s="11">
        <v>30</v>
      </c>
      <c r="T7" s="32">
        <v>5</v>
      </c>
      <c r="U7" s="32" t="s">
        <v>238</v>
      </c>
      <c r="V7" s="32"/>
      <c r="W7" s="32"/>
      <c r="X7" s="32"/>
      <c r="AA7">
        <f>OtherCoefficients!B15</f>
        <v>22</v>
      </c>
      <c r="AB7" t="str">
        <f>OtherCoefficients!C15</f>
        <v>wt-carsltd</v>
      </c>
      <c r="AC7" s="56">
        <f>OtherCoefficients!E15</f>
        <v>-0.56094675603999999</v>
      </c>
      <c r="AD7" s="57">
        <f si="0" t="shared"/>
        <v>-0.56094675603999999</v>
      </c>
      <c r="AE7">
        <f si="1" t="shared"/>
        <v>0</v>
      </c>
    </row>
    <row r="8" spans="2:31" x14ac:dyDescent="0.25">
      <c r="B8" s="9" t="s">
        <v>4</v>
      </c>
      <c r="C8" s="11"/>
      <c r="D8" s="11"/>
      <c r="E8" s="11"/>
      <c r="F8" s="11"/>
      <c r="T8" s="32"/>
      <c r="U8" s="32"/>
      <c r="V8" s="32"/>
      <c r="W8" s="32"/>
      <c r="X8" s="32"/>
      <c r="AA8">
        <f>OtherCoefficients!B16</f>
        <v>30</v>
      </c>
      <c r="AB8" t="str">
        <f>OtherCoefficients!C16</f>
        <v>s3-const</v>
      </c>
      <c r="AC8" s="56">
        <f>OtherCoefficients!E16</f>
        <v>-0.22287653765000001</v>
      </c>
      <c r="AD8" s="57">
        <f si="0" t="shared"/>
        <v>-0.4510491244072683</v>
      </c>
      <c r="AE8">
        <f si="1" t="shared"/>
        <v>1</v>
      </c>
    </row>
    <row r="9" spans="2:31" x14ac:dyDescent="0.25">
      <c r="B9" s="9" t="s">
        <v>5</v>
      </c>
      <c r="C9" s="11">
        <v>21</v>
      </c>
      <c r="D9" s="11">
        <v>22</v>
      </c>
      <c r="E9" s="11"/>
      <c r="F9" s="11">
        <v>20</v>
      </c>
      <c r="T9" s="32"/>
      <c r="U9" s="34" t="s">
        <v>239</v>
      </c>
      <c r="V9" s="32"/>
      <c r="W9" s="32"/>
      <c r="X9" s="32"/>
      <c r="AA9">
        <f>OtherCoefficients!B17</f>
        <v>31</v>
      </c>
      <c r="AB9" t="str">
        <f>OtherCoefficients!C17</f>
        <v>sr-hhcu5</v>
      </c>
      <c r="AC9" s="56">
        <f>OtherCoefficients!E17</f>
        <v>0.18951468592699999</v>
      </c>
      <c r="AD9" s="57">
        <f si="0" t="shared"/>
        <v>0.18951468592699999</v>
      </c>
      <c r="AE9">
        <f si="1" t="shared"/>
        <v>0</v>
      </c>
    </row>
    <row r="10" spans="2:31" x14ac:dyDescent="0.25">
      <c r="B10" s="9" t="s">
        <v>6</v>
      </c>
      <c r="C10" s="11">
        <v>67</v>
      </c>
      <c r="D10" s="11">
        <v>68</v>
      </c>
      <c r="E10" s="11"/>
      <c r="F10" s="11">
        <v>60</v>
      </c>
      <c r="T10" s="32">
        <v>1</v>
      </c>
      <c r="U10" s="33" t="s">
        <v>244</v>
      </c>
      <c r="V10" s="32"/>
      <c r="W10" s="32"/>
      <c r="X10" s="32"/>
      <c r="AA10">
        <f>OtherCoefficients!B18</f>
        <v>32</v>
      </c>
      <c r="AB10" t="str">
        <f>OtherCoefficients!C18</f>
        <v>sr-hh515</v>
      </c>
      <c r="AC10" s="56">
        <f>OtherCoefficients!E18</f>
        <v>4.9107872890000001E-2</v>
      </c>
      <c r="AD10" s="57">
        <f si="0" t="shared"/>
        <v>4.9107872890000001E-2</v>
      </c>
      <c r="AE10">
        <f si="1" t="shared"/>
        <v>0</v>
      </c>
    </row>
    <row r="11" spans="2:31" x14ac:dyDescent="0.25">
      <c r="B11" s="9" t="s">
        <v>7</v>
      </c>
      <c r="C11" s="11">
        <v>77</v>
      </c>
      <c r="D11" s="11">
        <v>78</v>
      </c>
      <c r="E11" s="11"/>
      <c r="F11" s="11">
        <v>70</v>
      </c>
      <c r="T11" s="32">
        <v>2</v>
      </c>
      <c r="U11" s="32" t="s">
        <v>240</v>
      </c>
      <c r="V11" s="32"/>
      <c r="W11" s="32"/>
      <c r="X11" s="32"/>
      <c r="AA11">
        <f>OtherCoefficients!B19</f>
        <v>34</v>
      </c>
      <c r="AB11" t="str">
        <f>OtherCoefficients!C19</f>
        <v>sr-hhnwa</v>
      </c>
      <c r="AC11" s="56">
        <f>OtherCoefficients!E19</f>
        <v>3.5975998113999999E-2</v>
      </c>
      <c r="AD11" s="57">
        <f si="0" t="shared"/>
        <v>3.5975998113999999E-2</v>
      </c>
      <c r="AE11">
        <f si="1" t="shared"/>
        <v>0</v>
      </c>
    </row>
    <row r="12" spans="2:31" x14ac:dyDescent="0.25">
      <c r="B12" s="12" t="s">
        <v>8</v>
      </c>
      <c r="C12" s="11"/>
      <c r="D12" s="11"/>
      <c r="E12" s="7"/>
      <c r="F12" s="7"/>
      <c r="T12" s="32">
        <v>3</v>
      </c>
      <c r="U12" s="32" t="s">
        <v>241</v>
      </c>
      <c r="V12" s="32"/>
      <c r="W12" s="32"/>
      <c r="X12" s="32"/>
      <c r="AA12">
        <f>OtherCoefficients!B20</f>
        <v>35</v>
      </c>
      <c r="AB12" t="str">
        <f>OtherCoefficients!C20</f>
        <v>sr-lndist</v>
      </c>
      <c r="AC12" s="56">
        <f>OtherCoefficients!E20</f>
        <v>0.148954198767</v>
      </c>
      <c r="AD12" s="57">
        <f si="0" t="shared"/>
        <v>0.148954198767</v>
      </c>
      <c r="AE12">
        <f si="1" t="shared"/>
        <v>0</v>
      </c>
    </row>
    <row r="13" spans="2:31" x14ac:dyDescent="0.25">
      <c r="C13" s="25"/>
      <c r="D13" s="25"/>
      <c r="T13" s="32">
        <v>4</v>
      </c>
      <c r="U13" s="32" t="s">
        <v>242</v>
      </c>
      <c r="V13" s="32"/>
      <c r="W13" s="32"/>
      <c r="X13" s="32"/>
      <c r="AA13">
        <f>OtherCoefficients!B21</f>
        <v>36</v>
      </c>
      <c r="AB13" t="str">
        <f>OtherCoefficients!C21</f>
        <v>s3-nocars</v>
      </c>
      <c r="AC13" s="56">
        <f>OtherCoefficients!E21</f>
        <v>1.168777037104</v>
      </c>
      <c r="AD13" s="57">
        <f si="0" t="shared"/>
        <v>1.168777037104</v>
      </c>
      <c r="AE13">
        <f si="1" t="shared"/>
        <v>0</v>
      </c>
    </row>
    <row r="14" spans="2:31" x14ac:dyDescent="0.25">
      <c r="B14" s="37" t="s">
        <v>337</v>
      </c>
      <c r="T14" s="32">
        <v>5</v>
      </c>
      <c r="U14" s="33" t="s">
        <v>282</v>
      </c>
      <c r="V14" s="32"/>
      <c r="W14" s="32"/>
      <c r="X14" s="32"/>
      <c r="AA14">
        <f>OtherCoefficients!B22</f>
        <v>37</v>
      </c>
      <c r="AB14" t="str">
        <f>OtherCoefficients!C22</f>
        <v>s3-carsltw</v>
      </c>
      <c r="AC14" s="56">
        <f>OtherCoefficients!E22</f>
        <v>0.22373830168700001</v>
      </c>
      <c r="AD14" s="57">
        <f si="0" t="shared"/>
        <v>0.22373830168700001</v>
      </c>
      <c r="AE14">
        <f si="1" t="shared"/>
        <v>0</v>
      </c>
    </row>
    <row r="15" spans="2:31" x14ac:dyDescent="0.25">
      <c r="B15" s="123" t="s">
        <v>293</v>
      </c>
      <c r="C15" s="123"/>
      <c r="D15" s="123"/>
      <c r="E15" s="123"/>
      <c r="F15" s="123"/>
      <c r="H15" s="122" t="s">
        <v>33</v>
      </c>
      <c r="I15" s="122"/>
      <c r="J15" s="122"/>
      <c r="K15" s="122"/>
      <c r="L15" s="122"/>
      <c r="T15" s="32">
        <v>6</v>
      </c>
      <c r="U15" s="32" t="s">
        <v>246</v>
      </c>
      <c r="V15" s="32"/>
      <c r="W15" s="32"/>
      <c r="X15" s="32"/>
      <c r="AA15">
        <f>OtherCoefficients!B23</f>
        <v>38</v>
      </c>
      <c r="AB15" t="str">
        <f>OtherCoefficients!C23</f>
        <v>s3-onephh</v>
      </c>
      <c r="AC15" s="56">
        <f>OtherCoefficients!E23</f>
        <v>-3.0698159554100002</v>
      </c>
      <c r="AD15" s="57">
        <f si="0" t="shared"/>
        <v>-3.0698159554100002</v>
      </c>
      <c r="AE15">
        <f si="1" t="shared"/>
        <v>0</v>
      </c>
    </row>
    <row ht="15.75" r="16" spans="2:31" thickBot="1" x14ac:dyDescent="0.3">
      <c r="B16" s="5" t="s">
        <v>258</v>
      </c>
      <c r="H16" s="5" t="str">
        <f>B16</f>
        <v>Frequency</v>
      </c>
      <c r="N16" s="5" t="s">
        <v>271</v>
      </c>
      <c r="T16" s="32">
        <v>7</v>
      </c>
      <c r="U16" s="32" t="s">
        <v>237</v>
      </c>
      <c r="V16" s="32"/>
      <c r="W16" s="32"/>
      <c r="X16" s="32"/>
      <c r="AA16">
        <f>OtherCoefficients!B24</f>
        <v>39</v>
      </c>
      <c r="AB16" t="str">
        <f>OtherCoefficients!C24</f>
        <v>s3-twophh</v>
      </c>
      <c r="AC16" s="56">
        <f>OtherCoefficients!E24</f>
        <v>-2.2469443843599999</v>
      </c>
      <c r="AD16" s="57">
        <f si="0" t="shared"/>
        <v>-2.2469443843599999</v>
      </c>
      <c r="AE16">
        <f si="1" t="shared"/>
        <v>0</v>
      </c>
    </row>
    <row r="17" spans="2:31" x14ac:dyDescent="0.25">
      <c r="B17" s="38" t="s">
        <v>0</v>
      </c>
      <c r="C17" s="39" t="s">
        <v>252</v>
      </c>
      <c r="D17" s="39" t="s">
        <v>247</v>
      </c>
      <c r="E17" s="39" t="s">
        <v>250</v>
      </c>
      <c r="F17" s="39" t="s">
        <v>19</v>
      </c>
      <c r="H17" s="38" t="s">
        <v>0</v>
      </c>
      <c r="I17" s="39" t="s">
        <v>252</v>
      </c>
      <c r="J17" s="39" t="s">
        <v>247</v>
      </c>
      <c r="K17" s="39" t="s">
        <v>250</v>
      </c>
      <c r="L17" s="39" t="s">
        <v>19</v>
      </c>
      <c r="M17" s="36"/>
      <c r="N17" s="38" t="s">
        <v>0</v>
      </c>
      <c r="O17" s="39" t="s">
        <v>252</v>
      </c>
      <c r="P17" s="39" t="s">
        <v>247</v>
      </c>
      <c r="Q17" s="39" t="s">
        <v>250</v>
      </c>
      <c r="R17" s="39" t="s">
        <v>253</v>
      </c>
      <c r="T17" s="32">
        <v>8</v>
      </c>
      <c r="U17" s="32" t="s">
        <v>243</v>
      </c>
      <c r="V17" s="32"/>
      <c r="W17" s="32"/>
      <c r="X17" s="32"/>
      <c r="AA17">
        <f>OtherCoefficients!B25</f>
        <v>40</v>
      </c>
      <c r="AB17" t="str">
        <f>OtherCoefficients!C25</f>
        <v>s2-const</v>
      </c>
      <c r="AC17" s="56">
        <f>OtherCoefficients!E25</f>
        <v>-0.278409981029</v>
      </c>
      <c r="AD17" s="57">
        <f si="0" t="shared"/>
        <v>-0.50345138522183597</v>
      </c>
      <c r="AE17">
        <f si="1" t="shared"/>
        <v>1</v>
      </c>
    </row>
    <row r="18" spans="2:31" x14ac:dyDescent="0.25">
      <c r="B18" s="9" t="s">
        <v>1</v>
      </c>
      <c r="C18" s="9">
        <v>0</v>
      </c>
      <c r="D18" s="9">
        <f>Personal_Business!E4+Shop!E4+Meal!E4+SocRec!E4+Personal_Business!B4+Shop!B4+Meal!B4+SocRec!B4</f>
        <v>42378.521030748991</v>
      </c>
      <c r="E18" s="9">
        <f>Personal_Business!G4+Shop!G4+Meal!G4+SocRec!G4</f>
        <v>6632.1448503268957</v>
      </c>
      <c r="F18" s="9">
        <f>Personal_Business!H4+Shop!H4+Meal!H4+SocRec!H4</f>
        <v>318568.4223939646</v>
      </c>
      <c r="H18" s="9" t="s">
        <v>1</v>
      </c>
      <c r="I18" s="9">
        <f>Personal_Business!K4+Shop!K4+Meal!K4+SocRec!K4</f>
        <v>0</v>
      </c>
      <c r="J18" s="9">
        <f>Personal_Business!N4+Shop!N4+Meal!N4+SocRec!N4</f>
        <v>53239</v>
      </c>
      <c r="K18" s="9">
        <f>Personal_Business!P4+Shop!P4+Meal!P4+SocRec!P4</f>
        <v>13448</v>
      </c>
      <c r="L18" s="9">
        <f>Personal_Business!Q4+Shop!Q4+Meal!Q4+SocRec!Q4</f>
        <v>346781</v>
      </c>
      <c r="M18" s="9"/>
      <c r="N18" s="9" t="s">
        <v>1</v>
      </c>
      <c r="O18" s="50" t="str">
        <f>IF(ISBLANK(C5),"",C5)</f>
        <v/>
      </c>
      <c r="P18" s="50">
        <f ref="P18:R25" si="2" t="shared">IF(ISBLANK(D5),"",D5)</f>
        <v>52</v>
      </c>
      <c r="Q18" s="50" t="str">
        <f si="2" t="shared"/>
        <v/>
      </c>
      <c r="R18" s="50">
        <f si="2" t="shared"/>
        <v>50</v>
      </c>
      <c r="AA18">
        <f>OtherCoefficients!B26</f>
        <v>41</v>
      </c>
      <c r="AB18" t="str">
        <f>OtherCoefficients!C26</f>
        <v>sr-nocars</v>
      </c>
      <c r="AC18" s="56">
        <f>OtherCoefficients!E26</f>
        <v>-2.3816710703599999</v>
      </c>
      <c r="AD18" s="57">
        <f si="0" t="shared"/>
        <v>-2.3816710703599999</v>
      </c>
      <c r="AE18">
        <f si="1" t="shared"/>
        <v>0</v>
      </c>
    </row>
    <row r="19" spans="2:31" x14ac:dyDescent="0.25">
      <c r="B19" s="9" t="s">
        <v>2</v>
      </c>
      <c r="C19" s="9">
        <f>Personal_Business!B5+Shop!B5+Meal!B5+SocRec!B5</f>
        <v>9390.4492521980592</v>
      </c>
      <c r="D19" s="9">
        <f>Personal_Business!E5+Shop!E5+Meal!E5+SocRec!E5</f>
        <v>66434.282565194226</v>
      </c>
      <c r="E19" s="9">
        <f>Personal_Business!G5+Shop!G5+Meal!G5+SocRec!G5</f>
        <v>12944.654503653426</v>
      </c>
      <c r="F19" s="9">
        <f>Personal_Business!H5+Shop!H5+Meal!H5+SocRec!H5</f>
        <v>266062.95328171935</v>
      </c>
      <c r="H19" s="9" t="s">
        <v>2</v>
      </c>
      <c r="I19" s="9">
        <f>Personal_Business!K5+Shop!K5+Meal!K5+SocRec!K5</f>
        <v>10906</v>
      </c>
      <c r="J19" s="9">
        <f>Personal_Business!N5+Shop!N5+Meal!N5+SocRec!N5</f>
        <v>76347</v>
      </c>
      <c r="K19" s="9">
        <f>Personal_Business!P5+Shop!P5+Meal!P5+SocRec!P5</f>
        <v>20395</v>
      </c>
      <c r="L19" s="9">
        <f>Personal_Business!Q5+Shop!Q5+Meal!Q5+SocRec!Q5</f>
        <v>279546</v>
      </c>
      <c r="M19" s="9"/>
      <c r="N19" s="9" t="s">
        <v>2</v>
      </c>
      <c r="O19" s="11">
        <f ref="O19:O25" si="3" t="shared">IF(ISBLANK(C6),"",C6)</f>
        <v>41</v>
      </c>
      <c r="P19" s="11" t="str">
        <f si="2" t="shared"/>
        <v/>
      </c>
      <c r="Q19" s="11">
        <f si="2" t="shared"/>
        <v>43</v>
      </c>
      <c r="R19" s="11">
        <f si="2" t="shared"/>
        <v>40</v>
      </c>
      <c r="T19" s="9"/>
      <c r="AA19">
        <f>OtherCoefficients!B27</f>
        <v>43</v>
      </c>
      <c r="AB19" t="str">
        <f>OtherCoefficients!C27</f>
        <v>sr-carsltw</v>
      </c>
      <c r="AC19" s="56">
        <f>OtherCoefficients!E27</f>
        <v>-0.47968377671599999</v>
      </c>
      <c r="AD19" s="57">
        <f si="0" t="shared"/>
        <v>-0.47968377671599999</v>
      </c>
      <c r="AE19">
        <f si="1" t="shared"/>
        <v>0</v>
      </c>
    </row>
    <row r="20" spans="2:31" x14ac:dyDescent="0.25">
      <c r="B20" s="9" t="s">
        <v>3</v>
      </c>
      <c r="C20" s="9">
        <f>Personal_Business!B6+Shop!B6+Meal!B6+SocRec!B6</f>
        <v>4085.6003691069318</v>
      </c>
      <c r="D20" s="9">
        <f>Personal_Business!E6+Shop!E6+Meal!E6+SocRec!E6</f>
        <v>24478.162835401839</v>
      </c>
      <c r="E20" s="9">
        <f>Personal_Business!G6+Shop!G6+Meal!G6+SocRec!G6</f>
        <v>1754.0823773934285</v>
      </c>
      <c r="F20" s="9">
        <f>Personal_Business!H6+Shop!H6+Meal!H6+SocRec!H6</f>
        <v>161755.84810631978</v>
      </c>
      <c r="H20" s="9" t="s">
        <v>3</v>
      </c>
      <c r="I20" s="9">
        <f>Personal_Business!K6+Shop!K6+Meal!K6+SocRec!K6</f>
        <v>3488</v>
      </c>
      <c r="J20" s="9">
        <f>Personal_Business!N6+Shop!N6+Meal!N6+SocRec!N6</f>
        <v>52135</v>
      </c>
      <c r="K20" s="9">
        <f>Personal_Business!P6+Shop!P6+Meal!P6+SocRec!P6</f>
        <v>4989</v>
      </c>
      <c r="L20" s="9">
        <f>Personal_Business!Q6+Shop!Q6+Meal!Q6+SocRec!Q6</f>
        <v>170486</v>
      </c>
      <c r="M20" s="9"/>
      <c r="N20" s="9" t="s">
        <v>3</v>
      </c>
      <c r="O20" s="11">
        <v>36</v>
      </c>
      <c r="P20" s="11"/>
      <c r="Q20" s="11">
        <v>37</v>
      </c>
      <c r="R20" s="11">
        <f si="2" t="shared"/>
        <v>30</v>
      </c>
      <c r="T20" s="9"/>
      <c r="AA20">
        <f>OtherCoefficients!B28</f>
        <v>48</v>
      </c>
      <c r="AB20" t="str">
        <f>OtherCoefficients!C28</f>
        <v>s2-onephh</v>
      </c>
      <c r="AC20" s="56">
        <f>OtherCoefficients!E28</f>
        <v>-1.2875886761499999</v>
      </c>
      <c r="AD20" s="57">
        <f si="0" t="shared"/>
        <v>-1.2875886761499999</v>
      </c>
      <c r="AE20">
        <f si="1" t="shared"/>
        <v>0</v>
      </c>
    </row>
    <row r="21" spans="2:31" x14ac:dyDescent="0.25">
      <c r="B21" s="9" t="s">
        <v>4</v>
      </c>
      <c r="C21" s="9">
        <v>0</v>
      </c>
      <c r="D21" s="9">
        <v>0</v>
      </c>
      <c r="E21" s="9">
        <v>0</v>
      </c>
      <c r="F21" s="9">
        <v>0</v>
      </c>
      <c r="H21" s="9" t="s">
        <v>4</v>
      </c>
      <c r="I21" s="9">
        <f>Personal_Business!K7+Shop!K7+Meal!K7+SocRec!K7</f>
        <v>0</v>
      </c>
      <c r="J21" s="9">
        <f>Personal_Business!N7+Shop!N7+Meal!N7+SocRec!N7</f>
        <v>0</v>
      </c>
      <c r="K21" s="9">
        <f>Personal_Business!P7+Shop!P7+Meal!P7+SocRec!P7</f>
        <v>0</v>
      </c>
      <c r="L21" s="9">
        <f>Personal_Business!Q7+Shop!Q7+Meal!Q7+SocRec!Q7</f>
        <v>0</v>
      </c>
      <c r="M21" s="9"/>
      <c r="N21" s="9" t="s">
        <v>4</v>
      </c>
      <c r="O21" s="11" t="str">
        <f si="3" t="shared"/>
        <v/>
      </c>
      <c r="P21" s="11" t="str">
        <f si="2" t="shared"/>
        <v/>
      </c>
      <c r="Q21" s="11" t="str">
        <f si="2" t="shared"/>
        <v/>
      </c>
      <c r="R21" s="11" t="str">
        <f si="2" t="shared"/>
        <v/>
      </c>
      <c r="T21" s="9"/>
      <c r="AA21">
        <f>OtherCoefficients!B29</f>
        <v>50</v>
      </c>
      <c r="AB21" t="str">
        <f>OtherCoefficients!C29</f>
        <v>da-const</v>
      </c>
      <c r="AC21" s="56">
        <f>OtherCoefficients!E29</f>
        <v>1.2829058385130001</v>
      </c>
      <c r="AD21" s="57">
        <f si="0" t="shared"/>
        <v>1.0224421678645959</v>
      </c>
      <c r="AE21">
        <f si="1" t="shared"/>
        <v>1</v>
      </c>
    </row>
    <row r="22" spans="2:31" x14ac:dyDescent="0.25">
      <c r="B22" s="9" t="s">
        <v>5</v>
      </c>
      <c r="C22" s="9">
        <f>Personal_Business!B8+Shop!B8+Meal!B8+SocRec!B8</f>
        <v>7653.561870019138</v>
      </c>
      <c r="D22" s="9">
        <f>Personal_Business!E8+Shop!E8+Meal!E8+SocRec!E8</f>
        <v>538.6798051068962</v>
      </c>
      <c r="E22" s="9">
        <f>Personal_Business!G8+Shop!G8+Meal!G8+SocRec!G8</f>
        <v>91.396714145064195</v>
      </c>
      <c r="F22" s="9">
        <f>Personal_Business!H8+Shop!H8+Meal!H8+SocRec!H8</f>
        <v>9044.9513369855176</v>
      </c>
      <c r="H22" s="9" t="s">
        <v>5</v>
      </c>
      <c r="I22" s="9">
        <f>Personal_Business!K8+Shop!K8+Meal!K8+SocRec!K8</f>
        <v>5746</v>
      </c>
      <c r="J22" s="9">
        <f>Personal_Business!N8+Shop!N8+Meal!N8+SocRec!N8</f>
        <v>642</v>
      </c>
      <c r="K22" s="9">
        <f>Personal_Business!P8+Shop!P8+Meal!P8+SocRec!P8</f>
        <v>161</v>
      </c>
      <c r="L22" s="9">
        <f>Personal_Business!Q8+Shop!Q8+Meal!Q8+SocRec!Q8</f>
        <v>7709</v>
      </c>
      <c r="M22" s="9"/>
      <c r="N22" s="9" t="s">
        <v>5</v>
      </c>
      <c r="O22" s="11">
        <f si="3" t="shared"/>
        <v>21</v>
      </c>
      <c r="P22" s="11">
        <f si="2" t="shared"/>
        <v>22</v>
      </c>
      <c r="Q22" s="11" t="str">
        <f si="2" t="shared"/>
        <v/>
      </c>
      <c r="R22" s="11">
        <f si="2" t="shared"/>
        <v>20</v>
      </c>
      <c r="T22" s="9"/>
      <c r="AA22">
        <f>OtherCoefficients!B30</f>
        <v>52</v>
      </c>
      <c r="AB22" t="str">
        <f>OtherCoefficients!C30</f>
        <v>da-carsltd</v>
      </c>
      <c r="AC22" s="56">
        <f>OtherCoefficients!E30</f>
        <v>-0.325253955835</v>
      </c>
      <c r="AD22" s="57">
        <f si="0" t="shared"/>
        <v>-0.325253955835</v>
      </c>
      <c r="AE22">
        <f si="1" t="shared"/>
        <v>0</v>
      </c>
    </row>
    <row r="23" spans="2:31" x14ac:dyDescent="0.25">
      <c r="B23" s="9" t="s">
        <v>6</v>
      </c>
      <c r="C23" s="9">
        <f>Personal_Business!B9+Shop!B9+Meal!B9+SocRec!B9</f>
        <v>380.78941259031507</v>
      </c>
      <c r="D23" s="9">
        <f>Personal_Business!E9+Shop!E9+Meal!E9+SocRec!E9</f>
        <v>1085.3467206144783</v>
      </c>
      <c r="E23" s="9">
        <f>Personal_Business!G9+Shop!G9+Meal!G9+SocRec!G9</f>
        <v>0</v>
      </c>
      <c r="F23" s="9">
        <f>Personal_Business!H9+Shop!H9+Meal!H9+SocRec!H9</f>
        <v>5307.7493959085286</v>
      </c>
      <c r="H23" s="9" t="s">
        <v>6</v>
      </c>
      <c r="I23" s="9">
        <f>Personal_Business!K9+Shop!K9+Meal!K9+SocRec!K9</f>
        <v>547</v>
      </c>
      <c r="J23" s="9">
        <f>Personal_Business!N9+Shop!N9+Meal!N9+SocRec!N9</f>
        <v>1884</v>
      </c>
      <c r="K23" s="9">
        <f>Personal_Business!P9+Shop!P9+Meal!P9+SocRec!P9</f>
        <v>570</v>
      </c>
      <c r="L23" s="9">
        <f>Personal_Business!Q9+Shop!Q9+Meal!Q9+SocRec!Q9</f>
        <v>6319</v>
      </c>
      <c r="M23" s="9"/>
      <c r="N23" s="9" t="s">
        <v>6</v>
      </c>
      <c r="O23" s="11">
        <f si="3" t="shared"/>
        <v>67</v>
      </c>
      <c r="P23" s="11">
        <f si="2" t="shared"/>
        <v>68</v>
      </c>
      <c r="Q23" s="11" t="str">
        <f si="2" t="shared"/>
        <v/>
      </c>
      <c r="R23" s="11">
        <f si="2" t="shared"/>
        <v>60</v>
      </c>
      <c r="T23" s="9"/>
      <c r="AA23">
        <f>OtherCoefficients!B31</f>
        <v>54</v>
      </c>
      <c r="AB23" t="str">
        <f>OtherCoefficients!C31</f>
        <v>inc0to25k</v>
      </c>
      <c r="AC23" s="56">
        <f>OtherCoefficients!E31</f>
        <v>0.12259449408500001</v>
      </c>
      <c r="AD23" s="57">
        <f si="0" t="shared"/>
        <v>0.12259449408500001</v>
      </c>
      <c r="AE23">
        <f si="1" t="shared"/>
        <v>0</v>
      </c>
    </row>
    <row r="24" spans="2:31" x14ac:dyDescent="0.25">
      <c r="B24" s="9" t="s">
        <v>7</v>
      </c>
      <c r="C24" s="9">
        <f>Personal_Business!B10+Shop!B10+Meal!B10+SocRec!B10</f>
        <v>5948.9542535329037</v>
      </c>
      <c r="D24" s="9">
        <f>Personal_Business!E10+Shop!E10+Meal!E10+SocRec!E10</f>
        <v>9702.003404090985</v>
      </c>
      <c r="E24" s="9">
        <f>Personal_Business!G10+Shop!G10+Meal!G10+SocRec!G10</f>
        <v>2375.7964507997963</v>
      </c>
      <c r="F24" s="9">
        <f>Personal_Business!H10+Shop!H10+Meal!H10+SocRec!H10</f>
        <v>42426.984093677267</v>
      </c>
      <c r="H24" s="9" t="s">
        <v>7</v>
      </c>
      <c r="I24" s="9">
        <f>Personal_Business!K10+Shop!K10+Meal!K10+SocRec!K10</f>
        <v>4348</v>
      </c>
      <c r="J24" s="9">
        <f>Personal_Business!N10+Shop!N10+Meal!N10+SocRec!N10</f>
        <v>9426</v>
      </c>
      <c r="K24" s="9">
        <f>Personal_Business!P10+Shop!P10+Meal!P10+SocRec!P10</f>
        <v>2362</v>
      </c>
      <c r="L24" s="9">
        <f>Personal_Business!Q10+Shop!Q10+Meal!Q10+SocRec!Q10</f>
        <v>35594</v>
      </c>
      <c r="M24" s="9"/>
      <c r="N24" s="9" t="s">
        <v>7</v>
      </c>
      <c r="O24" s="11">
        <f si="3" t="shared"/>
        <v>77</v>
      </c>
      <c r="P24" s="11">
        <f si="2" t="shared"/>
        <v>78</v>
      </c>
      <c r="Q24" s="11" t="str">
        <f si="2" t="shared"/>
        <v/>
      </c>
      <c r="R24" s="11">
        <f si="2" t="shared"/>
        <v>70</v>
      </c>
      <c r="T24" s="9"/>
      <c r="AA24">
        <f>OtherCoefficients!B32</f>
        <v>60</v>
      </c>
      <c r="AB24" t="str">
        <f>OtherCoefficients!C32</f>
        <v>bi-const</v>
      </c>
      <c r="AC24" s="56">
        <f>OtherCoefficients!E32</f>
        <v>-2.5325237517370001</v>
      </c>
      <c r="AD24" s="57">
        <f si="0" t="shared"/>
        <v>-2.8825243094857722</v>
      </c>
      <c r="AE24">
        <f si="1" t="shared"/>
        <v>1</v>
      </c>
    </row>
    <row r="25" spans="2:31" x14ac:dyDescent="0.25">
      <c r="B25" s="84" t="s">
        <v>8</v>
      </c>
      <c r="C25" s="9">
        <v>0</v>
      </c>
      <c r="D25" s="9">
        <v>0</v>
      </c>
      <c r="E25" s="9">
        <v>0</v>
      </c>
      <c r="F25" s="9">
        <v>0</v>
      </c>
      <c r="H25" s="84" t="s">
        <v>8</v>
      </c>
      <c r="I25" s="84">
        <f>Personal_Business!K11+Shop!K11+Meal!K11+SocRec!K11</f>
        <v>0</v>
      </c>
      <c r="J25" s="84">
        <f>Personal_Business!N11+Shop!N11+Meal!N11+SocRec!N11</f>
        <v>0</v>
      </c>
      <c r="K25" s="84">
        <f>Personal_Business!P11+Shop!P11+Meal!P11+SocRec!P11</f>
        <v>0</v>
      </c>
      <c r="L25" s="84">
        <f>Personal_Business!Q11+Shop!Q11+Meal!Q11+SocRec!Q11</f>
        <v>0</v>
      </c>
      <c r="M25" s="9"/>
      <c r="N25" s="84" t="s">
        <v>8</v>
      </c>
      <c r="O25" s="108" t="str">
        <f si="3" t="shared"/>
        <v/>
      </c>
      <c r="P25" s="108" t="str">
        <f si="2" t="shared"/>
        <v/>
      </c>
      <c r="Q25" s="108" t="str">
        <f si="2" t="shared"/>
        <v/>
      </c>
      <c r="R25" s="108" t="str">
        <f si="2" t="shared"/>
        <v/>
      </c>
      <c r="T25" s="9"/>
      <c r="AA25">
        <f>OtherCoefficients!B33</f>
        <v>61</v>
      </c>
      <c r="AB25" t="str">
        <f>OtherCoefficients!C33</f>
        <v>bi-male</v>
      </c>
      <c r="AC25" s="56">
        <f>OtherCoefficients!E33</f>
        <v>-0.66584363182700002</v>
      </c>
      <c r="AD25" s="57">
        <f si="0" t="shared"/>
        <v>-0.66584363182700002</v>
      </c>
      <c r="AE25">
        <f si="1" t="shared"/>
        <v>0</v>
      </c>
    </row>
    <row r="26" spans="2:31" x14ac:dyDescent="0.25">
      <c r="B26" s="105" t="s">
        <v>302</v>
      </c>
      <c r="C26" s="9">
        <f>Personal_Business!B12+Shop!B12+Meal!B12+SocRec!B12</f>
        <v>0</v>
      </c>
      <c r="D26" s="9">
        <f>Personal_Business!E12+Shop!E12+Meal!E12+SocRec!E12</f>
        <v>0</v>
      </c>
      <c r="E26" s="9">
        <f>Personal_Business!G12+Shop!G12+Meal!G12+SocRec!G12</f>
        <v>0</v>
      </c>
      <c r="F26" s="9">
        <f>Personal_Business!H12+Shop!H12+Meal!H12+SocRec!H12</f>
        <v>0</v>
      </c>
      <c r="H26" s="105" t="s">
        <v>302</v>
      </c>
      <c r="I26" s="12">
        <f>Personal_Business!K12+Shop!K12+Meal!K12+SocRec!K12</f>
        <v>0</v>
      </c>
      <c r="J26" s="12">
        <f>Personal_Business!N12+Shop!N12+Meal!N12+SocRec!N12</f>
        <v>0</v>
      </c>
      <c r="K26" s="12">
        <f>Personal_Business!P12+Shop!P12+Meal!P12+SocRec!P12</f>
        <v>0</v>
      </c>
      <c r="L26" s="12">
        <f>Personal_Business!Q12+Shop!Q12+Meal!Q12+SocRec!Q12</f>
        <v>0</v>
      </c>
      <c r="M26" s="9"/>
      <c r="N26" s="109" t="s">
        <v>302</v>
      </c>
      <c r="O26" s="7">
        <v>81</v>
      </c>
      <c r="P26" s="7">
        <v>82</v>
      </c>
      <c r="Q26" s="7"/>
      <c r="R26" s="7">
        <v>80</v>
      </c>
      <c r="T26" s="9"/>
      <c r="AA26">
        <f>OtherCoefficients!B34</f>
        <v>63</v>
      </c>
      <c r="AB26" t="str">
        <f>OtherCoefficients!C34</f>
        <v>bi-ageo50</v>
      </c>
      <c r="AC26" s="56">
        <f>OtherCoefficients!E34</f>
        <v>0</v>
      </c>
      <c r="AD26" s="57">
        <f si="0" t="shared"/>
        <v>0</v>
      </c>
      <c r="AE26">
        <f si="1" t="shared"/>
        <v>0</v>
      </c>
    </row>
    <row ht="15.75" r="27" spans="2:31" thickBot="1" x14ac:dyDescent="0.3">
      <c r="B27" s="43" t="s">
        <v>19</v>
      </c>
      <c r="C27" s="43">
        <f>SUM(C18:C26)</f>
        <v>27459.355157447346</v>
      </c>
      <c r="D27" s="43">
        <f ref="D27:F27" si="4" t="shared">SUM(D18:D26)</f>
        <v>144616.99636115742</v>
      </c>
      <c r="E27" s="43">
        <f si="4" t="shared"/>
        <v>23798.074896318609</v>
      </c>
      <c r="F27" s="43">
        <f si="4" t="shared"/>
        <v>803166.90860857512</v>
      </c>
      <c r="H27" s="43" t="s">
        <v>19</v>
      </c>
      <c r="I27" s="43">
        <f>SUM(I18:I26)</f>
        <v>25035</v>
      </c>
      <c r="J27" s="43">
        <f ref="J27:L27" si="5" t="shared">SUM(J18:J26)</f>
        <v>193673</v>
      </c>
      <c r="K27" s="43">
        <f si="5" t="shared"/>
        <v>41925</v>
      </c>
      <c r="L27" s="43">
        <f si="5" t="shared"/>
        <v>846435</v>
      </c>
      <c r="AA27">
        <f>OtherCoefficients!B35</f>
        <v>67</v>
      </c>
      <c r="AB27" t="str">
        <f>OtherCoefficients!C35</f>
        <v>bi-nocars</v>
      </c>
      <c r="AC27" s="56">
        <f>OtherCoefficients!E35</f>
        <v>0.23777452654699999</v>
      </c>
      <c r="AD27" s="57">
        <f si="0" t="shared"/>
        <v>0.23777452654699999</v>
      </c>
      <c r="AE27">
        <f si="1" t="shared"/>
        <v>0</v>
      </c>
    </row>
    <row r="28" spans="2:31" x14ac:dyDescent="0.25">
      <c r="F28" s="9"/>
      <c r="AA28">
        <f>OtherCoefficients!B36</f>
        <v>68</v>
      </c>
      <c r="AB28" t="str">
        <f>OtherCoefficients!C36</f>
        <v>bi-carsltd</v>
      </c>
      <c r="AC28" s="56">
        <f>OtherCoefficients!E36</f>
        <v>0.94868881682799999</v>
      </c>
      <c r="AD28" s="57">
        <f si="0" t="shared"/>
        <v>0.94868881682799999</v>
      </c>
      <c r="AE28">
        <f si="1" t="shared"/>
        <v>0</v>
      </c>
    </row>
    <row ht="15.75" r="29" spans="2:31" thickBot="1" x14ac:dyDescent="0.3">
      <c r="B29" s="37" t="s">
        <v>267</v>
      </c>
      <c r="H29" s="37" t="s">
        <v>268</v>
      </c>
      <c r="N29" s="23" t="s">
        <v>257</v>
      </c>
      <c r="T29" t="s">
        <v>270</v>
      </c>
      <c r="AA29">
        <f>OtherCoefficients!B37</f>
        <v>70</v>
      </c>
      <c r="AB29" t="str">
        <f>OtherCoefficients!C37</f>
        <v>wk-const</v>
      </c>
      <c r="AC29" s="56">
        <f>OtherCoefficients!E37</f>
        <v>0</v>
      </c>
      <c r="AD29" s="57">
        <f si="0" t="shared"/>
        <v>0</v>
      </c>
      <c r="AE29">
        <f si="1" t="shared"/>
        <v>0</v>
      </c>
    </row>
    <row r="30" spans="2:31" x14ac:dyDescent="0.25">
      <c r="B30" s="38" t="s">
        <v>0</v>
      </c>
      <c r="C30" s="39" t="s">
        <v>252</v>
      </c>
      <c r="D30" s="39" t="s">
        <v>247</v>
      </c>
      <c r="E30" s="39" t="str">
        <f>E17</f>
        <v>cars &lt; workers</v>
      </c>
      <c r="F30" s="39" t="s">
        <v>19</v>
      </c>
      <c r="H30" s="38" t="s">
        <v>0</v>
      </c>
      <c r="I30" s="39" t="s">
        <v>252</v>
      </c>
      <c r="J30" s="39" t="s">
        <v>247</v>
      </c>
      <c r="K30" s="39" t="s">
        <v>250</v>
      </c>
      <c r="L30" s="39" t="s">
        <v>19</v>
      </c>
      <c r="M30" s="36"/>
      <c r="N30" s="38" t="s">
        <v>0</v>
      </c>
      <c r="O30" s="39" t="s">
        <v>252</v>
      </c>
      <c r="P30" s="39" t="s">
        <v>247</v>
      </c>
      <c r="Q30" s="39" t="s">
        <v>250</v>
      </c>
      <c r="R30" s="39" t="s">
        <v>253</v>
      </c>
      <c r="T30" s="39" t="s">
        <v>59</v>
      </c>
      <c r="U30" s="39" t="s">
        <v>60</v>
      </c>
      <c r="V30" s="39" t="s">
        <v>213</v>
      </c>
      <c r="AA30">
        <f>OtherCoefficients!B38</f>
        <v>73</v>
      </c>
      <c r="AB30" t="str">
        <f>OtherCoefficients!C38</f>
        <v>wk-ageo50</v>
      </c>
      <c r="AC30" s="56">
        <f>OtherCoefficients!E38</f>
        <v>0</v>
      </c>
      <c r="AD30" s="57">
        <f si="0" t="shared"/>
        <v>0</v>
      </c>
      <c r="AE30">
        <f si="1" t="shared"/>
        <v>0</v>
      </c>
    </row>
    <row r="31" spans="2:31" x14ac:dyDescent="0.25">
      <c r="B31" s="9" t="s">
        <v>1</v>
      </c>
      <c r="C31" s="35">
        <f ref="C31:C39" si="6" t="shared">$C18/C$27</f>
        <v>0</v>
      </c>
      <c r="D31" s="35">
        <f ref="D31:D39" si="7" t="shared">$D18/D$27</f>
        <v>0.2930396986320718</v>
      </c>
      <c r="E31" s="35">
        <f ref="E31:E40" si="8" t="shared">$E18/E$27</f>
        <v>0.2786840901720517</v>
      </c>
      <c r="F31" s="35">
        <f ref="F31:F40" si="9" t="shared">$F18/F$27</f>
        <v>0.39664037322685503</v>
      </c>
      <c r="H31" s="9" t="s">
        <v>1</v>
      </c>
      <c r="I31" s="26">
        <f ref="I31:I39" si="10" t="shared">$I18/I$27</f>
        <v>0</v>
      </c>
      <c r="J31" s="26">
        <f ref="J31:J39" si="11" t="shared">$J18/J$27</f>
        <v>0.27489118256029493</v>
      </c>
      <c r="K31" s="26">
        <f ref="K31:K39" si="12" t="shared">$K18/K$27</f>
        <v>0.3207632677400119</v>
      </c>
      <c r="L31" s="26">
        <f ref="L31:L40" si="13" t="shared">$L18/L$27</f>
        <v>0.40969596011507087</v>
      </c>
      <c r="M31" s="26"/>
      <c r="N31" s="9" t="s">
        <v>1</v>
      </c>
      <c r="O31" s="40" t="str">
        <f ref="O31:R38" si="14" t="shared">IF(O18="","-",C31/I31)</f>
        <v>-</v>
      </c>
      <c r="P31" s="40">
        <f si="14" t="shared"/>
        <v>1.0660207282850775</v>
      </c>
      <c r="Q31" s="40" t="str">
        <f si="14" t="shared"/>
        <v>-</v>
      </c>
      <c r="R31" s="40">
        <f si="14" t="shared"/>
        <v>0.96813347418766604</v>
      </c>
      <c r="T31">
        <v>20</v>
      </c>
      <c r="U31" t="str">
        <f ref="U31:U50" si="15" t="shared">VLOOKUP(T31,$AA$3:$AB$48,2,FALSE)</f>
        <v>wt-const</v>
      </c>
      <c r="V31" s="30">
        <f>R86</f>
        <v>-1.3662142199726595</v>
      </c>
      <c r="AA31">
        <f>OtherCoefficients!B39</f>
        <v>77</v>
      </c>
      <c r="AB31" t="str">
        <f>OtherCoefficients!C39</f>
        <v>wk-nocars</v>
      </c>
      <c r="AC31" s="56">
        <f>OtherCoefficients!E39</f>
        <v>-0.24961658919599999</v>
      </c>
      <c r="AD31" s="57">
        <f si="0" t="shared"/>
        <v>-0.24961658919599999</v>
      </c>
      <c r="AE31">
        <f si="1" t="shared"/>
        <v>0</v>
      </c>
    </row>
    <row r="32" spans="2:31" x14ac:dyDescent="0.25">
      <c r="B32" s="9" t="s">
        <v>2</v>
      </c>
      <c r="C32" s="35">
        <f si="6" t="shared"/>
        <v>0.34197632094252745</v>
      </c>
      <c r="D32" s="35">
        <f si="7" t="shared"/>
        <v>0.45938087663835453</v>
      </c>
      <c r="E32" s="35">
        <f si="8" t="shared"/>
        <v>0.543937043649521</v>
      </c>
      <c r="F32" s="35">
        <f si="9" t="shared"/>
        <v>0.33126732492334993</v>
      </c>
      <c r="H32" s="9" t="s">
        <v>2</v>
      </c>
      <c r="I32" s="26">
        <f si="10" t="shared"/>
        <v>0.43563011783503097</v>
      </c>
      <c r="J32" s="26">
        <f si="11" t="shared"/>
        <v>0.39420569723193216</v>
      </c>
      <c r="K32" s="26">
        <f si="12" t="shared"/>
        <v>0.486463923673226</v>
      </c>
      <c r="L32" s="26">
        <f si="13" t="shared"/>
        <v>0.33026280813057118</v>
      </c>
      <c r="M32" s="26"/>
      <c r="N32" s="9" t="s">
        <v>2</v>
      </c>
      <c r="O32" s="62">
        <f>IF(O19="","-",(C32+C33)/(I32+I33))</f>
        <v>0.85356847059559093</v>
      </c>
      <c r="P32" s="41" t="str">
        <f>IF(P19="","-",(D32+D33)/(J32+J33))</f>
        <v>-</v>
      </c>
      <c r="Q32" s="62">
        <f>IF(Q19="","-",(E32+E33)/(K32+K33))</f>
        <v>1.0201198560917124</v>
      </c>
      <c r="R32" s="41">
        <f si="14" t="shared"/>
        <v>1.003041568012047</v>
      </c>
      <c r="T32">
        <v>21</v>
      </c>
      <c r="U32" t="str">
        <f si="15" t="shared"/>
        <v>wt-nocars</v>
      </c>
      <c r="V32" s="30">
        <f>O86</f>
        <v>2.415026607882</v>
      </c>
      <c r="AA32">
        <f>OtherCoefficients!B40</f>
        <v>78</v>
      </c>
      <c r="AB32" t="str">
        <f>OtherCoefficients!C40</f>
        <v>wk-carsltd</v>
      </c>
      <c r="AC32" s="56">
        <f>OtherCoefficients!E40</f>
        <v>0.59308965410400005</v>
      </c>
      <c r="AD32" s="57">
        <f si="0" t="shared"/>
        <v>0.59308965410400005</v>
      </c>
      <c r="AE32">
        <f si="1" t="shared"/>
        <v>0</v>
      </c>
    </row>
    <row r="33" spans="2:31" x14ac:dyDescent="0.25">
      <c r="B33" s="9" t="s">
        <v>3</v>
      </c>
      <c r="C33" s="35">
        <f si="6" t="shared"/>
        <v>0.14878719276839472</v>
      </c>
      <c r="D33" s="35">
        <f si="7" t="shared"/>
        <v>0.16926200551331885</v>
      </c>
      <c r="E33" s="35">
        <f si="8" t="shared"/>
        <v>7.3706902135381225E-2</v>
      </c>
      <c r="F33" s="35">
        <f si="9" t="shared"/>
        <v>0.20139755058702474</v>
      </c>
      <c r="H33" s="9" t="s">
        <v>3</v>
      </c>
      <c r="I33" s="26">
        <f si="10" t="shared"/>
        <v>0.13932494507689236</v>
      </c>
      <c r="J33" s="26">
        <f si="11" t="shared"/>
        <v>0.26919085262271975</v>
      </c>
      <c r="K33" s="26">
        <f si="12" t="shared"/>
        <v>0.11899821109123435</v>
      </c>
      <c r="L33" s="26">
        <f si="13" t="shared"/>
        <v>0.20141652932593762</v>
      </c>
      <c r="M33" s="26"/>
      <c r="N33" s="9" t="s">
        <v>3</v>
      </c>
      <c r="O33" s="41">
        <f si="14" t="shared"/>
        <v>1.0679149572697137</v>
      </c>
      <c r="P33" s="41" t="str">
        <f si="14" t="shared"/>
        <v>-</v>
      </c>
      <c r="Q33" s="41">
        <f si="14" t="shared"/>
        <v>0.61939504350087349</v>
      </c>
      <c r="R33" s="41">
        <f si="14" t="shared"/>
        <v>0.99990577367718336</v>
      </c>
      <c r="T33">
        <v>22</v>
      </c>
      <c r="U33" t="str">
        <f si="15" t="shared"/>
        <v>wt-carsltd</v>
      </c>
      <c r="V33" s="30">
        <f>P86</f>
        <v>-0.56094675603999999</v>
      </c>
      <c r="AA33">
        <f>OtherCoefficients!B41</f>
        <v>80</v>
      </c>
      <c r="AB33" t="str">
        <f>OtherCoefficients!C41</f>
        <v>tnc-const</v>
      </c>
      <c r="AC33" s="56">
        <f>OtherCoefficients!E41</f>
        <v>-1.984380352007</v>
      </c>
      <c r="AD33" s="57">
        <f si="0" t="shared"/>
        <v>-2.2124587080018729</v>
      </c>
      <c r="AE33">
        <f si="1" t="shared"/>
        <v>1</v>
      </c>
    </row>
    <row r="34" spans="2:31" x14ac:dyDescent="0.25">
      <c r="B34" s="9" t="s">
        <v>4</v>
      </c>
      <c r="C34" s="35">
        <f si="6" t="shared"/>
        <v>0</v>
      </c>
      <c r="D34" s="35">
        <f si="7" t="shared"/>
        <v>0</v>
      </c>
      <c r="E34" s="35">
        <f si="8" t="shared"/>
        <v>0</v>
      </c>
      <c r="F34" s="35">
        <f si="9" t="shared"/>
        <v>0</v>
      </c>
      <c r="H34" s="9" t="s">
        <v>4</v>
      </c>
      <c r="I34" s="26">
        <f si="10" t="shared"/>
        <v>0</v>
      </c>
      <c r="J34" s="26">
        <f si="11" t="shared"/>
        <v>0</v>
      </c>
      <c r="K34" s="26">
        <f si="12" t="shared"/>
        <v>0</v>
      </c>
      <c r="L34" s="26">
        <f si="13" t="shared"/>
        <v>0</v>
      </c>
      <c r="M34" s="26"/>
      <c r="N34" s="9" t="s">
        <v>4</v>
      </c>
      <c r="O34" s="41" t="str">
        <f si="14" t="shared"/>
        <v>-</v>
      </c>
      <c r="P34" s="41" t="str">
        <f si="14" t="shared"/>
        <v>-</v>
      </c>
      <c r="Q34" s="41" t="str">
        <f si="14" t="shared"/>
        <v>-</v>
      </c>
      <c r="R34" s="41" t="str">
        <f si="14" t="shared"/>
        <v>-</v>
      </c>
      <c r="T34">
        <v>30</v>
      </c>
      <c r="U34" t="str">
        <f si="15" t="shared"/>
        <v>s3-const</v>
      </c>
      <c r="V34" s="30">
        <f>R84</f>
        <v>-0.4510491244072683</v>
      </c>
      <c r="AA34">
        <f>OtherCoefficients!B42</f>
        <v>81</v>
      </c>
      <c r="AB34" t="str">
        <f>OtherCoefficients!C42</f>
        <v>tnc-nocars</v>
      </c>
      <c r="AC34" s="56">
        <f>OtherCoefficients!E42</f>
        <v>1.8494684936950001</v>
      </c>
      <c r="AD34" s="57">
        <f si="0" t="shared"/>
        <v>1.8494684936950001</v>
      </c>
      <c r="AE34">
        <f si="1" t="shared"/>
        <v>0</v>
      </c>
    </row>
    <row r="35" spans="2:31" x14ac:dyDescent="0.25">
      <c r="B35" s="9" t="s">
        <v>5</v>
      </c>
      <c r="C35" s="35">
        <f si="6" t="shared"/>
        <v>0.27872329215798752</v>
      </c>
      <c r="D35" s="35">
        <f si="7" t="shared"/>
        <v>3.7248720320648275E-3</v>
      </c>
      <c r="E35" s="35">
        <f si="8" t="shared"/>
        <v>3.8405087194343861E-3</v>
      </c>
      <c r="F35" s="35">
        <f si="9" t="shared"/>
        <v>1.1261608564843888E-2</v>
      </c>
      <c r="H35" s="9" t="s">
        <v>5</v>
      </c>
      <c r="I35" s="26">
        <f si="10" t="shared"/>
        <v>0.22951867385660077</v>
      </c>
      <c r="J35" s="26">
        <f si="11" t="shared"/>
        <v>3.3148657789160078E-3</v>
      </c>
      <c r="K35" s="26">
        <f si="12" t="shared"/>
        <v>3.840190816935003E-3</v>
      </c>
      <c r="L35" s="26">
        <f si="13" t="shared"/>
        <v>9.1076101531718332E-3</v>
      </c>
      <c r="M35" s="26"/>
      <c r="N35" s="9" t="s">
        <v>5</v>
      </c>
      <c r="O35" s="41">
        <f si="14" t="shared"/>
        <v>1.214381764562342</v>
      </c>
      <c r="P35" s="41">
        <f si="14" t="shared"/>
        <v>1.1236871356169646</v>
      </c>
      <c r="Q35" s="41" t="str">
        <f si="14" t="shared"/>
        <v>-</v>
      </c>
      <c r="R35" s="41">
        <f>IF(R22="","-",F35/L35)</f>
        <v>1.2365053373438364</v>
      </c>
      <c r="T35">
        <v>36</v>
      </c>
      <c r="U35" t="str">
        <f si="15" t="shared"/>
        <v>s3-nocars</v>
      </c>
      <c r="V35" s="30">
        <f>O84</f>
        <v>1.168777037104</v>
      </c>
      <c r="AA35">
        <f>OtherCoefficients!B43</f>
        <v>82</v>
      </c>
      <c r="AB35" t="str">
        <f>OtherCoefficients!C43</f>
        <v>tnc-carltd</v>
      </c>
      <c r="AC35" s="56">
        <f>OtherCoefficients!E43</f>
        <v>1.383044619326</v>
      </c>
      <c r="AD35" s="57">
        <f si="0" t="shared"/>
        <v>1.383044619326</v>
      </c>
      <c r="AE35">
        <f si="1" t="shared"/>
        <v>0</v>
      </c>
    </row>
    <row r="36" spans="2:31" x14ac:dyDescent="0.25">
      <c r="B36" s="9" t="s">
        <v>6</v>
      </c>
      <c r="C36" s="81">
        <f si="6" t="shared"/>
        <v>1.3867383644187284E-2</v>
      </c>
      <c r="D36" s="81">
        <f si="7" t="shared"/>
        <v>7.504973467323311E-3</v>
      </c>
      <c r="E36" s="81">
        <f si="8" t="shared"/>
        <v>0</v>
      </c>
      <c r="F36" s="81">
        <f si="9" t="shared"/>
        <v>6.6085259975461339E-3</v>
      </c>
      <c r="H36" s="9" t="s">
        <v>6</v>
      </c>
      <c r="I36" s="13">
        <f si="10" t="shared"/>
        <v>2.1849410824845216E-2</v>
      </c>
      <c r="J36" s="13">
        <f si="11" t="shared"/>
        <v>9.7277369586880984E-3</v>
      </c>
      <c r="K36" s="13">
        <f si="12" t="shared"/>
        <v>1.3595706618962432E-2</v>
      </c>
      <c r="L36" s="13">
        <f si="13" t="shared"/>
        <v>7.465428532610301E-3</v>
      </c>
      <c r="M36" s="26"/>
      <c r="N36" s="9" t="s">
        <v>6</v>
      </c>
      <c r="O36" s="41">
        <f si="14" t="shared"/>
        <v>0.63467998086330646</v>
      </c>
      <c r="P36" s="41">
        <f si="14" t="shared"/>
        <v>0.77150250867139469</v>
      </c>
      <c r="Q36" s="41" t="str">
        <f si="14" t="shared"/>
        <v>-</v>
      </c>
      <c r="R36" s="41">
        <f>IF(R23="","-",F36/L36)</f>
        <v>0.88521723417201481</v>
      </c>
      <c r="T36">
        <v>37</v>
      </c>
      <c r="U36" t="str">
        <f si="15" t="shared"/>
        <v>s3-carsltw</v>
      </c>
      <c r="V36" s="30">
        <f>Q84</f>
        <v>0.22373830168700001</v>
      </c>
      <c r="AA36">
        <f>OtherCoefficients!B44</f>
        <v>83</v>
      </c>
      <c r="AB36" t="str">
        <f>OtherCoefficients!C44</f>
        <v>tnc-a65up</v>
      </c>
      <c r="AC36" s="56">
        <f>OtherCoefficients!E44</f>
        <v>-1.38033161232</v>
      </c>
      <c r="AD36" s="57">
        <f si="0" t="shared"/>
        <v>-1.38033161232</v>
      </c>
      <c r="AE36">
        <f si="1" t="shared"/>
        <v>0</v>
      </c>
    </row>
    <row r="37" spans="2:31" x14ac:dyDescent="0.25">
      <c r="B37" s="9" t="s">
        <v>7</v>
      </c>
      <c r="C37" s="35">
        <f si="6" t="shared"/>
        <v>0.21664581048690312</v>
      </c>
      <c r="D37" s="35">
        <f si="7" t="shared"/>
        <v>6.7087573716866647E-2</v>
      </c>
      <c r="E37" s="35">
        <f si="8" t="shared"/>
        <v>9.9831455323611692E-2</v>
      </c>
      <c r="F37" s="35">
        <f si="9" t="shared"/>
        <v>5.2824616700380189E-2</v>
      </c>
      <c r="H37" s="9" t="s">
        <v>7</v>
      </c>
      <c r="I37" s="26">
        <f si="10" t="shared"/>
        <v>0.17367685240663072</v>
      </c>
      <c r="J37" s="26">
        <f si="11" t="shared"/>
        <v>4.866966484744905E-2</v>
      </c>
      <c r="K37" s="26">
        <f si="12" t="shared"/>
        <v>5.6338700059630292E-2</v>
      </c>
      <c r="L37" s="26">
        <f si="13" t="shared"/>
        <v>4.2051663742638239E-2</v>
      </c>
      <c r="M37" s="26"/>
      <c r="N37" s="9" t="s">
        <v>7</v>
      </c>
      <c r="O37" s="41">
        <f si="14" t="shared"/>
        <v>1.2474075127736015</v>
      </c>
      <c r="P37" s="41">
        <f si="14" t="shared"/>
        <v>1.3784268687106636</v>
      </c>
      <c r="Q37" s="41" t="str">
        <f si="14" t="shared"/>
        <v>-</v>
      </c>
      <c r="R37" s="41">
        <f>IF(R24="","-",F37/L37)</f>
        <v>1.2561837511037339</v>
      </c>
      <c r="T37">
        <v>40</v>
      </c>
      <c r="U37" t="str">
        <f si="15" t="shared"/>
        <v>s2-const</v>
      </c>
      <c r="V37" s="30">
        <f>R83</f>
        <v>-0.50345138522183597</v>
      </c>
      <c r="AA37">
        <f>OtherCoefficients!B45</f>
        <v>84</v>
      </c>
      <c r="AB37" t="str">
        <f>OtherCoefficients!C45</f>
        <v>tnc-odens</v>
      </c>
      <c r="AC37" s="56">
        <f>OtherCoefficients!E45</f>
        <v>2.4348588999999999E-5</v>
      </c>
      <c r="AD37" s="57">
        <f si="0" t="shared"/>
        <v>2.4348588999999999E-5</v>
      </c>
      <c r="AE37">
        <f si="1" t="shared"/>
        <v>0</v>
      </c>
    </row>
    <row r="38" spans="2:31" x14ac:dyDescent="0.25">
      <c r="B38" s="84" t="s">
        <v>8</v>
      </c>
      <c r="C38" s="35">
        <f si="6" t="shared"/>
        <v>0</v>
      </c>
      <c r="D38" s="35">
        <f si="7" t="shared"/>
        <v>0</v>
      </c>
      <c r="E38" s="35">
        <f si="8" t="shared"/>
        <v>0</v>
      </c>
      <c r="F38" s="35">
        <f si="9" t="shared"/>
        <v>0</v>
      </c>
      <c r="H38" s="84" t="s">
        <v>8</v>
      </c>
      <c r="I38" s="26">
        <f si="10" t="shared"/>
        <v>0</v>
      </c>
      <c r="J38" s="26">
        <f si="11" t="shared"/>
        <v>0</v>
      </c>
      <c r="K38" s="26">
        <f si="12" t="shared"/>
        <v>0</v>
      </c>
      <c r="L38" s="26">
        <f si="13" t="shared"/>
        <v>0</v>
      </c>
      <c r="M38" s="26"/>
      <c r="N38" s="84" t="s">
        <v>8</v>
      </c>
      <c r="O38" s="110" t="str">
        <f si="14" t="shared"/>
        <v>-</v>
      </c>
      <c r="P38" s="110" t="str">
        <f si="14" t="shared"/>
        <v>-</v>
      </c>
      <c r="Q38" s="110" t="str">
        <f si="14" t="shared"/>
        <v>-</v>
      </c>
      <c r="R38" s="110" t="str">
        <f si="14" t="shared"/>
        <v>-</v>
      </c>
      <c r="T38">
        <v>41</v>
      </c>
      <c r="U38" t="str">
        <f si="15" t="shared"/>
        <v>sr-nocars</v>
      </c>
      <c r="V38" s="30">
        <f>O83</f>
        <v>-2.3816710703599999</v>
      </c>
      <c r="AA38">
        <f>OtherCoefficients!B46</f>
        <v>85</v>
      </c>
      <c r="AB38" t="str">
        <f>OtherCoefficients!C46</f>
        <v>tnc-ddens</v>
      </c>
      <c r="AC38" s="56">
        <f>OtherCoefficients!E46</f>
        <v>0</v>
      </c>
      <c r="AD38" s="57">
        <f si="0" t="shared"/>
        <v>0</v>
      </c>
      <c r="AE38">
        <f si="1" t="shared"/>
        <v>0</v>
      </c>
    </row>
    <row r="39" spans="2:31" x14ac:dyDescent="0.25">
      <c r="B39" s="105" t="s">
        <v>302</v>
      </c>
      <c r="C39" s="35">
        <f si="6" t="shared"/>
        <v>0</v>
      </c>
      <c r="D39" s="35">
        <f si="7" t="shared"/>
        <v>0</v>
      </c>
      <c r="E39" s="35">
        <f si="8" t="shared"/>
        <v>0</v>
      </c>
      <c r="F39" s="35">
        <f si="9" t="shared"/>
        <v>0</v>
      </c>
      <c r="H39" s="105" t="s">
        <v>302</v>
      </c>
      <c r="I39" s="26">
        <f si="10" t="shared"/>
        <v>0</v>
      </c>
      <c r="J39" s="26">
        <f si="11" t="shared"/>
        <v>0</v>
      </c>
      <c r="K39" s="26">
        <f si="12" t="shared"/>
        <v>0</v>
      </c>
      <c r="L39" s="26">
        <f si="13" t="shared"/>
        <v>0</v>
      </c>
      <c r="N39" s="109" t="s">
        <v>302</v>
      </c>
      <c r="O39" s="42">
        <f>IFERROR(IF(O26="","-",C39/I39),1)</f>
        <v>1</v>
      </c>
      <c r="P39" s="42">
        <f ref="P39:R39" si="16" t="shared">IFERROR(IF(P26="","-",D39/J39),1)</f>
        <v>1</v>
      </c>
      <c r="Q39" s="42" t="str">
        <f si="16" t="shared"/>
        <v>-</v>
      </c>
      <c r="R39" s="42">
        <f si="16" t="shared"/>
        <v>1</v>
      </c>
      <c r="T39">
        <v>43</v>
      </c>
      <c r="U39" t="str">
        <f si="15" t="shared"/>
        <v>sr-carsltw</v>
      </c>
      <c r="V39" s="30">
        <f>Q83</f>
        <v>-0.47968377671599999</v>
      </c>
      <c r="AA39">
        <f>OtherCoefficients!B47</f>
        <v>86</v>
      </c>
      <c r="AB39" t="str">
        <f>OtherCoefficients!C47</f>
        <v>tnc-incu25</v>
      </c>
      <c r="AC39" s="56">
        <f>OtherCoefficients!E47</f>
        <v>0.68935778246199997</v>
      </c>
      <c r="AD39" s="57">
        <f si="0" t="shared"/>
        <v>0.68935778246199997</v>
      </c>
      <c r="AE39">
        <f si="1" t="shared"/>
        <v>0</v>
      </c>
    </row>
    <row ht="15.75" r="40" spans="2:31" thickBot="1" x14ac:dyDescent="0.3">
      <c r="B40" s="43" t="s">
        <v>19</v>
      </c>
      <c r="C40" s="44">
        <f>SUM(C31:C38)</f>
        <v>1</v>
      </c>
      <c r="D40" s="44">
        <f>SUM(D31:D38)</f>
        <v>0.99999999999999989</v>
      </c>
      <c r="E40" s="44">
        <f si="8" t="shared"/>
        <v>1</v>
      </c>
      <c r="F40" s="44">
        <f si="9" t="shared"/>
        <v>1</v>
      </c>
      <c r="H40" s="43" t="s">
        <v>19</v>
      </c>
      <c r="I40" s="45">
        <f>SUM(I31:I38)</f>
        <v>1</v>
      </c>
      <c r="J40" s="45">
        <f>SUM(J31:J38)</f>
        <v>1</v>
      </c>
      <c r="K40" s="45">
        <f>SUM(K31:K38)</f>
        <v>0.99999999999999989</v>
      </c>
      <c r="L40" s="45">
        <f si="13" t="shared"/>
        <v>1</v>
      </c>
      <c r="M40" s="26"/>
      <c r="N40" s="9" t="s">
        <v>272</v>
      </c>
      <c r="T40">
        <v>50</v>
      </c>
      <c r="U40" t="str">
        <f si="15" t="shared"/>
        <v>da-const</v>
      </c>
      <c r="V40" s="30">
        <f>R82</f>
        <v>1.0224421678645959</v>
      </c>
      <c r="AA40">
        <f>OtherCoefficients!B48</f>
        <v>87</v>
      </c>
      <c r="AB40" t="str">
        <f>OtherCoefficients!C48</f>
        <v>tnc-inc100</v>
      </c>
      <c r="AC40" s="56">
        <f>OtherCoefficients!E48</f>
        <v>-0.49009009247099999</v>
      </c>
      <c r="AD40" s="57">
        <f si="0" t="shared"/>
        <v>-0.49009009247099999</v>
      </c>
      <c r="AE40">
        <f si="1" t="shared"/>
        <v>0</v>
      </c>
    </row>
    <row r="41" spans="2:31" x14ac:dyDescent="0.25">
      <c r="T41">
        <v>52</v>
      </c>
      <c r="U41" t="str">
        <f si="15" t="shared"/>
        <v>da-carsltd</v>
      </c>
      <c r="V41" s="30">
        <f>P82</f>
        <v>-0.325253955835</v>
      </c>
      <c r="AA41">
        <f>OtherCoefficients!B49</f>
        <v>88</v>
      </c>
      <c r="AB41" t="str">
        <f>OtherCoefficients!C49</f>
        <v>tnc-mealtr</v>
      </c>
      <c r="AC41" s="56">
        <f>OtherCoefficients!E49</f>
        <v>0</v>
      </c>
      <c r="AD41" s="57">
        <f si="0" t="shared"/>
        <v>0</v>
      </c>
      <c r="AE41">
        <f si="1" t="shared"/>
        <v>0</v>
      </c>
    </row>
    <row ht="15.75" r="42" spans="2:31" thickBot="1" x14ac:dyDescent="0.3">
      <c r="N42" s="23" t="s">
        <v>269</v>
      </c>
      <c r="T42">
        <v>60</v>
      </c>
      <c r="U42" t="str">
        <f si="15" t="shared"/>
        <v>bi-const</v>
      </c>
      <c r="V42" s="30">
        <f>R87</f>
        <v>-2.8825243094857722</v>
      </c>
      <c r="AA42">
        <f>OtherCoefficients!B50</f>
        <v>89</v>
      </c>
      <c r="AB42" t="str">
        <f>OtherCoefficients!C50</f>
        <v>tnc-shoptr</v>
      </c>
      <c r="AC42" s="56">
        <f>OtherCoefficients!E50</f>
        <v>-1.1484592997900001</v>
      </c>
      <c r="AD42" s="57">
        <f si="0" t="shared"/>
        <v>-1.1484592997900001</v>
      </c>
      <c r="AE42">
        <f si="1" t="shared"/>
        <v>0</v>
      </c>
    </row>
    <row r="43" spans="2:31" x14ac:dyDescent="0.25">
      <c r="N43" s="38" t="s">
        <v>0</v>
      </c>
      <c r="O43" s="39" t="s">
        <v>252</v>
      </c>
      <c r="P43" s="39" t="s">
        <v>247</v>
      </c>
      <c r="Q43" s="39" t="s">
        <v>250</v>
      </c>
      <c r="R43" s="39" t="s">
        <v>253</v>
      </c>
      <c r="T43">
        <v>67</v>
      </c>
      <c r="U43" t="str">
        <f si="15" t="shared"/>
        <v>bi-nocars</v>
      </c>
      <c r="V43" s="30">
        <f>O87</f>
        <v>0.23777452654699999</v>
      </c>
      <c r="AA43">
        <f>OtherCoefficients!B51</f>
        <v>91</v>
      </c>
      <c r="AB43" t="str">
        <f>OtherCoefficients!C51</f>
        <v>tnc-escotr</v>
      </c>
      <c r="AC43" s="56">
        <f>OtherCoefficients!E51</f>
        <v>0</v>
      </c>
      <c r="AD43" s="57">
        <f si="0" t="shared"/>
        <v>0</v>
      </c>
      <c r="AE43">
        <f si="1" t="shared"/>
        <v>0</v>
      </c>
    </row>
    <row r="44" spans="2:31" x14ac:dyDescent="0.25">
      <c r="N44" s="9" t="s">
        <v>1</v>
      </c>
      <c r="O44" s="51" t="str">
        <f ref="O44:R52" si="17" t="shared">IF(O18="","-",IF(O31&gt;0,LN(O31),0))</f>
        <v>-</v>
      </c>
      <c r="P44" s="51">
        <f si="17" t="shared"/>
        <v>6.39327704749382E-2</v>
      </c>
      <c r="Q44" s="51" t="str">
        <f si="17" t="shared"/>
        <v>-</v>
      </c>
      <c r="R44" s="51">
        <f si="17" t="shared"/>
        <v>-3.2385314653531387E-2</v>
      </c>
      <c r="T44">
        <v>68</v>
      </c>
      <c r="U44" t="str">
        <f si="15" t="shared"/>
        <v>bi-carsltd</v>
      </c>
      <c r="V44" s="30">
        <f>P87</f>
        <v>0.94868881682799999</v>
      </c>
      <c r="AA44">
        <f>OtherCoefficients!B52</f>
        <v>120</v>
      </c>
      <c r="AB44" t="str">
        <f>OtherCoefficients!C52</f>
        <v>tr-shop</v>
      </c>
      <c r="AC44" s="56">
        <f>OtherCoefficients!E52</f>
        <v>-0.90694493738000004</v>
      </c>
      <c r="AD44" s="57">
        <f si="0" t="shared"/>
        <v>-0.90694493738000004</v>
      </c>
      <c r="AE44">
        <f si="1" t="shared"/>
        <v>0</v>
      </c>
    </row>
    <row r="45" spans="2:31" x14ac:dyDescent="0.25">
      <c r="B45" s="23"/>
      <c r="N45" s="9" t="s">
        <v>2</v>
      </c>
      <c r="O45" s="52">
        <f si="17" t="shared"/>
        <v>-0.15832951665476666</v>
      </c>
      <c r="P45" s="52" t="str">
        <f si="17" t="shared"/>
        <v>-</v>
      </c>
      <c r="Q45" s="52">
        <f si="17" t="shared"/>
        <v>1.9920126365160801E-2</v>
      </c>
      <c r="R45" s="52">
        <f si="17" t="shared"/>
        <v>3.0369518020368705E-3</v>
      </c>
      <c r="T45">
        <v>70</v>
      </c>
      <c r="U45" t="str">
        <f si="15" t="shared"/>
        <v>wk-const</v>
      </c>
      <c r="V45" s="30">
        <f>R88</f>
        <v>0</v>
      </c>
      <c r="AA45">
        <f>OtherCoefficients!B53</f>
        <v>124</v>
      </c>
      <c r="AB45" t="str">
        <f>OtherCoefficients!C53</f>
        <v>tr-omixed</v>
      </c>
      <c r="AC45" s="56">
        <f>OtherCoefficients!E53</f>
        <v>0</v>
      </c>
      <c r="AD45" s="57">
        <f si="0" t="shared"/>
        <v>0</v>
      </c>
      <c r="AE45">
        <f si="1" t="shared"/>
        <v>0</v>
      </c>
    </row>
    <row r="46" spans="2:31" x14ac:dyDescent="0.25">
      <c r="C46" s="11"/>
      <c r="D46" s="11"/>
      <c r="E46" s="11"/>
      <c r="N46" s="9" t="s">
        <v>3</v>
      </c>
      <c r="O46" s="52">
        <f si="17" t="shared"/>
        <v>6.5708109342911047E-2</v>
      </c>
      <c r="P46" s="52" t="str">
        <f si="17" t="shared"/>
        <v>-</v>
      </c>
      <c r="Q46" s="52">
        <f si="17" t="shared"/>
        <v>-0.47901201357244666</v>
      </c>
      <c r="R46" s="52">
        <f si="17" t="shared"/>
        <v>-9.4230762395478763E-5</v>
      </c>
      <c r="T46">
        <v>77</v>
      </c>
      <c r="U46" t="str">
        <f si="15" t="shared"/>
        <v>wk-nocars</v>
      </c>
      <c r="V46" s="30">
        <f>O88</f>
        <v>-0.24961658919599999</v>
      </c>
      <c r="AA46">
        <f>OtherCoefficients!B54</f>
        <v>128</v>
      </c>
      <c r="AB46" t="str">
        <f>OtherCoefficients!C54</f>
        <v>tr-dempdn</v>
      </c>
      <c r="AC46" s="56">
        <f>OtherCoefficients!E54</f>
        <v>4.3355515000000003E-5</v>
      </c>
      <c r="AD46" s="57">
        <f si="0" t="shared"/>
        <v>4.3355515000000003E-5</v>
      </c>
      <c r="AE46">
        <f si="1" t="shared"/>
        <v>0</v>
      </c>
    </row>
    <row r="47" spans="2:31" x14ac:dyDescent="0.25">
      <c r="B47" s="9"/>
      <c r="C47" s="11"/>
      <c r="D47" s="11"/>
      <c r="E47" s="11"/>
      <c r="N47" s="9" t="s">
        <v>4</v>
      </c>
      <c r="O47" s="52" t="str">
        <f si="17" t="shared"/>
        <v>-</v>
      </c>
      <c r="P47" s="52" t="str">
        <f si="17" t="shared"/>
        <v>-</v>
      </c>
      <c r="Q47" s="52" t="str">
        <f si="17" t="shared"/>
        <v>-</v>
      </c>
      <c r="R47" s="52" t="str">
        <f si="17" t="shared"/>
        <v>-</v>
      </c>
      <c r="T47" s="95">
        <v>78</v>
      </c>
      <c r="U47" s="95" t="str">
        <f si="15" t="shared"/>
        <v>wk-carsltd</v>
      </c>
      <c r="V47" s="113">
        <f>P88</f>
        <v>0.59308965410400005</v>
      </c>
      <c r="AA47">
        <f>OtherCoefficients!B55</f>
        <v>131</v>
      </c>
      <c r="AB47" t="str">
        <f>OtherCoefficients!C55</f>
        <v>da-escsptr</v>
      </c>
      <c r="AC47" s="56">
        <f>OtherCoefficients!E55</f>
        <v>-0.45206714037000001</v>
      </c>
      <c r="AD47" s="57">
        <f si="0" t="shared"/>
        <v>-0.45206714037000001</v>
      </c>
      <c r="AE47">
        <f si="1" t="shared"/>
        <v>0</v>
      </c>
    </row>
    <row r="48" spans="2:31" x14ac:dyDescent="0.25">
      <c r="B48" s="9"/>
      <c r="C48" s="11"/>
      <c r="D48" s="11"/>
      <c r="E48" s="11"/>
      <c r="N48" s="9" t="s">
        <v>5</v>
      </c>
      <c r="O48" s="52">
        <f si="17" t="shared"/>
        <v>0.19423511154051049</v>
      </c>
      <c r="P48" s="52">
        <f si="17" t="shared"/>
        <v>0.11661536362997257</v>
      </c>
      <c r="Q48" s="52" t="str">
        <f si="17" t="shared"/>
        <v>-</v>
      </c>
      <c r="R48" s="52">
        <f si="17" t="shared"/>
        <v>0.21228912446321344</v>
      </c>
      <c r="T48" s="96">
        <v>80</v>
      </c>
      <c r="U48" s="96" t="str">
        <f si="15" t="shared"/>
        <v>tnc-const</v>
      </c>
      <c r="V48" s="113">
        <f>R90</f>
        <v>-2.2124587080018729</v>
      </c>
      <c r="AA48">
        <f>OtherCoefficients!B56</f>
        <v>132</v>
      </c>
      <c r="AB48" t="str">
        <f>OtherCoefficients!C56</f>
        <v>da-othsptr</v>
      </c>
      <c r="AC48" s="56">
        <f>OtherCoefficients!E56</f>
        <v>0.251375318869</v>
      </c>
      <c r="AD48" s="57">
        <f si="0" t="shared"/>
        <v>0.251375318869</v>
      </c>
      <c r="AE48">
        <f si="1" t="shared"/>
        <v>0</v>
      </c>
    </row>
    <row r="49" spans="2:31" x14ac:dyDescent="0.25">
      <c r="B49" s="9"/>
      <c r="C49" s="11"/>
      <c r="D49" s="11"/>
      <c r="E49" s="11"/>
      <c r="N49" s="9" t="s">
        <v>6</v>
      </c>
      <c r="O49" s="52">
        <f si="17" t="shared"/>
        <v>-0.45463437426796849</v>
      </c>
      <c r="P49" s="52">
        <f si="17" t="shared"/>
        <v>-0.2594153555038522</v>
      </c>
      <c r="Q49" s="52" t="str">
        <f si="17" t="shared"/>
        <v>-</v>
      </c>
      <c r="R49" s="52">
        <f si="17" t="shared"/>
        <v>-0.12192220175389941</v>
      </c>
      <c r="T49" s="96">
        <v>81</v>
      </c>
      <c r="U49" s="96" t="str">
        <f si="15" t="shared"/>
        <v>tnc-nocars</v>
      </c>
      <c r="V49" s="113">
        <f>O90</f>
        <v>1.8494684936950001</v>
      </c>
      <c r="AA49">
        <f>OtherCoefficients!B57</f>
        <v>133</v>
      </c>
      <c r="AB49" t="str">
        <f>OtherCoefficients!C57</f>
        <v>sr-escsptr</v>
      </c>
      <c r="AC49" s="56">
        <f>OtherCoefficients!E57</f>
        <v>-0.471491911248</v>
      </c>
      <c r="AD49" s="57">
        <f si="0" t="shared"/>
        <v>-0.471491911248</v>
      </c>
      <c r="AE49">
        <f si="1" t="shared"/>
        <v>0</v>
      </c>
    </row>
    <row r="50" spans="2:31" x14ac:dyDescent="0.25">
      <c r="B50" s="9"/>
      <c r="C50" s="11"/>
      <c r="D50" s="11"/>
      <c r="E50" s="11"/>
      <c r="N50" s="9" t="s">
        <v>7</v>
      </c>
      <c r="O50" s="52">
        <f si="17" t="shared"/>
        <v>0.22106740783794182</v>
      </c>
      <c r="P50" s="52">
        <f si="17" t="shared"/>
        <v>0.32094289872200316</v>
      </c>
      <c r="Q50" s="52" t="str">
        <f si="17" t="shared"/>
        <v>-</v>
      </c>
      <c r="R50" s="52">
        <f si="17" t="shared"/>
        <v>0.22807835599487283</v>
      </c>
      <c r="T50" s="114">
        <v>82</v>
      </c>
      <c r="U50" s="114" t="str">
        <f si="15" t="shared"/>
        <v>tnc-carltd</v>
      </c>
      <c r="V50" s="55">
        <f>P90</f>
        <v>1.383044619326</v>
      </c>
      <c r="AA50">
        <f>OtherCoefficients!B58</f>
        <v>134</v>
      </c>
      <c r="AB50" t="str">
        <f>OtherCoefficients!C58</f>
        <v>sr-othsptr</v>
      </c>
      <c r="AC50" s="56">
        <f>OtherCoefficients!E58</f>
        <v>0.28420889959500001</v>
      </c>
      <c r="AD50" s="57">
        <f si="0" t="shared"/>
        <v>0.28420889959500001</v>
      </c>
      <c r="AE50">
        <f si="1" t="shared"/>
        <v>0</v>
      </c>
    </row>
    <row r="51" spans="2:31" x14ac:dyDescent="0.25">
      <c r="B51" s="9"/>
      <c r="C51" s="11"/>
      <c r="D51" s="11"/>
      <c r="E51" s="11"/>
      <c r="N51" s="84" t="s">
        <v>8</v>
      </c>
      <c r="O51" s="111" t="str">
        <f si="17" t="shared"/>
        <v>-</v>
      </c>
      <c r="P51" s="111" t="str">
        <f si="17" t="shared"/>
        <v>-</v>
      </c>
      <c r="Q51" s="111" t="str">
        <f si="17" t="shared"/>
        <v>-</v>
      </c>
      <c r="R51" s="111" t="str">
        <f si="17" t="shared"/>
        <v>-</v>
      </c>
      <c r="AA51">
        <f>OtherCoefficients!B59</f>
        <v>136</v>
      </c>
      <c r="AB51" t="str">
        <f>OtherCoefficients!C59</f>
        <v>sr-shop</v>
      </c>
      <c r="AC51" s="56">
        <f>OtherCoefficients!E59</f>
        <v>0.415825116617</v>
      </c>
      <c r="AD51" s="57">
        <f si="0" t="shared"/>
        <v>0.415825116617</v>
      </c>
      <c r="AE51">
        <f si="1" t="shared"/>
        <v>0</v>
      </c>
    </row>
    <row r="52" spans="2:31" x14ac:dyDescent="0.25">
      <c r="B52" s="9"/>
      <c r="C52" s="11"/>
      <c r="D52" s="11"/>
      <c r="E52" s="11"/>
      <c r="N52" s="109" t="s">
        <v>302</v>
      </c>
      <c r="O52" s="53">
        <f si="17" t="shared"/>
        <v>0</v>
      </c>
      <c r="P52" s="53">
        <f si="17" t="shared"/>
        <v>0</v>
      </c>
      <c r="Q52" s="53" t="str">
        <f si="17" t="shared"/>
        <v>-</v>
      </c>
      <c r="R52" s="53">
        <f si="17" t="shared"/>
        <v>0</v>
      </c>
      <c r="AA52">
        <f>OtherCoefficients!B60</f>
        <v>137</v>
      </c>
      <c r="AB52" t="str">
        <f>OtherCoefficients!C60</f>
        <v>sr-meal</v>
      </c>
      <c r="AC52" s="56">
        <f>OtherCoefficients!E60</f>
        <v>1.28688871134</v>
      </c>
      <c r="AD52" s="57">
        <f si="0" t="shared"/>
        <v>1.28688871134</v>
      </c>
      <c r="AE52">
        <f si="1" t="shared"/>
        <v>0</v>
      </c>
    </row>
    <row r="53" spans="2:31" x14ac:dyDescent="0.25">
      <c r="B53" s="9"/>
      <c r="C53" s="11"/>
      <c r="D53" s="11"/>
      <c r="E53" s="11"/>
      <c r="AA53">
        <f>OtherCoefficients!B61</f>
        <v>138</v>
      </c>
      <c r="AB53" t="str">
        <f>OtherCoefficients!C61</f>
        <v>sr-socrec</v>
      </c>
      <c r="AC53" s="56">
        <f>OtherCoefficients!E61</f>
        <v>0.55771761959099997</v>
      </c>
      <c r="AD53" s="57">
        <f si="0" t="shared"/>
        <v>0.55771761959099997</v>
      </c>
      <c r="AE53">
        <f si="1" t="shared"/>
        <v>0</v>
      </c>
    </row>
    <row r="54" spans="2:31" x14ac:dyDescent="0.25">
      <c r="B54" s="9"/>
      <c r="P54" t="s">
        <v>259</v>
      </c>
      <c r="AA54">
        <f>OtherCoefficients!B62</f>
        <v>160</v>
      </c>
      <c r="AB54" t="str">
        <f>OtherCoefficients!C62</f>
        <v>bi-socrec</v>
      </c>
      <c r="AC54" s="56">
        <f>OtherCoefficients!E62</f>
        <v>0.71535162309599998</v>
      </c>
      <c r="AD54" s="57">
        <f si="0" t="shared"/>
        <v>0.71535162309599998</v>
      </c>
      <c r="AE54">
        <f si="1" t="shared"/>
        <v>0</v>
      </c>
    </row>
    <row ht="15.75" r="55" spans="2:31" thickBot="1" x14ac:dyDescent="0.3">
      <c r="B55" s="23"/>
      <c r="N55" s="23" t="s">
        <v>211</v>
      </c>
      <c r="O55" s="54">
        <v>0</v>
      </c>
      <c r="P55" s="54">
        <v>0</v>
      </c>
      <c r="Q55" s="54">
        <v>0</v>
      </c>
      <c r="R55" s="54">
        <v>1</v>
      </c>
      <c r="AA55">
        <f>OtherCoefficients!B63</f>
        <v>161</v>
      </c>
      <c r="AB55" t="str">
        <f>OtherCoefficients!C63</f>
        <v>bi-class1</v>
      </c>
      <c r="AC55" s="56">
        <f>OtherCoefficients!E63</f>
        <v>0.79256557696999996</v>
      </c>
      <c r="AD55" s="57">
        <f si="0" t="shared"/>
        <v>0.79256557696999996</v>
      </c>
      <c r="AE55">
        <f si="1" t="shared"/>
        <v>0</v>
      </c>
    </row>
    <row r="56" spans="2:31" x14ac:dyDescent="0.25">
      <c r="C56" s="11"/>
      <c r="D56" s="11"/>
      <c r="E56" s="11"/>
      <c r="N56" s="2" t="s">
        <v>0</v>
      </c>
      <c r="O56" s="64" t="str">
        <f>O43</f>
        <v>nocars</v>
      </c>
      <c r="P56" s="64" t="str">
        <f>P43</f>
        <v>cars &lt; adults</v>
      </c>
      <c r="Q56" s="64" t="str">
        <f>Q43</f>
        <v>cars &lt; workers</v>
      </c>
      <c r="R56" s="64" t="str">
        <f>R43</f>
        <v>constant</v>
      </c>
      <c r="AA56">
        <f>OtherCoefficients!B64</f>
        <v>162</v>
      </c>
      <c r="AB56" t="str">
        <f>OtherCoefficients!C64</f>
        <v>bi-class2</v>
      </c>
      <c r="AC56" s="56">
        <f>OtherCoefficients!E64</f>
        <v>0</v>
      </c>
      <c r="AD56" s="57">
        <f ref="AD56:AD61" si="18" t="shared">_xlfn.IFNA(VLOOKUP(AA56,$T$31:$V$50,3,FALSE),AC56)</f>
        <v>0</v>
      </c>
      <c r="AE56">
        <f si="1" t="shared"/>
        <v>0</v>
      </c>
    </row>
    <row r="57" spans="2:31" x14ac:dyDescent="0.25">
      <c r="B57" s="9"/>
      <c r="C57" s="11"/>
      <c r="D57" s="11"/>
      <c r="E57" s="11"/>
      <c r="N57" s="9" t="s">
        <v>1</v>
      </c>
      <c r="O57" s="47" t="str">
        <f>IF(O18="","-",IF($R18="",$O$55*O44,$O$55*(O44)))</f>
        <v>-</v>
      </c>
      <c r="P57" s="47">
        <f ref="P57:P65" si="19" t="shared">IF(P18="","-",IF($R18="",$P$55*P44,$P$55*(P44)))</f>
        <v>0</v>
      </c>
      <c r="Q57" s="47" t="str">
        <f>IF(Q18="","-",IF($R18="",$Q$55*Q44,$Q$55*(Q44)))</f>
        <v>-</v>
      </c>
      <c r="R57" s="47">
        <f ref="R57:R65" si="20" t="shared">IF(R18="","-",$R$55*(R44-$R$50))</f>
        <v>-0.2604636706484042</v>
      </c>
      <c r="AA57">
        <f>OtherCoefficients!B65</f>
        <v>163</v>
      </c>
      <c r="AB57" t="str">
        <f>OtherCoefficients!C65</f>
        <v>bi-gauntl</v>
      </c>
      <c r="AC57" s="56">
        <f>OtherCoefficients!E65</f>
        <v>-0.47378976573600001</v>
      </c>
      <c r="AD57" s="57">
        <f si="18" t="shared"/>
        <v>-0.47378976573600001</v>
      </c>
      <c r="AE57">
        <f si="1" t="shared"/>
        <v>0</v>
      </c>
    </row>
    <row r="58" spans="2:31" x14ac:dyDescent="0.25">
      <c r="B58" s="9"/>
      <c r="C58" s="46"/>
      <c r="D58" s="46"/>
      <c r="E58" s="46"/>
      <c r="N58" s="9" t="s">
        <v>2</v>
      </c>
      <c r="O58" s="48">
        <f>IF(O19="","-",IF($R19="",$O$55*O45,$O$55*(O45)))</f>
        <v>0</v>
      </c>
      <c r="P58" s="48" t="str">
        <f si="19" t="shared"/>
        <v>-</v>
      </c>
      <c r="Q58" s="48">
        <f>IF(Q19="","-",IF($R19="",$Q$55*Q45,$Q$55*(Q45)))</f>
        <v>0</v>
      </c>
      <c r="R58" s="48">
        <f si="20" t="shared"/>
        <v>-0.22504140419283597</v>
      </c>
      <c r="AA58">
        <f>OtherCoefficients!B66</f>
        <v>164</v>
      </c>
      <c r="AB58" t="str">
        <f>OtherCoefficients!C66</f>
        <v>bi-omixed</v>
      </c>
      <c r="AC58" s="56">
        <f>OtherCoefficients!E66</f>
        <v>0</v>
      </c>
      <c r="AD58" s="57">
        <f si="18" t="shared"/>
        <v>0</v>
      </c>
      <c r="AE58">
        <f si="1" t="shared"/>
        <v>0</v>
      </c>
    </row>
    <row r="59" spans="2:31" x14ac:dyDescent="0.25">
      <c r="B59" s="9"/>
      <c r="C59" s="46"/>
      <c r="D59" s="46"/>
      <c r="E59" s="46"/>
      <c r="N59" s="9" t="s">
        <v>3</v>
      </c>
      <c r="O59" s="48">
        <f>IF(O20="","-",IF($R20="",$O$55*O46,$O$55*(O46-O58)))</f>
        <v>0</v>
      </c>
      <c r="P59" s="48" t="str">
        <f si="19" t="shared"/>
        <v>-</v>
      </c>
      <c r="Q59" s="48">
        <f>IF(Q20="","-",IF($R20="",$Q$55*Q46,$Q$55*(Q46-Q58)))</f>
        <v>0</v>
      </c>
      <c r="R59" s="48">
        <f si="20" t="shared"/>
        <v>-0.22817258675726831</v>
      </c>
      <c r="AA59">
        <f>OtherCoefficients!B67</f>
        <v>165</v>
      </c>
      <c r="AB59" t="str">
        <f>OtherCoefficients!C67</f>
        <v>bi-ohhddn</v>
      </c>
      <c r="AC59" s="56">
        <f>OtherCoefficients!E67</f>
        <v>2.6592413200000003E-4</v>
      </c>
      <c r="AD59" s="57">
        <f si="18" t="shared"/>
        <v>2.6592413200000003E-4</v>
      </c>
      <c r="AE59">
        <f si="1" t="shared"/>
        <v>0</v>
      </c>
    </row>
    <row r="60" spans="2:31" x14ac:dyDescent="0.25">
      <c r="B60" s="9"/>
      <c r="C60" s="11"/>
      <c r="D60" s="11"/>
      <c r="E60" s="11"/>
      <c r="N60" s="9" t="s">
        <v>4</v>
      </c>
      <c r="O60" s="48" t="str">
        <f ref="O60:O65" si="21" t="shared">IF(O21="","-",IF($R21="",$O$55*O47,$O$55*(O47)))</f>
        <v>-</v>
      </c>
      <c r="P60" s="48" t="str">
        <f si="19" t="shared"/>
        <v>-</v>
      </c>
      <c r="Q60" s="48" t="str">
        <f ref="Q60:Q65" si="22" t="shared">IF(Q21="","-",IF($R21="",$Q$55*Q47,$Q$55*(Q47)))</f>
        <v>-</v>
      </c>
      <c r="R60" s="48" t="str">
        <f si="20" t="shared"/>
        <v>-</v>
      </c>
      <c r="AA60">
        <f>OtherCoefficients!B68</f>
        <v>166</v>
      </c>
      <c r="AB60" t="str">
        <f>OtherCoefficients!C68</f>
        <v>bi-ointdn</v>
      </c>
      <c r="AC60" s="56">
        <f>OtherCoefficients!E68</f>
        <v>0</v>
      </c>
      <c r="AD60" s="57">
        <f si="18" t="shared"/>
        <v>0</v>
      </c>
      <c r="AE60">
        <f si="1" t="shared"/>
        <v>0</v>
      </c>
    </row>
    <row r="61" spans="2:31" x14ac:dyDescent="0.25">
      <c r="B61" s="9"/>
      <c r="C61" s="11"/>
      <c r="D61" s="11"/>
      <c r="E61" s="11"/>
      <c r="N61" s="9" t="s">
        <v>5</v>
      </c>
      <c r="O61" s="48">
        <f si="21" t="shared"/>
        <v>0</v>
      </c>
      <c r="P61" s="48">
        <f si="19" t="shared"/>
        <v>0</v>
      </c>
      <c r="Q61" s="48" t="str">
        <f si="22" t="shared"/>
        <v>-</v>
      </c>
      <c r="R61" s="48">
        <f si="20" t="shared"/>
        <v>-1.5789231531659398E-2</v>
      </c>
      <c r="AA61">
        <f>OtherCoefficients!B69</f>
        <v>167</v>
      </c>
      <c r="AB61" t="str">
        <f>OtherCoefficients!C69</f>
        <v>bi-dintdn</v>
      </c>
      <c r="AC61" s="56">
        <f>OtherCoefficients!E69</f>
        <v>7.1687068190000001E-3</v>
      </c>
      <c r="AD61" s="57">
        <f si="18" t="shared"/>
        <v>7.1687068190000001E-3</v>
      </c>
      <c r="AE61">
        <f si="1" t="shared"/>
        <v>0</v>
      </c>
    </row>
    <row r="62" spans="2:31" x14ac:dyDescent="0.25">
      <c r="B62" s="9"/>
      <c r="C62" s="11"/>
      <c r="D62" s="11"/>
      <c r="E62" s="11"/>
      <c r="N62" s="9" t="s">
        <v>6</v>
      </c>
      <c r="O62" s="48">
        <f si="21" t="shared"/>
        <v>0</v>
      </c>
      <c r="P62" s="48">
        <f si="19" t="shared"/>
        <v>0</v>
      </c>
      <c r="Q62" s="48" t="str">
        <f si="22" t="shared"/>
        <v>-</v>
      </c>
      <c r="R62" s="48">
        <f si="20" t="shared"/>
        <v>-0.35000055774877226</v>
      </c>
      <c r="AA62">
        <f>OtherCoefficients!B70</f>
        <v>168</v>
      </c>
      <c r="AB62" t="str">
        <f>OtherCoefficients!C70</f>
        <v>bi-dempdn</v>
      </c>
      <c r="AC62" s="56">
        <f>OtherCoefficients!E70</f>
        <v>0</v>
      </c>
      <c r="AD62" s="57">
        <f ref="AD62:AD67" si="23" t="shared">_xlfn.IFNA(VLOOKUP(AA62,$T$31:$V$50,3,FALSE),AC62)</f>
        <v>0</v>
      </c>
      <c r="AE62">
        <f si="1" t="shared"/>
        <v>0</v>
      </c>
    </row>
    <row r="63" spans="2:31" x14ac:dyDescent="0.25">
      <c r="B63" s="9"/>
      <c r="C63" s="11"/>
      <c r="D63" s="11"/>
      <c r="E63" s="11"/>
      <c r="N63" s="9" t="s">
        <v>7</v>
      </c>
      <c r="O63" s="48">
        <f si="21" t="shared"/>
        <v>0</v>
      </c>
      <c r="P63" s="48">
        <f si="19" t="shared"/>
        <v>0</v>
      </c>
      <c r="Q63" s="48" t="str">
        <f si="22" t="shared"/>
        <v>-</v>
      </c>
      <c r="R63" s="48">
        <f si="20" t="shared"/>
        <v>0</v>
      </c>
      <c r="AA63">
        <f>OtherCoefficients!B71</f>
        <v>169</v>
      </c>
      <c r="AB63" t="str">
        <f>OtherCoefficients!C71</f>
        <v>bi-dmixed</v>
      </c>
      <c r="AC63" s="56">
        <f>OtherCoefficients!E71</f>
        <v>0</v>
      </c>
      <c r="AD63" s="57">
        <f si="23" t="shared"/>
        <v>0</v>
      </c>
      <c r="AE63">
        <f si="1" t="shared"/>
        <v>0</v>
      </c>
    </row>
    <row r="64" spans="2:31" x14ac:dyDescent="0.25">
      <c r="B64" s="9"/>
      <c r="C64" s="11"/>
      <c r="D64" s="11"/>
      <c r="E64" s="11"/>
      <c r="N64" s="84" t="s">
        <v>8</v>
      </c>
      <c r="O64" s="112" t="str">
        <f si="21" t="shared"/>
        <v>-</v>
      </c>
      <c r="P64" s="112" t="str">
        <f si="19" t="shared"/>
        <v>-</v>
      </c>
      <c r="Q64" s="112" t="str">
        <f si="22" t="shared"/>
        <v>-</v>
      </c>
      <c r="R64" s="112" t="str">
        <f si="20" t="shared"/>
        <v>-</v>
      </c>
      <c r="AA64">
        <f>OtherCoefficients!B72</f>
        <v>171</v>
      </c>
      <c r="AB64" t="str">
        <f>OtherCoefficients!C72</f>
        <v>wk-meal</v>
      </c>
      <c r="AC64" s="56">
        <f>OtherCoefficients!E72</f>
        <v>0.92811940897900003</v>
      </c>
      <c r="AD64" s="57">
        <f si="23" t="shared"/>
        <v>0.92811940897900003</v>
      </c>
      <c r="AE64">
        <f si="1" t="shared"/>
        <v>0</v>
      </c>
    </row>
    <row r="65" spans="2:31" x14ac:dyDescent="0.25">
      <c r="B65" s="9"/>
      <c r="C65" s="11"/>
      <c r="D65" s="11"/>
      <c r="E65" s="11"/>
      <c r="N65" s="109" t="s">
        <v>302</v>
      </c>
      <c r="O65" s="49">
        <f si="21" t="shared"/>
        <v>0</v>
      </c>
      <c r="P65" s="49">
        <f si="19" t="shared"/>
        <v>0</v>
      </c>
      <c r="Q65" s="49" t="str">
        <f si="22" t="shared"/>
        <v>-</v>
      </c>
      <c r="R65" s="49">
        <f si="20" t="shared"/>
        <v>-0.22807835599487283</v>
      </c>
      <c r="AA65">
        <f>OtherCoefficients!B73</f>
        <v>172</v>
      </c>
      <c r="AB65" t="str">
        <f>OtherCoefficients!C73</f>
        <v>wk-socrec</v>
      </c>
      <c r="AC65" s="56">
        <f>OtherCoefficients!E73</f>
        <v>1.2155611078699999</v>
      </c>
      <c r="AD65" s="57">
        <f si="23" t="shared"/>
        <v>1.2155611078699999</v>
      </c>
      <c r="AE65">
        <f si="1" t="shared"/>
        <v>0</v>
      </c>
    </row>
    <row r="66" spans="2:31" x14ac:dyDescent="0.25">
      <c r="N66" s="9" t="s">
        <v>273</v>
      </c>
      <c r="AA66">
        <f>OtherCoefficients!B74</f>
        <v>174</v>
      </c>
      <c r="AB66" t="str">
        <f>OtherCoefficients!C74</f>
        <v>wk-omixed</v>
      </c>
      <c r="AC66" s="56">
        <f>OtherCoefficients!E74</f>
        <v>0.23049692935499999</v>
      </c>
      <c r="AD66" s="57">
        <f si="23" t="shared"/>
        <v>0.23049692935499999</v>
      </c>
      <c r="AE66">
        <f si="1" t="shared"/>
        <v>0</v>
      </c>
    </row>
    <row r="67" spans="2:31" x14ac:dyDescent="0.25">
      <c r="B67" s="23"/>
      <c r="AA67">
        <f>OtherCoefficients!B75</f>
        <v>175</v>
      </c>
      <c r="AB67" t="str">
        <f>OtherCoefficients!C75</f>
        <v>wk-ohhddn</v>
      </c>
      <c r="AC67" s="56">
        <f>OtherCoefficients!E75</f>
        <v>3.3561049599999999E-4</v>
      </c>
      <c r="AD67" s="57">
        <f si="23" t="shared"/>
        <v>3.3561049599999999E-4</v>
      </c>
      <c r="AE67">
        <f si="1" t="shared"/>
        <v>0</v>
      </c>
    </row>
    <row ht="15.75" r="68" spans="2:31" thickBot="1" x14ac:dyDescent="0.3">
      <c r="C68" s="11"/>
      <c r="D68" s="11"/>
      <c r="E68" s="11"/>
      <c r="N68" s="37" t="s">
        <v>212</v>
      </c>
      <c r="AA68">
        <f>OtherCoefficients!B76</f>
        <v>176</v>
      </c>
      <c r="AB68" t="str">
        <f>OtherCoefficients!C76</f>
        <v>wk-ointdn</v>
      </c>
      <c r="AC68" s="56">
        <f>OtherCoefficients!E76</f>
        <v>0</v>
      </c>
      <c r="AD68" s="57">
        <f ref="AD68:AD72" si="24" t="shared">_xlfn.IFNA(VLOOKUP(AA68,$T$31:$V$50,3,FALSE),AC68)</f>
        <v>0</v>
      </c>
      <c r="AE68">
        <f ref="AE68:AE72" si="25" t="shared">IF(AC68=AD68,0,1)</f>
        <v>0</v>
      </c>
    </row>
    <row r="69" spans="2:31" x14ac:dyDescent="0.25">
      <c r="B69" s="9"/>
      <c r="C69" s="11"/>
      <c r="D69" s="11"/>
      <c r="E69" s="11"/>
      <c r="N69" s="2" t="s">
        <v>0</v>
      </c>
      <c r="O69" s="39" t="str">
        <f>O43</f>
        <v>nocars</v>
      </c>
      <c r="P69" s="39" t="str">
        <f>P43</f>
        <v>cars &lt; adults</v>
      </c>
      <c r="Q69" s="39" t="str">
        <f>Q43</f>
        <v>cars &lt; workers</v>
      </c>
      <c r="R69" s="39" t="str">
        <f>R43</f>
        <v>constant</v>
      </c>
      <c r="AA69">
        <f>OtherCoefficients!B77</f>
        <v>177</v>
      </c>
      <c r="AB69" t="str">
        <f>OtherCoefficients!C77</f>
        <v>wk-dintdn</v>
      </c>
      <c r="AC69" s="56">
        <f>OtherCoefficients!E77</f>
        <v>1.9919413829999999E-3</v>
      </c>
      <c r="AD69" s="57">
        <f si="24" t="shared"/>
        <v>1.9919413829999999E-3</v>
      </c>
      <c r="AE69">
        <f si="25" t="shared"/>
        <v>0</v>
      </c>
    </row>
    <row r="70" spans="2:31" x14ac:dyDescent="0.25">
      <c r="B70" s="9"/>
      <c r="C70" s="46"/>
      <c r="D70" s="11"/>
      <c r="E70" s="11"/>
      <c r="N70" s="9" t="s">
        <v>1</v>
      </c>
      <c r="O70" s="47" t="str">
        <f ref="O70:R78" si="26" t="shared">IFERROR(VLOOKUP(O18,$AA$3:$AC$48,3,FALSE),"-")</f>
        <v>-</v>
      </c>
      <c r="P70" s="47">
        <f si="26" t="shared"/>
        <v>-0.325253955835</v>
      </c>
      <c r="Q70" s="47" t="str">
        <f si="26" t="shared"/>
        <v>-</v>
      </c>
      <c r="R70" s="47">
        <f si="26" t="shared"/>
        <v>1.2829058385130001</v>
      </c>
      <c r="AA70">
        <f>OtherCoefficients!B78</f>
        <v>178</v>
      </c>
      <c r="AB70" t="str">
        <f>OtherCoefficients!C78</f>
        <v>wk-dempdn</v>
      </c>
      <c r="AC70" s="56">
        <f>OtherCoefficients!E78</f>
        <v>0</v>
      </c>
      <c r="AD70" s="57">
        <f si="24" t="shared"/>
        <v>0</v>
      </c>
      <c r="AE70">
        <f si="25" t="shared"/>
        <v>0</v>
      </c>
    </row>
    <row r="71" spans="2:31" x14ac:dyDescent="0.25">
      <c r="B71" s="9"/>
      <c r="C71" s="46"/>
      <c r="D71" s="11"/>
      <c r="E71" s="11"/>
      <c r="N71" s="9" t="s">
        <v>2</v>
      </c>
      <c r="O71" s="48">
        <f si="26" t="shared"/>
        <v>-2.3816710703599999</v>
      </c>
      <c r="P71" s="48" t="str">
        <f si="26" t="shared"/>
        <v>-</v>
      </c>
      <c r="Q71" s="48">
        <f si="26" t="shared"/>
        <v>-0.47968377671599999</v>
      </c>
      <c r="R71" s="48">
        <f si="26" t="shared"/>
        <v>-0.278409981029</v>
      </c>
      <c r="AA71">
        <f>OtherCoefficients!B79</f>
        <v>179</v>
      </c>
      <c r="AB71" t="str">
        <f>OtherCoefficients!C79</f>
        <v>wk-dmixed</v>
      </c>
      <c r="AC71" s="56">
        <f>OtherCoefficients!E79</f>
        <v>0</v>
      </c>
      <c r="AD71" s="57">
        <f si="24" t="shared"/>
        <v>0</v>
      </c>
      <c r="AE71">
        <f si="25" t="shared"/>
        <v>0</v>
      </c>
    </row>
    <row r="72" spans="2:31" x14ac:dyDescent="0.25">
      <c r="B72" s="9"/>
      <c r="C72" s="11"/>
      <c r="D72" s="11"/>
      <c r="E72" s="11"/>
      <c r="N72" s="9" t="s">
        <v>3</v>
      </c>
      <c r="O72" s="48">
        <f si="26" t="shared"/>
        <v>1.168777037104</v>
      </c>
      <c r="P72" s="48" t="str">
        <f si="26" t="shared"/>
        <v>-</v>
      </c>
      <c r="Q72" s="48">
        <f si="26" t="shared"/>
        <v>0.22373830168700001</v>
      </c>
      <c r="R72" s="48">
        <f si="26" t="shared"/>
        <v>-0.22287653765000001</v>
      </c>
      <c r="AA72">
        <f>OtherCoefficients!B80</f>
        <v>99</v>
      </c>
      <c r="AB72" t="str">
        <f>OtherCoefficients!C80</f>
        <v>modenest</v>
      </c>
      <c r="AC72" s="56">
        <f>OtherCoefficients!E80</f>
        <v>1</v>
      </c>
      <c r="AD72" s="57">
        <f si="24" t="shared"/>
        <v>1</v>
      </c>
      <c r="AE72">
        <f si="25" t="shared"/>
        <v>0</v>
      </c>
    </row>
    <row r="73" spans="2:31" x14ac:dyDescent="0.25">
      <c r="B73" s="9"/>
      <c r="C73" s="11"/>
      <c r="D73" s="11"/>
      <c r="E73" s="11"/>
      <c r="N73" s="9" t="s">
        <v>4</v>
      </c>
      <c r="O73" s="48" t="str">
        <f si="26" t="shared"/>
        <v>-</v>
      </c>
      <c r="P73" s="48" t="str">
        <f si="26" t="shared"/>
        <v>-</v>
      </c>
      <c r="Q73" s="48" t="str">
        <f si="26" t="shared"/>
        <v>-</v>
      </c>
      <c r="R73" s="48" t="str">
        <f si="26" t="shared"/>
        <v>-</v>
      </c>
    </row>
    <row r="74" spans="2:31" x14ac:dyDescent="0.25">
      <c r="B74" s="9"/>
      <c r="C74" s="11"/>
      <c r="D74" s="11"/>
      <c r="E74" s="11"/>
      <c r="N74" s="9" t="s">
        <v>5</v>
      </c>
      <c r="O74" s="48">
        <f si="26" t="shared"/>
        <v>2.415026607882</v>
      </c>
      <c r="P74" s="48">
        <f si="26" t="shared"/>
        <v>-0.56094675603999999</v>
      </c>
      <c r="Q74" s="48" t="str">
        <f si="26" t="shared"/>
        <v>-</v>
      </c>
      <c r="R74" s="48">
        <f si="26" t="shared"/>
        <v>-1.350424988441</v>
      </c>
    </row>
    <row r="75" spans="2:31" x14ac:dyDescent="0.25">
      <c r="B75" s="9"/>
      <c r="C75" s="11"/>
      <c r="D75" s="11"/>
      <c r="E75" s="11"/>
      <c r="N75" s="9" t="s">
        <v>6</v>
      </c>
      <c r="O75" s="48">
        <f si="26" t="shared"/>
        <v>0.23777452654699999</v>
      </c>
      <c r="P75" s="48">
        <f si="26" t="shared"/>
        <v>0.94868881682799999</v>
      </c>
      <c r="Q75" s="48" t="str">
        <f si="26" t="shared"/>
        <v>-</v>
      </c>
      <c r="R75" s="48">
        <f si="26" t="shared"/>
        <v>-2.5325237517370001</v>
      </c>
    </row>
    <row r="76" spans="2:31" x14ac:dyDescent="0.25">
      <c r="B76" s="9"/>
      <c r="C76" s="11"/>
      <c r="D76" s="11"/>
      <c r="E76" s="11"/>
      <c r="N76" s="9" t="s">
        <v>7</v>
      </c>
      <c r="O76" s="48">
        <f si="26" t="shared"/>
        <v>-0.24961658919599999</v>
      </c>
      <c r="P76" s="48">
        <f si="26" t="shared"/>
        <v>0.59308965410400005</v>
      </c>
      <c r="Q76" s="48" t="str">
        <f si="26" t="shared"/>
        <v>-</v>
      </c>
      <c r="R76" s="48">
        <f si="26" t="shared"/>
        <v>0</v>
      </c>
    </row>
    <row r="77" spans="2:31" x14ac:dyDescent="0.25">
      <c r="B77" s="9"/>
      <c r="N77" s="84" t="s">
        <v>8</v>
      </c>
      <c r="O77" s="112" t="str">
        <f si="26" t="shared"/>
        <v>-</v>
      </c>
      <c r="P77" s="112" t="str">
        <f si="26" t="shared"/>
        <v>-</v>
      </c>
      <c r="Q77" s="112" t="str">
        <f si="26" t="shared"/>
        <v>-</v>
      </c>
      <c r="R77" s="112" t="str">
        <f si="26" t="shared"/>
        <v>-</v>
      </c>
    </row>
    <row r="78" spans="2:31" x14ac:dyDescent="0.25">
      <c r="N78" s="109" t="s">
        <v>302</v>
      </c>
      <c r="O78" s="49">
        <f si="26" t="shared"/>
        <v>1.8494684936950001</v>
      </c>
      <c r="P78" s="49">
        <f si="26" t="shared"/>
        <v>1.383044619326</v>
      </c>
      <c r="Q78" s="49" t="str">
        <f si="26" t="shared"/>
        <v>-</v>
      </c>
      <c r="R78" s="49">
        <f si="26" t="shared"/>
        <v>-1.984380352007</v>
      </c>
    </row>
    <row ht="15.75" r="80" spans="2:31" thickBot="1" x14ac:dyDescent="0.3">
      <c r="H80" s="5" t="s">
        <v>235</v>
      </c>
      <c r="N80" s="37" t="s">
        <v>213</v>
      </c>
    </row>
    <row r="81" spans="8:18" x14ac:dyDescent="0.25">
      <c r="H81" s="38" t="s">
        <v>0</v>
      </c>
      <c r="I81" s="39" t="s">
        <v>252</v>
      </c>
      <c r="J81" s="39" t="s">
        <v>247</v>
      </c>
      <c r="K81" s="39" t="s">
        <v>250</v>
      </c>
      <c r="L81" s="39" t="s">
        <v>253</v>
      </c>
      <c r="N81" s="2" t="s">
        <v>0</v>
      </c>
      <c r="O81" s="39" t="str">
        <f>O69</f>
        <v>nocars</v>
      </c>
      <c r="P81" s="39" t="str">
        <f>P69</f>
        <v>cars &lt; adults</v>
      </c>
      <c r="Q81" s="39" t="str">
        <f>Q69</f>
        <v>cars &lt; workers</v>
      </c>
      <c r="R81" s="39" t="str">
        <f>R69</f>
        <v>constant</v>
      </c>
    </row>
    <row r="82" spans="8:18" x14ac:dyDescent="0.25">
      <c r="H82" s="9" t="s">
        <v>1</v>
      </c>
      <c r="I82" s="11" t="str">
        <f ref="I82:I90" si="27" t="shared">IF(ISBLANK(O18),"",O18)</f>
        <v/>
      </c>
      <c r="J82" s="11">
        <f ref="J82:J90" si="28" t="shared">IF(ISBLANK(P18),"",P18)</f>
        <v>52</v>
      </c>
      <c r="K82" s="11" t="str">
        <f ref="K82:K90" si="29" t="shared">IF(ISBLANK(Q18),"",Q18)</f>
        <v/>
      </c>
      <c r="L82" s="11">
        <f ref="L82:L90" si="30" t="shared">IF(ISBLANK(R18),"",R18)</f>
        <v>50</v>
      </c>
      <c r="N82" s="9" t="s">
        <v>1</v>
      </c>
      <c r="O82" s="48" t="str">
        <f ref="O82:R90" si="31" t="shared">IF(O18="","-",O57+O70)</f>
        <v>-</v>
      </c>
      <c r="P82" s="48">
        <f si="31" t="shared"/>
        <v>-0.325253955835</v>
      </c>
      <c r="Q82" s="48" t="str">
        <f si="31" t="shared"/>
        <v>-</v>
      </c>
      <c r="R82" s="48">
        <f si="31" t="shared"/>
        <v>1.0224421678645959</v>
      </c>
    </row>
    <row r="83" spans="8:18" x14ac:dyDescent="0.25">
      <c r="H83" s="9" t="s">
        <v>2</v>
      </c>
      <c r="I83" s="11">
        <f si="27" t="shared"/>
        <v>41</v>
      </c>
      <c r="J83" s="11" t="str">
        <f si="28" t="shared"/>
        <v/>
      </c>
      <c r="K83" s="11">
        <f si="29" t="shared"/>
        <v>43</v>
      </c>
      <c r="L83" s="11">
        <f si="30" t="shared"/>
        <v>40</v>
      </c>
      <c r="N83" s="9" t="s">
        <v>2</v>
      </c>
      <c r="O83" s="48">
        <f si="31" t="shared"/>
        <v>-2.3816710703599999</v>
      </c>
      <c r="P83" s="48" t="str">
        <f si="31" t="shared"/>
        <v>-</v>
      </c>
      <c r="Q83" s="48">
        <f si="31" t="shared"/>
        <v>-0.47968377671599999</v>
      </c>
      <c r="R83" s="48">
        <f si="31" t="shared"/>
        <v>-0.50345138522183597</v>
      </c>
    </row>
    <row r="84" spans="8:18" x14ac:dyDescent="0.25">
      <c r="H84" s="9" t="s">
        <v>3</v>
      </c>
      <c r="I84" s="11">
        <f si="27" t="shared"/>
        <v>36</v>
      </c>
      <c r="J84" s="11" t="str">
        <f si="28" t="shared"/>
        <v/>
      </c>
      <c r="K84" s="11">
        <f si="29" t="shared"/>
        <v>37</v>
      </c>
      <c r="L84" s="11">
        <f si="30" t="shared"/>
        <v>30</v>
      </c>
      <c r="N84" s="9" t="s">
        <v>3</v>
      </c>
      <c r="O84" s="48">
        <f si="31" t="shared"/>
        <v>1.168777037104</v>
      </c>
      <c r="P84" s="48" t="str">
        <f si="31" t="shared"/>
        <v>-</v>
      </c>
      <c r="Q84" s="48">
        <f si="31" t="shared"/>
        <v>0.22373830168700001</v>
      </c>
      <c r="R84" s="48">
        <f si="31" t="shared"/>
        <v>-0.4510491244072683</v>
      </c>
    </row>
    <row r="85" spans="8:18" x14ac:dyDescent="0.25">
      <c r="H85" s="9" t="s">
        <v>4</v>
      </c>
      <c r="I85" s="11" t="str">
        <f si="27" t="shared"/>
        <v/>
      </c>
      <c r="J85" s="11" t="str">
        <f si="28" t="shared"/>
        <v/>
      </c>
      <c r="K85" s="11" t="str">
        <f si="29" t="shared"/>
        <v/>
      </c>
      <c r="L85" s="11" t="str">
        <f si="30" t="shared"/>
        <v/>
      </c>
      <c r="N85" s="9" t="s">
        <v>4</v>
      </c>
      <c r="O85" s="48" t="str">
        <f si="31" t="shared"/>
        <v>-</v>
      </c>
      <c r="P85" s="48" t="str">
        <f si="31" t="shared"/>
        <v>-</v>
      </c>
      <c r="Q85" s="48" t="str">
        <f si="31" t="shared"/>
        <v>-</v>
      </c>
      <c r="R85" s="48" t="str">
        <f si="31" t="shared"/>
        <v>-</v>
      </c>
    </row>
    <row r="86" spans="8:18" x14ac:dyDescent="0.25">
      <c r="H86" s="9" t="s">
        <v>5</v>
      </c>
      <c r="I86" s="11">
        <f si="27" t="shared"/>
        <v>21</v>
      </c>
      <c r="J86" s="11">
        <f si="28" t="shared"/>
        <v>22</v>
      </c>
      <c r="K86" s="11" t="str">
        <f si="29" t="shared"/>
        <v/>
      </c>
      <c r="L86" s="11">
        <f si="30" t="shared"/>
        <v>20</v>
      </c>
      <c r="N86" s="9" t="s">
        <v>5</v>
      </c>
      <c r="O86" s="48">
        <f si="31" t="shared"/>
        <v>2.415026607882</v>
      </c>
      <c r="P86" s="48">
        <f si="31" t="shared"/>
        <v>-0.56094675603999999</v>
      </c>
      <c r="Q86" s="48" t="str">
        <f si="31" t="shared"/>
        <v>-</v>
      </c>
      <c r="R86" s="48">
        <f si="31" t="shared"/>
        <v>-1.3662142199726595</v>
      </c>
    </row>
    <row r="87" spans="8:18" x14ac:dyDescent="0.25">
      <c r="H87" s="9" t="s">
        <v>6</v>
      </c>
      <c r="I87" s="11">
        <f si="27" t="shared"/>
        <v>67</v>
      </c>
      <c r="J87" s="11">
        <f si="28" t="shared"/>
        <v>68</v>
      </c>
      <c r="K87" s="11" t="str">
        <f si="29" t="shared"/>
        <v/>
      </c>
      <c r="L87" s="11">
        <f si="30" t="shared"/>
        <v>60</v>
      </c>
      <c r="N87" s="9" t="s">
        <v>6</v>
      </c>
      <c r="O87" s="48">
        <f si="31" t="shared"/>
        <v>0.23777452654699999</v>
      </c>
      <c r="P87" s="48">
        <f si="31" t="shared"/>
        <v>0.94868881682799999</v>
      </c>
      <c r="Q87" s="48" t="str">
        <f si="31" t="shared"/>
        <v>-</v>
      </c>
      <c r="R87" s="48">
        <f si="31" t="shared"/>
        <v>-2.8825243094857722</v>
      </c>
    </row>
    <row r="88" spans="8:18" x14ac:dyDescent="0.25">
      <c r="H88" s="9" t="s">
        <v>7</v>
      </c>
      <c r="I88" s="11">
        <f si="27" t="shared"/>
        <v>77</v>
      </c>
      <c r="J88" s="11">
        <f si="28" t="shared"/>
        <v>78</v>
      </c>
      <c r="K88" s="11" t="str">
        <f si="29" t="shared"/>
        <v/>
      </c>
      <c r="L88" s="11">
        <f si="30" t="shared"/>
        <v>70</v>
      </c>
      <c r="N88" s="9" t="s">
        <v>7</v>
      </c>
      <c r="O88" s="48">
        <f si="31" t="shared"/>
        <v>-0.24961658919599999</v>
      </c>
      <c r="P88" s="48">
        <f si="31" t="shared"/>
        <v>0.59308965410400005</v>
      </c>
      <c r="Q88" s="48" t="str">
        <f si="31" t="shared"/>
        <v>-</v>
      </c>
      <c r="R88" s="48">
        <f si="31" t="shared"/>
        <v>0</v>
      </c>
    </row>
    <row r="89" spans="8:18" x14ac:dyDescent="0.25">
      <c r="H89" s="84" t="s">
        <v>8</v>
      </c>
      <c r="I89" s="108" t="str">
        <f si="27" t="shared"/>
        <v/>
      </c>
      <c r="J89" s="108" t="str">
        <f si="28" t="shared"/>
        <v/>
      </c>
      <c r="K89" s="108" t="str">
        <f si="29" t="shared"/>
        <v/>
      </c>
      <c r="L89" s="108" t="str">
        <f si="30" t="shared"/>
        <v/>
      </c>
      <c r="N89" s="84" t="s">
        <v>8</v>
      </c>
      <c r="O89" s="112" t="str">
        <f si="31" t="shared"/>
        <v>-</v>
      </c>
      <c r="P89" s="112" t="str">
        <f si="31" t="shared"/>
        <v>-</v>
      </c>
      <c r="Q89" s="112" t="str">
        <f si="31" t="shared"/>
        <v>-</v>
      </c>
      <c r="R89" s="112" t="str">
        <f si="31" t="shared"/>
        <v>-</v>
      </c>
    </row>
    <row r="90" spans="8:18" x14ac:dyDescent="0.25">
      <c r="H90" s="109" t="s">
        <v>302</v>
      </c>
      <c r="I90" s="7">
        <f si="27" t="shared"/>
        <v>81</v>
      </c>
      <c r="J90" s="7">
        <f si="28" t="shared"/>
        <v>82</v>
      </c>
      <c r="K90" s="7" t="str">
        <f si="29" t="shared"/>
        <v/>
      </c>
      <c r="L90" s="7">
        <f si="30" t="shared"/>
        <v>80</v>
      </c>
      <c r="N90" s="109" t="s">
        <v>302</v>
      </c>
      <c r="O90" s="49">
        <f si="31" t="shared"/>
        <v>1.8494684936950001</v>
      </c>
      <c r="P90" s="49">
        <f si="31" t="shared"/>
        <v>1.383044619326</v>
      </c>
      <c r="Q90" s="49" t="str">
        <f si="31" t="shared"/>
        <v>-</v>
      </c>
      <c r="R90" s="49">
        <f si="31" t="shared"/>
        <v>-2.2124587080018729</v>
      </c>
    </row>
  </sheetData>
  <mergeCells count="2">
    <mergeCell ref="B15:F15"/>
    <mergeCell ref="H15:L15"/>
  </mergeCells>
  <conditionalFormatting sqref="AE3:AE72">
    <cfRule dxfId="7" operator="greaterThan" priority="4" type="cellIs">
      <formula>0</formula>
    </cfRule>
  </conditionalFormatting>
  <conditionalFormatting sqref="O35:P37 O39:P39 P31 R31 O32:O33 Q32:R33 R35:R37 R39">
    <cfRule dxfId="6" operator="greaterThan" priority="3" type="cellIs">
      <formula>1.05</formula>
    </cfRule>
    <cfRule dxfId="5" operator="lessThan" priority="2" type="cellIs">
      <formula>0.95</formula>
    </cfRule>
  </conditionalFormatting>
  <pageMargins bottom="0.75" footer="0.3" header="0.3" left="0.7" right="0.7" top="0.75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id="{A8FCF1AC-D752-4E6B-B746-425228A2B37C}" operator="containsText" priority="1" type="containsText">
            <xm:f>NOT(ISERROR(SEARCH("-",O31)))</xm:f>
            <xm:f>"-"</xm:f>
            <x14:dxf>
              <fill>
                <patternFill>
                  <bgColor theme="0" tint="-0.24994659260841701"/>
                </patternFill>
              </fill>
            </x14:dxf>
          </x14:cfRule>
          <xm:sqref>O31:R39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AF90"/>
  <sheetViews>
    <sheetView workbookViewId="0" zoomScaleNormal="100">
      <selection activeCell="F18" sqref="F18:F26"/>
    </sheetView>
  </sheetViews>
  <sheetFormatPr defaultRowHeight="15" x14ac:dyDescent="0.25"/>
  <cols>
    <col min="2" max="2" bestFit="true" customWidth="true" width="14.140625" collapsed="true"/>
    <col min="4" max="4" bestFit="true" customWidth="true" width="11.7109375" collapsed="true"/>
    <col min="5" max="5" bestFit="true" customWidth="true" width="13.5703125" collapsed="true"/>
    <col min="6" max="6" bestFit="true" customWidth="true" width="9.140625" collapsed="true"/>
    <col min="8" max="8" bestFit="true" customWidth="true" width="14.140625" collapsed="true"/>
    <col min="10" max="10" bestFit="true" customWidth="true" width="11.7109375" collapsed="true"/>
    <col min="11" max="11" bestFit="true" customWidth="true" width="13.5703125" collapsed="true"/>
    <col min="12" max="12" bestFit="true" customWidth="true" width="7.5703125" collapsed="true"/>
    <col min="13" max="13" width="9.140625" collapsed="true"/>
    <col min="14" max="14" bestFit="true" customWidth="true" width="14.140625" collapsed="true"/>
    <col min="15" max="15" bestFit="true" customWidth="true" width="9.28515625" collapsed="true"/>
    <col min="16" max="16" bestFit="true" customWidth="true" width="12.0" collapsed="true"/>
    <col min="17" max="17" bestFit="true" customWidth="true" width="13.85546875" collapsed="true"/>
    <col min="18" max="18" bestFit="true" customWidth="true" width="9.28515625" collapsed="true"/>
    <col min="20" max="20" customWidth="true" width="5.5703125" collapsed="true"/>
    <col min="21" max="21" customWidth="true" width="12.85546875" collapsed="true"/>
    <col min="22" max="22" bestFit="true" customWidth="true" width="11.7109375" collapsed="true"/>
    <col min="23" max="23" bestFit="true" customWidth="true" width="13.5703125" collapsed="true"/>
    <col min="28" max="28" bestFit="true" customWidth="true" width="11.0" collapsed="true"/>
    <col min="29" max="30" bestFit="true" customWidth="true" width="15.42578125" collapsed="true"/>
  </cols>
  <sheetData>
    <row r="1" spans="2:31" x14ac:dyDescent="0.25">
      <c r="T1" s="23" t="s">
        <v>202</v>
      </c>
      <c r="U1" s="32"/>
      <c r="V1" s="32"/>
      <c r="W1" s="32"/>
      <c r="X1" s="32"/>
      <c r="AA1" s="23" t="s">
        <v>202</v>
      </c>
    </row>
    <row r="2" spans="2:31" x14ac:dyDescent="0.25">
      <c r="T2" s="32"/>
      <c r="U2" s="23" t="s">
        <v>236</v>
      </c>
      <c r="W2" s="32"/>
      <c r="X2" s="32"/>
      <c r="AC2" s="28" t="s">
        <v>233</v>
      </c>
      <c r="AD2" s="28" t="s">
        <v>234</v>
      </c>
      <c r="AE2" s="28" t="s">
        <v>34</v>
      </c>
    </row>
    <row ht="15.75" r="3" spans="2:31" thickBot="1" x14ac:dyDescent="0.3">
      <c r="B3" s="23" t="s">
        <v>256</v>
      </c>
      <c r="T3">
        <v>1</v>
      </c>
      <c r="U3" s="33" t="s">
        <v>244</v>
      </c>
      <c r="W3" s="32"/>
      <c r="X3" s="32"/>
      <c r="AA3">
        <f>WorkBasedCoefficients!B11</f>
        <v>1</v>
      </c>
      <c r="AB3" t="str">
        <f>WorkBasedCoefficients!C11</f>
        <v>costutil</v>
      </c>
      <c r="AC3" s="56">
        <f>WorkBasedCoefficients!E11</f>
        <v>2.5071267914100002</v>
      </c>
      <c r="AD3" s="57">
        <f ref="AD3:AD28" si="0" t="shared">_xlfn.IFNA(VLOOKUP(AA3,$T$31:$V$37,3,FALSE),AC3)</f>
        <v>2.5071267914100002</v>
      </c>
      <c r="AE3">
        <f>IF(AC3=AD3,0,1)</f>
        <v>0</v>
      </c>
    </row>
    <row r="4" spans="2:31" x14ac:dyDescent="0.25">
      <c r="B4" s="38" t="s">
        <v>0</v>
      </c>
      <c r="C4" s="39" t="s">
        <v>252</v>
      </c>
      <c r="D4" s="39" t="s">
        <v>247</v>
      </c>
      <c r="E4" s="39" t="s">
        <v>250</v>
      </c>
      <c r="F4" s="39" t="s">
        <v>253</v>
      </c>
      <c r="T4">
        <v>2</v>
      </c>
      <c r="U4" s="33" t="s">
        <v>295</v>
      </c>
      <c r="W4" s="32"/>
      <c r="X4" s="32"/>
      <c r="AA4">
        <f>WorkBasedCoefficients!B12</f>
        <v>2</v>
      </c>
      <c r="AB4" t="str">
        <f>WorkBasedCoefficients!C12</f>
        <v>timeutil</v>
      </c>
      <c r="AC4" s="56">
        <f>WorkBasedCoefficients!E12</f>
        <v>1.3950040940499999</v>
      </c>
      <c r="AD4" s="57">
        <f si="0" t="shared"/>
        <v>1.3950040940499999</v>
      </c>
      <c r="AE4">
        <f ref="AE4:AE28" si="1" t="shared">IF(AC4=AD4,0,1)</f>
        <v>0</v>
      </c>
    </row>
    <row r="5" spans="2:31" x14ac:dyDescent="0.25">
      <c r="B5" s="9" t="s">
        <v>1</v>
      </c>
      <c r="C5" s="11"/>
      <c r="D5" s="11"/>
      <c r="E5" s="11"/>
      <c r="F5" s="11">
        <v>50</v>
      </c>
      <c r="T5">
        <v>3</v>
      </c>
      <c r="U5" s="32" t="s">
        <v>245</v>
      </c>
      <c r="V5" s="32"/>
      <c r="W5" s="32"/>
      <c r="X5" s="32"/>
      <c r="AA5" s="29">
        <f>WorkBasedCoefficients!B13</f>
        <v>20</v>
      </c>
      <c r="AB5" s="29" t="str">
        <f>WorkBasedCoefficients!C13</f>
        <v>wt-const</v>
      </c>
      <c r="AC5" s="58">
        <f>WorkBasedCoefficients!E13</f>
        <v>-1.7346810820609999</v>
      </c>
      <c r="AD5" s="57">
        <f si="0" t="shared"/>
        <v>-3.7945512223748139</v>
      </c>
      <c r="AE5">
        <f si="1" t="shared"/>
        <v>1</v>
      </c>
    </row>
    <row r="6" spans="2:31" x14ac:dyDescent="0.25">
      <c r="B6" s="9" t="s">
        <v>2</v>
      </c>
      <c r="C6" s="11"/>
      <c r="D6" s="11"/>
      <c r="E6" s="11"/>
      <c r="F6" s="11">
        <v>40</v>
      </c>
      <c r="T6">
        <v>4</v>
      </c>
      <c r="U6" s="32" t="s">
        <v>237</v>
      </c>
      <c r="V6" s="32"/>
      <c r="W6" s="32"/>
      <c r="X6" s="32"/>
      <c r="AA6" s="29">
        <f>WorkBasedCoefficients!B14</f>
        <v>30</v>
      </c>
      <c r="AB6" s="29" t="str">
        <f>WorkBasedCoefficients!C14</f>
        <v>s3-const</v>
      </c>
      <c r="AC6" s="58">
        <f>WorkBasedCoefficients!E14</f>
        <v>-1.9048803299749999</v>
      </c>
      <c r="AD6" s="57">
        <f si="0" t="shared"/>
        <v>-2.4967006637118461</v>
      </c>
      <c r="AE6">
        <f si="1" t="shared"/>
        <v>1</v>
      </c>
    </row>
    <row r="7" spans="2:31" x14ac:dyDescent="0.25">
      <c r="B7" s="9" t="s">
        <v>3</v>
      </c>
      <c r="C7" s="11"/>
      <c r="D7" s="11"/>
      <c r="E7" s="11"/>
      <c r="F7" s="11">
        <v>30</v>
      </c>
      <c r="T7" s="32">
        <v>5</v>
      </c>
      <c r="U7" s="32" t="s">
        <v>238</v>
      </c>
      <c r="V7" s="32"/>
      <c r="W7" s="32"/>
      <c r="X7" s="32"/>
      <c r="AA7" s="29">
        <f>WorkBasedCoefficients!B15</f>
        <v>40</v>
      </c>
      <c r="AB7" s="29" t="str">
        <f>WorkBasedCoefficients!C15</f>
        <v>s2-const</v>
      </c>
      <c r="AC7" s="58">
        <f>WorkBasedCoefficients!E15</f>
        <v>-1.176184651632</v>
      </c>
      <c r="AD7" s="57">
        <f si="0" t="shared"/>
        <v>-1.8679914627434868</v>
      </c>
      <c r="AE7">
        <f si="1" t="shared"/>
        <v>1</v>
      </c>
    </row>
    <row r="8" spans="2:31" x14ac:dyDescent="0.25">
      <c r="B8" s="9" t="s">
        <v>4</v>
      </c>
      <c r="C8" s="11"/>
      <c r="D8" s="11"/>
      <c r="E8" s="11"/>
      <c r="F8" s="11"/>
      <c r="T8" s="32"/>
      <c r="U8" s="32"/>
      <c r="V8" s="32"/>
      <c r="W8" s="32"/>
      <c r="X8" s="32"/>
      <c r="AA8" s="29">
        <f>WorkBasedCoefficients!B16</f>
        <v>50</v>
      </c>
      <c r="AB8" s="29" t="str">
        <f>WorkBasedCoefficients!C16</f>
        <v>da-const</v>
      </c>
      <c r="AC8" s="58">
        <f>WorkBasedCoefficients!E16</f>
        <v>8.6274931107000005E-2</v>
      </c>
      <c r="AD8" s="57">
        <f si="0" t="shared"/>
        <v>-0.65790533838242304</v>
      </c>
      <c r="AE8">
        <f si="1" t="shared"/>
        <v>1</v>
      </c>
    </row>
    <row r="9" spans="2:31" x14ac:dyDescent="0.25">
      <c r="B9" s="9" t="s">
        <v>5</v>
      </c>
      <c r="C9" s="11"/>
      <c r="D9" s="11"/>
      <c r="E9" s="11"/>
      <c r="F9" s="11">
        <v>20</v>
      </c>
      <c r="T9" s="32"/>
      <c r="U9" s="34" t="s">
        <v>239</v>
      </c>
      <c r="V9" s="32"/>
      <c r="W9" s="32"/>
      <c r="X9" s="32"/>
      <c r="AA9">
        <f>WorkBasedCoefficients!B17</f>
        <v>54</v>
      </c>
      <c r="AB9" t="str">
        <f>WorkBasedCoefficients!C17</f>
        <v>da-incu25</v>
      </c>
      <c r="AC9" s="56">
        <f>WorkBasedCoefficients!E17</f>
        <v>0.93728873101700005</v>
      </c>
      <c r="AD9" s="57">
        <f si="0" t="shared"/>
        <v>0.93728873101700005</v>
      </c>
      <c r="AE9">
        <f si="1" t="shared"/>
        <v>0</v>
      </c>
    </row>
    <row r="10" spans="2:31" x14ac:dyDescent="0.25">
      <c r="B10" s="9" t="s">
        <v>6</v>
      </c>
      <c r="C10" s="11"/>
      <c r="D10" s="11"/>
      <c r="E10" s="11"/>
      <c r="F10" s="11">
        <v>60</v>
      </c>
      <c r="T10" s="32">
        <v>1</v>
      </c>
      <c r="U10" s="33" t="s">
        <v>244</v>
      </c>
      <c r="V10" s="32"/>
      <c r="W10" s="32"/>
      <c r="X10" s="32"/>
      <c r="AA10">
        <f>WorkBasedCoefficients!B18</f>
        <v>55</v>
      </c>
      <c r="AB10" t="str">
        <f>WorkBasedCoefficients!C18</f>
        <v>da-inc2550</v>
      </c>
      <c r="AC10" s="56">
        <f>WorkBasedCoefficients!E18</f>
        <v>0.37832170423900002</v>
      </c>
      <c r="AD10" s="57">
        <f si="0" t="shared"/>
        <v>0.37832170423900002</v>
      </c>
      <c r="AE10">
        <f si="1" t="shared"/>
        <v>0</v>
      </c>
    </row>
    <row r="11" spans="2:31" x14ac:dyDescent="0.25">
      <c r="B11" s="9" t="s">
        <v>7</v>
      </c>
      <c r="C11" s="11"/>
      <c r="D11" s="11"/>
      <c r="E11" s="11"/>
      <c r="F11" s="11"/>
      <c r="T11" s="32">
        <v>2</v>
      </c>
      <c r="U11" s="32" t="s">
        <v>240</v>
      </c>
      <c r="V11" s="32"/>
      <c r="W11" s="32"/>
      <c r="X11" s="32"/>
      <c r="AA11">
        <f>WorkBasedCoefficients!B19</f>
        <v>58</v>
      </c>
      <c r="AB11" t="str">
        <f>WorkBasedCoefficients!C19</f>
        <v>da-dtowork</v>
      </c>
      <c r="AC11" s="56">
        <f>WorkBasedCoefficients!E19</f>
        <v>1.525502675</v>
      </c>
      <c r="AD11" s="57">
        <f si="0" t="shared"/>
        <v>1.525502675</v>
      </c>
      <c r="AE11">
        <f si="1" t="shared"/>
        <v>0</v>
      </c>
    </row>
    <row r="12" spans="2:31" x14ac:dyDescent="0.25">
      <c r="B12" s="12" t="s">
        <v>8</v>
      </c>
      <c r="C12" s="11"/>
      <c r="D12" s="11"/>
      <c r="E12" s="7"/>
      <c r="F12" s="7"/>
      <c r="T12" s="32">
        <v>3</v>
      </c>
      <c r="U12" s="32" t="s">
        <v>241</v>
      </c>
      <c r="V12" s="32"/>
      <c r="W12" s="32"/>
      <c r="X12" s="32"/>
      <c r="AA12">
        <f>WorkBasedCoefficients!B20</f>
        <v>59</v>
      </c>
      <c r="AB12" t="str">
        <f>WorkBasedCoefficients!C20</f>
        <v>da-stowork</v>
      </c>
      <c r="AC12" s="56">
        <f>WorkBasedCoefficients!E20</f>
        <v>1.09542169222</v>
      </c>
      <c r="AD12" s="57">
        <f si="0" t="shared"/>
        <v>1.09542169222</v>
      </c>
      <c r="AE12">
        <f si="1" t="shared"/>
        <v>0</v>
      </c>
    </row>
    <row r="13" spans="2:31" x14ac:dyDescent="0.25">
      <c r="C13" s="25"/>
      <c r="D13" s="25"/>
      <c r="T13" s="32">
        <v>4</v>
      </c>
      <c r="U13" s="32" t="s">
        <v>242</v>
      </c>
      <c r="V13" s="32"/>
      <c r="W13" s="32"/>
      <c r="X13" s="32"/>
      <c r="AA13" s="29">
        <f>WorkBasedCoefficients!B21</f>
        <v>60</v>
      </c>
      <c r="AB13" s="29" t="str">
        <f>WorkBasedCoefficients!C21</f>
        <v>bi-const</v>
      </c>
      <c r="AC13" s="58">
        <f>WorkBasedCoefficients!E21</f>
        <v>-5.3112477368000004</v>
      </c>
      <c r="AD13" s="57">
        <f si="0" t="shared"/>
        <v>-5.3112477368000004</v>
      </c>
      <c r="AE13">
        <f si="1" t="shared"/>
        <v>0</v>
      </c>
    </row>
    <row r="14" spans="2:31" x14ac:dyDescent="0.25">
      <c r="B14" s="37" t="s">
        <v>337</v>
      </c>
      <c r="T14" s="32">
        <v>5</v>
      </c>
      <c r="U14" s="33" t="s">
        <v>296</v>
      </c>
      <c r="V14" s="32"/>
      <c r="W14" s="32"/>
      <c r="X14" s="32"/>
      <c r="AA14">
        <f>WorkBasedCoefficients!B22</f>
        <v>61</v>
      </c>
      <c r="AB14" t="str">
        <f>WorkBasedCoefficients!C22</f>
        <v>bi-male</v>
      </c>
      <c r="AC14" s="56">
        <f>WorkBasedCoefficients!E22</f>
        <v>0.61526435958699999</v>
      </c>
      <c r="AD14" s="57">
        <f si="0" t="shared"/>
        <v>0.61526435958699999</v>
      </c>
      <c r="AE14">
        <f si="1" t="shared"/>
        <v>0</v>
      </c>
    </row>
    <row r="15" spans="2:31" x14ac:dyDescent="0.25">
      <c r="B15" s="123" t="s">
        <v>293</v>
      </c>
      <c r="C15" s="123"/>
      <c r="D15" s="123"/>
      <c r="E15" s="123"/>
      <c r="F15" s="123"/>
      <c r="H15" s="122" t="s">
        <v>33</v>
      </c>
      <c r="I15" s="122"/>
      <c r="J15" s="122"/>
      <c r="K15" s="122"/>
      <c r="L15" s="122"/>
      <c r="T15" s="32">
        <v>6</v>
      </c>
      <c r="U15" s="32" t="s">
        <v>246</v>
      </c>
      <c r="V15" s="32"/>
      <c r="W15" s="32"/>
      <c r="X15" s="32"/>
      <c r="AA15">
        <f>WorkBasedCoefficients!B23</f>
        <v>69</v>
      </c>
      <c r="AB15" t="str">
        <f>WorkBasedCoefficients!C23</f>
        <v>bi-btowork</v>
      </c>
      <c r="AC15" s="56">
        <f>WorkBasedCoefficients!E23</f>
        <v>3.9685648124399999</v>
      </c>
      <c r="AD15" s="57">
        <f si="0" t="shared"/>
        <v>3.9685648124399999</v>
      </c>
      <c r="AE15">
        <f si="1" t="shared"/>
        <v>0</v>
      </c>
    </row>
    <row ht="15.75" r="16" spans="2:31" thickBot="1" x14ac:dyDescent="0.3">
      <c r="B16" s="5" t="s">
        <v>258</v>
      </c>
      <c r="H16" s="5" t="str">
        <f>B16</f>
        <v>Frequency</v>
      </c>
      <c r="N16" s="5" t="s">
        <v>271</v>
      </c>
      <c r="T16" s="32">
        <v>7</v>
      </c>
      <c r="U16" s="32" t="s">
        <v>237</v>
      </c>
      <c r="V16" s="32"/>
      <c r="W16" s="32"/>
      <c r="X16" s="32"/>
      <c r="AA16" s="29">
        <f>WorkBasedCoefficients!B24</f>
        <v>70</v>
      </c>
      <c r="AB16" s="29" t="str">
        <f>WorkBasedCoefficients!C24</f>
        <v>wk-const</v>
      </c>
      <c r="AC16" s="58">
        <f>WorkBasedCoefficients!E24</f>
        <v>1.6119710051160001</v>
      </c>
      <c r="AD16" s="57">
        <f si="0" t="shared"/>
        <v>1.9451695633762929</v>
      </c>
      <c r="AE16">
        <f si="1" t="shared"/>
        <v>1</v>
      </c>
    </row>
    <row r="17" spans="2:31" x14ac:dyDescent="0.25">
      <c r="B17" s="38" t="s">
        <v>0</v>
      </c>
      <c r="C17" s="39" t="s">
        <v>252</v>
      </c>
      <c r="D17" s="39" t="s">
        <v>247</v>
      </c>
      <c r="E17" s="39" t="s">
        <v>250</v>
      </c>
      <c r="F17" s="39" t="s">
        <v>19</v>
      </c>
      <c r="H17" s="38" t="s">
        <v>0</v>
      </c>
      <c r="I17" s="39" t="s">
        <v>252</v>
      </c>
      <c r="J17" s="39" t="s">
        <v>247</v>
      </c>
      <c r="K17" s="39" t="s">
        <v>250</v>
      </c>
      <c r="L17" s="39" t="s">
        <v>19</v>
      </c>
      <c r="M17" s="36"/>
      <c r="N17" s="38" t="s">
        <v>0</v>
      </c>
      <c r="O17" s="39" t="s">
        <v>252</v>
      </c>
      <c r="P17" s="39" t="s">
        <v>247</v>
      </c>
      <c r="Q17" s="39" t="s">
        <v>250</v>
      </c>
      <c r="R17" s="39" t="s">
        <v>253</v>
      </c>
      <c r="T17" s="32">
        <v>8</v>
      </c>
      <c r="U17" s="32" t="s">
        <v>243</v>
      </c>
      <c r="V17" s="32"/>
      <c r="W17" s="32"/>
      <c r="X17" s="32"/>
      <c r="AA17">
        <f>WorkBasedCoefficients!B25</f>
        <v>79</v>
      </c>
      <c r="AB17" t="str">
        <f>WorkBasedCoefficients!C25</f>
        <v>wk-wtowork</v>
      </c>
      <c r="AC17" s="56">
        <f>WorkBasedCoefficients!E25</f>
        <v>5</v>
      </c>
      <c r="AD17" s="57">
        <f si="0" t="shared"/>
        <v>5</v>
      </c>
      <c r="AE17">
        <f si="1" t="shared"/>
        <v>0</v>
      </c>
    </row>
    <row r="18" spans="2:31" x14ac:dyDescent="0.25">
      <c r="B18" s="9" t="s">
        <v>1</v>
      </c>
      <c r="C18" s="9"/>
      <c r="D18" s="9"/>
      <c r="E18" s="9"/>
      <c r="F18" s="9">
        <f>Workbased!I5</f>
        <v>62652.292434589101</v>
      </c>
      <c r="H18" s="9" t="s">
        <v>1</v>
      </c>
      <c r="I18" s="9"/>
      <c r="J18" s="9"/>
      <c r="K18" s="9"/>
      <c r="L18" s="9">
        <f>Workbased!S5</f>
        <v>64238</v>
      </c>
      <c r="M18" s="9"/>
      <c r="N18" s="9" t="s">
        <v>1</v>
      </c>
      <c r="O18" s="50" t="str">
        <f>IF(ISBLANK(C5),"",C5)</f>
        <v/>
      </c>
      <c r="P18" s="50" t="str">
        <f ref="P18:R25" si="2" t="shared">IF(ISBLANK(D5),"",D5)</f>
        <v/>
      </c>
      <c r="Q18" s="50" t="str">
        <f si="2" t="shared"/>
        <v/>
      </c>
      <c r="R18" s="50">
        <f si="2" t="shared"/>
        <v>50</v>
      </c>
      <c r="AA18" s="29">
        <f>WorkBasedCoefficients!B26</f>
        <v>80</v>
      </c>
      <c r="AB18" s="29" t="str">
        <f>WorkBasedCoefficients!C26</f>
        <v>tnc-const</v>
      </c>
      <c r="AC18" s="58">
        <f>WorkBasedCoefficients!E26</f>
        <v>-4.9248387372289999</v>
      </c>
      <c r="AD18" s="57">
        <f si="0" t="shared"/>
        <v>-5.5376368238832185</v>
      </c>
      <c r="AE18">
        <f si="1" t="shared"/>
        <v>1</v>
      </c>
    </row>
    <row r="19" spans="2:31" x14ac:dyDescent="0.25">
      <c r="B19" s="9" t="s">
        <v>2</v>
      </c>
      <c r="C19" s="9"/>
      <c r="D19" s="9"/>
      <c r="E19" s="9"/>
      <c r="F19" s="9">
        <f>Workbased!I6</f>
        <v>26816.236623172972</v>
      </c>
      <c r="H19" s="9" t="s">
        <v>2</v>
      </c>
      <c r="I19" s="9"/>
      <c r="J19" s="9"/>
      <c r="K19" s="9"/>
      <c r="L19" s="9">
        <f>Workbased!S6</f>
        <v>26092</v>
      </c>
      <c r="M19" s="9"/>
      <c r="N19" s="9" t="s">
        <v>2</v>
      </c>
      <c r="O19" s="11" t="str">
        <f ref="O19:O25" si="3" t="shared">IF(ISBLANK(C6),"",C6)</f>
        <v/>
      </c>
      <c r="P19" s="11" t="str">
        <f si="2" t="shared"/>
        <v/>
      </c>
      <c r="Q19" s="11" t="str">
        <f si="2" t="shared"/>
        <v/>
      </c>
      <c r="R19" s="11">
        <f si="2" t="shared"/>
        <v>40</v>
      </c>
      <c r="T19" s="9"/>
      <c r="AA19">
        <f>WorkBasedCoefficients!B27</f>
        <v>81</v>
      </c>
      <c r="AB19" t="str">
        <f>WorkBasedCoefficients!C27</f>
        <v>tnc-sovtow</v>
      </c>
      <c r="AC19" s="56">
        <f>WorkBasedCoefficients!E27</f>
        <v>0</v>
      </c>
      <c r="AD19" s="57">
        <f si="0" t="shared"/>
        <v>0</v>
      </c>
      <c r="AE19">
        <f si="1" t="shared"/>
        <v>0</v>
      </c>
    </row>
    <row r="20" spans="2:31" x14ac:dyDescent="0.25">
      <c r="B20" s="9" t="s">
        <v>3</v>
      </c>
      <c r="C20" s="9"/>
      <c r="D20" s="9"/>
      <c r="E20" s="9"/>
      <c r="F20" s="9">
        <f>Workbased!I7</f>
        <v>11011.889584007309</v>
      </c>
      <c r="H20" s="9" t="s">
        <v>3</v>
      </c>
      <c r="I20" s="9"/>
      <c r="J20" s="9"/>
      <c r="K20" s="9"/>
      <c r="L20" s="9">
        <f>Workbased!S7</f>
        <v>9695</v>
      </c>
      <c r="M20" s="9"/>
      <c r="N20" s="9" t="s">
        <v>3</v>
      </c>
      <c r="O20" s="11"/>
      <c r="P20" s="11"/>
      <c r="Q20" s="11" t="str">
        <f si="2" t="shared"/>
        <v/>
      </c>
      <c r="R20" s="11">
        <f si="2" t="shared"/>
        <v>30</v>
      </c>
      <c r="T20" s="9"/>
      <c r="AA20">
        <f>WorkBasedCoefficients!B28</f>
        <v>82</v>
      </c>
      <c r="AB20" t="str">
        <f>WorkBasedCoefficients!C28</f>
        <v>tnc-wbktow</v>
      </c>
      <c r="AC20" s="56">
        <f>WorkBasedCoefficients!E28</f>
        <v>0</v>
      </c>
      <c r="AD20" s="57">
        <f si="0" t="shared"/>
        <v>0</v>
      </c>
      <c r="AE20">
        <f si="1" t="shared"/>
        <v>0</v>
      </c>
    </row>
    <row r="21" spans="2:31" x14ac:dyDescent="0.25">
      <c r="B21" s="9" t="s">
        <v>4</v>
      </c>
      <c r="C21" s="9"/>
      <c r="D21" s="9"/>
      <c r="E21" s="9"/>
      <c r="F21" s="9">
        <f>Workbased!I8</f>
        <v>0</v>
      </c>
      <c r="H21" s="9" t="s">
        <v>4</v>
      </c>
      <c r="I21" s="9"/>
      <c r="J21" s="9"/>
      <c r="K21" s="9"/>
      <c r="L21" s="9">
        <f>Workbased!S8</f>
        <v>0</v>
      </c>
      <c r="M21" s="9"/>
      <c r="N21" s="9" t="s">
        <v>4</v>
      </c>
      <c r="O21" s="11" t="str">
        <f si="3" t="shared"/>
        <v/>
      </c>
      <c r="P21" s="11" t="str">
        <f si="2" t="shared"/>
        <v/>
      </c>
      <c r="Q21" s="11" t="str">
        <f si="2" t="shared"/>
        <v/>
      </c>
      <c r="R21" s="11" t="str">
        <f si="2" t="shared"/>
        <v/>
      </c>
      <c r="T21" s="9"/>
      <c r="AA21">
        <f>WorkBasedCoefficients!B29</f>
        <v>83</v>
      </c>
      <c r="AB21" t="str">
        <f>WorkBasedCoefficients!C29</f>
        <v>tnc-und35</v>
      </c>
      <c r="AC21" s="56">
        <f>WorkBasedCoefficients!E29</f>
        <v>0</v>
      </c>
      <c r="AD21" s="57">
        <f si="0" t="shared"/>
        <v>0</v>
      </c>
      <c r="AE21">
        <f si="1" t="shared"/>
        <v>0</v>
      </c>
    </row>
    <row r="22" spans="2:31" x14ac:dyDescent="0.25">
      <c r="B22" s="9" t="s">
        <v>5</v>
      </c>
      <c r="C22" s="9"/>
      <c r="D22" s="9"/>
      <c r="E22" s="9"/>
      <c r="F22" s="9">
        <f>Workbased!I9</f>
        <v>204.8848596430139</v>
      </c>
      <c r="H22" s="9" t="s">
        <v>5</v>
      </c>
      <c r="I22" s="9"/>
      <c r="J22" s="9"/>
      <c r="K22" s="9"/>
      <c r="L22" s="9">
        <f>Workbased!S9</f>
        <v>783</v>
      </c>
      <c r="M22" s="9"/>
      <c r="N22" s="9" t="s">
        <v>5</v>
      </c>
      <c r="O22" s="11" t="str">
        <f si="3" t="shared"/>
        <v/>
      </c>
      <c r="P22" s="11" t="str">
        <f si="2" t="shared"/>
        <v/>
      </c>
      <c r="Q22" s="11" t="str">
        <f si="2" t="shared"/>
        <v/>
      </c>
      <c r="R22" s="11">
        <f si="2" t="shared"/>
        <v>20</v>
      </c>
      <c r="T22" s="9"/>
      <c r="AA22">
        <f>WorkBasedCoefficients!B30</f>
        <v>84</v>
      </c>
      <c r="AB22" t="str">
        <f>WorkBasedCoefficients!C30</f>
        <v>tnc-tnctow</v>
      </c>
      <c r="AC22" s="56">
        <f>WorkBasedCoefficients!E30</f>
        <v>0</v>
      </c>
      <c r="AD22" s="57">
        <f si="0" t="shared"/>
        <v>0</v>
      </c>
      <c r="AE22">
        <f si="1" t="shared"/>
        <v>0</v>
      </c>
    </row>
    <row r="23" spans="2:31" x14ac:dyDescent="0.25">
      <c r="B23" s="9" t="s">
        <v>6</v>
      </c>
      <c r="C23" s="9"/>
      <c r="D23" s="9"/>
      <c r="E23" s="9"/>
      <c r="F23" s="9">
        <f>Workbased!I10</f>
        <v>424.9214798913365</v>
      </c>
      <c r="H23" s="9" t="s">
        <v>6</v>
      </c>
      <c r="I23" s="9"/>
      <c r="J23" s="9"/>
      <c r="K23" s="9"/>
      <c r="L23" s="9">
        <f>Workbased!S10</f>
        <v>207</v>
      </c>
      <c r="M23" s="9"/>
      <c r="N23" s="9" t="s">
        <v>6</v>
      </c>
      <c r="O23" s="11" t="str">
        <f si="3" t="shared"/>
        <v/>
      </c>
      <c r="P23" s="11" t="str">
        <f si="2" t="shared"/>
        <v/>
      </c>
      <c r="Q23" s="11" t="str">
        <f si="2" t="shared"/>
        <v/>
      </c>
      <c r="R23" s="11">
        <f si="2" t="shared"/>
        <v>60</v>
      </c>
      <c r="T23" s="9"/>
      <c r="AA23">
        <f>WorkBasedCoefficients!B31</f>
        <v>85</v>
      </c>
      <c r="AB23" t="str">
        <f>WorkBasedCoefficients!C31</f>
        <v>tnc-odens</v>
      </c>
      <c r="AC23" s="56">
        <f>WorkBasedCoefficients!E31</f>
        <v>0</v>
      </c>
      <c r="AD23" s="57">
        <f si="0" t="shared"/>
        <v>0</v>
      </c>
      <c r="AE23">
        <f si="1" t="shared"/>
        <v>0</v>
      </c>
    </row>
    <row r="24" spans="2:31" x14ac:dyDescent="0.25">
      <c r="B24" s="9" t="s">
        <v>7</v>
      </c>
      <c r="C24" s="9"/>
      <c r="D24" s="9"/>
      <c r="E24" s="9"/>
      <c r="F24" s="9">
        <f>Workbased!I11</f>
        <v>18381.319097118387</v>
      </c>
      <c r="H24" s="9" t="s">
        <v>7</v>
      </c>
      <c r="I24" s="9"/>
      <c r="J24" s="9"/>
      <c r="K24" s="9"/>
      <c r="L24" s="9">
        <f>Workbased!S11</f>
        <v>6417</v>
      </c>
      <c r="M24" s="9"/>
      <c r="N24" s="9" t="s">
        <v>7</v>
      </c>
      <c r="O24" s="11" t="str">
        <f si="3" t="shared"/>
        <v/>
      </c>
      <c r="P24" s="11" t="str">
        <f si="2" t="shared"/>
        <v/>
      </c>
      <c r="Q24" s="11" t="str">
        <f si="2" t="shared"/>
        <v/>
      </c>
      <c r="R24" s="11">
        <v>70</v>
      </c>
      <c r="T24" s="9"/>
      <c r="AA24">
        <f>WorkBasedCoefficients!B32</f>
        <v>86</v>
      </c>
      <c r="AB24" t="str">
        <f>WorkBasedCoefficients!C32</f>
        <v>tnc-incu25</v>
      </c>
      <c r="AC24" s="56">
        <f>WorkBasedCoefficients!E32</f>
        <v>0</v>
      </c>
      <c r="AD24" s="57">
        <f si="0" t="shared"/>
        <v>0</v>
      </c>
      <c r="AE24">
        <f si="1" t="shared"/>
        <v>0</v>
      </c>
    </row>
    <row r="25" spans="2:31" x14ac:dyDescent="0.25">
      <c r="B25" s="84" t="s">
        <v>8</v>
      </c>
      <c r="C25" s="9"/>
      <c r="D25" s="9"/>
      <c r="E25" s="9"/>
      <c r="F25" s="9">
        <v>0</v>
      </c>
      <c r="H25" s="84" t="s">
        <v>8</v>
      </c>
      <c r="I25" s="9"/>
      <c r="J25" s="9"/>
      <c r="K25" s="9"/>
      <c r="L25" s="9">
        <v>0</v>
      </c>
      <c r="M25" s="9"/>
      <c r="N25" s="84" t="s">
        <v>8</v>
      </c>
      <c r="O25" s="108" t="str">
        <f si="3" t="shared"/>
        <v/>
      </c>
      <c r="P25" s="108" t="str">
        <f si="2" t="shared"/>
        <v/>
      </c>
      <c r="Q25" s="108" t="str">
        <f si="2" t="shared"/>
        <v/>
      </c>
      <c r="R25" s="108" t="str">
        <f si="2" t="shared"/>
        <v/>
      </c>
      <c r="T25" s="9"/>
      <c r="AA25">
        <f>WorkBasedCoefficients!B33</f>
        <v>87</v>
      </c>
      <c r="AB25" t="str">
        <f>WorkBasedCoefficients!C33</f>
        <v>tnc-inc100</v>
      </c>
      <c r="AC25" s="56">
        <f>WorkBasedCoefficients!E33</f>
        <v>0</v>
      </c>
      <c r="AD25" s="57">
        <f si="0" t="shared"/>
        <v>0</v>
      </c>
      <c r="AE25">
        <f si="1" t="shared"/>
        <v>0</v>
      </c>
    </row>
    <row r="26" spans="2:31" x14ac:dyDescent="0.25">
      <c r="B26" s="105" t="s">
        <v>302</v>
      </c>
      <c r="F26" s="9">
        <f>Workbased!I12</f>
        <v>0</v>
      </c>
      <c r="H26" s="105" t="s">
        <v>302</v>
      </c>
      <c r="L26" s="9">
        <f>Workbased!S12</f>
        <v>0</v>
      </c>
      <c r="M26" s="9"/>
      <c r="N26" s="109" t="s">
        <v>302</v>
      </c>
      <c r="O26" s="6"/>
      <c r="P26" s="6"/>
      <c r="Q26" s="6"/>
      <c r="R26" s="7">
        <v>80</v>
      </c>
      <c r="T26" s="9"/>
      <c r="AA26">
        <f>WorkBasedCoefficients!B34</f>
        <v>88</v>
      </c>
      <c r="AB26" t="str">
        <f>WorkBasedCoefficients!C34</f>
        <v>sr-dtowork</v>
      </c>
      <c r="AC26" s="56">
        <f>WorkBasedCoefficients!E34</f>
        <v>0.89071022684599999</v>
      </c>
      <c r="AD26" s="57">
        <f si="0" t="shared"/>
        <v>0.89071022684599999</v>
      </c>
      <c r="AE26">
        <f si="1" t="shared"/>
        <v>0</v>
      </c>
    </row>
    <row ht="15.75" r="27" spans="2:31" thickBot="1" x14ac:dyDescent="0.3">
      <c r="B27" s="43" t="s">
        <v>19</v>
      </c>
      <c r="C27" s="43">
        <f>SUM(C18:C25)</f>
        <v>0</v>
      </c>
      <c r="D27" s="43">
        <f>SUM(D18:D25)</f>
        <v>0</v>
      </c>
      <c r="E27" s="43">
        <f>SUM(E18:E25)</f>
        <v>0</v>
      </c>
      <c r="F27" s="43">
        <f>SUM(F18:F26)</f>
        <v>119491.54407842213</v>
      </c>
      <c r="H27" s="43" t="s">
        <v>19</v>
      </c>
      <c r="I27" s="43">
        <f>SUM(I18:I25)</f>
        <v>0</v>
      </c>
      <c r="J27" s="43">
        <f>SUM(J18:J25)</f>
        <v>0</v>
      </c>
      <c r="K27" s="43">
        <f>SUM(K18:K25)</f>
        <v>0</v>
      </c>
      <c r="L27" s="43">
        <f>SUM(L18:L26)</f>
        <v>107432</v>
      </c>
      <c r="AA27">
        <f>WorkBasedCoefficients!B35</f>
        <v>89</v>
      </c>
      <c r="AB27" t="str">
        <f>WorkBasedCoefficients!C35</f>
        <v>sr-stowork</v>
      </c>
      <c r="AC27" s="56">
        <f>WorkBasedCoefficients!E35</f>
        <v>1.2544536394100001</v>
      </c>
      <c r="AD27" s="57">
        <f si="0" t="shared"/>
        <v>1.2544536394100001</v>
      </c>
      <c r="AE27">
        <f si="1" t="shared"/>
        <v>0</v>
      </c>
    </row>
    <row r="28" spans="2:31" x14ac:dyDescent="0.25">
      <c r="F28" s="9"/>
      <c r="AA28">
        <f>WorkBasedCoefficients!B36</f>
        <v>99</v>
      </c>
      <c r="AB28" t="str">
        <f>WorkBasedCoefficients!C36</f>
        <v>modenest</v>
      </c>
      <c r="AC28" s="56">
        <f>WorkBasedCoefficients!E36</f>
        <v>1</v>
      </c>
      <c r="AD28" s="57">
        <f si="0" t="shared"/>
        <v>1</v>
      </c>
      <c r="AE28">
        <f si="1" t="shared"/>
        <v>0</v>
      </c>
    </row>
    <row ht="15.75" r="29" spans="2:31" thickBot="1" x14ac:dyDescent="0.3">
      <c r="B29" s="37" t="s">
        <v>267</v>
      </c>
      <c r="H29" s="37" t="s">
        <v>268</v>
      </c>
      <c r="N29" s="23" t="s">
        <v>257</v>
      </c>
      <c r="T29" t="s">
        <v>270</v>
      </c>
      <c r="AC29" s="56"/>
      <c r="AD29" s="56"/>
    </row>
    <row r="30" spans="2:31" x14ac:dyDescent="0.25">
      <c r="B30" s="38" t="s">
        <v>0</v>
      </c>
      <c r="C30" s="39" t="s">
        <v>252</v>
      </c>
      <c r="D30" s="39" t="s">
        <v>247</v>
      </c>
      <c r="E30" s="39" t="str">
        <f>E17</f>
        <v>cars &lt; workers</v>
      </c>
      <c r="F30" s="39" t="s">
        <v>19</v>
      </c>
      <c r="H30" s="38" t="s">
        <v>0</v>
      </c>
      <c r="I30" s="39" t="s">
        <v>252</v>
      </c>
      <c r="J30" s="39" t="s">
        <v>247</v>
      </c>
      <c r="K30" s="39" t="s">
        <v>250</v>
      </c>
      <c r="L30" s="39" t="s">
        <v>19</v>
      </c>
      <c r="M30" s="36"/>
      <c r="N30" s="38" t="s">
        <v>0</v>
      </c>
      <c r="O30" s="39" t="s">
        <v>252</v>
      </c>
      <c r="P30" s="39" t="s">
        <v>247</v>
      </c>
      <c r="Q30" s="39" t="s">
        <v>250</v>
      </c>
      <c r="R30" s="39" t="s">
        <v>253</v>
      </c>
      <c r="T30" s="39" t="s">
        <v>59</v>
      </c>
      <c r="U30" s="39" t="s">
        <v>60</v>
      </c>
      <c r="V30" s="39" t="s">
        <v>213</v>
      </c>
      <c r="AC30" s="56"/>
      <c r="AD30" s="56"/>
    </row>
    <row r="31" spans="2:31" x14ac:dyDescent="0.25">
      <c r="B31" s="9" t="s">
        <v>1</v>
      </c>
      <c r="C31" s="35"/>
      <c r="D31" s="35"/>
      <c r="E31" s="35"/>
      <c r="F31" s="35">
        <f ref="F31:F40" si="4" t="shared">$F18/F$27</f>
        <v>0.52432406759653627</v>
      </c>
      <c r="H31" s="9" t="s">
        <v>1</v>
      </c>
      <c r="I31" s="26"/>
      <c r="J31" s="26"/>
      <c r="K31" s="26"/>
      <c r="L31" s="26">
        <f ref="L31:L40" si="5" t="shared">$L18/L$27</f>
        <v>0.59794102315883535</v>
      </c>
      <c r="M31" s="26"/>
      <c r="N31" s="9" t="s">
        <v>1</v>
      </c>
      <c r="O31" s="40"/>
      <c r="P31" s="40"/>
      <c r="Q31" s="40"/>
      <c r="R31" s="40">
        <f ref="R31:R38" si="6" t="shared">IF(R18="","-",F31/L31)</f>
        <v>0.87688258087161941</v>
      </c>
      <c r="T31">
        <v>20</v>
      </c>
      <c r="U31" t="str">
        <f ref="U31:U36" si="7" t="shared">VLOOKUP(T31,$AA$3:$AB$48,2,FALSE)</f>
        <v>wt-const</v>
      </c>
      <c r="V31" s="30">
        <f>R86</f>
        <v>-3.7945512223748139</v>
      </c>
      <c r="AC31" s="56"/>
      <c r="AD31" s="56"/>
    </row>
    <row r="32" spans="2:31" x14ac:dyDescent="0.25">
      <c r="B32" s="9" t="s">
        <v>2</v>
      </c>
      <c r="C32" s="35"/>
      <c r="D32" s="35"/>
      <c r="E32" s="35"/>
      <c r="F32" s="35">
        <f si="4" t="shared"/>
        <v>0.22441953386737989</v>
      </c>
      <c r="H32" s="9" t="s">
        <v>2</v>
      </c>
      <c r="I32" s="26"/>
      <c r="J32" s="26"/>
      <c r="K32" s="26"/>
      <c r="L32" s="26">
        <f si="5" t="shared"/>
        <v>0.24286990840717848</v>
      </c>
      <c r="M32" s="26"/>
      <c r="N32" s="9" t="s">
        <v>2</v>
      </c>
      <c r="O32" s="41"/>
      <c r="P32" s="41"/>
      <c r="Q32" s="41"/>
      <c r="R32" s="41">
        <f si="6" t="shared"/>
        <v>0.92403186273341864</v>
      </c>
      <c r="T32">
        <v>30</v>
      </c>
      <c r="U32" t="str">
        <f si="7" t="shared"/>
        <v>s3-const</v>
      </c>
      <c r="V32" s="30">
        <f>R84</f>
        <v>-2.4967006637118461</v>
      </c>
      <c r="AC32" s="56"/>
      <c r="AD32" s="56"/>
    </row>
    <row r="33" spans="2:30" x14ac:dyDescent="0.25">
      <c r="B33" s="9" t="s">
        <v>3</v>
      </c>
      <c r="C33" s="35"/>
      <c r="D33" s="35"/>
      <c r="E33" s="35"/>
      <c r="F33" s="35">
        <f si="4" t="shared"/>
        <v>9.2156224684654023E-2</v>
      </c>
      <c r="H33" s="9" t="s">
        <v>3</v>
      </c>
      <c r="I33" s="26"/>
      <c r="J33" s="26"/>
      <c r="K33" s="26"/>
      <c r="L33" s="26">
        <f si="5" t="shared"/>
        <v>9.0243130538387076E-2</v>
      </c>
      <c r="M33" s="26"/>
      <c r="N33" s="9" t="s">
        <v>3</v>
      </c>
      <c r="O33" s="41"/>
      <c r="P33" s="41"/>
      <c r="Q33" s="41"/>
      <c r="R33" s="41">
        <f si="6" t="shared"/>
        <v>1.0211993326788809</v>
      </c>
      <c r="T33">
        <v>40</v>
      </c>
      <c r="U33" t="str">
        <f si="7" t="shared"/>
        <v>s2-const</v>
      </c>
      <c r="V33" s="30">
        <f>R83</f>
        <v>-1.8679914627434868</v>
      </c>
      <c r="AC33" s="56"/>
      <c r="AD33" s="56"/>
    </row>
    <row r="34" spans="2:30" x14ac:dyDescent="0.25">
      <c r="B34" s="9" t="s">
        <v>4</v>
      </c>
      <c r="C34" s="35"/>
      <c r="D34" s="35"/>
      <c r="E34" s="35"/>
      <c r="F34" s="35">
        <f si="4" t="shared"/>
        <v>0</v>
      </c>
      <c r="H34" s="9" t="s">
        <v>4</v>
      </c>
      <c r="I34" s="26"/>
      <c r="J34" s="26"/>
      <c r="K34" s="26"/>
      <c r="L34" s="26">
        <f si="5" t="shared"/>
        <v>0</v>
      </c>
      <c r="M34" s="26"/>
      <c r="N34" s="9" t="s">
        <v>4</v>
      </c>
      <c r="O34" s="41"/>
      <c r="P34" s="41"/>
      <c r="Q34" s="41"/>
      <c r="R34" s="41" t="str">
        <f si="6" t="shared"/>
        <v>-</v>
      </c>
      <c r="T34">
        <v>50</v>
      </c>
      <c r="U34" t="str">
        <f si="7" t="shared"/>
        <v>da-const</v>
      </c>
      <c r="V34" s="30">
        <f>R82</f>
        <v>-0.65790533838242304</v>
      </c>
      <c r="AC34" s="56"/>
      <c r="AD34" s="56"/>
    </row>
    <row r="35" spans="2:30" x14ac:dyDescent="0.25">
      <c r="B35" s="9" t="s">
        <v>5</v>
      </c>
      <c r="C35" s="35"/>
      <c r="D35" s="35"/>
      <c r="E35" s="35"/>
      <c r="F35" s="81">
        <f si="4" t="shared"/>
        <v>1.7146389832283719E-3</v>
      </c>
      <c r="H35" s="9" t="s">
        <v>5</v>
      </c>
      <c r="I35" s="26"/>
      <c r="J35" s="26"/>
      <c r="K35" s="26"/>
      <c r="L35" s="13">
        <f si="5" t="shared"/>
        <v>7.2883312234715914E-3</v>
      </c>
      <c r="M35" s="26"/>
      <c r="N35" s="9" t="s">
        <v>5</v>
      </c>
      <c r="O35" s="41"/>
      <c r="P35" s="41"/>
      <c r="Q35" s="41"/>
      <c r="R35" s="41">
        <f si="6" t="shared"/>
        <v>0.23525810376269532</v>
      </c>
      <c r="T35" s="95">
        <v>60</v>
      </c>
      <c r="U35" s="95" t="str">
        <f si="7" t="shared"/>
        <v>bi-const</v>
      </c>
      <c r="V35" s="113">
        <f>R87</f>
        <v>-5.3112477368000004</v>
      </c>
      <c r="AC35" s="56"/>
      <c r="AD35" s="56"/>
    </row>
    <row r="36" spans="2:30" x14ac:dyDescent="0.25">
      <c r="B36" s="9" t="s">
        <v>6</v>
      </c>
      <c r="C36" s="35"/>
      <c r="D36" s="35"/>
      <c r="E36" s="35"/>
      <c r="F36" s="35">
        <f si="4" t="shared"/>
        <v>3.5560799148470386E-3</v>
      </c>
      <c r="H36" s="9" t="s">
        <v>6</v>
      </c>
      <c r="I36" s="26"/>
      <c r="J36" s="26"/>
      <c r="K36" s="26"/>
      <c r="L36" s="26">
        <f si="5" t="shared"/>
        <v>1.9268002085039838E-3</v>
      </c>
      <c r="M36" s="26"/>
      <c r="N36" s="9" t="s">
        <v>6</v>
      </c>
      <c r="O36" s="41"/>
      <c r="P36" s="41"/>
      <c r="Q36" s="41"/>
      <c r="R36" s="41">
        <f si="6" t="shared"/>
        <v>1.8455882966755897</v>
      </c>
      <c r="T36" s="96">
        <v>70</v>
      </c>
      <c r="U36" s="96" t="str">
        <f si="7" t="shared"/>
        <v>wk-const</v>
      </c>
      <c r="V36" s="30">
        <f>R88</f>
        <v>1.9451695633762929</v>
      </c>
      <c r="AC36" s="56"/>
      <c r="AD36" s="56"/>
    </row>
    <row r="37" spans="2:30" x14ac:dyDescent="0.25">
      <c r="B37" s="9" t="s">
        <v>7</v>
      </c>
      <c r="C37" s="35"/>
      <c r="D37" s="35"/>
      <c r="E37" s="35"/>
      <c r="F37" s="35">
        <f si="4" t="shared"/>
        <v>0.15382945495335429</v>
      </c>
      <c r="H37" s="9" t="s">
        <v>7</v>
      </c>
      <c r="I37" s="26"/>
      <c r="J37" s="26"/>
      <c r="K37" s="26"/>
      <c r="L37" s="26">
        <f si="5" t="shared"/>
        <v>5.9730806463623498E-2</v>
      </c>
      <c r="M37" s="26"/>
      <c r="N37" s="9" t="s">
        <v>7</v>
      </c>
      <c r="O37" s="41"/>
      <c r="P37" s="41"/>
      <c r="Q37" s="41"/>
      <c r="R37" s="41">
        <f si="6" t="shared"/>
        <v>2.5753788381718494</v>
      </c>
      <c r="T37" s="114">
        <v>80</v>
      </c>
      <c r="U37" s="114" t="str">
        <f>VLOOKUP(T37,$AA$3:$AB$48,2,FALSE)</f>
        <v>tnc-const</v>
      </c>
      <c r="V37" s="55">
        <f>R90</f>
        <v>-5.5376368238832185</v>
      </c>
      <c r="AC37" s="56"/>
      <c r="AD37" s="56"/>
    </row>
    <row r="38" spans="2:30" x14ac:dyDescent="0.25">
      <c r="B38" s="84" t="s">
        <v>8</v>
      </c>
      <c r="C38" s="35"/>
      <c r="D38" s="35"/>
      <c r="E38" s="35"/>
      <c r="F38" s="35">
        <f si="4" t="shared"/>
        <v>0</v>
      </c>
      <c r="H38" s="84" t="s">
        <v>8</v>
      </c>
      <c r="I38" s="26"/>
      <c r="J38" s="26"/>
      <c r="K38" s="26"/>
      <c r="L38" s="26">
        <f si="5" t="shared"/>
        <v>0</v>
      </c>
      <c r="M38" s="26"/>
      <c r="N38" s="84" t="s">
        <v>8</v>
      </c>
      <c r="O38" s="110"/>
      <c r="P38" s="110"/>
      <c r="Q38" s="110"/>
      <c r="R38" s="110" t="str">
        <f si="6" t="shared"/>
        <v>-</v>
      </c>
      <c r="AC38" s="56"/>
      <c r="AD38" s="56"/>
    </row>
    <row r="39" spans="2:30" x14ac:dyDescent="0.25">
      <c r="B39" s="105" t="s">
        <v>302</v>
      </c>
      <c r="F39" s="35">
        <f si="4" t="shared"/>
        <v>0</v>
      </c>
      <c r="H39" s="105" t="s">
        <v>302</v>
      </c>
      <c r="L39" s="26">
        <f si="5" t="shared"/>
        <v>0</v>
      </c>
      <c r="N39" s="109" t="s">
        <v>302</v>
      </c>
      <c r="O39" s="6"/>
      <c r="P39" s="6"/>
      <c r="Q39" s="6"/>
      <c r="R39" s="42">
        <f>IFERROR(IF(R26="","-",F39/L39),1)</f>
        <v>1</v>
      </c>
      <c r="AC39" s="56"/>
      <c r="AD39" s="56"/>
    </row>
    <row ht="15.75" r="40" spans="2:30" thickBot="1" x14ac:dyDescent="0.3">
      <c r="B40" s="43" t="s">
        <v>19</v>
      </c>
      <c r="C40" s="44">
        <f>SUM(C31:C38)</f>
        <v>0</v>
      </c>
      <c r="D40" s="44">
        <f>SUM(D31:D38)</f>
        <v>0</v>
      </c>
      <c r="E40" s="44">
        <f>SUM(E31:E38)</f>
        <v>0</v>
      </c>
      <c r="F40" s="44">
        <f si="4" t="shared"/>
        <v>1</v>
      </c>
      <c r="H40" s="43" t="s">
        <v>19</v>
      </c>
      <c r="I40" s="45">
        <f>SUM(I31:I38)</f>
        <v>0</v>
      </c>
      <c r="J40" s="45">
        <f>SUM(J31:J38)</f>
        <v>0</v>
      </c>
      <c r="K40" s="45">
        <f>SUM(K31:K38)</f>
        <v>0</v>
      </c>
      <c r="L40" s="45">
        <f si="5" t="shared"/>
        <v>1</v>
      </c>
      <c r="M40" s="26"/>
      <c r="N40" s="9" t="s">
        <v>272</v>
      </c>
      <c r="AC40" s="56"/>
      <c r="AD40" s="56"/>
    </row>
    <row r="41" spans="2:30" x14ac:dyDescent="0.25">
      <c r="AC41" s="56"/>
      <c r="AD41" s="56"/>
    </row>
    <row ht="15.75" r="42" spans="2:30" thickBot="1" x14ac:dyDescent="0.3">
      <c r="N42" s="23" t="s">
        <v>269</v>
      </c>
      <c r="AC42" s="56"/>
      <c r="AD42" s="56"/>
    </row>
    <row r="43" spans="2:30" x14ac:dyDescent="0.25">
      <c r="N43" s="38" t="s">
        <v>0</v>
      </c>
      <c r="O43" s="39" t="s">
        <v>252</v>
      </c>
      <c r="P43" s="39" t="s">
        <v>247</v>
      </c>
      <c r="Q43" s="39" t="s">
        <v>250</v>
      </c>
      <c r="R43" s="39" t="s">
        <v>253</v>
      </c>
      <c r="AC43" s="56"/>
      <c r="AD43" s="56"/>
    </row>
    <row r="44" spans="2:30" x14ac:dyDescent="0.25">
      <c r="N44" s="9" t="s">
        <v>1</v>
      </c>
      <c r="O44" s="51"/>
      <c r="P44" s="51"/>
      <c r="Q44" s="51"/>
      <c r="R44" s="51">
        <f ref="R44:R52" si="8" t="shared">IF(R18="","-",IF(R31&gt;0,LN(R31),0))</f>
        <v>-0.13138218283520492</v>
      </c>
      <c r="AC44" s="56"/>
      <c r="AD44" s="56"/>
    </row>
    <row r="45" spans="2:30" x14ac:dyDescent="0.25">
      <c r="B45" s="23"/>
      <c r="N45" s="9" t="s">
        <v>2</v>
      </c>
      <c r="O45" s="52"/>
      <c r="P45" s="52"/>
      <c r="Q45" s="52"/>
      <c r="R45" s="52">
        <f si="8" t="shared"/>
        <v>-7.9008724457268545E-2</v>
      </c>
      <c r="AC45" s="56"/>
      <c r="AD45" s="56"/>
    </row>
    <row r="46" spans="2:30" x14ac:dyDescent="0.25">
      <c r="C46" s="11"/>
      <c r="D46" s="11"/>
      <c r="E46" s="11"/>
      <c r="N46" s="9" t="s">
        <v>3</v>
      </c>
      <c r="O46" s="52"/>
      <c r="P46" s="52"/>
      <c r="Q46" s="52"/>
      <c r="R46" s="52">
        <f si="8" t="shared"/>
        <v>2.0977752917372298E-2</v>
      </c>
      <c r="V46" s="30"/>
      <c r="AC46" s="56"/>
      <c r="AD46" s="56"/>
    </row>
    <row r="47" spans="2:30" x14ac:dyDescent="0.25">
      <c r="B47" s="9"/>
      <c r="C47" s="11"/>
      <c r="D47" s="11"/>
      <c r="E47" s="11"/>
      <c r="N47" s="9" t="s">
        <v>4</v>
      </c>
      <c r="O47" s="52"/>
      <c r="P47" s="52"/>
      <c r="Q47" s="52"/>
      <c r="R47" s="52" t="str">
        <f si="8" t="shared"/>
        <v>-</v>
      </c>
      <c r="V47" s="30"/>
      <c r="AC47" s="56"/>
      <c r="AD47" s="56"/>
    </row>
    <row r="48" spans="2:30" x14ac:dyDescent="0.25">
      <c r="B48" s="9"/>
      <c r="C48" s="11"/>
      <c r="D48" s="11"/>
      <c r="E48" s="11"/>
      <c r="N48" s="9" t="s">
        <v>5</v>
      </c>
      <c r="O48" s="52"/>
      <c r="P48" s="52"/>
      <c r="Q48" s="52"/>
      <c r="R48" s="52">
        <f si="8" t="shared"/>
        <v>-1.4470720536595958</v>
      </c>
      <c r="V48" s="30"/>
      <c r="AC48" s="56"/>
      <c r="AD48" s="56"/>
    </row>
    <row r="49" spans="2:22" x14ac:dyDescent="0.25">
      <c r="B49" s="9"/>
      <c r="C49" s="11"/>
      <c r="D49" s="11"/>
      <c r="E49" s="11"/>
      <c r="N49" s="9" t="s">
        <v>6</v>
      </c>
      <c r="O49" s="52"/>
      <c r="P49" s="52"/>
      <c r="Q49" s="52"/>
      <c r="R49" s="52">
        <f si="8" t="shared"/>
        <v>0.6127980866542182</v>
      </c>
      <c r="V49" s="30"/>
    </row>
    <row r="50" spans="2:22" x14ac:dyDescent="0.25">
      <c r="B50" s="9"/>
      <c r="C50" s="11"/>
      <c r="D50" s="11"/>
      <c r="E50" s="11"/>
      <c r="N50" s="9" t="s">
        <v>7</v>
      </c>
      <c r="O50" s="52"/>
      <c r="P50" s="52"/>
      <c r="Q50" s="52"/>
      <c r="R50" s="52">
        <f si="8" t="shared"/>
        <v>0.94599664491451096</v>
      </c>
      <c r="V50" s="30"/>
    </row>
    <row r="51" spans="2:22" x14ac:dyDescent="0.25">
      <c r="B51" s="9"/>
      <c r="C51" s="11"/>
      <c r="D51" s="11"/>
      <c r="E51" s="11"/>
      <c r="N51" s="84" t="s">
        <v>8</v>
      </c>
      <c r="O51" s="111"/>
      <c r="P51" s="111"/>
      <c r="Q51" s="111"/>
      <c r="R51" s="111" t="str">
        <f si="8" t="shared"/>
        <v>-</v>
      </c>
    </row>
    <row r="52" spans="2:22" x14ac:dyDescent="0.25">
      <c r="B52" s="9"/>
      <c r="C52" s="11"/>
      <c r="D52" s="11"/>
      <c r="E52" s="11"/>
      <c r="N52" s="109" t="s">
        <v>302</v>
      </c>
      <c r="O52" s="6"/>
      <c r="P52" s="6"/>
      <c r="Q52" s="6"/>
      <c r="R52" s="53">
        <f si="8" t="shared"/>
        <v>0</v>
      </c>
    </row>
    <row r="53" spans="2:22" x14ac:dyDescent="0.25">
      <c r="B53" s="9"/>
      <c r="C53" s="11"/>
      <c r="D53" s="11"/>
      <c r="E53" s="11"/>
    </row>
    <row r="54" spans="2:22" x14ac:dyDescent="0.25">
      <c r="B54" s="9"/>
      <c r="P54" t="s">
        <v>259</v>
      </c>
      <c r="Q54" s="54">
        <v>1</v>
      </c>
    </row>
    <row ht="15.75" r="55" spans="2:22" thickBot="1" x14ac:dyDescent="0.3">
      <c r="B55" s="23"/>
      <c r="N55" s="23" t="s">
        <v>211</v>
      </c>
    </row>
    <row r="56" spans="2:22" x14ac:dyDescent="0.25">
      <c r="C56" s="11"/>
      <c r="D56" s="11"/>
      <c r="E56" s="11"/>
      <c r="N56" s="2" t="s">
        <v>0</v>
      </c>
      <c r="O56" s="39" t="str">
        <f>O43</f>
        <v>nocars</v>
      </c>
      <c r="P56" s="39" t="str">
        <f>P43</f>
        <v>cars &lt; adults</v>
      </c>
      <c r="Q56" s="39" t="str">
        <f>Q43</f>
        <v>cars &lt; workers</v>
      </c>
      <c r="R56" s="64" t="str">
        <f>R43</f>
        <v>constant</v>
      </c>
    </row>
    <row r="57" spans="2:22" x14ac:dyDescent="0.25">
      <c r="B57" s="9"/>
      <c r="C57" s="11"/>
      <c r="D57" s="11"/>
      <c r="E57" s="11"/>
      <c r="N57" s="9" t="s">
        <v>1</v>
      </c>
      <c r="O57" s="47"/>
      <c r="P57" s="47"/>
      <c r="Q57" s="47"/>
      <c r="R57" s="47">
        <f ref="R57:R65" si="9" t="shared">IF(R18="","-",$Q$54*(R44-$R$49))</f>
        <v>-0.74418026948942306</v>
      </c>
    </row>
    <row r="58" spans="2:22" x14ac:dyDescent="0.25">
      <c r="B58" s="9"/>
      <c r="C58" s="46"/>
      <c r="D58" s="46"/>
      <c r="E58" s="46"/>
      <c r="N58" s="9" t="s">
        <v>2</v>
      </c>
      <c r="O58" s="48"/>
      <c r="P58" s="48"/>
      <c r="Q58" s="48"/>
      <c r="R58" s="48">
        <f si="9" t="shared"/>
        <v>-0.69180681111148679</v>
      </c>
    </row>
    <row r="59" spans="2:22" x14ac:dyDescent="0.25">
      <c r="B59" s="9"/>
      <c r="C59" s="46"/>
      <c r="D59" s="46"/>
      <c r="E59" s="46"/>
      <c r="N59" s="9" t="s">
        <v>3</v>
      </c>
      <c r="O59" s="48"/>
      <c r="P59" s="48"/>
      <c r="Q59" s="48"/>
      <c r="R59" s="48">
        <f si="9" t="shared"/>
        <v>-0.59182033373684595</v>
      </c>
    </row>
    <row r="60" spans="2:22" x14ac:dyDescent="0.25">
      <c r="B60" s="9"/>
      <c r="C60" s="11"/>
      <c r="D60" s="11"/>
      <c r="E60" s="11"/>
      <c r="N60" s="9" t="s">
        <v>4</v>
      </c>
      <c r="O60" s="48"/>
      <c r="P60" s="48"/>
      <c r="Q60" s="48"/>
      <c r="R60" s="48" t="str">
        <f si="9" t="shared"/>
        <v>-</v>
      </c>
    </row>
    <row r="61" spans="2:22" x14ac:dyDescent="0.25">
      <c r="B61" s="9"/>
      <c r="C61" s="11"/>
      <c r="D61" s="11"/>
      <c r="E61" s="11"/>
      <c r="N61" s="9" t="s">
        <v>5</v>
      </c>
      <c r="O61" s="48"/>
      <c r="P61" s="48"/>
      <c r="Q61" s="48"/>
      <c r="R61" s="48">
        <f si="9" t="shared"/>
        <v>-2.059870140313814</v>
      </c>
    </row>
    <row r="62" spans="2:22" x14ac:dyDescent="0.25">
      <c r="B62" s="9"/>
      <c r="C62" s="11"/>
      <c r="D62" s="11"/>
      <c r="E62" s="11"/>
      <c r="N62" s="9" t="s">
        <v>6</v>
      </c>
      <c r="O62" s="48"/>
      <c r="P62" s="48"/>
      <c r="Q62" s="48"/>
      <c r="R62" s="48">
        <f si="9" t="shared"/>
        <v>0</v>
      </c>
    </row>
    <row r="63" spans="2:22" x14ac:dyDescent="0.25">
      <c r="B63" s="9"/>
      <c r="C63" s="11"/>
      <c r="D63" s="11"/>
      <c r="E63" s="11"/>
      <c r="N63" s="9" t="s">
        <v>7</v>
      </c>
      <c r="O63" s="48"/>
      <c r="P63" s="48"/>
      <c r="Q63" s="48"/>
      <c r="R63" s="48">
        <f si="9" t="shared"/>
        <v>0.33319855826029277</v>
      </c>
    </row>
    <row r="64" spans="2:22" x14ac:dyDescent="0.25">
      <c r="B64" s="9"/>
      <c r="C64" s="11"/>
      <c r="D64" s="11"/>
      <c r="E64" s="11"/>
      <c r="N64" s="84" t="s">
        <v>8</v>
      </c>
      <c r="O64" s="112"/>
      <c r="P64" s="112"/>
      <c r="Q64" s="112"/>
      <c r="R64" s="112" t="str">
        <f si="9" t="shared"/>
        <v>-</v>
      </c>
    </row>
    <row r="65" spans="2:18" x14ac:dyDescent="0.25">
      <c r="B65" s="9"/>
      <c r="C65" s="11"/>
      <c r="D65" s="11"/>
      <c r="E65" s="11"/>
      <c r="N65" s="109" t="s">
        <v>302</v>
      </c>
      <c r="O65" s="6"/>
      <c r="P65" s="6"/>
      <c r="Q65" s="6"/>
      <c r="R65" s="49">
        <f si="9" t="shared"/>
        <v>-0.6127980866542182</v>
      </c>
    </row>
    <row r="66" spans="2:18" x14ac:dyDescent="0.25">
      <c r="N66" s="9" t="s">
        <v>273</v>
      </c>
    </row>
    <row r="67" spans="2:18" x14ac:dyDescent="0.25">
      <c r="B67" s="23"/>
    </row>
    <row ht="15.75" r="68" spans="2:18" thickBot="1" x14ac:dyDescent="0.3">
      <c r="C68" s="11"/>
      <c r="D68" s="11"/>
      <c r="E68" s="11"/>
      <c r="N68" s="37" t="s">
        <v>212</v>
      </c>
    </row>
    <row r="69" spans="2:18" x14ac:dyDescent="0.25">
      <c r="B69" s="9"/>
      <c r="C69" s="11"/>
      <c r="D69" s="11"/>
      <c r="E69" s="11"/>
      <c r="N69" s="2" t="s">
        <v>0</v>
      </c>
      <c r="O69" s="39" t="str">
        <f>O43</f>
        <v>nocars</v>
      </c>
      <c r="P69" s="39" t="str">
        <f>P43</f>
        <v>cars &lt; adults</v>
      </c>
      <c r="Q69" s="39" t="str">
        <f>Q43</f>
        <v>cars &lt; workers</v>
      </c>
      <c r="R69" s="39" t="str">
        <f>R43</f>
        <v>constant</v>
      </c>
    </row>
    <row r="70" spans="2:18" x14ac:dyDescent="0.25">
      <c r="B70" s="9"/>
      <c r="C70" s="46"/>
      <c r="D70" s="11"/>
      <c r="E70" s="11"/>
      <c r="N70" s="9" t="s">
        <v>1</v>
      </c>
      <c r="O70" s="47" t="str">
        <f ref="O70:R78" si="10" t="shared">IFERROR(VLOOKUP(O18,$AA$3:$AC$48,3,FALSE),"-")</f>
        <v>-</v>
      </c>
      <c r="P70" s="47" t="str">
        <f si="10" t="shared"/>
        <v>-</v>
      </c>
      <c r="Q70" s="47" t="str">
        <f si="10" t="shared"/>
        <v>-</v>
      </c>
      <c r="R70" s="47">
        <f si="10" t="shared"/>
        <v>8.6274931107000005E-2</v>
      </c>
    </row>
    <row r="71" spans="2:18" x14ac:dyDescent="0.25">
      <c r="B71" s="9"/>
      <c r="C71" s="46"/>
      <c r="D71" s="11"/>
      <c r="E71" s="11"/>
      <c r="N71" s="9" t="s">
        <v>2</v>
      </c>
      <c r="O71" s="48" t="str">
        <f si="10" t="shared"/>
        <v>-</v>
      </c>
      <c r="P71" s="48" t="str">
        <f si="10" t="shared"/>
        <v>-</v>
      </c>
      <c r="Q71" s="48" t="str">
        <f si="10" t="shared"/>
        <v>-</v>
      </c>
      <c r="R71" s="48">
        <f si="10" t="shared"/>
        <v>-1.176184651632</v>
      </c>
    </row>
    <row r="72" spans="2:18" x14ac:dyDescent="0.25">
      <c r="B72" s="9"/>
      <c r="C72" s="11"/>
      <c r="D72" s="11"/>
      <c r="E72" s="11"/>
      <c r="N72" s="9" t="s">
        <v>3</v>
      </c>
      <c r="O72" s="48" t="str">
        <f si="10" t="shared"/>
        <v>-</v>
      </c>
      <c r="P72" s="48" t="str">
        <f si="10" t="shared"/>
        <v>-</v>
      </c>
      <c r="Q72" s="48" t="str">
        <f si="10" t="shared"/>
        <v>-</v>
      </c>
      <c r="R72" s="48">
        <f si="10" t="shared"/>
        <v>-1.9048803299749999</v>
      </c>
    </row>
    <row r="73" spans="2:18" x14ac:dyDescent="0.25">
      <c r="B73" s="9"/>
      <c r="C73" s="11"/>
      <c r="D73" s="11"/>
      <c r="E73" s="11"/>
      <c r="N73" s="9" t="s">
        <v>4</v>
      </c>
      <c r="O73" s="48" t="str">
        <f si="10" t="shared"/>
        <v>-</v>
      </c>
      <c r="P73" s="48" t="str">
        <f si="10" t="shared"/>
        <v>-</v>
      </c>
      <c r="Q73" s="48" t="str">
        <f si="10" t="shared"/>
        <v>-</v>
      </c>
      <c r="R73" s="48" t="str">
        <f si="10" t="shared"/>
        <v>-</v>
      </c>
    </row>
    <row r="74" spans="2:18" x14ac:dyDescent="0.25">
      <c r="B74" s="9"/>
      <c r="C74" s="11"/>
      <c r="D74" s="11"/>
      <c r="E74" s="11"/>
      <c r="N74" s="9" t="s">
        <v>5</v>
      </c>
      <c r="O74" s="48" t="str">
        <f si="10" t="shared"/>
        <v>-</v>
      </c>
      <c r="P74" s="48" t="str">
        <f si="10" t="shared"/>
        <v>-</v>
      </c>
      <c r="Q74" s="48" t="str">
        <f si="10" t="shared"/>
        <v>-</v>
      </c>
      <c r="R74" s="48">
        <f si="10" t="shared"/>
        <v>-1.7346810820609999</v>
      </c>
    </row>
    <row r="75" spans="2:18" x14ac:dyDescent="0.25">
      <c r="B75" s="9"/>
      <c r="C75" s="11"/>
      <c r="D75" s="11"/>
      <c r="E75" s="11"/>
      <c r="N75" s="9" t="s">
        <v>6</v>
      </c>
      <c r="O75" s="48" t="str">
        <f si="10" t="shared"/>
        <v>-</v>
      </c>
      <c r="P75" s="48" t="str">
        <f si="10" t="shared"/>
        <v>-</v>
      </c>
      <c r="Q75" s="48" t="str">
        <f si="10" t="shared"/>
        <v>-</v>
      </c>
      <c r="R75" s="48">
        <f si="10" t="shared"/>
        <v>-5.3112477368000004</v>
      </c>
    </row>
    <row r="76" spans="2:18" x14ac:dyDescent="0.25">
      <c r="B76" s="9"/>
      <c r="C76" s="11"/>
      <c r="D76" s="11"/>
      <c r="E76" s="11"/>
      <c r="N76" s="9" t="s">
        <v>7</v>
      </c>
      <c r="O76" s="48" t="str">
        <f si="10" t="shared"/>
        <v>-</v>
      </c>
      <c r="P76" s="48" t="str">
        <f si="10" t="shared"/>
        <v>-</v>
      </c>
      <c r="Q76" s="48" t="str">
        <f si="10" t="shared"/>
        <v>-</v>
      </c>
      <c r="R76" s="48">
        <f si="10" t="shared"/>
        <v>1.6119710051160001</v>
      </c>
    </row>
    <row r="77" spans="2:18" x14ac:dyDescent="0.25">
      <c r="B77" s="9"/>
      <c r="N77" s="84" t="s">
        <v>8</v>
      </c>
      <c r="O77" s="112" t="str">
        <f si="10" t="shared"/>
        <v>-</v>
      </c>
      <c r="P77" s="112" t="str">
        <f si="10" t="shared"/>
        <v>-</v>
      </c>
      <c r="Q77" s="112" t="str">
        <f si="10" t="shared"/>
        <v>-</v>
      </c>
      <c r="R77" s="112" t="str">
        <f si="10" t="shared"/>
        <v>-</v>
      </c>
    </row>
    <row r="78" spans="2:18" x14ac:dyDescent="0.25">
      <c r="N78" s="109" t="s">
        <v>302</v>
      </c>
      <c r="O78" s="49" t="str">
        <f si="10" t="shared"/>
        <v>-</v>
      </c>
      <c r="P78" s="49" t="str">
        <f si="10" t="shared"/>
        <v>-</v>
      </c>
      <c r="Q78" s="49" t="str">
        <f si="10" t="shared"/>
        <v>-</v>
      </c>
      <c r="R78" s="49">
        <f si="10" t="shared"/>
        <v>-4.9248387372289999</v>
      </c>
    </row>
    <row ht="15.75" r="80" spans="2:18" thickBot="1" x14ac:dyDescent="0.3">
      <c r="H80" s="5" t="s">
        <v>235</v>
      </c>
      <c r="N80" s="37" t="s">
        <v>213</v>
      </c>
    </row>
    <row r="81" spans="8:18" x14ac:dyDescent="0.25">
      <c r="H81" s="38" t="s">
        <v>0</v>
      </c>
      <c r="I81" s="39" t="s">
        <v>252</v>
      </c>
      <c r="J81" s="39" t="s">
        <v>247</v>
      </c>
      <c r="K81" s="39" t="s">
        <v>250</v>
      </c>
      <c r="L81" s="39" t="s">
        <v>253</v>
      </c>
      <c r="N81" s="2" t="s">
        <v>0</v>
      </c>
      <c r="O81" s="39" t="str">
        <f>O69</f>
        <v>nocars</v>
      </c>
      <c r="P81" s="39" t="str">
        <f>P69</f>
        <v>cars &lt; adults</v>
      </c>
      <c r="Q81" s="39" t="str">
        <f>Q69</f>
        <v>cars &lt; workers</v>
      </c>
      <c r="R81" s="39" t="str">
        <f>R69</f>
        <v>constant</v>
      </c>
    </row>
    <row r="82" spans="8:18" x14ac:dyDescent="0.25">
      <c r="H82" s="9" t="s">
        <v>1</v>
      </c>
      <c r="I82" s="11" t="str">
        <f ref="I82:L89" si="11" t="shared">IF(ISBLANK(O18),"",O18)</f>
        <v/>
      </c>
      <c r="J82" s="11" t="str">
        <f si="11" t="shared"/>
        <v/>
      </c>
      <c r="K82" s="11" t="str">
        <f si="11" t="shared"/>
        <v/>
      </c>
      <c r="L82" s="11">
        <f si="11" t="shared"/>
        <v>50</v>
      </c>
      <c r="N82" s="9" t="s">
        <v>1</v>
      </c>
      <c r="O82" s="48" t="str">
        <f ref="O82:R90" si="12" t="shared">IF(O18="","-",O57+O70)</f>
        <v>-</v>
      </c>
      <c r="P82" s="48" t="str">
        <f si="12" t="shared"/>
        <v>-</v>
      </c>
      <c r="Q82" s="48" t="str">
        <f si="12" t="shared"/>
        <v>-</v>
      </c>
      <c r="R82" s="48">
        <f si="12" t="shared"/>
        <v>-0.65790533838242304</v>
      </c>
    </row>
    <row r="83" spans="8:18" x14ac:dyDescent="0.25">
      <c r="H83" s="9" t="s">
        <v>2</v>
      </c>
      <c r="I83" s="11" t="str">
        <f si="11" t="shared"/>
        <v/>
      </c>
      <c r="J83" s="11" t="str">
        <f si="11" t="shared"/>
        <v/>
      </c>
      <c r="K83" s="11" t="str">
        <f si="11" t="shared"/>
        <v/>
      </c>
      <c r="L83" s="11">
        <f si="11" t="shared"/>
        <v>40</v>
      </c>
      <c r="N83" s="9" t="s">
        <v>2</v>
      </c>
      <c r="O83" s="48" t="str">
        <f si="12" t="shared"/>
        <v>-</v>
      </c>
      <c r="P83" s="48" t="str">
        <f si="12" t="shared"/>
        <v>-</v>
      </c>
      <c r="Q83" s="48" t="str">
        <f si="12" t="shared"/>
        <v>-</v>
      </c>
      <c r="R83" s="48">
        <f si="12" t="shared"/>
        <v>-1.8679914627434868</v>
      </c>
    </row>
    <row r="84" spans="8:18" x14ac:dyDescent="0.25">
      <c r="H84" s="9" t="s">
        <v>3</v>
      </c>
      <c r="I84" s="11" t="str">
        <f si="11" t="shared"/>
        <v/>
      </c>
      <c r="J84" s="11" t="str">
        <f si="11" t="shared"/>
        <v/>
      </c>
      <c r="K84" s="11" t="str">
        <f si="11" t="shared"/>
        <v/>
      </c>
      <c r="L84" s="11">
        <f si="11" t="shared"/>
        <v>30</v>
      </c>
      <c r="N84" s="9" t="s">
        <v>3</v>
      </c>
      <c r="O84" s="48" t="str">
        <f si="12" t="shared"/>
        <v>-</v>
      </c>
      <c r="P84" s="48" t="str">
        <f si="12" t="shared"/>
        <v>-</v>
      </c>
      <c r="Q84" s="48" t="str">
        <f si="12" t="shared"/>
        <v>-</v>
      </c>
      <c r="R84" s="48">
        <f si="12" t="shared"/>
        <v>-2.4967006637118461</v>
      </c>
    </row>
    <row r="85" spans="8:18" x14ac:dyDescent="0.25">
      <c r="H85" s="9" t="s">
        <v>4</v>
      </c>
      <c r="I85" s="11" t="str">
        <f si="11" t="shared"/>
        <v/>
      </c>
      <c r="J85" s="11" t="str">
        <f si="11" t="shared"/>
        <v/>
      </c>
      <c r="K85" s="11" t="str">
        <f si="11" t="shared"/>
        <v/>
      </c>
      <c r="L85" s="11" t="str">
        <f si="11" t="shared"/>
        <v/>
      </c>
      <c r="N85" s="9" t="s">
        <v>4</v>
      </c>
      <c r="O85" s="48" t="str">
        <f si="12" t="shared"/>
        <v>-</v>
      </c>
      <c r="P85" s="48" t="str">
        <f si="12" t="shared"/>
        <v>-</v>
      </c>
      <c r="Q85" s="48" t="str">
        <f si="12" t="shared"/>
        <v>-</v>
      </c>
      <c r="R85" s="48" t="str">
        <f si="12" t="shared"/>
        <v>-</v>
      </c>
    </row>
    <row r="86" spans="8:18" x14ac:dyDescent="0.25">
      <c r="H86" s="9" t="s">
        <v>5</v>
      </c>
      <c r="I86" s="11" t="str">
        <f si="11" t="shared"/>
        <v/>
      </c>
      <c r="J86" s="11" t="str">
        <f si="11" t="shared"/>
        <v/>
      </c>
      <c r="K86" s="11" t="str">
        <f si="11" t="shared"/>
        <v/>
      </c>
      <c r="L86" s="11">
        <f si="11" t="shared"/>
        <v>20</v>
      </c>
      <c r="N86" s="9" t="s">
        <v>5</v>
      </c>
      <c r="O86" s="48" t="str">
        <f si="12" t="shared"/>
        <v>-</v>
      </c>
      <c r="P86" s="48" t="str">
        <f si="12" t="shared"/>
        <v>-</v>
      </c>
      <c r="Q86" s="48" t="str">
        <f si="12" t="shared"/>
        <v>-</v>
      </c>
      <c r="R86" s="48">
        <f si="12" t="shared"/>
        <v>-3.7945512223748139</v>
      </c>
    </row>
    <row r="87" spans="8:18" x14ac:dyDescent="0.25">
      <c r="H87" s="9" t="s">
        <v>6</v>
      </c>
      <c r="I87" s="11" t="str">
        <f si="11" t="shared"/>
        <v/>
      </c>
      <c r="J87" s="11" t="str">
        <f si="11" t="shared"/>
        <v/>
      </c>
      <c r="K87" s="11" t="str">
        <f si="11" t="shared"/>
        <v/>
      </c>
      <c r="L87" s="11">
        <f si="11" t="shared"/>
        <v>60</v>
      </c>
      <c r="N87" s="9" t="s">
        <v>6</v>
      </c>
      <c r="O87" s="48" t="str">
        <f si="12" t="shared"/>
        <v>-</v>
      </c>
      <c r="P87" s="48" t="str">
        <f si="12" t="shared"/>
        <v>-</v>
      </c>
      <c r="Q87" s="48" t="str">
        <f si="12" t="shared"/>
        <v>-</v>
      </c>
      <c r="R87" s="48">
        <f si="12" t="shared"/>
        <v>-5.3112477368000004</v>
      </c>
    </row>
    <row r="88" spans="8:18" x14ac:dyDescent="0.25">
      <c r="H88" s="9" t="s">
        <v>7</v>
      </c>
      <c r="I88" s="11" t="str">
        <f si="11" t="shared"/>
        <v/>
      </c>
      <c r="J88" s="11" t="str">
        <f si="11" t="shared"/>
        <v/>
      </c>
      <c r="K88" s="11" t="str">
        <f si="11" t="shared"/>
        <v/>
      </c>
      <c r="L88" s="11">
        <f si="11" t="shared"/>
        <v>70</v>
      </c>
      <c r="N88" s="9" t="s">
        <v>7</v>
      </c>
      <c r="O88" s="48" t="str">
        <f si="12" t="shared"/>
        <v>-</v>
      </c>
      <c r="P88" s="48" t="str">
        <f si="12" t="shared"/>
        <v>-</v>
      </c>
      <c r="Q88" s="48" t="str">
        <f si="12" t="shared"/>
        <v>-</v>
      </c>
      <c r="R88" s="48">
        <f si="12" t="shared"/>
        <v>1.9451695633762929</v>
      </c>
    </row>
    <row r="89" spans="8:18" x14ac:dyDescent="0.25">
      <c r="H89" s="84" t="s">
        <v>8</v>
      </c>
      <c r="I89" s="108" t="str">
        <f si="11" t="shared"/>
        <v/>
      </c>
      <c r="J89" s="108" t="str">
        <f si="11" t="shared"/>
        <v/>
      </c>
      <c r="K89" s="108" t="str">
        <f si="11" t="shared"/>
        <v/>
      </c>
      <c r="L89" s="108" t="str">
        <f si="11" t="shared"/>
        <v/>
      </c>
      <c r="N89" s="84" t="s">
        <v>8</v>
      </c>
      <c r="O89" s="112" t="str">
        <f si="12" t="shared"/>
        <v>-</v>
      </c>
      <c r="P89" s="112" t="str">
        <f si="12" t="shared"/>
        <v>-</v>
      </c>
      <c r="Q89" s="112" t="str">
        <f si="12" t="shared"/>
        <v>-</v>
      </c>
      <c r="R89" s="112" t="str">
        <f si="12" t="shared"/>
        <v>-</v>
      </c>
    </row>
    <row r="90" spans="8:18" x14ac:dyDescent="0.25">
      <c r="H90" s="109" t="s">
        <v>302</v>
      </c>
      <c r="I90" s="6"/>
      <c r="J90" s="6"/>
      <c r="K90" s="6"/>
      <c r="L90" s="7">
        <f>IF(ISBLANK(R26),"",R26)</f>
        <v>80</v>
      </c>
      <c r="N90" s="109" t="s">
        <v>302</v>
      </c>
      <c r="O90" s="49" t="str">
        <f si="12" t="shared"/>
        <v>-</v>
      </c>
      <c r="P90" s="49" t="str">
        <f si="12" t="shared"/>
        <v>-</v>
      </c>
      <c r="Q90" s="49" t="str">
        <f si="12" t="shared"/>
        <v>-</v>
      </c>
      <c r="R90" s="49">
        <f si="12" t="shared"/>
        <v>-5.5376368238832185</v>
      </c>
    </row>
  </sheetData>
  <mergeCells count="2">
    <mergeCell ref="B15:F15"/>
    <mergeCell ref="H15:L15"/>
  </mergeCells>
  <conditionalFormatting sqref="AE3:AE28">
    <cfRule dxfId="3" operator="greaterThan" priority="4" type="cellIs">
      <formula>0</formula>
    </cfRule>
  </conditionalFormatting>
  <conditionalFormatting sqref="R31:R33 R35:R37 R39">
    <cfRule dxfId="2" operator="lessThan" priority="2" type="cellIs">
      <formula>0.95</formula>
    </cfRule>
    <cfRule dxfId="1" operator="greaterThan" priority="3" type="cellIs">
      <formula>1.05</formula>
    </cfRule>
  </conditionalFormatting>
  <pageMargins bottom="0.75" footer="0.3" header="0.3" left="0.7" right="0.7" top="0.75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id="{D4DB0CB7-7AEE-4C2F-AA51-D50752CD9C64}" operator="containsText" priority="1" type="containsText">
            <xm:f>NOT(ISERROR(SEARCH("-",R31)))</xm:f>
            <xm:f>"-"</xm:f>
            <x14:dxf>
              <fill>
                <patternFill>
                  <bgColor theme="0" tint="-0.24994659260841701"/>
                </patternFill>
              </fill>
            </x14:dxf>
          </x14:cfRule>
          <xm:sqref>R31:R39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21</vt:i4>
      </vt:variant>
      <vt:variant>
        <vt:lpstr>Named Ranges</vt:lpstr>
      </vt:variant>
      <vt:variant>
        <vt:i4>40</vt:i4>
      </vt:variant>
    </vt:vector>
  </HeadingPairs>
  <TitlesOfParts>
    <vt:vector baseType="lpstr" size="61">
      <vt:lpstr>AllPurposes</vt:lpstr>
      <vt:lpstr>Work</vt:lpstr>
      <vt:lpstr>School</vt:lpstr>
      <vt:lpstr>Escort</vt:lpstr>
      <vt:lpstr>Personal_Business</vt:lpstr>
      <vt:lpstr>Shop</vt:lpstr>
      <vt:lpstr>Meal</vt:lpstr>
      <vt:lpstr>SocRec</vt:lpstr>
      <vt:lpstr>Workbased</vt:lpstr>
      <vt:lpstr>Documentation</vt:lpstr>
      <vt:lpstr>CoeffDef</vt:lpstr>
      <vt:lpstr>WorkCoefficients</vt:lpstr>
      <vt:lpstr>SchoolCoeffcients</vt:lpstr>
      <vt:lpstr>EscortCoefficients</vt:lpstr>
      <vt:lpstr>OtherCoefficients</vt:lpstr>
      <vt:lpstr>WorkBasedCoefficients</vt:lpstr>
      <vt:lpstr>Calibration_Work</vt:lpstr>
      <vt:lpstr>Calibration_School</vt:lpstr>
      <vt:lpstr>Calibration_Escort</vt:lpstr>
      <vt:lpstr>Calibration_Other</vt:lpstr>
      <vt:lpstr>Calibration_WorkBased</vt:lpstr>
      <vt:lpstr>out_1</vt:lpstr>
      <vt:lpstr>out_10</vt:lpstr>
      <vt:lpstr>out_11</vt:lpstr>
      <vt:lpstr>out_12</vt:lpstr>
      <vt:lpstr>out_13</vt:lpstr>
      <vt:lpstr>out_14</vt:lpstr>
      <vt:lpstr>out_15</vt:lpstr>
      <vt:lpstr>out_16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purp1</vt:lpstr>
      <vt:lpstr>purp2</vt:lpstr>
      <vt:lpstr>purp3</vt:lpstr>
      <vt:lpstr>purp4</vt:lpstr>
      <vt:lpstr>purp5</vt:lpstr>
      <vt:lpstr>purp6</vt:lpstr>
      <vt:lpstr>purp7</vt:lpstr>
      <vt:lpstr>wb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2011-03-29T15:31:17Z</dcterms:created>
  <dc:creator>Bhargava Sana</dc:creator>
  <cp:lastModifiedBy>Aditya Gore</cp:lastModifiedBy>
  <dcterms:modified xsi:type="dcterms:W3CDTF">2024-07-12T14:51:11Z</dcterms:modified>
</cp:coreProperties>
</file>