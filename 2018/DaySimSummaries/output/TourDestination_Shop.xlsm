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ACOG\Tasks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C54"/>
  <c i="6" r="C55"/>
  <c i="6" r="C56"/>
  <c i="6" r="C57"/>
  <c i="6" r="C58"/>
  <c i="6" r="C59"/>
  <c i="6" r="C60"/>
  <c i="6" r="C61"/>
  <c i="6" r="C62"/>
  <c i="6" r="C63"/>
  <c i="6" r="C64"/>
  <c i="6" r="C65"/>
  <c i="6" r="C66"/>
  <c i="6" r="C67"/>
  <c i="6" r="C68"/>
  <c i="6" r="C69"/>
  <c i="6" r="C70"/>
  <c i="6" r="C71"/>
  <c i="6" r="C72"/>
  <c i="6" r="C73"/>
  <c i="6" r="C74"/>
  <c i="6" r="C75"/>
  <c i="6" r="C76"/>
  <c i="6" r="C77"/>
  <c i="6" r="C78"/>
  <c i="6" r="C79"/>
  <c i="6" r="C80"/>
  <c i="6" r="C81"/>
  <c i="6" r="C82"/>
  <c i="6" r="C83"/>
  <c i="6" r="C84"/>
  <c i="6" r="C85"/>
  <c i="6" r="C86"/>
  <c i="6" r="C87"/>
  <c i="6" r="C88"/>
  <c i="6" r="C89"/>
  <c i="6" r="C90"/>
  <c i="6" r="C91"/>
  <c i="6" r="C92"/>
  <c i="6" r="C93"/>
  <c i="6" r="C94"/>
  <c i="6" r="C95"/>
  <c i="6" r="C96"/>
  <c i="6" r="C97"/>
  <c i="6" r="C98"/>
  <c i="6" r="C99"/>
  <c i="6" r="C100"/>
  <c i="6" r="C101"/>
  <c i="6" r="C102"/>
  <c i="6" r="C103"/>
  <c i="6" r="C104"/>
  <c i="6" r="C105"/>
  <c i="6" r="C106"/>
  <c i="6" r="C107"/>
  <c i="6" r="C108"/>
  <c i="6" r="C109"/>
  <c i="6" r="C110"/>
  <c i="6" r="C111"/>
  <c i="6" r="C112"/>
  <c i="6" r="C113"/>
  <c i="6" r="C114"/>
  <c i="6" r="C115"/>
  <c i="6" r="C116"/>
  <c i="6" r="C117"/>
  <c i="6" r="C118"/>
  <c i="6" r="C119"/>
  <c i="6" r="C120"/>
  <c i="6" r="C121"/>
  <c i="6" r="C122"/>
  <c i="6" r="C123"/>
  <c i="6" r="C124"/>
  <c i="6" r="C125"/>
  <c i="6" r="C126"/>
  <c i="6" r="C127"/>
  <c i="6" r="C128"/>
  <c i="6" r="C129"/>
  <c i="6" r="C130"/>
  <c i="6" r="C131"/>
  <c i="6" r="C132"/>
  <c i="6" r="C133"/>
  <c i="6" r="C134"/>
  <c i="6" r="C135"/>
  <c i="6" r="C136"/>
  <c i="6" r="C137"/>
  <c i="6" r="C138"/>
  <c i="6" r="C139"/>
  <c i="6" r="C140"/>
  <c i="6" r="C141"/>
  <c i="6" r="C142"/>
  <c i="6" r="C53"/>
  <c i="6" r="A54"/>
  <c i="6" r="A55"/>
  <c i="6" r="A56"/>
  <c i="6" r="B56" s="1"/>
  <c i="6" r="A57"/>
  <c i="6" r="B57" s="1"/>
  <c i="6" r="A58"/>
  <c i="6" r="B58" s="1"/>
  <c i="6" r="A59"/>
  <c i="6" r="B59" s="1"/>
  <c i="6" r="A60"/>
  <c i="6" r="B60" s="1"/>
  <c i="6" r="A61"/>
  <c i="6" r="B61" s="1"/>
  <c i="6" r="A62"/>
  <c i="6" r="B62" s="1"/>
  <c i="6" r="A63"/>
  <c i="6" r="B63" s="1"/>
  <c i="6" r="A64"/>
  <c i="6" r="B64" s="1"/>
  <c i="6" r="A65"/>
  <c i="6" r="B65" s="1"/>
  <c i="6" r="A66"/>
  <c i="6" r="A67"/>
  <c i="6" r="A68"/>
  <c i="6" r="A69"/>
  <c i="6" r="A70"/>
  <c i="6" r="A71"/>
  <c i="6" r="A72"/>
  <c i="6" r="B72" s="1"/>
  <c i="6" r="A73"/>
  <c i="6" r="B73" s="1"/>
  <c i="6" r="A74"/>
  <c i="6" r="B74" s="1"/>
  <c i="6" r="A75"/>
  <c i="6" r="B75" s="1"/>
  <c i="6" r="A76"/>
  <c i="6" r="B76" s="1"/>
  <c i="6" r="A77"/>
  <c i="6" r="B77" s="1"/>
  <c i="6" r="A78"/>
  <c i="6" r="B78" s="1"/>
  <c i="6" r="A79"/>
  <c i="6" r="B79" s="1"/>
  <c i="6" r="A80"/>
  <c i="6" r="B80" s="1"/>
  <c i="6" r="A81"/>
  <c i="6" r="B81" s="1"/>
  <c i="6" r="A82"/>
  <c i="6" r="B82" s="1"/>
  <c i="6" r="A83"/>
  <c i="6" r="B83" s="1"/>
  <c i="6" r="A84"/>
  <c i="6" r="A85"/>
  <c i="6" r="A86"/>
  <c i="6" r="B86" s="1"/>
  <c i="6" r="A87"/>
  <c i="6" r="B87" s="1"/>
  <c i="6" r="A88"/>
  <c i="6" r="B88" s="1"/>
  <c i="6" r="A89"/>
  <c i="6" r="B89" s="1"/>
  <c i="6" r="A90"/>
  <c i="6" r="A91"/>
  <c i="6" r="A92"/>
  <c i="6" r="B92" s="1"/>
  <c i="6" r="A93"/>
  <c i="6" r="A94"/>
  <c i="6" r="B94" s="1"/>
  <c i="6" r="A95"/>
  <c i="6" r="A96"/>
  <c i="6" r="B96" s="1"/>
  <c i="6" r="A97"/>
  <c i="6" r="B97" s="1"/>
  <c i="6" r="A98"/>
  <c i="6" r="B98" s="1"/>
  <c i="6" r="A99"/>
  <c i="6" r="B99" s="1"/>
  <c i="6" r="A100"/>
  <c i="6" r="B100" s="1"/>
  <c i="6" r="A101"/>
  <c i="6" r="B101" s="1"/>
  <c i="6" r="A102"/>
  <c i="6" r="B102" s="1"/>
  <c i="6" r="A103"/>
  <c i="6" r="B103" s="1"/>
  <c i="6" r="A104"/>
  <c i="6" r="B104" s="1"/>
  <c i="6" r="A105"/>
  <c i="6" r="B105" s="1"/>
  <c i="6" r="A106"/>
  <c i="6" r="B106" s="1"/>
  <c i="6" r="A107"/>
  <c i="6" r="B107" s="1"/>
  <c i="6" r="A108"/>
  <c i="6" r="B108" s="1"/>
  <c i="6" r="A109"/>
  <c i="6" r="B109" s="1"/>
  <c i="6" r="A110"/>
  <c i="6" r="B110" s="1"/>
  <c i="6" r="A111"/>
  <c i="6" r="B111" s="1"/>
  <c i="6" r="A112"/>
  <c i="6" r="B112" s="1"/>
  <c i="6" r="A113"/>
  <c i="6" r="B113" s="1"/>
  <c i="6" r="A114"/>
  <c i="6" r="A115"/>
  <c i="6" r="B115" s="1"/>
  <c i="6" r="A116"/>
  <c i="6" r="B116" s="1"/>
  <c i="6" r="A117"/>
  <c i="6" r="B117" s="1"/>
  <c i="6" r="A118"/>
  <c i="6" r="A119"/>
  <c i="6" r="A120"/>
  <c i="6" r="A121"/>
  <c i="6" r="B121" s="1"/>
  <c i="6" r="A122"/>
  <c i="6" r="B122" s="1"/>
  <c i="6" r="A123"/>
  <c i="6" r="B123" s="1"/>
  <c i="6" r="A124"/>
  <c i="6" r="B124" s="1"/>
  <c i="6" r="A125"/>
  <c i="6" r="B125" s="1"/>
  <c i="6" r="A126"/>
  <c i="6" r="A127"/>
  <c i="6" r="B127" s="1"/>
  <c i="6" r="A128"/>
  <c i="6" r="B128" s="1"/>
  <c i="6" r="A129"/>
  <c i="6" r="B129" s="1"/>
  <c i="6" r="A130"/>
  <c i="6" r="B130" s="1"/>
  <c i="6" r="A131"/>
  <c i="6" r="B131" s="1"/>
  <c i="6" r="A132"/>
  <c i="6" r="B132" s="1"/>
  <c i="6" r="A133"/>
  <c i="6" r="B133" s="1"/>
  <c i="6" r="A134"/>
  <c i="6" r="B134" s="1"/>
  <c i="6" r="A135"/>
  <c i="6" r="B135" s="1"/>
  <c i="6" r="A136"/>
  <c i="6" r="B136" s="1"/>
  <c i="6" r="A137"/>
  <c i="6" r="B137" s="1"/>
  <c i="6" r="A138"/>
  <c i="6" r="A139"/>
  <c i="6" r="A140"/>
  <c i="6" r="B140" s="1"/>
  <c i="6" r="A141"/>
  <c i="6" r="B141" s="1"/>
  <c i="6" r="A142"/>
  <c i="6" r="B142" s="1"/>
  <c i="6" r="A53"/>
  <c i="6" r="B119"/>
  <c i="6" r="B95"/>
  <c i="6" r="B71"/>
  <c i="6" r="B139"/>
  <c i="6" r="B138"/>
  <c i="6" r="B126"/>
  <c i="6" r="B120"/>
  <c i="6" r="B118"/>
  <c i="6" r="B114"/>
  <c i="6" r="B93"/>
  <c i="6" r="B91"/>
  <c i="6" r="B90"/>
  <c i="6" r="B85"/>
  <c i="6" r="B84"/>
  <c i="6" r="B70"/>
  <c i="6" r="B69"/>
  <c i="6" r="B68"/>
  <c i="6" r="B67"/>
  <c i="6" r="B66"/>
  <c i="6" r="B55"/>
  <c i="6" r="B54"/>
  <c i="6" r="B53"/>
  <c i="6" l="1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D13"/>
  <c i="6" r="I13" s="1"/>
  <c i="6" r="J13" s="1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I12"/>
  <c i="6" r="J12" s="1"/>
  <c i="6" r="K12" s="1"/>
  <c i="6" r="D33" s="1"/>
  <c i="6" r="D43" s="1"/>
  <c i="6" r="Q39" s="1"/>
  <c i="6" r="K14"/>
  <c i="6" r="D35" s="1"/>
  <c i="6" r="D45" s="1"/>
  <c i="6" r="Q41" s="1"/>
  <c i="6" r="K13"/>
  <c i="6" r="D34" s="1"/>
  <c i="6" r="D44" s="1"/>
  <c i="6" r="Q40" s="1"/>
  <c i="6" r="K15"/>
  <c i="6" r="D36" s="1"/>
  <c i="6" r="D46" s="1"/>
  <c i="6" r="Q42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2"/>
  <c i="1" r="J23"/>
  <c i="1" r="J25"/>
  <c i="1" r="H28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6" l="1" r="D54"/>
  <c i="6" r="E54" s="1"/>
  <c i="6" r="D78"/>
  <c i="6" r="E78" s="1"/>
  <c i="6" r="D102"/>
  <c i="6" r="E102" s="1"/>
  <c i="6" r="D126"/>
  <c i="6" r="E126" s="1"/>
  <c i="6" r="D55"/>
  <c i="6" r="E55" s="1"/>
  <c i="6" r="D79"/>
  <c i="6" r="E79" s="1"/>
  <c i="6" r="D103"/>
  <c i="6" r="E103" s="1"/>
  <c i="6" r="D127"/>
  <c i="6" r="E127" s="1"/>
  <c i="6" r="D56"/>
  <c i="6" r="E56" s="1"/>
  <c i="6" r="D80"/>
  <c i="6" r="E80" s="1"/>
  <c i="6" r="D104"/>
  <c i="6" r="E104" s="1"/>
  <c i="6" r="D128"/>
  <c i="6" r="E128" s="1"/>
  <c i="6" r="D57"/>
  <c i="6" r="E57" s="1"/>
  <c i="6" r="D81"/>
  <c i="6" r="E81" s="1"/>
  <c i="6" r="D105"/>
  <c i="6" r="E105" s="1"/>
  <c i="6" r="D129"/>
  <c i="6" r="E129" s="1"/>
  <c i="6" r="D58"/>
  <c i="6" r="E58" s="1"/>
  <c i="6" r="D82"/>
  <c i="6" r="E82" s="1"/>
  <c i="6" r="D106"/>
  <c i="6" r="E106" s="1"/>
  <c i="6" r="D130"/>
  <c i="6" r="E130" s="1"/>
  <c i="6" r="D125"/>
  <c i="6" r="E125" s="1"/>
  <c i="6" r="D59"/>
  <c i="6" r="E59" s="1"/>
  <c i="6" r="D83"/>
  <c i="6" r="E83" s="1"/>
  <c i="6" r="D107"/>
  <c i="6" r="E107" s="1"/>
  <c i="6" r="D131"/>
  <c i="6" r="E131" s="1"/>
  <c i="6" r="D60"/>
  <c i="6" r="E60" s="1"/>
  <c i="6" r="D84"/>
  <c i="6" r="E84" s="1"/>
  <c i="6" r="D108"/>
  <c i="6" r="E108" s="1"/>
  <c i="6" r="D132"/>
  <c i="6" r="E132" s="1"/>
  <c i="6" r="D61"/>
  <c i="6" r="E61" s="1"/>
  <c i="6" r="D85"/>
  <c i="6" r="E85" s="1"/>
  <c i="6" r="D109"/>
  <c i="6" r="E109" s="1"/>
  <c i="6" r="D133"/>
  <c i="6" r="E133" s="1"/>
  <c i="6" r="D62"/>
  <c i="6" r="E62" s="1"/>
  <c i="6" r="D86"/>
  <c i="6" r="E86" s="1"/>
  <c i="6" r="D110"/>
  <c i="6" r="E110" s="1"/>
  <c i="6" r="D134"/>
  <c i="6" r="E134" s="1"/>
  <c i="6" r="D63"/>
  <c i="6" r="E63" s="1"/>
  <c i="6" r="D87"/>
  <c i="6" r="E87" s="1"/>
  <c i="6" r="D111"/>
  <c i="6" r="E111" s="1"/>
  <c i="6" r="D135"/>
  <c i="6" r="E135" s="1"/>
  <c i="6" r="D64"/>
  <c i="6" r="E64" s="1"/>
  <c i="6" r="D88"/>
  <c i="6" r="E88" s="1"/>
  <c i="6" r="D112"/>
  <c i="6" r="E112" s="1"/>
  <c i="6" r="D136"/>
  <c i="6" r="E136" s="1"/>
  <c i="6" r="D53"/>
  <c i="6" r="E53" s="1"/>
  <c i="6" r="D77"/>
  <c i="6" r="E77" s="1"/>
  <c i="6" r="D65"/>
  <c i="6" r="E65" s="1"/>
  <c i="6" r="D89"/>
  <c i="6" r="E89" s="1"/>
  <c i="6" r="D113"/>
  <c i="6" r="E113" s="1"/>
  <c i="6" r="D137"/>
  <c i="6" r="E137" s="1"/>
  <c i="6" r="D66"/>
  <c i="6" r="E66" s="1"/>
  <c i="6" r="D90"/>
  <c i="6" r="E90" s="1"/>
  <c i="6" r="D114"/>
  <c i="6" r="E114" s="1"/>
  <c i="6" r="D138"/>
  <c i="6" r="E138" s="1"/>
  <c i="6" r="D67"/>
  <c i="6" r="E67" s="1"/>
  <c i="6" r="D91"/>
  <c i="6" r="E91" s="1"/>
  <c i="6" r="D115"/>
  <c i="6" r="E115" s="1"/>
  <c i="6" r="D139"/>
  <c i="6" r="E139" s="1"/>
  <c i="6" r="D68"/>
  <c i="6" r="E68" s="1"/>
  <c i="6" r="D92"/>
  <c i="6" r="E92" s="1"/>
  <c i="6" r="D116"/>
  <c i="6" r="E116" s="1"/>
  <c i="6" r="D140"/>
  <c i="6" r="E140" s="1"/>
  <c i="6" r="D69"/>
  <c i="6" r="E69" s="1"/>
  <c i="6" r="D93"/>
  <c i="6" r="E93" s="1"/>
  <c i="6" r="D117"/>
  <c i="6" r="E117" s="1"/>
  <c i="6" r="D141"/>
  <c i="6" r="E141" s="1"/>
  <c i="6" r="D70"/>
  <c i="6" r="E70" s="1"/>
  <c i="6" r="D94"/>
  <c i="6" r="E94" s="1"/>
  <c i="6" r="D118"/>
  <c i="6" r="E118" s="1"/>
  <c i="6" r="D142"/>
  <c i="6" r="E142" s="1"/>
  <c i="6" r="D71"/>
  <c i="6" r="E71" s="1"/>
  <c i="6" r="D95"/>
  <c i="6" r="E95" s="1"/>
  <c i="6" r="D119"/>
  <c i="6" r="E119" s="1"/>
  <c i="6" r="D72"/>
  <c i="6" r="E72" s="1"/>
  <c i="6" r="D96"/>
  <c i="6" r="E96" s="1"/>
  <c i="6" r="D120"/>
  <c i="6" r="E120" s="1"/>
  <c i="6" r="D73"/>
  <c i="6" r="E73" s="1"/>
  <c i="6" r="D97"/>
  <c i="6" r="E97" s="1"/>
  <c i="6" r="D121"/>
  <c i="6" r="E121" s="1"/>
  <c i="6" r="D101"/>
  <c i="6" r="E101" s="1"/>
  <c i="6" r="D74"/>
  <c i="6" r="E74" s="1"/>
  <c i="6" r="D98"/>
  <c i="6" r="E98" s="1"/>
  <c i="6" r="D122"/>
  <c i="6" r="E122" s="1"/>
  <c i="6" r="D75"/>
  <c i="6" r="E75" s="1"/>
  <c i="6" r="D99"/>
  <c i="6" r="E99" s="1"/>
  <c i="6" r="D123"/>
  <c i="6" r="E123" s="1"/>
  <c i="6" r="D76"/>
  <c i="6" r="E76" s="1"/>
  <c i="6" r="D100"/>
  <c i="6" r="E100" s="1"/>
  <c i="6" r="D124"/>
  <c i="6" r="E124" s="1"/>
  <c i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<sst xmlns="http://schemas.openxmlformats.org/spreadsheetml/2006/main" count="722" uniqueCount="349">
  <si>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</si>
  <si>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</si>
  <si>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</si>
  <si>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</si>
  <si>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</si>
  <si>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</si>
  <si>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</si>
  <si>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</si>
  <si>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</si>
  <si>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</si>
  <si>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</si>
  <si>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</si>
  <si>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</si>
  <si>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</si>
  <si>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</si>
  <si>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</si>
  <si>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</si>
  <si>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</si>
  <si>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</si>
  <si>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</si>
  <si>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</si>
  <si>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</si>
  <si>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</si>
  <si>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</si>
  <si>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</si>
  <si>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</si>
  <si>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</si>
  <si>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</si>
  <si>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</si>
  <si>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</si>
  <si>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</si>
  <si>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</si>
  <si>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</si>
  <si>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</si>
  <si>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</si>
  <si>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</si>
  <si>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</si>
  <si>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</si>
  <si>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</si>
  <si>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</si>
  <si>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</si>
  <si>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</si>
  <si>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</si>
  <si>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</si>
  <si>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</si>
  <si>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</si>
  <si>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</si>
  <si>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</si>
  <si>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</si>
  <si>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</si>
  <si>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</si>
  <si>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</si>
  <si>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</si>
  <si>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</si>
  <si>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</si>
  <si>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</si>
  <si>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</si>
  <si>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</si>
  <si>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</si>
  <si>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</si>
  <si>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</si>
  <si>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</si>
  <si>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</si>
  <si>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</si>
  <si>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</si>
  <si>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</si>
  <si>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</si>
  <si>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</si>
  <si>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</si>
  <si>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</si>
  <si>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</si>
  <si>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</si>
  <si>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</si>
  <si>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</si>
  <si>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</si>
  <si>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</si>
  <si>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</si>
  <si>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</si>
  <si>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</si>
  <si>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</si>
  <si>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</si>
  <si>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</si>
  <si>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</si>
  <si>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</si>
  <si>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</si>
  <si>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</si>
  <si>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</si>
  <si>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</si>
  <si>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</si>
  <si>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</si>
  <si>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</si>
  <si>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</si>
  <si>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</si>
  <si>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</si>
  <si>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</si>
  <si>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</si>
  <si>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</si>
  <si>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</si>
  <si>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</si>
  <si>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</si>
  <si>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</si>
  <si>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</si>
  <si>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</si>
  <si>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</si>
  <si>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</si>
  <si>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</si>
  <si>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</si>
  <si>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</si>
  <si>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</si>
  <si>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</si>
  <si>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</si>
  <si>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</si>
  <si>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</si>
  <si>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</si>
  <si>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</si>
  <si>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</si>
  <si>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</si>
  <si>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</si>
  <si>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</si>
  <si>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</si>
  <si>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</si>
  <si>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</si>
  <si>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</si>
  <si>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</si>
  <si>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</si>
  <si>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</si>
  <si>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</si>
  <si>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</si>
  <si>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</si>
  <si>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</si>
  <si>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</si>
  <si>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</si>
  <si>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</si>
  <si>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</si>
  <si>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</si>
  <si>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</si>
  <si>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</si>
  <si>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</si>
  <si>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</si>
  <si>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</si>
  <si>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</si>
  <si>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</si>
  <si>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</si>
  <si>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</si>
  <si>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</si>
  <si>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</si>
  <si>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</si>
  <si>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</si>
  <si>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</si>
  <si>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</si>
  <si>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</si>
  <si>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</si>
  <si>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</si>
  <si>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</si>
  <si>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</si>
  <si>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</si>
  <si>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</si>
  <si>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</si>
  <si>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</si>
  <si>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</si>
  <si>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</si>
  <si>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</si>
  <si>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</si>
  <si>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</si>
  <si>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</si>
  <si>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</si>
  <si>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</si>
  <si>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</si>
  <si>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</si>
  <si>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</si>
  <si>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</si>
  <si>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</si>
  <si>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</si>
  <si>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</si>
  <si>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</si>
  <si>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</si>
  <si>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</si>
  <si>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</si>
  <si>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</si>
  <si>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</si>
  <si>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</si>
  <si>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</si>
  <si>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</si>
  <si>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</si>
  <si>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</si>
  <si>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</si>
  <si>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</si>
  <si>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</si>
  <si>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</si>
  <si>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</si>
  <si>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</si>
  <si>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</si>
  <si>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</si>
  <si>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</si>
  <si>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</si>
  <si>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</si>
  <si>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</si>
  <si>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</si>
  <si>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</si>
  <si>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</si>
  <si>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</si>
  <si>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</si>
  <si>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</si>
  <si>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</si>
  <si>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</si>
  <si>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</si>
  <si>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</si>
  <si>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</si>
  <si>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</si>
  <si>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</si>
  <si>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</si>
  <si>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</si>
  <si>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</si>
  <si>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</si>
  <si>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</si>
  <si>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</si>
  <si>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</si>
  <si>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</si>
  <si>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</si>
  <si>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</si>
  <si>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</si>
  <si>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</si>
  <si>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</si>
  <si>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</si>
  <si>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</si>
  <si>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</si>
  <si>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</si>
  <si>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</si>
  <si>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</si>
  <si>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</si>
  <si>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</si>
  <si>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</si>
  <si>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</si>
  <si>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</si>
  <si>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</si>
  <si>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</si>
  <si>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</si>
  <si>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</si>
  <si>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</si>
  <si>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</si>
  <si>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</si>
  <si>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</si>
  <si>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</si>
  <si>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</si>
  <si>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</si>
  <si>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</si>
  <si>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</si>
  <si>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</si>
  <si>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</si>
  <si>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</si>
  <si>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</si>
  <si>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</si>
  <si>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</si>
  <si>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</si>
  <si>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</si>
  <si>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</si>
  <si>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</si>
  <si>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</si>
  <si>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</si>
  <si>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</si>
  <si>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</si>
  <si>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</si>
  <si>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</si>
  <si>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</si>
  <si>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</si>
  <si>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</si>
  <si>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</si>
  <si>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</si>
  <si>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</si>
  <si>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</si>
  <si>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</si>
  <si>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</si>
  <si>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</si>
  <si>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</si>
  <si>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</si>
  <si>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</si>
  <si>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</si>
  <si>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</si>
  <si>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</si>
  <si>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</si>
  <si>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</si>
  <si>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</si>
  <si>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svn</t>
  </si>
  <si>
    <t>v1799,</t>
  </si>
  <si>
    <t>alo</t>
  </si>
  <si>
    <t>v0601)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</si>
  <si>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</si>
  <si>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</si>
  <si>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</si>
  <si>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</si>
  <si>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</si>
  <si>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</si>
  <si>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</si>
  <si>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</si>
  <si>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</si>
  <si>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</si>
  <si>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</si>
  <si>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</si>
  <si>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</si>
  <si>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</si>
  <si>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</si>
  <si>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</si>
  <si>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</si>
  <si>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</si>
  <si>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</si>
  <si>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</si>
  <si>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</si>
  <si>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</si>
  <si>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</si>
  <si>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</si>
  <si>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</si>
  <si>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</si>
  <si>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</si>
  <si>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</si>
  <si>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</si>
  <si>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</si>
  <si>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</si>
  <si>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</si>
  <si>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</si>
  <si>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</si>
  <si>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</si>
  <si>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</si>
  <si>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</si>
  <si>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</si>
  <si>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</si>
  <si>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</si>
  <si>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</si>
  <si>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</si>
  <si>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</si>
  <si>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</si>
  <si>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</si>
  <si>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</si>
  <si>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</si>
  <si>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</si>
  <si>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</si>
  <si>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</si>
  <si>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</si>
  <si>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</si>
  <si>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</si>
  <si>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</si>
  <si>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</si>
  <si>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</si>
  <si>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</si>
  <si>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</si>
  <si>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</si>
  <si>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Adjust</t>
  </si>
  <si>
    <t>Distance</t>
  </si>
  <si>
    <t>LN(Distance)</t>
  </si>
  <si>
    <t>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</si>
</sst>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  <numFmt numFmtId="173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Border="1" borderId="3" fillId="0" fontId="0" numFmtId="0" xfId="0"/>
    <xf applyAlignment="1" applyBorder="1" borderId="3" fillId="0" fontId="0" numFmtId="0" xfId="0">
      <alignment horizontal="center" vertical="top"/>
    </xf>
    <xf applyNumberFormat="1" borderId="0" fillId="0" fontId="0" numFmtId="173" xfId="0"/>
    <xf applyFont="1" borderId="0" fillId="0" fontId="0" numFmtId="9" xfId="9"/>
    <xf applyBorder="1" applyFont="1" borderId="0" fillId="0" fontId="0" numFmtId="0" xfId="0"/>
    <xf applyAlignment="1" applyBorder="1" applyFont="1" applyNumberFormat="1" borderId="0" fillId="0" fontId="0" numFmtId="1" xfId="0">
      <alignment horizontal="right"/>
    </xf>
    <xf applyAlignment="1" applyBorder="1" borderId="0" fillId="0" fontId="0" numFmtId="0" xfId="0">
      <alignment horizontal="center" vertical="top"/>
    </xf>
    <xf applyAlignment="1" applyBorder="1" borderId="0" fillId="0" fontId="0" numFmtId="0" xfId="0">
      <alignment horizontal="center"/>
    </xf>
    <xf applyBorder="1" applyFont="1" borderId="0" fillId="0" fontId="0" numFmtId="9" xfId="9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0.20537558436890072</c:v>
                </c:pt>
                <c:pt idx="1">
                  <c:v>0.18275924172713642</c:v>
                </c:pt>
                <c:pt idx="2">
                  <c:v>0.13066785795283159</c:v>
                </c:pt>
                <c:pt idx="3">
                  <c:v>0.13122582416953446</c:v>
                </c:pt>
                <c:pt idx="4">
                  <c:v>6.2545757378655156E-2</c:v>
                </c:pt>
                <c:pt idx="5">
                  <c:v>5.4886256731657042E-2</c:v>
                </c:pt>
                <c:pt idx="6">
                  <c:v>4.6111755551511716E-2</c:v>
                </c:pt>
                <c:pt idx="7">
                  <c:v>2.5906786976567765E-2</c:v>
                </c:pt>
                <c:pt idx="8">
                  <c:v>2.7143271068123167E-2</c:v>
                </c:pt>
                <c:pt idx="9">
                  <c:v>2.2144361416909474E-2</c:v>
                </c:pt>
                <c:pt idx="10">
                  <c:v>1.1220564567833454E-2</c:v>
                </c:pt>
                <c:pt idx="11">
                  <c:v>1.532144586831851E-2</c:v>
                </c:pt>
                <c:pt idx="12">
                  <c:v>1.6901464866370283E-2</c:v>
                </c:pt>
                <c:pt idx="13">
                  <c:v>5.2920227430139598E-3</c:v>
                </c:pt>
                <c:pt idx="14">
                  <c:v>1.2627631015369418E-2</c:v>
                </c:pt>
                <c:pt idx="15">
                  <c:v>1.1154429211487193E-2</c:v>
                </c:pt>
                <c:pt idx="16">
                  <c:v>2.0270304653809659E-3</c:v>
                </c:pt>
                <c:pt idx="17">
                  <c:v>7.2175332430542702E-3</c:v>
                </c:pt>
                <c:pt idx="18">
                  <c:v>1.1907049574486324E-3</c:v>
                </c:pt>
                <c:pt idx="19">
                  <c:v>1.4723501721389961E-3</c:v>
                </c:pt>
                <c:pt idx="20">
                  <c:v>2.4657487024274663E-3</c:v>
                </c:pt>
                <c:pt idx="21">
                  <c:v>1.1802485249092316E-2</c:v>
                </c:pt>
                <c:pt idx="22">
                  <c:v>1.3160690217897561E-4</c:v>
                </c:pt>
                <c:pt idx="23">
                  <c:v>2.2594146593858129E-4</c:v>
                </c:pt>
                <c:pt idx="24">
                  <c:v>1.3152789319181548E-4</c:v>
                </c:pt>
                <c:pt idx="25">
                  <c:v>0</c:v>
                </c:pt>
                <c:pt idx="26">
                  <c:v>2.7000560823681593E-3</c:v>
                </c:pt>
                <c:pt idx="27">
                  <c:v>0</c:v>
                </c:pt>
                <c:pt idx="28">
                  <c:v>4.5807018186700095E-5</c:v>
                </c:pt>
                <c:pt idx="29">
                  <c:v>1.1987665811821411E-5</c:v>
                </c:pt>
                <c:pt idx="30">
                  <c:v>6.9843279168234647E-5</c:v>
                </c:pt>
                <c:pt idx="31">
                  <c:v>0</c:v>
                </c:pt>
                <c:pt idx="32">
                  <c:v>0</c:v>
                </c:pt>
                <c:pt idx="33">
                  <c:v>7.6832118984312568E-5</c:v>
                </c:pt>
                <c:pt idx="34">
                  <c:v>4.2651945962264943E-3</c:v>
                </c:pt>
                <c:pt idx="35">
                  <c:v>0</c:v>
                </c:pt>
                <c:pt idx="36">
                  <c:v>1.7209010472868017E-4</c:v>
                </c:pt>
                <c:pt idx="37">
                  <c:v>3.4700864435359771E-4</c:v>
                </c:pt>
                <c:pt idx="38">
                  <c:v>1.5884030189181309E-3</c:v>
                </c:pt>
                <c:pt idx="39">
                  <c:v>0</c:v>
                </c:pt>
                <c:pt idx="40">
                  <c:v>0</c:v>
                </c:pt>
                <c:pt idx="41">
                  <c:v>2.6928717967525453E-3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8.07210094294261E-5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0.10757262407873074</c:v>
                </c:pt>
                <c:pt idx="1">
                  <c:v>0.2080324448013593</c:v>
                </c:pt>
                <c:pt idx="2">
                  <c:v>0.1847840578946226</c:v>
                </c:pt>
                <c:pt idx="3">
                  <c:v>0.12043706223237845</c:v>
                </c:pt>
                <c:pt idx="4">
                  <c:v>8.4990868698394187E-2</c:v>
                </c:pt>
                <c:pt idx="5">
                  <c:v>6.5953112549105936E-2</c:v>
                </c:pt>
                <c:pt idx="6">
                  <c:v>4.8121494370839367E-2</c:v>
                </c:pt>
                <c:pt idx="7">
                  <c:v>3.4230753727710478E-2</c:v>
                </c:pt>
                <c:pt idx="8">
                  <c:v>2.6786184914283587E-2</c:v>
                </c:pt>
                <c:pt idx="9">
                  <c:v>1.8470344198910443E-2</c:v>
                </c:pt>
                <c:pt idx="10">
                  <c:v>1.5103079837651969E-2</c:v>
                </c:pt>
                <c:pt idx="11">
                  <c:v>1.2771419801126763E-2</c:v>
                </c:pt>
                <c:pt idx="12">
                  <c:v>1.0613394022640667E-2</c:v>
                </c:pt>
                <c:pt idx="13">
                  <c:v>9.3731493223613016E-3</c:v>
                </c:pt>
                <c:pt idx="14">
                  <c:v>7.6585110242250792E-3</c:v>
                </c:pt>
                <c:pt idx="15">
                  <c:v>6.6477115934973968E-3</c:v>
                </c:pt>
                <c:pt idx="16">
                  <c:v>5.5035858574896826E-3</c:v>
                </c:pt>
                <c:pt idx="17">
                  <c:v>4.2292344279526353E-3</c:v>
                </c:pt>
                <c:pt idx="18">
                  <c:v>3.6401181953199368E-3</c:v>
                </c:pt>
                <c:pt idx="19">
                  <c:v>3.3610631377570797E-3</c:v>
                </c:pt>
                <c:pt idx="20">
                  <c:v>2.6944316113569206E-3</c:v>
                </c:pt>
                <c:pt idx="21">
                  <c:v>2.6944316113569206E-3</c:v>
                </c:pt>
                <c:pt idx="22">
                  <c:v>2.1425227197326034E-3</c:v>
                </c:pt>
                <c:pt idx="23">
                  <c:v>1.8045560389064763E-3</c:v>
                </c:pt>
                <c:pt idx="24">
                  <c:v>1.7580468626460001E-3</c:v>
                </c:pt>
                <c:pt idx="25">
                  <c:v>1.6185193338645715E-3</c:v>
                </c:pt>
                <c:pt idx="26">
                  <c:v>1.1844336887667937E-3</c:v>
                </c:pt>
                <c:pt idx="27">
                  <c:v>1.0635098304895556E-3</c:v>
                </c:pt>
                <c:pt idx="28">
                  <c:v>8.9917740770253972E-4</c:v>
                </c:pt>
                <c:pt idx="29">
                  <c:v>9.2398230170812696E-4</c:v>
                </c:pt>
                <c:pt idx="30">
                  <c:v>8.309639491871746E-4</c:v>
                </c:pt>
                <c:pt idx="31">
                  <c:v>4.8679604485965083E-4</c:v>
                </c:pt>
                <c:pt idx="32">
                  <c:v>4.5578992735266667E-4</c:v>
                </c:pt>
                <c:pt idx="33">
                  <c:v>4.4648809210057146E-4</c:v>
                </c:pt>
                <c:pt idx="34">
                  <c:v>3.7827463358520638E-4</c:v>
                </c:pt>
                <c:pt idx="35">
                  <c:v>2.5114955180657145E-4</c:v>
                </c:pt>
                <c:pt idx="36">
                  <c:v>2.8215566931355556E-4</c:v>
                </c:pt>
                <c:pt idx="37">
                  <c:v>2.1704282254888889E-4</c:v>
                </c:pt>
                <c:pt idx="38">
                  <c:v>2.1704282254888889E-4</c:v>
                </c:pt>
                <c:pt idx="39">
                  <c:v>1.6433242278701587E-4</c:v>
                </c:pt>
                <c:pt idx="40">
                  <c:v>1.5503058753492063E-4</c:v>
                </c:pt>
                <c:pt idx="41">
                  <c:v>1.2092385827723809E-4</c:v>
                </c:pt>
                <c:pt idx="42">
                  <c:v>1.2712508177863493E-4</c:v>
                </c:pt>
                <c:pt idx="43">
                  <c:v>9.6118964271650799E-5</c:v>
                </c:pt>
                <c:pt idx="44">
                  <c:v>7.1314070266063491E-5</c:v>
                </c:pt>
                <c:pt idx="45">
                  <c:v>5.8911623263269844E-5</c:v>
                </c:pt>
                <c:pt idx="46">
                  <c:v>2.1704282254888889E-5</c:v>
                </c:pt>
                <c:pt idx="47">
                  <c:v>4.3408564509777778E-5</c:v>
                </c:pt>
                <c:pt idx="48">
                  <c:v>4.650917626047619E-5</c:v>
                </c:pt>
                <c:pt idx="49">
                  <c:v>2.4804894005587301E-5</c:v>
                </c:pt>
                <c:pt idx="50">
                  <c:v>3.4106729257682543E-5</c:v>
                </c:pt>
                <c:pt idx="51">
                  <c:v>3.1006117506984131E-5</c:v>
                </c:pt>
                <c:pt idx="52">
                  <c:v>2.7905505756285716E-5</c:v>
                </c:pt>
                <c:pt idx="53">
                  <c:v>9.3018352520952387E-6</c:v>
                </c:pt>
                <c:pt idx="54">
                  <c:v>9.301835252095238E-5</c:v>
                </c:pt>
                <c:pt idx="55">
                  <c:v>5.8911623263269844E-5</c:v>
                </c:pt>
                <c:pt idx="56">
                  <c:v>4.650917626047619E-5</c:v>
                </c:pt>
                <c:pt idx="57">
                  <c:v>6.2012235013968252E-6</c:v>
                </c:pt>
                <c:pt idx="58">
                  <c:v>0</c:v>
                </c:pt>
                <c:pt idx="59">
                  <c:v>9.3018352520952387E-6</c:v>
                </c:pt>
                <c:pt idx="60">
                  <c:v>3.1006117506984126E-6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3.2979544946263484E-2</c:v>
                </c:pt>
                <c:pt idx="1">
                  <c:v>0.10820860282751557</c:v>
                </c:pt>
                <c:pt idx="2">
                  <c:v>0.10601462774395852</c:v>
                </c:pt>
                <c:pt idx="3">
                  <c:v>7.4205244396662456E-2</c:v>
                </c:pt>
                <c:pt idx="4">
                  <c:v>9.8531899038111243E-2</c:v>
                </c:pt>
                <c:pt idx="5">
                  <c:v>6.237634445044183E-2</c:v>
                </c:pt>
                <c:pt idx="6">
                  <c:v>7.4109874334352635E-2</c:v>
                </c:pt>
                <c:pt idx="7">
                  <c:v>9.255491002798201E-2</c:v>
                </c:pt>
                <c:pt idx="8">
                  <c:v>3.9575924726614066E-2</c:v>
                </c:pt>
                <c:pt idx="9">
                  <c:v>2.8442148884554298E-2</c:v>
                </c:pt>
                <c:pt idx="10">
                  <c:v>4.0882813291533843E-2</c:v>
                </c:pt>
                <c:pt idx="11">
                  <c:v>3.0743284104411735E-2</c:v>
                </c:pt>
                <c:pt idx="12">
                  <c:v>2.9700517163509854E-2</c:v>
                </c:pt>
                <c:pt idx="13">
                  <c:v>2.2244537373706914E-2</c:v>
                </c:pt>
                <c:pt idx="14">
                  <c:v>1.8865572139371917E-2</c:v>
                </c:pt>
                <c:pt idx="15">
                  <c:v>1.7642521814604139E-2</c:v>
                </c:pt>
                <c:pt idx="16">
                  <c:v>7.99178824015386E-3</c:v>
                </c:pt>
                <c:pt idx="17">
                  <c:v>1.4538004663961889E-2</c:v>
                </c:pt>
                <c:pt idx="18">
                  <c:v>1.0134293178676012E-2</c:v>
                </c:pt>
                <c:pt idx="19">
                  <c:v>3.8616766736558894E-3</c:v>
                </c:pt>
                <c:pt idx="20">
                  <c:v>4.7851456771059279E-3</c:v>
                </c:pt>
                <c:pt idx="21">
                  <c:v>7.3158856158647831E-3</c:v>
                </c:pt>
                <c:pt idx="22">
                  <c:v>3.9040478106025181E-4</c:v>
                </c:pt>
                <c:pt idx="23">
                  <c:v>3.3702463245992675E-3</c:v>
                </c:pt>
                <c:pt idx="24">
                  <c:v>5.1627752805194086E-3</c:v>
                </c:pt>
                <c:pt idx="25">
                  <c:v>1.4535300098954927E-2</c:v>
                </c:pt>
                <c:pt idx="26">
                  <c:v>7.8832033445701798E-3</c:v>
                </c:pt>
                <c:pt idx="27">
                  <c:v>1.1281390669903178E-3</c:v>
                </c:pt>
                <c:pt idx="28">
                  <c:v>1.02815079044215E-2</c:v>
                </c:pt>
                <c:pt idx="29">
                  <c:v>9.1966716419765743E-3</c:v>
                </c:pt>
                <c:pt idx="30">
                  <c:v>2.1034263475722017E-3</c:v>
                </c:pt>
                <c:pt idx="31">
                  <c:v>3.3247168809468976E-3</c:v>
                </c:pt>
                <c:pt idx="32">
                  <c:v>6.0702557788949289E-5</c:v>
                </c:pt>
                <c:pt idx="33">
                  <c:v>0</c:v>
                </c:pt>
                <c:pt idx="34">
                  <c:v>6.9133517040545983E-3</c:v>
                </c:pt>
                <c:pt idx="35">
                  <c:v>4.327880768171387E-5</c:v>
                </c:pt>
                <c:pt idx="36">
                  <c:v>0</c:v>
                </c:pt>
                <c:pt idx="37">
                  <c:v>1.1987665811821411E-5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2.7571639582412723E-4</c:v>
                </c:pt>
                <c:pt idx="42">
                  <c:v>3.4448157663492194E-4</c:v>
                </c:pt>
                <c:pt idx="43">
                  <c:v>0</c:v>
                </c:pt>
                <c:pt idx="44">
                  <c:v>0</c:v>
                </c:pt>
                <c:pt idx="45">
                  <c:v>7.6832118984312568E-5</c:v>
                </c:pt>
                <c:pt idx="46">
                  <c:v>0</c:v>
                </c:pt>
                <c:pt idx="47">
                  <c:v>1.2342354835026875E-5</c:v>
                </c:pt>
                <c:pt idx="48">
                  <c:v>3.4700864435359771E-4</c:v>
                </c:pt>
                <c:pt idx="49">
                  <c:v>0</c:v>
                </c:pt>
                <c:pt idx="50">
                  <c:v>2.6928717967525453E-3</c:v>
                </c:pt>
                <c:pt idx="51">
                  <c:v>1.7481507688117844E-3</c:v>
                </c:pt>
                <c:pt idx="52">
                  <c:v>4.2440834816547066E-3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6.6918132758487877E-5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1.5810019316811207E-2</c:v>
                </c:pt>
                <c:pt idx="1">
                  <c:v>4.7433158562184316E-2</c:v>
                </c:pt>
                <c:pt idx="2">
                  <c:v>7.4895276838120167E-2</c:v>
                </c:pt>
                <c:pt idx="3">
                  <c:v>0.10208144066824384</c:v>
                </c:pt>
                <c:pt idx="4">
                  <c:v>0.11117863554479299</c:v>
                </c:pt>
                <c:pt idx="5">
                  <c:v>9.7483233441958098E-2</c:v>
                </c:pt>
                <c:pt idx="6">
                  <c:v>8.1431366408592415E-2</c:v>
                </c:pt>
                <c:pt idx="7">
                  <c:v>6.6015124784119902E-2</c:v>
                </c:pt>
                <c:pt idx="8">
                  <c:v>5.3439043523287141E-2</c:v>
                </c:pt>
                <c:pt idx="9">
                  <c:v>4.8164902935349148E-2</c:v>
                </c:pt>
                <c:pt idx="10">
                  <c:v>4.1910969034190448E-2</c:v>
                </c:pt>
                <c:pt idx="11">
                  <c:v>3.6615124163997557E-2</c:v>
                </c:pt>
                <c:pt idx="12">
                  <c:v>3.0668150826158001E-2</c:v>
                </c:pt>
                <c:pt idx="13">
                  <c:v>2.7344295029409302E-2</c:v>
                </c:pt>
                <c:pt idx="14">
                  <c:v>2.2405020510546731E-2</c:v>
                </c:pt>
                <c:pt idx="15">
                  <c:v>1.8504450928168128E-2</c:v>
                </c:pt>
                <c:pt idx="16">
                  <c:v>1.4653491133800699E-2</c:v>
                </c:pt>
                <c:pt idx="17">
                  <c:v>1.2591584319586254E-2</c:v>
                </c:pt>
                <c:pt idx="18">
                  <c:v>1.0132799201282412E-2</c:v>
                </c:pt>
                <c:pt idx="19">
                  <c:v>8.9700697947705087E-3</c:v>
                </c:pt>
                <c:pt idx="20">
                  <c:v>7.8972581290288578E-3</c:v>
                </c:pt>
                <c:pt idx="21">
                  <c:v>6.8554525807941911E-3</c:v>
                </c:pt>
                <c:pt idx="22">
                  <c:v>6.2353302306545084E-3</c:v>
                </c:pt>
                <c:pt idx="23">
                  <c:v>6.4399706062006033E-3</c:v>
                </c:pt>
                <c:pt idx="24">
                  <c:v>5.2865430349407936E-3</c:v>
                </c:pt>
                <c:pt idx="25">
                  <c:v>4.5578992735266664E-3</c:v>
                </c:pt>
                <c:pt idx="26">
                  <c:v>4.0618013934149207E-3</c:v>
                </c:pt>
                <c:pt idx="27">
                  <c:v>3.9129720293813973E-3</c:v>
                </c:pt>
                <c:pt idx="28">
                  <c:v>3.3269564084993969E-3</c:v>
                </c:pt>
                <c:pt idx="29">
                  <c:v>3.1502215387095873E-3</c:v>
                </c:pt>
                <c:pt idx="30">
                  <c:v>2.6510230468471431E-3</c:v>
                </c:pt>
                <c:pt idx="31">
                  <c:v>2.2386416840042538E-3</c:v>
                </c:pt>
                <c:pt idx="32">
                  <c:v>2.1084159904749206E-3</c:v>
                </c:pt>
                <c:pt idx="33">
                  <c:v>1.9998945792004761E-3</c:v>
                </c:pt>
                <c:pt idx="34">
                  <c:v>1.7735499213994922E-3</c:v>
                </c:pt>
                <c:pt idx="35">
                  <c:v>1.531702204845016E-3</c:v>
                </c:pt>
                <c:pt idx="36">
                  <c:v>1.351866723304508E-3</c:v>
                </c:pt>
                <c:pt idx="37">
                  <c:v>1.3766716173100953E-3</c:v>
                </c:pt>
                <c:pt idx="38">
                  <c:v>1.3208606057975238E-3</c:v>
                </c:pt>
                <c:pt idx="39">
                  <c:v>1.1534275712598095E-3</c:v>
                </c:pt>
                <c:pt idx="40">
                  <c:v>9.4568658396301591E-4</c:v>
                </c:pt>
                <c:pt idx="41">
                  <c:v>9.3638474871092069E-4</c:v>
                </c:pt>
                <c:pt idx="42">
                  <c:v>8.2786333743647619E-4</c:v>
                </c:pt>
                <c:pt idx="43">
                  <c:v>6.1702173838898411E-4</c:v>
                </c:pt>
                <c:pt idx="44">
                  <c:v>5.7981439738060314E-4</c:v>
                </c:pt>
                <c:pt idx="45">
                  <c:v>5.3020460936942855E-4</c:v>
                </c:pt>
                <c:pt idx="46">
                  <c:v>4.5268931560196827E-4</c:v>
                </c:pt>
                <c:pt idx="47">
                  <c:v>3.7827463358520638E-4</c:v>
                </c:pt>
                <c:pt idx="48">
                  <c:v>3.596709630810159E-4</c:v>
                </c:pt>
                <c:pt idx="49">
                  <c:v>3.875764688373016E-4</c:v>
                </c:pt>
                <c:pt idx="50">
                  <c:v>3.3796668082612701E-4</c:v>
                </c:pt>
                <c:pt idx="51">
                  <c:v>3.0385995156844445E-4</c:v>
                </c:pt>
                <c:pt idx="52">
                  <c:v>2.3874710480377778E-4</c:v>
                </c:pt>
                <c:pt idx="53">
                  <c:v>2.6355199880936507E-4</c:v>
                </c:pt>
                <c:pt idx="54">
                  <c:v>1.5503058753492063E-4</c:v>
                </c:pt>
                <c:pt idx="55">
                  <c:v>1.3332630528003174E-4</c:v>
                </c:pt>
                <c:pt idx="56">
                  <c:v>1.5813119928561906E-4</c:v>
                </c:pt>
                <c:pt idx="57">
                  <c:v>1.674330345377143E-4</c:v>
                </c:pt>
                <c:pt idx="58">
                  <c:v>9.6118964271650799E-5</c:v>
                </c:pt>
                <c:pt idx="59">
                  <c:v>8.6817129019555557E-5</c:v>
                </c:pt>
                <c:pt idx="60">
                  <c:v>6.2012235013968262E-5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L11" sqref="L1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12189.740180062588</v>
      </c>
      <c r="C11" s="11">
        <f>B11/B$102</f>
        <v>0.20537558436890072</v>
      </c>
      <c r="E11" s="19">
        <v>0</v>
      </c>
      <c r="F11" s="343" t="n">
        <v>15404.0</v>
      </c>
      <c r="G11" s="11">
        <f>F11/F$102</f>
        <v>0.10757262407873074</v>
      </c>
      <c r="K11" s="8" t="n">
        <v>5.100510772136443</v>
      </c>
      <c r="L11" s="8" t="n">
        <v>5.462828167705555</v>
      </c>
    </row>
    <row r="12" spans="1:12" x14ac:dyDescent="0.25">
      <c r="A12">
        <v>1</v>
      </c>
      <c r="B12" s="341" t="n">
        <v>35364.047797733685</v>
      </c>
      <c r="C12" s="11">
        <f>B12/B$102</f>
        <v>0.18275924172713642</v>
      </c>
      <c r="E12" s="20">
        <v>1</v>
      </c>
      <c r="F12" s="343" t="n">
        <v>25551.0</v>
      </c>
      <c r="G12" s="11">
        <f>F12/F$102</f>
        <v>0.2080324448013593</v>
      </c>
      <c r="K12" s="8"/>
      <c r="L12" s="289"/>
    </row>
    <row r="13" spans="1:12" x14ac:dyDescent="0.25">
      <c r="A13">
        <v>2</v>
      </c>
      <c r="B13" s="341" t="n">
        <v>28688.741539715422</v>
      </c>
      <c r="C13" s="11">
        <f ref="C13:C76" si="0" t="shared">B13/B$102</f>
        <v>0.13066785795283159</v>
      </c>
      <c r="E13" s="21">
        <v>2</v>
      </c>
      <c r="F13" s="343" t="n">
        <v>28690.0</v>
      </c>
      <c r="G13" s="11">
        <f ref="G13:G76" si="1" t="shared">F13/F$102</f>
        <v>0.1847840578946226</v>
      </c>
    </row>
    <row r="14" spans="1:12" x14ac:dyDescent="0.25">
      <c r="A14">
        <v>3</v>
      </c>
      <c r="B14" s="341" t="n">
        <v>21998.052147116625</v>
      </c>
      <c r="C14" s="11">
        <f si="0" t="shared"/>
        <v>0.13122582416953446</v>
      </c>
      <c r="E14" s="22">
        <v>3</v>
      </c>
      <c r="F14" s="343" t="n">
        <v>27980.0</v>
      </c>
      <c r="G14" s="11">
        <f si="1" t="shared"/>
        <v>0.12043706223237845</v>
      </c>
    </row>
    <row r="15" spans="1:12" x14ac:dyDescent="0.25">
      <c r="A15">
        <v>4</v>
      </c>
      <c r="B15" s="341" t="n">
        <v>19975.8401297618</v>
      </c>
      <c r="C15" s="11">
        <f si="0" t="shared"/>
        <v>6.2545757378655156E-2</v>
      </c>
      <c r="E15" s="23">
        <v>4</v>
      </c>
      <c r="F15" s="343" t="n">
        <v>20966.0</v>
      </c>
      <c r="G15" s="11">
        <f si="1" t="shared"/>
        <v>8.4990868698394187E-2</v>
      </c>
    </row>
    <row r="16" spans="1:12" x14ac:dyDescent="0.25">
      <c r="A16">
        <v>5</v>
      </c>
      <c r="B16" s="341" t="n">
        <v>13482.458762820524</v>
      </c>
      <c r="C16" s="11">
        <f si="0" t="shared"/>
        <v>5.4886256731657042E-2</v>
      </c>
      <c r="E16" s="24">
        <v>5</v>
      </c>
      <c r="F16" s="343" t="n">
        <v>15758.0</v>
      </c>
      <c r="G16" s="11">
        <f si="1" t="shared"/>
        <v>6.5953112549105936E-2</v>
      </c>
    </row>
    <row r="17" spans="1:7" x14ac:dyDescent="0.25">
      <c r="A17">
        <v>6</v>
      </c>
      <c r="B17" s="341" t="n">
        <v>8013.331844671601</v>
      </c>
      <c r="C17" s="11">
        <f si="0" t="shared"/>
        <v>4.6111755551511716E-2</v>
      </c>
      <c r="E17" s="25">
        <v>6</v>
      </c>
      <c r="F17" s="343" t="n">
        <v>11773.0</v>
      </c>
      <c r="G17" s="11">
        <f si="1" t="shared"/>
        <v>4.8121494370839367E-2</v>
      </c>
    </row>
    <row r="18" spans="1:7" x14ac:dyDescent="0.25">
      <c r="A18">
        <v>7</v>
      </c>
      <c r="B18" s="341" t="n">
        <v>7848.901172103974</v>
      </c>
      <c r="C18" s="11">
        <f si="0" t="shared"/>
        <v>2.5906786976567765E-2</v>
      </c>
      <c r="E18" s="26">
        <v>7</v>
      </c>
      <c r="F18" s="343" t="n">
        <v>8264.0</v>
      </c>
      <c r="G18" s="11">
        <f si="1" t="shared"/>
        <v>3.4230753727710478E-2</v>
      </c>
    </row>
    <row r="19" spans="1:7" x14ac:dyDescent="0.25">
      <c r="A19">
        <v>8</v>
      </c>
      <c r="B19" s="341" t="n">
        <v>4967.615679270731</v>
      </c>
      <c r="C19" s="11">
        <f si="0" t="shared"/>
        <v>2.7143271068123167E-2</v>
      </c>
      <c r="E19" s="27">
        <v>8</v>
      </c>
      <c r="F19" s="343" t="n">
        <v>5943.0</v>
      </c>
      <c r="G19" s="11">
        <f si="1" t="shared"/>
        <v>2.6786184914283587E-2</v>
      </c>
    </row>
    <row r="20" spans="1:7" x14ac:dyDescent="0.25">
      <c r="A20">
        <v>9</v>
      </c>
      <c r="B20" s="341" t="n">
        <v>2665.761845109129</v>
      </c>
      <c r="C20" s="11">
        <f si="0" t="shared"/>
        <v>2.2144361416909474E-2</v>
      </c>
      <c r="E20" s="28">
        <v>9</v>
      </c>
      <c r="F20" s="343" t="n">
        <v>4594.0</v>
      </c>
      <c r="G20" s="11">
        <f si="1" t="shared"/>
        <v>1.8470344198910443E-2</v>
      </c>
    </row>
    <row r="21" spans="1:7" x14ac:dyDescent="0.25">
      <c r="A21">
        <v>10</v>
      </c>
      <c r="B21" s="341" t="n">
        <v>3576.0186514811235</v>
      </c>
      <c r="C21" s="11">
        <f si="0" t="shared"/>
        <v>1.1220564567833454E-2</v>
      </c>
      <c r="E21" s="29">
        <v>10</v>
      </c>
      <c r="F21" s="343" t="n">
        <v>3512.0</v>
      </c>
      <c r="G21" s="11">
        <f si="1" t="shared"/>
        <v>1.5103079837651969E-2</v>
      </c>
    </row>
    <row r="22" spans="1:7" x14ac:dyDescent="0.25">
      <c r="A22">
        <v>11</v>
      </c>
      <c r="B22" s="341" t="n">
        <v>4475.717544388377</v>
      </c>
      <c r="C22" s="11">
        <f si="0" t="shared"/>
        <v>1.532144586831851E-2</v>
      </c>
      <c r="E22" s="30">
        <v>11</v>
      </c>
      <c r="F22" s="343" t="n">
        <v>2996.0</v>
      </c>
      <c r="G22" s="11">
        <f si="1" t="shared"/>
        <v>1.2771419801126763E-2</v>
      </c>
    </row>
    <row r="23" spans="1:7" x14ac:dyDescent="0.25">
      <c r="A23">
        <v>12</v>
      </c>
      <c r="B23" s="341" t="n">
        <v>2634.188517053243</v>
      </c>
      <c r="C23" s="11">
        <f si="0" t="shared"/>
        <v>1.6901464866370283E-2</v>
      </c>
      <c r="E23" s="31">
        <v>12</v>
      </c>
      <c r="F23" s="343" t="n">
        <v>2890.0</v>
      </c>
      <c r="G23" s="11">
        <f si="1" t="shared"/>
        <v>1.0613394022640667E-2</v>
      </c>
    </row>
    <row r="24" spans="1:7" x14ac:dyDescent="0.25">
      <c r="A24">
        <v>13</v>
      </c>
      <c r="B24" s="341" t="n">
        <v>2032.481420567234</v>
      </c>
      <c r="C24" s="11">
        <f si="0" t="shared"/>
        <v>5.2920227430139598E-3</v>
      </c>
      <c r="E24" s="32">
        <v>13</v>
      </c>
      <c r="F24" s="343" t="n">
        <v>2039.0</v>
      </c>
      <c r="G24" s="11">
        <f si="1" t="shared"/>
        <v>9.3731493223613016E-3</v>
      </c>
    </row>
    <row r="25" spans="1:7" x14ac:dyDescent="0.25">
      <c r="A25">
        <v>14</v>
      </c>
      <c r="B25" s="341" t="n">
        <v>2054.9213831066854</v>
      </c>
      <c r="C25" s="11">
        <f si="0" t="shared"/>
        <v>1.2627631015369418E-2</v>
      </c>
      <c r="E25" s="33">
        <v>14</v>
      </c>
      <c r="F25" s="343" t="n">
        <v>1658.0</v>
      </c>
      <c r="G25" s="11">
        <f si="1" t="shared"/>
        <v>7.6585110242250792E-3</v>
      </c>
    </row>
    <row r="26" spans="1:7" x14ac:dyDescent="0.25">
      <c r="A26">
        <v>15</v>
      </c>
      <c r="B26" s="341" t="n">
        <v>715.7948835361855</v>
      </c>
      <c r="C26" s="11">
        <f si="0" t="shared"/>
        <v>1.1154429211487193E-2</v>
      </c>
      <c r="E26" s="34">
        <v>15</v>
      </c>
      <c r="F26" s="343" t="n">
        <v>1404.0</v>
      </c>
      <c r="G26" s="11">
        <f si="1" t="shared"/>
        <v>6.6477115934973968E-3</v>
      </c>
    </row>
    <row r="27" spans="1:7" x14ac:dyDescent="0.25">
      <c r="A27">
        <v>16</v>
      </c>
      <c r="B27" s="341" t="n">
        <v>1819.0911022792554</v>
      </c>
      <c r="C27" s="11">
        <f si="0" t="shared"/>
        <v>2.0270304653809659E-3</v>
      </c>
      <c r="E27" s="35">
        <v>16</v>
      </c>
      <c r="F27" s="343" t="n">
        <v>1144.0</v>
      </c>
      <c r="G27" s="11">
        <f si="1" t="shared"/>
        <v>5.5035858574896826E-3</v>
      </c>
    </row>
    <row r="28" spans="1:7" x14ac:dyDescent="0.25">
      <c r="A28">
        <v>17</v>
      </c>
      <c r="B28" s="341" t="n">
        <v>372.3460070206338</v>
      </c>
      <c r="C28" s="11">
        <f si="0" t="shared"/>
        <v>7.2175332430542702E-3</v>
      </c>
      <c r="E28" s="36">
        <v>17</v>
      </c>
      <c r="F28" s="343" t="n">
        <v>890.0</v>
      </c>
      <c r="G28" s="11">
        <f si="1" t="shared"/>
        <v>4.2292344279526353E-3</v>
      </c>
    </row>
    <row r="29" spans="1:7" x14ac:dyDescent="0.25">
      <c r="A29">
        <v>18</v>
      </c>
      <c r="B29" s="341" t="n">
        <v>966.369283467575</v>
      </c>
      <c r="C29" s="11">
        <f si="0" t="shared"/>
        <v>1.1907049574486324E-3</v>
      </c>
      <c r="E29" s="37">
        <v>18</v>
      </c>
      <c r="F29" s="343" t="n">
        <v>870.0</v>
      </c>
      <c r="G29" s="11">
        <f si="1" t="shared"/>
        <v>3.6401181953199368E-3</v>
      </c>
    </row>
    <row r="30" spans="1:7" x14ac:dyDescent="0.25">
      <c r="A30">
        <v>19</v>
      </c>
      <c r="B30" s="341" t="n">
        <v>321.7211246246893</v>
      </c>
      <c r="C30" s="11">
        <f si="0" t="shared"/>
        <v>1.4723501721389961E-3</v>
      </c>
      <c r="E30" s="38">
        <v>19</v>
      </c>
      <c r="F30" s="343" t="n">
        <v>676.0</v>
      </c>
      <c r="G30" s="11">
        <f si="1" t="shared"/>
        <v>3.3610631377570797E-3</v>
      </c>
    </row>
    <row r="31" spans="1:7" x14ac:dyDescent="0.25">
      <c r="A31">
        <v>20</v>
      </c>
      <c r="B31" s="341" t="n">
        <v>0.0</v>
      </c>
      <c r="C31" s="11">
        <f si="0" t="shared"/>
        <v>2.4657487024274663E-3</v>
      </c>
      <c r="E31" s="39">
        <v>20</v>
      </c>
      <c r="F31" s="343" t="n">
        <v>599.0</v>
      </c>
      <c r="G31" s="11">
        <f si="1" t="shared"/>
        <v>2.6944316113569206E-3</v>
      </c>
    </row>
    <row r="32" spans="1:7" x14ac:dyDescent="0.25">
      <c r="A32">
        <v>21</v>
      </c>
      <c r="B32" s="341" t="n">
        <v>1539.7208868969265</v>
      </c>
      <c r="C32" s="11">
        <f si="0" t="shared"/>
        <v>1.1802485249092316E-2</v>
      </c>
      <c r="E32" s="40">
        <v>21</v>
      </c>
      <c r="F32" s="343" t="n">
        <v>629.0</v>
      </c>
      <c r="G32" s="11">
        <f si="1" t="shared"/>
        <v>2.6944316113569206E-3</v>
      </c>
    </row>
    <row r="33" spans="1:7" x14ac:dyDescent="0.25">
      <c r="A33">
        <v>22</v>
      </c>
      <c r="B33" s="341" t="n">
        <v>86.1621691292162</v>
      </c>
      <c r="C33" s="11">
        <f si="0" t="shared"/>
        <v>1.3160690217897561E-4</v>
      </c>
      <c r="E33" s="41">
        <v>22</v>
      </c>
      <c r="F33" s="343" t="n">
        <v>514.0</v>
      </c>
      <c r="G33" s="11">
        <f si="1" t="shared"/>
        <v>2.1425227197326034E-3</v>
      </c>
    </row>
    <row r="34" spans="1:7" x14ac:dyDescent="0.25">
      <c r="A34">
        <v>23</v>
      </c>
      <c r="B34" s="341" t="n">
        <v>834.2650005927928</v>
      </c>
      <c r="C34" s="11">
        <f si="0" t="shared"/>
        <v>2.2594146593858129E-4</v>
      </c>
      <c r="E34" s="42">
        <v>23</v>
      </c>
      <c r="F34" s="343" t="n">
        <v>442.0</v>
      </c>
      <c r="G34" s="11">
        <f si="1" t="shared"/>
        <v>1.8045560389064763E-3</v>
      </c>
    </row>
    <row r="35" spans="1:7" x14ac:dyDescent="0.25">
      <c r="A35">
        <v>24</v>
      </c>
      <c r="B35" s="341" t="n">
        <v>330.7799673373756</v>
      </c>
      <c r="C35" s="11">
        <f si="0" t="shared"/>
        <v>1.3152789319181548E-4</v>
      </c>
      <c r="E35" s="43">
        <v>24</v>
      </c>
      <c r="F35" s="343" t="n">
        <v>339.0</v>
      </c>
      <c r="G35" s="11">
        <f si="1" t="shared"/>
        <v>1.7580468626460001E-3</v>
      </c>
    </row>
    <row r="36" spans="1:7" x14ac:dyDescent="0.25">
      <c r="A36">
        <v>25</v>
      </c>
      <c r="B36" s="341" t="n">
        <v>0.0</v>
      </c>
      <c r="C36" s="11">
        <f si="0" t="shared"/>
        <v>0</v>
      </c>
      <c r="E36" s="44">
        <v>25</v>
      </c>
      <c r="F36" s="343" t="n">
        <v>306.0</v>
      </c>
      <c r="G36" s="11">
        <f si="1" t="shared"/>
        <v>1.6185193338645715E-3</v>
      </c>
    </row>
    <row r="37" spans="1:7" x14ac:dyDescent="0.25">
      <c r="A37">
        <v>26</v>
      </c>
      <c r="B37" s="341" t="n">
        <v>20.7457202372723</v>
      </c>
      <c r="C37" s="11">
        <f si="0" t="shared"/>
        <v>2.7000560823681593E-3</v>
      </c>
      <c r="E37" s="45">
        <v>26</v>
      </c>
      <c r="F37" s="343" t="n">
        <v>220.0</v>
      </c>
      <c r="G37" s="11">
        <f si="1" t="shared"/>
        <v>1.1844336887667937E-3</v>
      </c>
    </row>
    <row r="38" spans="1:7" x14ac:dyDescent="0.25">
      <c r="A38">
        <v>27</v>
      </c>
      <c r="B38" s="341" t="n">
        <v>372.029869301523</v>
      </c>
      <c r="C38" s="11">
        <f si="0" t="shared"/>
        <v>0</v>
      </c>
      <c r="E38" s="46">
        <v>27</v>
      </c>
      <c r="F38" s="343" t="n">
        <v>227.0</v>
      </c>
      <c r="G38" s="11">
        <f si="1" t="shared"/>
        <v>1.0635098304895556E-3</v>
      </c>
    </row>
    <row r="39" spans="1:7" x14ac:dyDescent="0.25">
      <c r="A39">
        <v>28</v>
      </c>
      <c r="B39" s="341" t="n">
        <v>134.401886704145</v>
      </c>
      <c r="C39" s="11">
        <f si="0" t="shared"/>
        <v>4.5807018186700095E-5</v>
      </c>
      <c r="E39" s="47">
        <v>28</v>
      </c>
      <c r="F39" s="343" t="n">
        <v>213.0</v>
      </c>
      <c r="G39" s="11">
        <f si="1" t="shared"/>
        <v>8.9917740770253972E-4</v>
      </c>
    </row>
    <row r="40" spans="1:7" x14ac:dyDescent="0.25">
      <c r="A40">
        <v>29</v>
      </c>
      <c r="B40" s="341" t="n">
        <v>121.7468750549484</v>
      </c>
      <c r="C40" s="11">
        <f si="0" t="shared"/>
        <v>1.1987665811821411E-5</v>
      </c>
      <c r="E40" s="48">
        <v>29</v>
      </c>
      <c r="F40" s="343" t="n">
        <v>150.0</v>
      </c>
      <c r="G40" s="11">
        <f si="1" t="shared"/>
        <v>9.2398230170812696E-4</v>
      </c>
    </row>
    <row r="41" spans="1:7" x14ac:dyDescent="0.25">
      <c r="A41">
        <v>30</v>
      </c>
      <c r="B41" s="341" t="n">
        <v>598.440905435721</v>
      </c>
      <c r="C41" s="11">
        <f si="0" t="shared"/>
        <v>6.9843279168234647E-5</v>
      </c>
      <c r="E41" s="49">
        <v>30</v>
      </c>
      <c r="F41" s="343" t="n">
        <v>118.0</v>
      </c>
      <c r="G41" s="11">
        <f si="1" t="shared"/>
        <v>8.309639491871746E-4</v>
      </c>
    </row>
    <row r="42" spans="1:7" x14ac:dyDescent="0.25">
      <c r="A42">
        <v>31</v>
      </c>
      <c r="B42" s="341" t="n">
        <v>119.8190402667009</v>
      </c>
      <c r="C42" s="11">
        <f si="0" t="shared"/>
        <v>0</v>
      </c>
      <c r="E42" s="50">
        <v>31</v>
      </c>
      <c r="F42" s="343" t="n">
        <v>165.0</v>
      </c>
      <c r="G42" s="11">
        <f si="1" t="shared"/>
        <v>4.8679604485965083E-4</v>
      </c>
    </row>
    <row r="43" spans="1:7" x14ac:dyDescent="0.25">
      <c r="A43">
        <v>32</v>
      </c>
      <c r="B43" s="341" t="n">
        <v>0.0</v>
      </c>
      <c r="C43" s="11">
        <f si="0" t="shared"/>
        <v>0</v>
      </c>
      <c r="E43" s="51">
        <v>32</v>
      </c>
      <c r="F43" s="343" t="n">
        <v>98.0</v>
      </c>
      <c r="G43" s="11">
        <f si="1" t="shared"/>
        <v>4.5578992735266667E-4</v>
      </c>
    </row>
    <row r="44" spans="1:7" x14ac:dyDescent="0.25">
      <c r="A44">
        <v>33</v>
      </c>
      <c r="B44" s="341" t="n">
        <v>111.8694297134636</v>
      </c>
      <c r="C44" s="11">
        <f si="0" t="shared"/>
        <v>7.6832118984312568E-5</v>
      </c>
      <c r="E44" s="52">
        <v>33</v>
      </c>
      <c r="F44" s="343" t="n">
        <v>98.0</v>
      </c>
      <c r="G44" s="11">
        <f si="1" t="shared"/>
        <v>4.4648809210057146E-4</v>
      </c>
    </row>
    <row r="45" spans="1:7" x14ac:dyDescent="0.25">
      <c r="A45">
        <v>34</v>
      </c>
      <c r="B45" s="341" t="n">
        <v>27.15455230623</v>
      </c>
      <c r="C45" s="11">
        <f si="0" t="shared"/>
        <v>4.2651945962264943E-3</v>
      </c>
      <c r="E45" s="53">
        <v>34</v>
      </c>
      <c r="F45" s="343" t="n">
        <v>94.0</v>
      </c>
      <c r="G45" s="11">
        <f si="1" t="shared"/>
        <v>3.7827463358520638E-4</v>
      </c>
    </row>
    <row r="46" spans="1:7" x14ac:dyDescent="0.25">
      <c r="A46">
        <v>35</v>
      </c>
      <c r="B46" s="341" t="n">
        <v>0.0</v>
      </c>
      <c r="C46" s="11">
        <f si="0" t="shared"/>
        <v>0</v>
      </c>
      <c r="E46" s="54">
        <v>35</v>
      </c>
      <c r="F46" s="343" t="n">
        <v>118.0</v>
      </c>
      <c r="G46" s="11">
        <f si="1" t="shared"/>
        <v>2.5114955180657145E-4</v>
      </c>
    </row>
    <row r="47" spans="1:7" x14ac:dyDescent="0.25">
      <c r="A47">
        <v>36</v>
      </c>
      <c r="B47" s="341" t="n">
        <v>0.0</v>
      </c>
      <c r="C47" s="11">
        <f si="0" t="shared"/>
        <v>1.7209010472868017E-4</v>
      </c>
      <c r="E47" s="55">
        <v>36</v>
      </c>
      <c r="F47" s="343" t="n">
        <v>53.0</v>
      </c>
      <c r="G47" s="11">
        <f si="1" t="shared"/>
        <v>2.8215566931355556E-4</v>
      </c>
    </row>
    <row r="48" spans="1:7" x14ac:dyDescent="0.25">
      <c r="A48">
        <v>37</v>
      </c>
      <c r="B48" s="341" t="n">
        <v>0.0</v>
      </c>
      <c r="C48" s="11">
        <f si="0" t="shared"/>
        <v>3.4700864435359771E-4</v>
      </c>
      <c r="E48" s="56">
        <v>37</v>
      </c>
      <c r="F48" s="343" t="n">
        <v>44.0</v>
      </c>
      <c r="G48" s="11">
        <f si="1" t="shared"/>
        <v>2.1704282254888889E-4</v>
      </c>
    </row>
    <row r="49" spans="1:7" x14ac:dyDescent="0.25">
      <c r="A49">
        <v>38</v>
      </c>
      <c r="B49" s="341" t="n">
        <v>0.0</v>
      </c>
      <c r="C49" s="11">
        <f si="0" t="shared"/>
        <v>1.5884030189181309E-3</v>
      </c>
      <c r="E49" s="57">
        <v>38</v>
      </c>
      <c r="F49" s="343" t="n">
        <v>47.0</v>
      </c>
      <c r="G49" s="11">
        <f si="1" t="shared"/>
        <v>2.1704282254888889E-4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22.0</v>
      </c>
      <c r="G50" s="11">
        <f si="1" t="shared"/>
        <v>1.6433242278701587E-4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48.0</v>
      </c>
      <c r="G51" s="11">
        <f si="1" t="shared"/>
        <v>1.5503058753492063E-4</v>
      </c>
    </row>
    <row r="52" spans="1:7" x14ac:dyDescent="0.25">
      <c r="A52">
        <v>41</v>
      </c>
      <c r="B52" s="341" t="n">
        <v>0.0</v>
      </c>
      <c r="C52" s="11">
        <f si="0" t="shared"/>
        <v>2.6928717967525453E-3</v>
      </c>
      <c r="E52" s="60">
        <v>41</v>
      </c>
      <c r="F52" s="343" t="n">
        <v>45.0</v>
      </c>
      <c r="G52" s="11">
        <f si="1" t="shared"/>
        <v>1.2092385827723809E-4</v>
      </c>
    </row>
    <row r="53" spans="1:7" x14ac:dyDescent="0.25">
      <c r="A53">
        <v>42</v>
      </c>
      <c r="B53" s="341" t="n">
        <v>0.0</v>
      </c>
      <c r="C53" s="11">
        <f si="0" t="shared"/>
        <v>0</v>
      </c>
      <c r="E53" s="61">
        <v>42</v>
      </c>
      <c r="F53" s="343" t="n">
        <v>16.0</v>
      </c>
      <c r="G53" s="11">
        <f si="1" t="shared"/>
        <v>1.2712508177863493E-4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24.0</v>
      </c>
      <c r="G54" s="11">
        <f si="1" t="shared"/>
        <v>9.6118964271650799E-5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16.0</v>
      </c>
      <c r="G55" s="11">
        <f si="1" t="shared"/>
        <v>7.1314070266063491E-5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31.0</v>
      </c>
      <c r="G56" s="11">
        <f si="1" t="shared"/>
        <v>5.8911623263269844E-5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14.0</v>
      </c>
      <c r="G57" s="11">
        <f si="1" t="shared"/>
        <v>2.1704282254888889E-5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10.0</v>
      </c>
      <c r="G58" s="11">
        <f si="1" t="shared"/>
        <v>4.3408564509777778E-5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9.0</v>
      </c>
      <c r="G59" s="11">
        <f si="1" t="shared"/>
        <v>4.650917626047619E-5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5.0</v>
      </c>
      <c r="G60" s="11">
        <f si="1" t="shared"/>
        <v>2.4804894005587301E-5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2.0</v>
      </c>
      <c r="G61" s="11">
        <f si="1" t="shared"/>
        <v>3.4106729257682543E-5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3.0</v>
      </c>
      <c r="G62" s="11">
        <f si="1" t="shared"/>
        <v>3.1006117506984131E-5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37.0</v>
      </c>
      <c r="G63" s="11">
        <f si="1" t="shared"/>
        <v>2.7905505756285716E-5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47.0</v>
      </c>
      <c r="G64" s="11">
        <f si="1" t="shared"/>
        <v>9.3018352520952387E-6</v>
      </c>
    </row>
    <row r="65" spans="1:7" x14ac:dyDescent="0.25">
      <c r="A65">
        <v>54</v>
      </c>
      <c r="B65" s="341" t="n">
        <v>0.0</v>
      </c>
      <c r="C65" s="11">
        <f si="0" t="shared"/>
        <v>8.07210094294261E-5</v>
      </c>
      <c r="E65" s="73">
        <v>54</v>
      </c>
      <c r="F65" s="343" t="n">
        <v>3.0</v>
      </c>
      <c r="G65" s="11">
        <f si="1" t="shared"/>
        <v>9.301835252095238E-5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11.0</v>
      </c>
      <c r="G66" s="11">
        <f si="1" t="shared"/>
        <v>5.8911623263269844E-5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42.0</v>
      </c>
      <c r="G67" s="11">
        <f si="1" t="shared"/>
        <v>4.650917626047619E-5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33.0</v>
      </c>
      <c r="G68" s="11">
        <f si="1" t="shared"/>
        <v>6.2012235013968252E-6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37.0</v>
      </c>
      <c r="G69" s="11">
        <f si="1" t="shared"/>
        <v>0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11.0</v>
      </c>
      <c r="G70" s="11">
        <f si="1" t="shared"/>
        <v>9.3018352520952387E-6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8.0</v>
      </c>
      <c r="G71" s="11">
        <f si="1" t="shared"/>
        <v>3.1006117506984126E-6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6.0</v>
      </c>
      <c r="G72" s="11">
        <f si="1" t="shared"/>
        <v>3.1006117506984126E-6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2.0</v>
      </c>
      <c r="G73" s="11">
        <f si="1" t="shared"/>
        <v>3.1006117506984126E-6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3.0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6.2012235013968252E-6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7.0</v>
      </c>
      <c r="G76" s="11">
        <f si="1" t="shared"/>
        <v>3.1006117506984126E-6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9.3018352520952387E-6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40.0</v>
      </c>
      <c r="G78" s="11">
        <f si="3" t="shared"/>
        <v>9.3018352520952387E-6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32.0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4.0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5.0</v>
      </c>
      <c r="G81" s="11">
        <f si="3" t="shared"/>
        <v>2.1704282254888889E-5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3.0</v>
      </c>
      <c r="G82" s="11">
        <f si="3" t="shared"/>
        <v>6.2012235013968252E-6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4.0</v>
      </c>
      <c r="G83" s="11">
        <f si="3" t="shared"/>
        <v>3.1006117506984126E-6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12.0</v>
      </c>
      <c r="G84" s="11">
        <f si="3" t="shared"/>
        <v>1.240244700279365E-5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15.0</v>
      </c>
      <c r="G85" s="11">
        <f si="3" t="shared"/>
        <v>3.1006117506984126E-6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4.0</v>
      </c>
      <c r="G86" s="11">
        <f si="3" t="shared"/>
        <v>9.3018352520952387E-6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2.0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5.0</v>
      </c>
      <c r="G88" s="11">
        <f si="3" t="shared"/>
        <v>3.1006117506984126E-6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1.0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3.1006117506984126E-6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1.0</v>
      </c>
      <c r="G93" s="11">
        <f si="3" t="shared"/>
        <v>3.1006117506984126E-6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2.0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3.0</v>
      </c>
      <c r="G96" s="11">
        <f si="3" t="shared"/>
        <v>6.2012235013968252E-6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3.0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2.0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1.5503058753492066E-5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65.0</v>
      </c>
      <c r="G101" s="11">
        <f si="3" t="shared"/>
        <v>0</v>
      </c>
    </row>
    <row r="102" spans="1:7" x14ac:dyDescent="0.25">
      <c r="B102" s="341">
        <f>SUM(B11:B101)</f>
        <v>317603.93599957577</v>
      </c>
      <c r="C102" s="11">
        <f si="2" t="shared"/>
        <v>1</v>
      </c>
      <c r="F102" s="341">
        <f>SUM(F11:F101)</f>
        <v>322517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O11" sqref="O1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3.2979544946263484E-2</v>
      </c>
      <c r="E11" s="109">
        <v>0</v>
      </c>
      <c r="F11" s="199" t="n">
        <v>3342.0</v>
      </c>
      <c r="G11" s="11">
        <f>F11/F$102</f>
        <v>1.5810019316811207E-2</v>
      </c>
      <c r="K11" s="8" t="n">
        <v>12.09502924786063</v>
      </c>
      <c r="L11" s="8" t="n">
        <v>14.445095732372252</v>
      </c>
    </row>
    <row r="12" spans="1:12" x14ac:dyDescent="0.25">
      <c r="A12">
        <v>1</v>
      </c>
      <c r="B12" s="8" t="n">
        <v>0.0</v>
      </c>
      <c r="C12" s="11">
        <f>B12/B$102</f>
        <v>0.10820860282751557</v>
      </c>
      <c r="E12" s="110">
        <v>1</v>
      </c>
      <c r="F12" s="200" t="n">
        <v>1819.0</v>
      </c>
      <c r="G12" s="11">
        <f>F12/F$102</f>
        <v>4.7433158562184316E-2</v>
      </c>
      <c r="K12" s="8"/>
      <c r="L12" s="290"/>
    </row>
    <row r="13" spans="1:12" x14ac:dyDescent="0.25">
      <c r="A13">
        <v>2</v>
      </c>
      <c r="B13" s="8" t="n">
        <v>69.4358906608886</v>
      </c>
      <c r="C13" s="11">
        <f ref="C13:C76" si="0" t="shared">B13/B$102</f>
        <v>0.10601462774395852</v>
      </c>
      <c r="E13" s="111">
        <v>2</v>
      </c>
      <c r="F13" s="201" t="n">
        <v>2229.0</v>
      </c>
      <c r="G13" s="11">
        <f ref="G13:G76" si="1" t="shared">F13/F$102</f>
        <v>7.4895276838120167E-2</v>
      </c>
    </row>
    <row r="14" spans="1:12" x14ac:dyDescent="0.25">
      <c r="A14">
        <v>3</v>
      </c>
      <c r="B14" s="8" t="n">
        <v>5853.565790710145</v>
      </c>
      <c r="C14" s="11">
        <f si="0" t="shared"/>
        <v>7.4205244396662456E-2</v>
      </c>
      <c r="E14" s="112">
        <v>3</v>
      </c>
      <c r="F14" s="202" t="n">
        <v>3824.0</v>
      </c>
      <c r="G14" s="11">
        <f si="1" t="shared"/>
        <v>0.10208144066824384</v>
      </c>
    </row>
    <row r="15" spans="1:12" x14ac:dyDescent="0.25">
      <c r="A15">
        <v>4</v>
      </c>
      <c r="B15" s="8" t="n">
        <v>10952.060971936544</v>
      </c>
      <c r="C15" s="11">
        <f si="0" t="shared"/>
        <v>9.8531899038111243E-2</v>
      </c>
      <c r="E15" s="113">
        <v>4</v>
      </c>
      <c r="F15" s="203" t="n">
        <v>7031.0</v>
      </c>
      <c r="G15" s="11">
        <f si="1" t="shared"/>
        <v>0.11117863554479299</v>
      </c>
    </row>
    <row r="16" spans="1:12" x14ac:dyDescent="0.25">
      <c r="A16">
        <v>5</v>
      </c>
      <c r="B16" s="8" t="n">
        <v>14534.509574587639</v>
      </c>
      <c r="C16" s="11">
        <f si="0" t="shared"/>
        <v>6.237634445044183E-2</v>
      </c>
      <c r="E16" s="114">
        <v>5</v>
      </c>
      <c r="F16" s="204" t="n">
        <v>9753.0</v>
      </c>
      <c r="G16" s="11">
        <f si="1" t="shared"/>
        <v>9.7483233441958098E-2</v>
      </c>
    </row>
    <row r="17" spans="1:7" x14ac:dyDescent="0.25">
      <c r="A17">
        <v>6</v>
      </c>
      <c r="B17" s="8" t="n">
        <v>23415.62407813598</v>
      </c>
      <c r="C17" s="11">
        <f si="0" t="shared"/>
        <v>7.4109874334352635E-2</v>
      </c>
      <c r="E17" s="115">
        <v>6</v>
      </c>
      <c r="F17" s="205" t="n">
        <v>12034.0</v>
      </c>
      <c r="G17" s="11">
        <f si="1" t="shared"/>
        <v>8.1431366408592415E-2</v>
      </c>
    </row>
    <row r="18" spans="1:7" x14ac:dyDescent="0.25">
      <c r="A18">
        <v>7</v>
      </c>
      <c r="B18" s="8" t="n">
        <v>18688.991341969166</v>
      </c>
      <c r="C18" s="11">
        <f si="0" t="shared"/>
        <v>9.255491002798201E-2</v>
      </c>
      <c r="E18" s="116">
        <v>7</v>
      </c>
      <c r="F18" s="206" t="n">
        <v>13104.0</v>
      </c>
      <c r="G18" s="11">
        <f si="1" t="shared"/>
        <v>6.6015124784119902E-2</v>
      </c>
    </row>
    <row r="19" spans="1:7" x14ac:dyDescent="0.25">
      <c r="A19">
        <v>8</v>
      </c>
      <c r="B19" s="8" t="n">
        <v>11378.055016136705</v>
      </c>
      <c r="C19" s="11">
        <f si="0" t="shared"/>
        <v>3.9575924726614066E-2</v>
      </c>
      <c r="E19" s="117">
        <v>8</v>
      </c>
      <c r="F19" s="207" t="n">
        <v>13214.0</v>
      </c>
      <c r="G19" s="11">
        <f si="1" t="shared"/>
        <v>5.3439043523287141E-2</v>
      </c>
    </row>
    <row r="20" spans="1:7" x14ac:dyDescent="0.25">
      <c r="A20">
        <v>9</v>
      </c>
      <c r="B20" s="8" t="n">
        <v>9121.272150663528</v>
      </c>
      <c r="C20" s="11">
        <f si="0" t="shared"/>
        <v>2.8442148884554298E-2</v>
      </c>
      <c r="E20" s="118">
        <v>9</v>
      </c>
      <c r="F20" s="208" t="n">
        <v>12812.0</v>
      </c>
      <c r="G20" s="11">
        <f si="1" t="shared"/>
        <v>4.8164902935349148E-2</v>
      </c>
    </row>
    <row r="21" spans="1:7" x14ac:dyDescent="0.25">
      <c r="A21">
        <v>10</v>
      </c>
      <c r="B21" s="8" t="n">
        <v>8148.742957797607</v>
      </c>
      <c r="C21" s="11">
        <f si="0" t="shared"/>
        <v>4.0882813291533843E-2</v>
      </c>
      <c r="E21" s="119">
        <v>10</v>
      </c>
      <c r="F21" s="209" t="n">
        <v>12089.0</v>
      </c>
      <c r="G21" s="11">
        <f si="1" t="shared"/>
        <v>4.1910969034190448E-2</v>
      </c>
    </row>
    <row r="22" spans="1:7" x14ac:dyDescent="0.25">
      <c r="A22">
        <v>11</v>
      </c>
      <c r="B22" s="8" t="n">
        <v>12905.923774202756</v>
      </c>
      <c r="C22" s="11">
        <f si="0" t="shared"/>
        <v>3.0743284104411735E-2</v>
      </c>
      <c r="E22" s="120">
        <v>11</v>
      </c>
      <c r="F22" s="210" t="n">
        <v>10899.0</v>
      </c>
      <c r="G22" s="11">
        <f si="1" t="shared"/>
        <v>3.6615124163997557E-2</v>
      </c>
    </row>
    <row r="23" spans="1:7" x14ac:dyDescent="0.25">
      <c r="A23">
        <v>12</v>
      </c>
      <c r="B23" s="8" t="n">
        <v>9035.548517709301</v>
      </c>
      <c r="C23" s="11">
        <f si="0" t="shared"/>
        <v>2.9700517163509854E-2</v>
      </c>
      <c r="E23" s="121">
        <v>12</v>
      </c>
      <c r="F23" s="211" t="n">
        <v>10149.0</v>
      </c>
      <c r="G23" s="11">
        <f si="1" t="shared"/>
        <v>3.0668150826158001E-2</v>
      </c>
    </row>
    <row r="24" spans="1:7" x14ac:dyDescent="0.25">
      <c r="A24">
        <v>13</v>
      </c>
      <c r="B24" s="8" t="n">
        <v>6700.321769020351</v>
      </c>
      <c r="C24" s="11">
        <f si="0" t="shared"/>
        <v>2.2244537373706914E-2</v>
      </c>
      <c r="E24" s="122">
        <v>13</v>
      </c>
      <c r="F24" s="212" t="n">
        <v>8956.0</v>
      </c>
      <c r="G24" s="11">
        <f si="1" t="shared"/>
        <v>2.7344295029409302E-2</v>
      </c>
    </row>
    <row r="25" spans="1:7" x14ac:dyDescent="0.25">
      <c r="A25">
        <v>14</v>
      </c>
      <c r="B25" s="8" t="n">
        <v>7356.31697929993</v>
      </c>
      <c r="C25" s="11">
        <f si="0" t="shared"/>
        <v>1.8865572139371917E-2</v>
      </c>
      <c r="E25" s="123">
        <v>14</v>
      </c>
      <c r="F25" s="213" t="n">
        <v>7854.0</v>
      </c>
      <c r="G25" s="11">
        <f si="1" t="shared"/>
        <v>2.2405020510546731E-2</v>
      </c>
    </row>
    <row r="26" spans="1:7" x14ac:dyDescent="0.25">
      <c r="A26">
        <v>15</v>
      </c>
      <c r="B26" s="8" t="n">
        <v>5494.792057427809</v>
      </c>
      <c r="C26" s="11">
        <f si="0" t="shared"/>
        <v>1.7642521814604139E-2</v>
      </c>
      <c r="E26" s="124">
        <v>15</v>
      </c>
      <c r="F26" s="214" t="n">
        <v>7197.0</v>
      </c>
      <c r="G26" s="11">
        <f si="1" t="shared"/>
        <v>1.8504450928168128E-2</v>
      </c>
    </row>
    <row r="27" spans="1:7" x14ac:dyDescent="0.25">
      <c r="A27">
        <v>16</v>
      </c>
      <c r="B27" s="8" t="n">
        <v>1947.8688741882463</v>
      </c>
      <c r="C27" s="11">
        <f si="0" t="shared"/>
        <v>7.99178824015386E-3</v>
      </c>
      <c r="E27" s="125">
        <v>16</v>
      </c>
      <c r="F27" s="215" t="n">
        <v>6315.0</v>
      </c>
      <c r="G27" s="11">
        <f si="1" t="shared"/>
        <v>1.4653491133800699E-2</v>
      </c>
    </row>
    <row r="28" spans="1:7" x14ac:dyDescent="0.25">
      <c r="A28">
        <v>17</v>
      </c>
      <c r="B28" s="8" t="n">
        <v>5119.473856199362</v>
      </c>
      <c r="C28" s="11">
        <f si="0" t="shared"/>
        <v>1.4538004663961889E-2</v>
      </c>
      <c r="E28" s="126">
        <v>17</v>
      </c>
      <c r="F28" s="216" t="n">
        <v>5103.0</v>
      </c>
      <c r="G28" s="11">
        <f si="1" t="shared"/>
        <v>1.2591584319586254E-2</v>
      </c>
    </row>
    <row r="29" spans="1:7" x14ac:dyDescent="0.25">
      <c r="A29">
        <v>18</v>
      </c>
      <c r="B29" s="8" t="n">
        <v>2415.9921271321464</v>
      </c>
      <c r="C29" s="11">
        <f si="0" t="shared"/>
        <v>1.0134293178676012E-2</v>
      </c>
      <c r="E29" s="127">
        <v>18</v>
      </c>
      <c r="F29" s="217" t="n">
        <v>4427.0</v>
      </c>
      <c r="G29" s="11">
        <f si="1" t="shared"/>
        <v>1.0132799201282412E-2</v>
      </c>
    </row>
    <row r="30" spans="1:7" x14ac:dyDescent="0.25">
      <c r="A30">
        <v>19</v>
      </c>
      <c r="B30" s="8" t="n">
        <v>3545.602347154736</v>
      </c>
      <c r="C30" s="11">
        <f si="0" t="shared"/>
        <v>3.8616766736558894E-3</v>
      </c>
      <c r="E30" s="128">
        <v>19</v>
      </c>
      <c r="F30" s="218" t="n">
        <v>3796.0</v>
      </c>
      <c r="G30" s="11">
        <f si="1" t="shared"/>
        <v>8.9700697947705087E-3</v>
      </c>
    </row>
    <row r="31" spans="1:7" x14ac:dyDescent="0.25">
      <c r="A31">
        <v>20</v>
      </c>
      <c r="B31" s="8" t="n">
        <v>1412.392475287554</v>
      </c>
      <c r="C31" s="11">
        <f si="0" t="shared"/>
        <v>4.7851456771059279E-3</v>
      </c>
      <c r="E31" s="129">
        <v>20</v>
      </c>
      <c r="F31" s="219" t="n">
        <v>3462.0</v>
      </c>
      <c r="G31" s="11">
        <f si="1" t="shared"/>
        <v>7.8972581290288578E-3</v>
      </c>
    </row>
    <row r="32" spans="1:7" x14ac:dyDescent="0.25">
      <c r="A32">
        <v>21</v>
      </c>
      <c r="B32" s="8" t="n">
        <v>1156.6202801900995</v>
      </c>
      <c r="C32" s="11">
        <f si="0" t="shared"/>
        <v>7.3158856158647831E-3</v>
      </c>
      <c r="E32" s="130">
        <v>21</v>
      </c>
      <c r="F32" s="220" t="n">
        <v>3015.0</v>
      </c>
      <c r="G32" s="11">
        <f si="1" t="shared"/>
        <v>6.8554525807941911E-3</v>
      </c>
    </row>
    <row r="33" spans="1:7" x14ac:dyDescent="0.25">
      <c r="A33">
        <v>22</v>
      </c>
      <c r="B33" s="8" t="n">
        <v>762.0985439569415</v>
      </c>
      <c r="C33" s="11">
        <f si="0" t="shared"/>
        <v>3.9040478106025181E-4</v>
      </c>
      <c r="E33" s="131">
        <v>22</v>
      </c>
      <c r="F33" s="221" t="n">
        <v>2697.0</v>
      </c>
      <c r="G33" s="11">
        <f si="1" t="shared"/>
        <v>6.2353302306545084E-3</v>
      </c>
    </row>
    <row r="34" spans="1:7" x14ac:dyDescent="0.25">
      <c r="A34">
        <v>23</v>
      </c>
      <c r="B34" s="8" t="n">
        <v>1313.2069748286965</v>
      </c>
      <c r="C34" s="11">
        <f si="0" t="shared"/>
        <v>3.3702463245992675E-3</v>
      </c>
      <c r="E34" s="132">
        <v>23</v>
      </c>
      <c r="F34" s="222" t="n">
        <v>2342.0</v>
      </c>
      <c r="G34" s="11">
        <f si="1" t="shared"/>
        <v>6.4399706062006033E-3</v>
      </c>
    </row>
    <row r="35" spans="1:7" x14ac:dyDescent="0.25">
      <c r="A35">
        <v>24</v>
      </c>
      <c r="B35" s="8" t="n">
        <v>2103.6393309510468</v>
      </c>
      <c r="C35" s="11">
        <f si="0" t="shared"/>
        <v>5.1627752805194086E-3</v>
      </c>
      <c r="E35" s="133">
        <v>24</v>
      </c>
      <c r="F35" s="223" t="n">
        <v>1967.0</v>
      </c>
      <c r="G35" s="11">
        <f si="1" t="shared"/>
        <v>5.2865430349407936E-3</v>
      </c>
    </row>
    <row r="36" spans="1:7" x14ac:dyDescent="0.25">
      <c r="A36">
        <v>25</v>
      </c>
      <c r="B36" s="8" t="n">
        <v>1422.8919016707528</v>
      </c>
      <c r="C36" s="11">
        <f si="0" t="shared"/>
        <v>1.4535300098954927E-2</v>
      </c>
      <c r="E36" s="134">
        <v>25</v>
      </c>
      <c r="F36" s="224" t="n">
        <v>1724.0</v>
      </c>
      <c r="G36" s="11">
        <f si="1" t="shared"/>
        <v>4.5578992735266664E-3</v>
      </c>
    </row>
    <row r="37" spans="1:7" x14ac:dyDescent="0.25">
      <c r="A37">
        <v>26</v>
      </c>
      <c r="B37" s="8" t="n">
        <v>517.3788534670288</v>
      </c>
      <c r="C37" s="11">
        <f si="0" t="shared"/>
        <v>7.8832033445701798E-3</v>
      </c>
      <c r="E37" s="135">
        <v>26</v>
      </c>
      <c r="F37" s="225" t="n">
        <v>1564.0</v>
      </c>
      <c r="G37" s="11">
        <f si="1" t="shared"/>
        <v>4.0618013934149207E-3</v>
      </c>
    </row>
    <row r="38" spans="1:7" x14ac:dyDescent="0.25">
      <c r="A38">
        <v>27</v>
      </c>
      <c r="B38" s="8" t="n">
        <v>1116.3632986865766</v>
      </c>
      <c r="C38" s="11">
        <f si="0" t="shared"/>
        <v>1.1281390669903178E-3</v>
      </c>
      <c r="E38" s="136">
        <v>27</v>
      </c>
      <c r="F38" s="226" t="n">
        <v>1333.0</v>
      </c>
      <c r="G38" s="11">
        <f si="1" t="shared"/>
        <v>3.9129720293813973E-3</v>
      </c>
    </row>
    <row r="39" spans="1:7" x14ac:dyDescent="0.25">
      <c r="A39">
        <v>28</v>
      </c>
      <c r="B39" s="8" t="n">
        <v>333.08514593600194</v>
      </c>
      <c r="C39" s="11">
        <f si="0" t="shared"/>
        <v>1.02815079044215E-2</v>
      </c>
      <c r="E39" s="137">
        <v>28</v>
      </c>
      <c r="F39" s="227" t="n">
        <v>1199.0</v>
      </c>
      <c r="G39" s="11">
        <f si="1" t="shared"/>
        <v>3.3269564084993969E-3</v>
      </c>
    </row>
    <row r="40" spans="1:7" x14ac:dyDescent="0.25">
      <c r="A40">
        <v>29</v>
      </c>
      <c r="B40" s="8" t="n">
        <v>3180.2166777998</v>
      </c>
      <c r="C40" s="11">
        <f si="0" t="shared"/>
        <v>9.1966716419765743E-3</v>
      </c>
      <c r="E40" s="138">
        <v>29</v>
      </c>
      <c r="F40" s="228" t="n">
        <v>1111.0</v>
      </c>
      <c r="G40" s="11">
        <f si="1" t="shared"/>
        <v>3.1502215387095873E-3</v>
      </c>
    </row>
    <row r="41" spans="1:7" x14ac:dyDescent="0.25">
      <c r="A41">
        <v>30</v>
      </c>
      <c r="B41" s="8" t="n">
        <v>1202.9754464015678</v>
      </c>
      <c r="C41" s="11">
        <f si="0" t="shared"/>
        <v>2.1034263475722017E-3</v>
      </c>
      <c r="E41" s="139">
        <v>30</v>
      </c>
      <c r="F41" s="229" t="n">
        <v>930.0</v>
      </c>
      <c r="G41" s="11">
        <f si="1" t="shared"/>
        <v>2.6510230468471431E-3</v>
      </c>
    </row>
    <row r="42" spans="1:7" x14ac:dyDescent="0.25">
      <c r="A42">
        <v>31</v>
      </c>
      <c r="B42" s="8" t="n">
        <v>187.6740874526463</v>
      </c>
      <c r="C42" s="11">
        <f si="0" t="shared"/>
        <v>3.3247168809468976E-3</v>
      </c>
      <c r="E42" s="140">
        <v>31</v>
      </c>
      <c r="F42" s="230" t="n">
        <v>909.0</v>
      </c>
      <c r="G42" s="11">
        <f si="1" t="shared"/>
        <v>2.2386416840042538E-3</v>
      </c>
    </row>
    <row r="43" spans="1:7" x14ac:dyDescent="0.25">
      <c r="A43">
        <v>32</v>
      </c>
      <c r="B43" s="8" t="n">
        <v>1039.128515287976</v>
      </c>
      <c r="C43" s="11">
        <f si="0" t="shared"/>
        <v>6.0702557788949289E-5</v>
      </c>
      <c r="E43" s="141">
        <v>32</v>
      </c>
      <c r="F43" s="231" t="n">
        <v>711.0</v>
      </c>
      <c r="G43" s="11">
        <f si="1" t="shared"/>
        <v>2.1084159904749206E-3</v>
      </c>
    </row>
    <row r="44" spans="1:7" x14ac:dyDescent="0.25">
      <c r="A44">
        <v>33</v>
      </c>
      <c r="B44" s="8" t="n">
        <v>45.8663714539534</v>
      </c>
      <c r="C44" s="11">
        <f si="0" t="shared"/>
        <v>0</v>
      </c>
      <c r="E44" s="142">
        <v>33</v>
      </c>
      <c r="F44" s="232" t="n">
        <v>732.0</v>
      </c>
      <c r="G44" s="11">
        <f si="1" t="shared"/>
        <v>1.9998945792004761E-3</v>
      </c>
    </row>
    <row r="45" spans="1:7" x14ac:dyDescent="0.25">
      <c r="A45">
        <v>34</v>
      </c>
      <c r="B45" s="8" t="n">
        <v>259.9547933807042</v>
      </c>
      <c r="C45" s="11">
        <f si="0" t="shared"/>
        <v>6.9133517040545983E-3</v>
      </c>
      <c r="E45" s="143">
        <v>34</v>
      </c>
      <c r="F45" s="233" t="n">
        <v>627.0</v>
      </c>
      <c r="G45" s="11">
        <f si="1" t="shared"/>
        <v>1.7735499213994922E-3</v>
      </c>
    </row>
    <row r="46" spans="1:7" x14ac:dyDescent="0.25">
      <c r="A46">
        <v>35</v>
      </c>
      <c r="B46" s="8" t="n">
        <v>442.966949922617</v>
      </c>
      <c r="C46" s="11">
        <f si="0" t="shared"/>
        <v>4.327880768171387E-5</v>
      </c>
      <c r="E46" s="144">
        <v>35</v>
      </c>
      <c r="F46" s="234" t="n">
        <v>592.0</v>
      </c>
      <c r="G46" s="11">
        <f si="1" t="shared"/>
        <v>1.531702204845016E-3</v>
      </c>
    </row>
    <row r="47" spans="1:7" x14ac:dyDescent="0.25">
      <c r="A47">
        <v>36</v>
      </c>
      <c r="B47" s="8" t="n">
        <v>687.3847817952674</v>
      </c>
      <c r="C47" s="11">
        <f si="0" t="shared"/>
        <v>0</v>
      </c>
      <c r="E47" s="145">
        <v>36</v>
      </c>
      <c r="F47" s="235" t="n">
        <v>513.0</v>
      </c>
      <c r="G47" s="11">
        <f si="1" t="shared"/>
        <v>1.351866723304508E-3</v>
      </c>
    </row>
    <row r="48" spans="1:7" x14ac:dyDescent="0.25">
      <c r="A48">
        <v>37</v>
      </c>
      <c r="B48" s="8" t="n">
        <v>24.8672544422838</v>
      </c>
      <c r="C48" s="11">
        <f si="0" t="shared"/>
        <v>1.1987665811821411E-5</v>
      </c>
      <c r="E48" s="146">
        <v>37</v>
      </c>
      <c r="F48" s="236" t="n">
        <v>451.0</v>
      </c>
      <c r="G48" s="11">
        <f si="1" t="shared"/>
        <v>1.3766716173100953E-3</v>
      </c>
    </row>
    <row r="49" spans="1:7" x14ac:dyDescent="0.25">
      <c r="A49">
        <v>38</v>
      </c>
      <c r="B49" s="8" t="n">
        <v>743.2854810039653</v>
      </c>
      <c r="C49" s="11">
        <f si="0" t="shared"/>
        <v>0</v>
      </c>
      <c r="E49" s="147">
        <v>38</v>
      </c>
      <c r="F49" s="237" t="n">
        <v>418.0</v>
      </c>
      <c r="G49" s="11">
        <f si="1" t="shared"/>
        <v>1.3208606057975238E-3</v>
      </c>
    </row>
    <row r="50" spans="1:7" x14ac:dyDescent="0.25">
      <c r="A50">
        <v>39</v>
      </c>
      <c r="B50" s="8" t="n">
        <v>269.7913642525674</v>
      </c>
      <c r="C50" s="11">
        <f si="0" t="shared"/>
        <v>0</v>
      </c>
      <c r="E50" s="148">
        <v>39</v>
      </c>
      <c r="F50" s="238" t="n">
        <v>381.0</v>
      </c>
      <c r="G50" s="11">
        <f si="1" t="shared"/>
        <v>1.1534275712598095E-3</v>
      </c>
    </row>
    <row r="51" spans="1:7" x14ac:dyDescent="0.25">
      <c r="A51">
        <v>40</v>
      </c>
      <c r="B51" s="8" t="n">
        <v>1689.4048554903127</v>
      </c>
      <c r="C51" s="11">
        <f si="0" t="shared"/>
        <v>0</v>
      </c>
      <c r="E51" s="149">
        <v>40</v>
      </c>
      <c r="F51" s="239" t="n">
        <v>331.0</v>
      </c>
      <c r="G51" s="11">
        <f si="1" t="shared"/>
        <v>9.4568658396301591E-4</v>
      </c>
    </row>
    <row r="52" spans="1:7" x14ac:dyDescent="0.25">
      <c r="A52">
        <v>41</v>
      </c>
      <c r="B52" s="8" t="n">
        <v>0.0</v>
      </c>
      <c r="C52" s="11">
        <f si="0" t="shared"/>
        <v>2.7571639582412723E-4</v>
      </c>
      <c r="E52" s="150">
        <v>41</v>
      </c>
      <c r="F52" s="240" t="n">
        <v>334.0</v>
      </c>
      <c r="G52" s="11">
        <f si="1" t="shared"/>
        <v>9.3638474871092069E-4</v>
      </c>
    </row>
    <row r="53" spans="1:7" x14ac:dyDescent="0.25">
      <c r="A53">
        <v>42</v>
      </c>
      <c r="B53" s="8" t="n">
        <v>286.8474897982798</v>
      </c>
      <c r="C53" s="11">
        <f si="0" t="shared"/>
        <v>3.4448157663492194E-4</v>
      </c>
      <c r="E53" s="151">
        <v>42</v>
      </c>
      <c r="F53" s="241" t="n">
        <v>296.0</v>
      </c>
      <c r="G53" s="11">
        <f si="1" t="shared"/>
        <v>8.2786333743647619E-4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261.0</v>
      </c>
      <c r="G54" s="11">
        <f si="1" t="shared"/>
        <v>6.1702173838898411E-4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248.0</v>
      </c>
      <c r="G55" s="11">
        <f si="1" t="shared"/>
        <v>5.7981439738060314E-4</v>
      </c>
    </row>
    <row r="56" spans="1:7" x14ac:dyDescent="0.25">
      <c r="A56">
        <v>45</v>
      </c>
      <c r="B56" s="8" t="n">
        <v>0.0</v>
      </c>
      <c r="C56" s="11">
        <f si="0" t="shared"/>
        <v>7.6832118984312568E-5</v>
      </c>
      <c r="E56" s="154">
        <v>45</v>
      </c>
      <c r="F56" s="244" t="n">
        <v>201.0</v>
      </c>
      <c r="G56" s="11">
        <f si="1" t="shared"/>
        <v>5.3020460936942855E-4</v>
      </c>
    </row>
    <row r="57" spans="1:7" x14ac:dyDescent="0.25">
      <c r="A57">
        <v>46</v>
      </c>
      <c r="B57" s="8" t="n">
        <v>684.6030745649372</v>
      </c>
      <c r="C57" s="11">
        <f si="0" t="shared"/>
        <v>0</v>
      </c>
      <c r="E57" s="155">
        <v>46</v>
      </c>
      <c r="F57" s="245" t="n">
        <v>185.0</v>
      </c>
      <c r="G57" s="11">
        <f si="1" t="shared"/>
        <v>4.5268931560196827E-4</v>
      </c>
    </row>
    <row r="58" spans="1:7" x14ac:dyDescent="0.25">
      <c r="A58">
        <v>47</v>
      </c>
      <c r="B58" s="8" t="n">
        <v>43.0821359783945</v>
      </c>
      <c r="C58" s="11">
        <f si="0" t="shared"/>
        <v>1.2342354835026875E-5</v>
      </c>
      <c r="E58" s="156">
        <v>47</v>
      </c>
      <c r="F58" s="246" t="n">
        <v>184.0</v>
      </c>
      <c r="G58" s="11">
        <f si="1" t="shared"/>
        <v>3.7827463358520638E-4</v>
      </c>
    </row>
    <row r="59" spans="1:7" x14ac:dyDescent="0.25">
      <c r="A59">
        <v>48</v>
      </c>
      <c r="B59" s="8" t="n">
        <v>112.348719524292</v>
      </c>
      <c r="C59" s="11">
        <f si="0" t="shared"/>
        <v>3.4700864435359771E-4</v>
      </c>
      <c r="E59" s="157">
        <v>48</v>
      </c>
      <c r="F59" s="247" t="n">
        <v>170.0</v>
      </c>
      <c r="G59" s="11">
        <f si="1" t="shared"/>
        <v>3.596709630810159E-4</v>
      </c>
    </row>
    <row r="60" spans="1:7" x14ac:dyDescent="0.25">
      <c r="A60">
        <v>49</v>
      </c>
      <c r="B60" s="8" t="n">
        <v>195.1202589008498</v>
      </c>
      <c r="C60" s="11">
        <f si="0" t="shared"/>
        <v>0</v>
      </c>
      <c r="E60" s="158">
        <v>49</v>
      </c>
      <c r="F60" s="248" t="n">
        <v>140.0</v>
      </c>
      <c r="G60" s="11">
        <f si="1" t="shared"/>
        <v>3.875764688373016E-4</v>
      </c>
    </row>
    <row r="61" spans="1:7" x14ac:dyDescent="0.25">
      <c r="A61">
        <v>50</v>
      </c>
      <c r="B61" s="8" t="n">
        <v>0.0</v>
      </c>
      <c r="C61" s="11">
        <f si="0" t="shared"/>
        <v>2.6928717967525453E-3</v>
      </c>
      <c r="E61" s="159">
        <v>50</v>
      </c>
      <c r="F61" s="249" t="n">
        <v>127.0</v>
      </c>
      <c r="G61" s="11">
        <f si="1" t="shared"/>
        <v>3.3796668082612701E-4</v>
      </c>
    </row>
    <row r="62" spans="1:7" x14ac:dyDescent="0.25">
      <c r="A62">
        <v>51</v>
      </c>
      <c r="B62" s="8" t="n">
        <v>162.3942841681017</v>
      </c>
      <c r="C62" s="11">
        <f si="0" t="shared"/>
        <v>1.7481507688117844E-3</v>
      </c>
      <c r="E62" s="160">
        <v>51</v>
      </c>
      <c r="F62" s="250" t="n">
        <v>102.0</v>
      </c>
      <c r="G62" s="11">
        <f si="1" t="shared"/>
        <v>3.0385995156844445E-4</v>
      </c>
    </row>
    <row r="63" spans="1:7" x14ac:dyDescent="0.25">
      <c r="A63">
        <v>52</v>
      </c>
      <c r="B63" s="8" t="n">
        <v>121.7468750549484</v>
      </c>
      <c r="C63" s="11">
        <f si="0" t="shared"/>
        <v>4.2440834816547066E-3</v>
      </c>
      <c r="E63" s="161">
        <v>52</v>
      </c>
      <c r="F63" s="251" t="n">
        <v>103.0</v>
      </c>
      <c r="G63" s="11">
        <f si="1" t="shared"/>
        <v>2.3874710480377778E-4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82.0</v>
      </c>
      <c r="G64" s="11">
        <f si="1" t="shared"/>
        <v>2.6355199880936507E-4</v>
      </c>
    </row>
    <row r="65" spans="1:7" x14ac:dyDescent="0.25">
      <c r="A65">
        <v>54</v>
      </c>
      <c r="B65" s="8" t="n">
        <v>119.8190402667009</v>
      </c>
      <c r="C65" s="11">
        <f si="0" t="shared"/>
        <v>0</v>
      </c>
      <c r="E65" s="163">
        <v>54</v>
      </c>
      <c r="F65" s="253" t="n">
        <v>76.0</v>
      </c>
      <c r="G65" s="11">
        <f si="1" t="shared"/>
        <v>1.5503058753492063E-4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76.0</v>
      </c>
      <c r="G66" s="11">
        <f si="1" t="shared"/>
        <v>1.3332630528003174E-4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87.0</v>
      </c>
      <c r="G67" s="11">
        <f si="1" t="shared"/>
        <v>1.5813119928561906E-4</v>
      </c>
    </row>
    <row r="68" spans="1:7" x14ac:dyDescent="0.25">
      <c r="A68">
        <v>57</v>
      </c>
      <c r="B68" s="8" t="n">
        <v>0.0</v>
      </c>
      <c r="C68" s="11">
        <f si="0" t="shared"/>
        <v>6.6918132758487877E-5</v>
      </c>
      <c r="E68" s="166">
        <v>57</v>
      </c>
      <c r="F68" s="256" t="n">
        <v>62.0</v>
      </c>
      <c r="G68" s="11">
        <f si="1" t="shared"/>
        <v>1.674330345377143E-4</v>
      </c>
    </row>
    <row r="69" spans="1:7" x14ac:dyDescent="0.25">
      <c r="A69">
        <v>58</v>
      </c>
      <c r="B69" s="8" t="n">
        <v>27.15455230623</v>
      </c>
      <c r="C69" s="11">
        <f si="0" t="shared"/>
        <v>0</v>
      </c>
      <c r="E69" s="167">
        <v>58</v>
      </c>
      <c r="F69" s="257" t="n">
        <v>57.0</v>
      </c>
      <c r="G69" s="11">
        <f si="1" t="shared"/>
        <v>9.6118964271650799E-5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40.0</v>
      </c>
      <c r="G70" s="11">
        <f si="1" t="shared"/>
        <v>8.6817129019555557E-5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51.0</v>
      </c>
      <c r="G71" s="11">
        <f si="1" t="shared"/>
        <v>6.2012235013968262E-5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41.0</v>
      </c>
      <c r="G72" s="11">
        <f si="1" t="shared"/>
        <v>7.7515293767460315E-5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27.0</v>
      </c>
      <c r="G73" s="11">
        <f si="1" t="shared"/>
        <v>6.8213458515365086E-5</v>
      </c>
    </row>
    <row r="74" spans="1:7" x14ac:dyDescent="0.25">
      <c r="A74">
        <v>63</v>
      </c>
      <c r="B74" s="8" t="n">
        <v>47.4054263892736</v>
      </c>
      <c r="C74" s="11">
        <f si="0" t="shared"/>
        <v>0</v>
      </c>
      <c r="E74" s="172">
        <v>63</v>
      </c>
      <c r="F74" s="262" t="n">
        <v>31.0</v>
      </c>
      <c r="G74" s="11">
        <f si="1" t="shared"/>
        <v>4.650917626047619E-5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35.0</v>
      </c>
      <c r="G75" s="11">
        <f si="1" t="shared"/>
        <v>4.9609788011174602E-5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41.0</v>
      </c>
      <c r="G76" s="11">
        <f si="1" t="shared"/>
        <v>6.8213458515365086E-5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38.0</v>
      </c>
      <c r="G77" s="11">
        <f ref="G77:G102" si="3" t="shared">F77/F$102</f>
        <v>5.8911623263269844E-5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59.0</v>
      </c>
      <c r="G78" s="11">
        <f si="3" t="shared"/>
        <v>4.9609788011174602E-5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44.0</v>
      </c>
      <c r="G79" s="11">
        <f si="3" t="shared"/>
        <v>6.5112846764666667E-5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47.0</v>
      </c>
      <c r="G80" s="11">
        <f si="3" t="shared"/>
        <v>2.7905505756285716E-5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16.0</v>
      </c>
      <c r="G81" s="11">
        <f si="3" t="shared"/>
        <v>2.4804894005587301E-5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39.0</v>
      </c>
      <c r="G82" s="11">
        <f si="3" t="shared"/>
        <v>3.4106729257682543E-5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20.0</v>
      </c>
      <c r="G83" s="11">
        <f si="3" t="shared"/>
        <v>2.1704282254888889E-5</v>
      </c>
    </row>
    <row r="84" spans="1:7" x14ac:dyDescent="0.25">
      <c r="A84">
        <v>73</v>
      </c>
      <c r="B84" s="8" t="n">
        <v>64.46400332419</v>
      </c>
      <c r="C84" s="11">
        <f si="2" t="shared"/>
        <v>0</v>
      </c>
      <c r="E84" s="182">
        <v>73</v>
      </c>
      <c r="F84" s="272" t="n">
        <v>12.0</v>
      </c>
      <c r="G84" s="11">
        <f si="3" t="shared"/>
        <v>3.1006117506984131E-5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23.0</v>
      </c>
      <c r="G85" s="11">
        <f si="3" t="shared"/>
        <v>6.2012235013968252E-6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26.0</v>
      </c>
      <c r="G86" s="11">
        <f si="3" t="shared"/>
        <v>2.7905505756285716E-5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21.0</v>
      </c>
      <c r="G87" s="11">
        <f si="3" t="shared"/>
        <v>6.2012235013968252E-6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25.0</v>
      </c>
      <c r="G88" s="11">
        <f si="3" t="shared"/>
        <v>1.5503058753492066E-5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16.0</v>
      </c>
      <c r="G89" s="11">
        <f si="3" t="shared"/>
        <v>1.240244700279365E-5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19.0</v>
      </c>
      <c r="G90" s="11">
        <f si="3" t="shared"/>
        <v>9.3018352520952387E-6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32.0</v>
      </c>
      <c r="G91" s="11">
        <f si="3" t="shared"/>
        <v>3.1006117506984126E-6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18.0</v>
      </c>
      <c r="G92" s="11">
        <f si="3" t="shared"/>
        <v>1.240244700279365E-5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17.0</v>
      </c>
      <c r="G93" s="11">
        <f si="3" t="shared"/>
        <v>1.240244700279365E-5</v>
      </c>
    </row>
    <row r="94" spans="1:7" x14ac:dyDescent="0.25">
      <c r="A94">
        <v>83</v>
      </c>
      <c r="B94" s="8" t="n">
        <v>0.0</v>
      </c>
      <c r="C94" s="11">
        <f si="2" t="shared"/>
        <v>8.07210094294261E-5</v>
      </c>
      <c r="E94" s="192">
        <v>83</v>
      </c>
      <c r="F94" s="282" t="n">
        <v>12.0</v>
      </c>
      <c r="G94" s="11">
        <f si="3" t="shared"/>
        <v>9.9219576022349204E-5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33.0</v>
      </c>
      <c r="G95" s="11">
        <f si="3" t="shared"/>
        <v>2.7905505756285716E-5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27.0</v>
      </c>
      <c r="G96" s="11">
        <f si="3" t="shared"/>
        <v>1.5503058753492066E-5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13.0</v>
      </c>
      <c r="G97" s="11">
        <f si="3" t="shared"/>
        <v>1.240244700279365E-5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9.0</v>
      </c>
      <c r="G98" s="11">
        <f si="3" t="shared"/>
        <v>1.240244700279365E-5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15.0</v>
      </c>
      <c r="G99" s="11">
        <f si="3" t="shared"/>
        <v>3.1006117506984126E-6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12.0</v>
      </c>
      <c r="G100" s="11">
        <f si="3" t="shared"/>
        <v>3.1006117506984126E-6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1565.0</v>
      </c>
      <c r="G101" s="11">
        <f si="3" t="shared"/>
        <v>1.2092385827723809E-4</v>
      </c>
    </row>
    <row r="102" spans="1:7" x14ac:dyDescent="0.25">
      <c r="B102" s="8">
        <f>SUM(B11:B101)</f>
        <v>317603.93599957577</v>
      </c>
      <c r="C102" s="11">
        <f si="2" t="shared"/>
        <v>1</v>
      </c>
      <c r="F102" s="8">
        <f>SUM(F11:F101)</f>
        <v>322517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 zoomScaleNormal="100">
      <selection activeCell="N13" sqref="N13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62042.053980400706</v>
      </c>
      <c r="C7" s="12" t="n">
        <v>0.0</v>
      </c>
      <c r="D7" s="12" t="n">
        <v>0.0</v>
      </c>
      <c r="E7" s="12" t="n">
        <v>315.465188750758</v>
      </c>
      <c r="F7" s="12" t="n">
        <v>1627.264968900579</v>
      </c>
      <c r="G7" s="12" t="n">
        <v>1722.1951927526247</v>
      </c>
      <c r="H7" s="12" t="n">
        <v>279.802502678078</v>
      </c>
      <c r="I7" s="12"/>
      <c r="J7" s="12">
        <f>SUM(B7:I7)</f>
        <v>317603.93599957589</v>
      </c>
      <c r="K7" s="12"/>
      <c r="L7" t="str">
        <f>$A$7</f>
        <v>Bellevue</v>
      </c>
      <c r="M7" s="343" t="n">
        <v>65269.0</v>
      </c>
      <c r="N7" s="343" t="n">
        <v>0.0</v>
      </c>
      <c r="O7" s="343" t="n">
        <v>23.0</v>
      </c>
      <c r="P7" s="343" t="n">
        <v>1284.0</v>
      </c>
      <c r="Q7" s="343" t="n">
        <v>267.0</v>
      </c>
      <c r="R7" s="343" t="n">
        <v>3765.0</v>
      </c>
      <c r="S7" s="343" t="n">
        <v>1362.0</v>
      </c>
      <c r="T7" s="291"/>
      <c r="U7" s="12">
        <f>SUM(M7:T7)</f>
        <v>322517</v>
      </c>
    </row>
    <row r="8" spans="1:21" x14ac:dyDescent="0.25">
      <c r="A8" t="s">
        <v>250</v>
      </c>
      <c r="B8" s="12" t="n">
        <v>0.0</v>
      </c>
      <c r="C8" s="12" t="n">
        <v>10279.309605478013</v>
      </c>
      <c r="D8" s="12" t="n">
        <v>0.0</v>
      </c>
      <c r="E8" s="12" t="n">
        <v>0.0</v>
      </c>
      <c r="F8" s="12" t="n">
        <v>0.0</v>
      </c>
      <c r="G8" s="12" t="n">
        <v>962.0465815572434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43" t="n">
        <v>32.0</v>
      </c>
      <c r="N8" s="343" t="n">
        <v>9457.0</v>
      </c>
      <c r="O8" s="343" t="n">
        <v>0.0</v>
      </c>
      <c r="P8" s="343" t="n">
        <v>11.0</v>
      </c>
      <c r="Q8" s="343" t="n">
        <v>0.0</v>
      </c>
      <c r="R8" s="343" t="n">
        <v>1490.0</v>
      </c>
      <c r="S8" s="343" t="n">
        <v>0.0</v>
      </c>
      <c r="T8" s="291"/>
      <c r="U8" s="12">
        <f ref="U8:U14" si="1" t="shared">SUM(M8:T8)</f>
        <v>0</v>
      </c>
    </row>
    <row r="9" spans="1:21" x14ac:dyDescent="0.25">
      <c r="A9" t="s">
        <v>251</v>
      </c>
      <c r="B9" s="12" t="n">
        <v>483.314879984241</v>
      </c>
      <c r="C9" s="12" t="n">
        <v>0.0</v>
      </c>
      <c r="D9" s="12" t="n">
        <v>5663.956081388759</v>
      </c>
      <c r="E9" s="12" t="n">
        <v>0.0</v>
      </c>
      <c r="F9" s="12" t="n">
        <v>77.5198602064818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343" t="n">
        <v>1222.0</v>
      </c>
      <c r="N9" s="343" t="n">
        <v>0.0</v>
      </c>
      <c r="O9" s="343" t="n">
        <v>5818.0</v>
      </c>
      <c r="P9" s="343" t="n">
        <v>0.0</v>
      </c>
      <c r="Q9" s="343" t="n">
        <v>333.0</v>
      </c>
      <c r="R9" s="343" t="n">
        <v>5.0</v>
      </c>
      <c r="S9" s="343" t="n">
        <v>6.0</v>
      </c>
      <c r="T9" s="291"/>
      <c r="U9" s="12">
        <f si="1" t="shared"/>
        <v>0</v>
      </c>
    </row>
    <row r="10" spans="1:21" x14ac:dyDescent="0.25">
      <c r="A10" t="s">
        <v>252</v>
      </c>
      <c r="B10" s="12" t="n">
        <v>742.8707177469233</v>
      </c>
      <c r="C10" s="12" t="n">
        <v>0.0</v>
      </c>
      <c r="D10" s="12" t="n">
        <v>0.0</v>
      </c>
      <c r="E10" s="12" t="n">
        <v>31387.438756467152</v>
      </c>
      <c r="F10" s="12" t="n">
        <v>0.0</v>
      </c>
      <c r="G10" s="12" t="n">
        <v>1464.254214143173</v>
      </c>
      <c r="H10" s="12" t="n">
        <v>93.7523331912798</v>
      </c>
      <c r="I10" s="12"/>
      <c r="J10" s="12">
        <f si="0" t="shared"/>
        <v>0</v>
      </c>
      <c r="K10" s="13"/>
      <c r="L10" t="str">
        <f>$A$10</f>
        <v>Redmond</v>
      </c>
      <c r="M10" s="343" t="n">
        <v>737.0</v>
      </c>
      <c r="N10" s="343" t="n">
        <v>2.0</v>
      </c>
      <c r="O10" s="343" t="n">
        <v>0.0</v>
      </c>
      <c r="P10" s="343" t="n">
        <v>33202.0</v>
      </c>
      <c r="Q10" s="343" t="n">
        <v>0.0</v>
      </c>
      <c r="R10" s="343" t="n">
        <v>145.0</v>
      </c>
      <c r="S10" s="343" t="n">
        <v>89.0</v>
      </c>
      <c r="T10" s="291"/>
      <c r="U10" s="12">
        <f si="1" t="shared"/>
        <v>0</v>
      </c>
    </row>
    <row r="11" spans="1:21" x14ac:dyDescent="0.25">
      <c r="A11" t="s">
        <v>248</v>
      </c>
      <c r="B11" s="12" t="n">
        <v>811.9934471574685</v>
      </c>
      <c r="C11" s="12" t="n">
        <v>0.0</v>
      </c>
      <c r="D11" s="12" t="n">
        <v>1079.4581640066763</v>
      </c>
      <c r="E11" s="12" t="n">
        <v>0.0</v>
      </c>
      <c r="F11" s="12" t="n">
        <v>19315.449126319887</v>
      </c>
      <c r="G11" s="12" t="n">
        <v>47.4054263892736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343" t="n">
        <v>3065.0</v>
      </c>
      <c r="N11" s="343" t="n">
        <v>0.0</v>
      </c>
      <c r="O11" s="343" t="n">
        <v>818.0</v>
      </c>
      <c r="P11" s="343" t="n">
        <v>7.0</v>
      </c>
      <c r="Q11" s="343" t="n">
        <v>16885.0</v>
      </c>
      <c r="R11" s="343" t="n">
        <v>19.0</v>
      </c>
      <c r="S11" s="343" t="n">
        <v>195.0</v>
      </c>
      <c r="T11" s="291"/>
      <c r="U11" s="12">
        <f si="1" t="shared"/>
        <v>0</v>
      </c>
    </row>
    <row r="12" spans="1:21" x14ac:dyDescent="0.25">
      <c r="A12" t="s">
        <v>253</v>
      </c>
      <c r="B12" s="12" t="n">
        <v>3110.9513457018384</v>
      </c>
      <c r="C12" s="12" t="n">
        <v>0.0</v>
      </c>
      <c r="D12" s="12" t="n">
        <v>0.0</v>
      </c>
      <c r="E12" s="12" t="n">
        <v>2414.35025011358</v>
      </c>
      <c r="F12" s="12" t="n">
        <v>0.0</v>
      </c>
      <c r="G12" s="12" t="n">
        <v>16238.694514718729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43" t="n">
        <v>2429.0</v>
      </c>
      <c r="N12" s="343" t="n">
        <v>1564.0</v>
      </c>
      <c r="O12" s="343" t="n">
        <v>0.0</v>
      </c>
      <c r="P12" s="343" t="n">
        <v>655.0</v>
      </c>
      <c r="Q12" s="343" t="n">
        <v>1.0</v>
      </c>
      <c r="R12" s="343" t="n">
        <v>22432.0</v>
      </c>
      <c r="S12" s="343" t="n">
        <v>8.0</v>
      </c>
      <c r="T12" s="291"/>
      <c r="U12" s="12">
        <f si="1" t="shared"/>
        <v>0</v>
      </c>
    </row>
    <row r="13" spans="1:21" x14ac:dyDescent="0.25">
      <c r="A13" t="s">
        <v>254</v>
      </c>
      <c r="B13" s="12" t="n">
        <v>5066.2773953250635</v>
      </c>
      <c r="C13" s="12" t="n">
        <v>0.0</v>
      </c>
      <c r="D13" s="12" t="n">
        <v>0.0</v>
      </c>
      <c r="E13" s="12" t="n">
        <v>157.14369680485132</v>
      </c>
      <c r="F13" s="12" t="n">
        <v>117.523211324385</v>
      </c>
      <c r="G13" s="12" t="n">
        <v>86.1621691292162</v>
      </c>
      <c r="H13" s="12" t="n">
        <v>12873.62370823042</v>
      </c>
      <c r="I13" s="12"/>
      <c r="J13" s="12">
        <f si="0" t="shared"/>
        <v>0</v>
      </c>
      <c r="K13" s="13"/>
      <c r="L13" t="str">
        <f>$A$13</f>
        <v>Rest</v>
      </c>
      <c r="M13" s="343" t="n">
        <v>1669.0</v>
      </c>
      <c r="N13" s="343" t="n">
        <v>0.0</v>
      </c>
      <c r="O13" s="343" t="n">
        <v>0.0</v>
      </c>
      <c r="P13" s="343" t="n">
        <v>542.0</v>
      </c>
      <c r="Q13" s="343" t="n">
        <v>44.0</v>
      </c>
      <c r="R13" s="343" t="n">
        <v>11.0</v>
      </c>
      <c r="S13" s="343" t="n">
        <v>13308.0</v>
      </c>
      <c r="T13" s="291"/>
      <c r="U13" s="12">
        <f si="1" t="shared"/>
        <v>0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317603.93599957589</v>
      </c>
      <c r="C15" s="15">
        <f si="2" t="shared"/>
        <v>0</v>
      </c>
      <c r="D15" s="15">
        <f si="2" t="shared"/>
        <v>0</v>
      </c>
      <c r="E15" s="15">
        <f si="2" t="shared"/>
        <v>0</v>
      </c>
      <c r="F15" s="15">
        <f si="2" t="shared"/>
        <v>0</v>
      </c>
      <c r="G15" s="15">
        <f si="2" t="shared"/>
        <v>0</v>
      </c>
      <c r="H15" s="15">
        <f si="2" t="shared"/>
        <v>0</v>
      </c>
      <c r="I15" s="15">
        <f si="2" t="shared"/>
        <v>0</v>
      </c>
      <c r="J15" s="15">
        <f si="2" t="shared"/>
        <v>317603.93599957589</v>
      </c>
      <c r="K15" s="12"/>
      <c r="L15" s="15" t="s">
        <v>4</v>
      </c>
      <c r="M15" s="15">
        <f ref="M15:U15" si="3" t="shared">SUM(M7:M14)</f>
        <v>322517</v>
      </c>
      <c r="N15" s="15">
        <f si="3" t="shared"/>
        <v>0</v>
      </c>
      <c r="O15" s="15">
        <f si="3" t="shared"/>
        <v>0</v>
      </c>
      <c r="P15" s="15">
        <f si="3" t="shared"/>
        <v>0</v>
      </c>
      <c r="Q15" s="15">
        <f si="3" t="shared"/>
        <v>0</v>
      </c>
      <c r="R15" s="15">
        <f si="3" t="shared"/>
        <v>0</v>
      </c>
      <c r="S15" s="15">
        <f si="3" t="shared"/>
        <v>0</v>
      </c>
      <c r="T15" s="15">
        <f si="3" t="shared"/>
        <v>0</v>
      </c>
      <c r="U15" s="15">
        <f si="3" t="shared"/>
        <v>322517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322517.00000000006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322517.00000000006</v>
      </c>
      <c r="K20" s="12"/>
      <c r="L20" t="str">
        <f>$A$7</f>
        <v>Bellevue</v>
      </c>
      <c r="M20" s="12">
        <f ref="M20:M26" si="6" t="shared">M7</f>
        <v>322517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322517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6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0</v>
      </c>
      <c r="R24" s="12">
        <f si="12" t="shared"/>
        <v>0</v>
      </c>
      <c r="S24" s="12">
        <f ref="S24" si="20" t="shared">S11</f>
        <v>0</v>
      </c>
      <c r="T24" s="12"/>
      <c r="U24" s="12">
        <f si="14" t="shared"/>
        <v>0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0</v>
      </c>
      <c r="R25" s="12">
        <f si="12" t="shared"/>
        <v>0</v>
      </c>
      <c r="S25" s="12">
        <f ref="S25:S26" si="22" t="shared">S12</f>
        <v>0</v>
      </c>
      <c r="T25" s="12"/>
      <c r="U25" s="12">
        <f si="14" t="shared"/>
        <v>0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0</v>
      </c>
      <c r="N26" s="12">
        <f si="12" t="shared"/>
        <v>0</v>
      </c>
      <c r="O26" s="12">
        <f si="12" t="shared"/>
        <v>0</v>
      </c>
      <c r="P26" s="12">
        <f si="12" t="shared"/>
        <v>0</v>
      </c>
      <c r="Q26" s="12">
        <f si="12" t="shared"/>
        <v>0</v>
      </c>
      <c r="R26" s="12">
        <f si="12" t="shared"/>
        <v>0</v>
      </c>
      <c r="S26" s="12">
        <f si="22" t="shared"/>
        <v>0</v>
      </c>
      <c r="T26" s="12"/>
      <c r="U26" s="12">
        <f si="14" t="shared"/>
        <v>0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322517</v>
      </c>
      <c r="N28" s="15">
        <f si="24" t="shared"/>
        <v>0</v>
      </c>
      <c r="O28" s="15">
        <f si="24" t="shared"/>
        <v>0</v>
      </c>
      <c r="P28" s="15">
        <f si="24" t="shared"/>
        <v>0</v>
      </c>
      <c r="Q28" s="15">
        <f si="24" t="shared"/>
        <v>0</v>
      </c>
      <c r="R28" s="15">
        <f si="24" t="shared"/>
        <v>0</v>
      </c>
      <c r="S28" s="15">
        <f si="24" t="shared"/>
        <v>0</v>
      </c>
      <c r="T28" s="15">
        <f si="24" t="shared"/>
        <v>0</v>
      </c>
      <c r="U28" s="15">
        <f si="24" t="shared"/>
        <v>322517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6"/>
      <c r="J33" s="16" t="e">
        <f ref="J33:J38" si="27" t="shared">J20/$J$28</f>
        <v>#DIV/0!</v>
      </c>
      <c r="K33" s="12"/>
      <c r="L33" t="str">
        <f>$A$7</f>
        <v>Bellevue</v>
      </c>
      <c r="M33" s="16">
        <f ref="M33:R33" si="28" t="shared">M20/$U$28</f>
        <v>1</v>
      </c>
      <c r="N33" s="16">
        <f si="28" t="shared"/>
        <v>0</v>
      </c>
      <c r="O33" s="16">
        <f si="28" t="shared"/>
        <v>0</v>
      </c>
      <c r="P33" s="16">
        <f si="28" t="shared"/>
        <v>0</v>
      </c>
      <c r="Q33" s="16">
        <f si="28" t="shared"/>
        <v>0</v>
      </c>
      <c r="R33" s="16">
        <f si="28" t="shared"/>
        <v>0</v>
      </c>
      <c r="S33" s="16">
        <f ref="S33" si="29" t="shared">S20/$U$28</f>
        <v>0</v>
      </c>
      <c r="T33" s="16"/>
      <c r="U33" s="16">
        <f ref="U33:U39" si="30" t="shared">U20/$U$28</f>
        <v>1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si="25" t="shared"/>
        <v>#DIV/0!</v>
      </c>
      <c r="C34" s="16" t="e">
        <f si="25" t="shared"/>
        <v>#DIV/0!</v>
      </c>
      <c r="D34" s="16" t="e">
        <f si="25" t="shared"/>
        <v>#DIV/0!</v>
      </c>
      <c r="E34" s="16" t="e">
        <f si="25" t="shared"/>
        <v>#DIV/0!</v>
      </c>
      <c r="F34" s="16" t="e">
        <f si="25" t="shared"/>
        <v>#DIV/0!</v>
      </c>
      <c r="G34" s="16" t="e">
        <f ref="G34:H34" si="33" t="shared">G21/$J$28</f>
        <v>#DIV/0!</v>
      </c>
      <c r="H34" s="16" t="e">
        <f si="33" t="shared"/>
        <v>#DIV/0!</v>
      </c>
      <c r="I34" s="16"/>
      <c r="J34" s="16" t="e">
        <f si="27" t="shared"/>
        <v>#DIV/0!</v>
      </c>
      <c r="K34" s="12"/>
      <c r="L34" t="str">
        <f>$A$8</f>
        <v>Bellevue Downtown</v>
      </c>
      <c r="M34" s="16">
        <f ref="M34:R39" si="34" t="shared">M21/$U$28</f>
        <v>0</v>
      </c>
      <c r="N34" s="16">
        <f si="34" t="shared"/>
        <v>0</v>
      </c>
      <c r="O34" s="16">
        <f si="34" t="shared"/>
        <v>0</v>
      </c>
      <c r="P34" s="16">
        <f si="34" t="shared"/>
        <v>0</v>
      </c>
      <c r="Q34" s="16">
        <f si="34" t="shared"/>
        <v>0</v>
      </c>
      <c r="R34" s="16">
        <f si="34" t="shared"/>
        <v>0</v>
      </c>
      <c r="S34" s="16">
        <f ref="S34" si="35" t="shared">S21/$U$28</f>
        <v>0</v>
      </c>
      <c r="T34" s="16"/>
      <c r="U34" s="16">
        <f si="30" t="shared"/>
        <v>0</v>
      </c>
      <c r="W34" t="str">
        <f>$A$8</f>
        <v>Bellevue Downtown</v>
      </c>
      <c r="X34" s="16" t="e">
        <f ref="X34:X38" si="36" t="shared">M34-B34</f>
        <v>#DIV/0!</v>
      </c>
      <c r="Y34" s="16" t="e">
        <f ref="Y34:AD38" si="37" t="shared">N34-C34</f>
        <v>#DIV/0!</v>
      </c>
      <c r="Z34" s="16" t="e">
        <f si="37" t="shared"/>
        <v>#DIV/0!</v>
      </c>
      <c r="AA34" s="16" t="e">
        <f si="37" t="shared"/>
        <v>#DIV/0!</v>
      </c>
      <c r="AB34" s="16" t="e">
        <f si="37" t="shared"/>
        <v>#DIV/0!</v>
      </c>
      <c r="AC34" s="16" t="e">
        <f si="37" t="shared"/>
        <v>#DIV/0!</v>
      </c>
      <c r="AD34" s="16" t="e">
        <f si="37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25" t="shared"/>
        <v>#DIV/0!</v>
      </c>
      <c r="C35" s="16" t="e">
        <f si="25" t="shared"/>
        <v>#DIV/0!</v>
      </c>
      <c r="D35" s="16" t="e">
        <f si="25" t="shared"/>
        <v>#DIV/0!</v>
      </c>
      <c r="E35" s="16" t="e">
        <f si="25" t="shared"/>
        <v>#DIV/0!</v>
      </c>
      <c r="F35" s="16" t="e">
        <f si="25" t="shared"/>
        <v>#DIV/0!</v>
      </c>
      <c r="G35" s="16" t="e">
        <f ref="G35:H35" si="38" t="shared">G22/$J$28</f>
        <v>#DIV/0!</v>
      </c>
      <c r="H35" s="16" t="e">
        <f si="38" t="shared"/>
        <v>#DIV/0!</v>
      </c>
      <c r="I35" s="16"/>
      <c r="J35" s="16" t="e">
        <f si="27" t="shared"/>
        <v>#DIV/0!</v>
      </c>
      <c r="K35" s="13"/>
      <c r="L35" t="str">
        <f>$A$9</f>
        <v>Kirkland</v>
      </c>
      <c r="M35" s="16">
        <f si="34" t="shared"/>
        <v>0</v>
      </c>
      <c r="N35" s="16">
        <f si="34" t="shared"/>
        <v>0</v>
      </c>
      <c r="O35" s="16">
        <f si="34" t="shared"/>
        <v>0</v>
      </c>
      <c r="P35" s="16">
        <f si="34" t="shared"/>
        <v>0</v>
      </c>
      <c r="Q35" s="16">
        <f si="34" t="shared"/>
        <v>0</v>
      </c>
      <c r="R35" s="16">
        <f si="34" t="shared"/>
        <v>0</v>
      </c>
      <c r="S35" s="16">
        <f ref="S35" si="39" t="shared">S22/$U$28</f>
        <v>0</v>
      </c>
      <c r="T35" s="16"/>
      <c r="U35" s="16">
        <f si="30" t="shared"/>
        <v>0</v>
      </c>
      <c r="W35" t="str">
        <f>$A$9</f>
        <v>Kirkland</v>
      </c>
      <c r="X35" s="16" t="e">
        <f si="36" t="shared"/>
        <v>#DIV/0!</v>
      </c>
      <c r="Y35" s="16" t="e">
        <f si="37" t="shared"/>
        <v>#DIV/0!</v>
      </c>
      <c r="Z35" s="16" t="e">
        <f si="37" t="shared"/>
        <v>#DIV/0!</v>
      </c>
      <c r="AA35" s="16" t="e">
        <f si="37" t="shared"/>
        <v>#DIV/0!</v>
      </c>
      <c r="AB35" s="16" t="e">
        <f si="37" t="shared"/>
        <v>#DIV/0!</v>
      </c>
      <c r="AC35" s="16" t="e">
        <f si="37" t="shared"/>
        <v>#DIV/0!</v>
      </c>
      <c r="AD35" s="16" t="e">
        <f si="37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25" t="shared"/>
        <v>#DIV/0!</v>
      </c>
      <c r="C36" s="16" t="e">
        <f si="25" t="shared"/>
        <v>#DIV/0!</v>
      </c>
      <c r="D36" s="16" t="e">
        <f si="25" t="shared"/>
        <v>#DIV/0!</v>
      </c>
      <c r="E36" s="16" t="e">
        <f si="25" t="shared"/>
        <v>#DIV/0!</v>
      </c>
      <c r="F36" s="16" t="e">
        <f si="25" t="shared"/>
        <v>#DIV/0!</v>
      </c>
      <c r="G36" s="16" t="e">
        <f ref="G36:H36" si="40" t="shared">G23/$J$28</f>
        <v>#DIV/0!</v>
      </c>
      <c r="H36" s="16" t="e">
        <f si="40" t="shared"/>
        <v>#DIV/0!</v>
      </c>
      <c r="I36" s="16"/>
      <c r="J36" s="16" t="e">
        <f si="27" t="shared"/>
        <v>#DIV/0!</v>
      </c>
      <c r="K36" s="13"/>
      <c r="L36" t="str">
        <f>$A$10</f>
        <v>Redmond</v>
      </c>
      <c r="M36" s="16">
        <f si="34" t="shared"/>
        <v>0</v>
      </c>
      <c r="N36" s="16">
        <f si="34" t="shared"/>
        <v>0</v>
      </c>
      <c r="O36" s="16">
        <f si="34" t="shared"/>
        <v>0</v>
      </c>
      <c r="P36" s="16">
        <f si="34" t="shared"/>
        <v>0</v>
      </c>
      <c r="Q36" s="16">
        <f si="34" t="shared"/>
        <v>0</v>
      </c>
      <c r="R36" s="16">
        <f si="34" t="shared"/>
        <v>0</v>
      </c>
      <c r="S36" s="16">
        <f ref="S36" si="41" t="shared">S23/$U$28</f>
        <v>0</v>
      </c>
      <c r="T36" s="16"/>
      <c r="U36" s="16">
        <f si="30" t="shared"/>
        <v>0</v>
      </c>
      <c r="W36" t="str">
        <f>$A$10</f>
        <v>Redmond</v>
      </c>
      <c r="X36" s="16" t="e">
        <f si="36" t="shared"/>
        <v>#DIV/0!</v>
      </c>
      <c r="Y36" s="16" t="e">
        <f si="37" t="shared"/>
        <v>#DIV/0!</v>
      </c>
      <c r="Z36" s="16" t="e">
        <f si="37" t="shared"/>
        <v>#DIV/0!</v>
      </c>
      <c r="AA36" s="16" t="e">
        <f si="37" t="shared"/>
        <v>#DIV/0!</v>
      </c>
      <c r="AB36" s="16" t="e">
        <f si="37" t="shared"/>
        <v>#DIV/0!</v>
      </c>
      <c r="AC36" s="16" t="e">
        <f si="37" t="shared"/>
        <v>#DIV/0!</v>
      </c>
      <c r="AD36" s="16" t="e">
        <f si="37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25" t="shared"/>
        <v>#DIV/0!</v>
      </c>
      <c r="C37" s="16" t="e">
        <f si="25" t="shared"/>
        <v>#DIV/0!</v>
      </c>
      <c r="D37" s="16" t="e">
        <f si="25" t="shared"/>
        <v>#DIV/0!</v>
      </c>
      <c r="E37" s="16" t="e">
        <f si="25" t="shared"/>
        <v>#DIV/0!</v>
      </c>
      <c r="F37" s="16" t="e">
        <f si="25" t="shared"/>
        <v>#DIV/0!</v>
      </c>
      <c r="G37" s="16" t="e">
        <f ref="G37:H37" si="42" t="shared">G24/$J$28</f>
        <v>#DIV/0!</v>
      </c>
      <c r="H37" s="16" t="e">
        <f si="42" t="shared"/>
        <v>#DIV/0!</v>
      </c>
      <c r="I37" s="16"/>
      <c r="J37" s="16" t="e">
        <f si="27" t="shared"/>
        <v>#DIV/0!</v>
      </c>
      <c r="K37" s="13"/>
      <c r="L37" t="str">
        <f>$A$11</f>
        <v>Seattle</v>
      </c>
      <c r="M37" s="16">
        <f si="34" t="shared"/>
        <v>0</v>
      </c>
      <c r="N37" s="16">
        <f si="34" t="shared"/>
        <v>0</v>
      </c>
      <c r="O37" s="16">
        <f si="34" t="shared"/>
        <v>0</v>
      </c>
      <c r="P37" s="16">
        <f si="34" t="shared"/>
        <v>0</v>
      </c>
      <c r="Q37" s="16">
        <f si="34" t="shared"/>
        <v>0</v>
      </c>
      <c r="R37" s="16">
        <f si="34" t="shared"/>
        <v>0</v>
      </c>
      <c r="S37" s="16">
        <f ref="S37" si="43" t="shared">S24/$U$28</f>
        <v>0</v>
      </c>
      <c r="T37" s="16"/>
      <c r="U37" s="16">
        <f si="30" t="shared"/>
        <v>0</v>
      </c>
      <c r="W37" t="str">
        <f>$A$11</f>
        <v>Seattle</v>
      </c>
      <c r="X37" s="16" t="e">
        <f si="36" t="shared"/>
        <v>#DIV/0!</v>
      </c>
      <c r="Y37" s="16" t="e">
        <f si="37" t="shared"/>
        <v>#DIV/0!</v>
      </c>
      <c r="Z37" s="16" t="e">
        <f si="37" t="shared"/>
        <v>#DIV/0!</v>
      </c>
      <c r="AA37" s="16" t="e">
        <f si="37" t="shared"/>
        <v>#DIV/0!</v>
      </c>
      <c r="AB37" s="16" t="e">
        <f si="37" t="shared"/>
        <v>#DIV/0!</v>
      </c>
      <c r="AC37" s="16" t="e">
        <f si="37" t="shared"/>
        <v>#DIV/0!</v>
      </c>
      <c r="AD37" s="16" t="e">
        <f si="37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25" t="shared"/>
        <v>#DIV/0!</v>
      </c>
      <c r="C38" s="16" t="e">
        <f si="25" t="shared"/>
        <v>#DIV/0!</v>
      </c>
      <c r="D38" s="16" t="e">
        <f si="25" t="shared"/>
        <v>#DIV/0!</v>
      </c>
      <c r="E38" s="16" t="e">
        <f si="25" t="shared"/>
        <v>#DIV/0!</v>
      </c>
      <c r="F38" s="16" t="e">
        <f si="25" t="shared"/>
        <v>#DIV/0!</v>
      </c>
      <c r="G38" s="16" t="e">
        <f ref="G38:H39" si="44" t="shared">G25/$J$28</f>
        <v>#DIV/0!</v>
      </c>
      <c r="H38" s="16" t="e">
        <f si="44" t="shared"/>
        <v>#DIV/0!</v>
      </c>
      <c r="I38" s="16"/>
      <c r="J38" s="16" t="e">
        <f si="27" t="shared"/>
        <v>#DIV/0!</v>
      </c>
      <c r="K38" s="13"/>
      <c r="L38" t="str">
        <f>$A$12</f>
        <v>Seattle Downtown</v>
      </c>
      <c r="M38" s="16">
        <f si="34" t="shared"/>
        <v>0</v>
      </c>
      <c r="N38" s="16">
        <f si="34" t="shared"/>
        <v>0</v>
      </c>
      <c r="O38" s="16">
        <f si="34" t="shared"/>
        <v>0</v>
      </c>
      <c r="P38" s="16">
        <f si="34" t="shared"/>
        <v>0</v>
      </c>
      <c r="Q38" s="16">
        <f si="34" t="shared"/>
        <v>0</v>
      </c>
      <c r="R38" s="16">
        <f si="34" t="shared"/>
        <v>0</v>
      </c>
      <c r="S38" s="16">
        <f ref="S38:S39" si="45" t="shared">S25/$U$28</f>
        <v>0</v>
      </c>
      <c r="T38" s="16"/>
      <c r="U38" s="16">
        <f si="30" t="shared"/>
        <v>0</v>
      </c>
      <c r="W38" t="str">
        <f>$A$12</f>
        <v>Seattle Downtown</v>
      </c>
      <c r="X38" s="16" t="e">
        <f si="36" t="shared"/>
        <v>#DIV/0!</v>
      </c>
      <c r="Y38" s="16" t="e">
        <f si="37" t="shared"/>
        <v>#DIV/0!</v>
      </c>
      <c r="Z38" s="16" t="e">
        <f si="37" t="shared"/>
        <v>#DIV/0!</v>
      </c>
      <c r="AA38" s="16" t="e">
        <f si="37" t="shared"/>
        <v>#DIV/0!</v>
      </c>
      <c r="AB38" s="16" t="e">
        <f si="37" t="shared"/>
        <v>#DIV/0!</v>
      </c>
      <c r="AC38" s="16" t="e">
        <f si="37" t="shared"/>
        <v>#DIV/0!</v>
      </c>
      <c r="AD38" s="16" t="e">
        <f si="37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25" t="shared"/>
        <v>#DIV/0!</v>
      </c>
      <c r="C39" s="16" t="e">
        <f si="25" t="shared"/>
        <v>#DIV/0!</v>
      </c>
      <c r="D39" s="16" t="e">
        <f si="25" t="shared"/>
        <v>#DIV/0!</v>
      </c>
      <c r="E39" s="16" t="e">
        <f si="25" t="shared"/>
        <v>#DIV/0!</v>
      </c>
      <c r="F39" s="16" t="e">
        <f si="25" t="shared"/>
        <v>#DIV/0!</v>
      </c>
      <c r="G39" s="16" t="e">
        <f si="44" t="shared"/>
        <v>#DIV/0!</v>
      </c>
      <c r="H39" s="16" t="e">
        <f si="44" t="shared"/>
        <v>#DIV/0!</v>
      </c>
      <c r="I39" s="16"/>
      <c r="J39" s="16" t="e">
        <f si="25" t="shared"/>
        <v>#DIV/0!</v>
      </c>
      <c r="K39" s="13"/>
      <c r="L39" t="str">
        <f>$A$13</f>
        <v>Rest</v>
      </c>
      <c r="M39" s="16">
        <f si="34" t="shared"/>
        <v>0</v>
      </c>
      <c r="N39" s="16">
        <f si="34" t="shared"/>
        <v>0</v>
      </c>
      <c r="O39" s="16">
        <f si="34" t="shared"/>
        <v>0</v>
      </c>
      <c r="P39" s="16">
        <f si="34" t="shared"/>
        <v>0</v>
      </c>
      <c r="Q39" s="16">
        <f si="34" t="shared"/>
        <v>0</v>
      </c>
      <c r="R39" s="16">
        <f si="34" t="shared"/>
        <v>0</v>
      </c>
      <c r="S39" s="16">
        <f si="45" t="shared"/>
        <v>0</v>
      </c>
      <c r="T39" s="16"/>
      <c r="U39" s="16">
        <f si="30" t="shared"/>
        <v>0</v>
      </c>
      <c r="W39" t="str">
        <f>$A$13</f>
        <v>Rest</v>
      </c>
      <c r="X39" s="16" t="e">
        <f ref="X39" si="46" t="shared">M39-B39</f>
        <v>#DIV/0!</v>
      </c>
      <c r="Y39" s="16" t="e">
        <f ref="Y39" si="47" t="shared">N39-C39</f>
        <v>#DIV/0!</v>
      </c>
      <c r="Z39" s="16" t="e">
        <f ref="Z39" si="48" t="shared">O39-D39</f>
        <v>#DIV/0!</v>
      </c>
      <c r="AA39" s="16" t="e">
        <f ref="AA39" si="49" t="shared">P39-E39</f>
        <v>#DIV/0!</v>
      </c>
      <c r="AB39" s="16" t="e">
        <f ref="AB39" si="50" t="shared">Q39-F39</f>
        <v>#DIV/0!</v>
      </c>
      <c r="AC39" s="16" t="e">
        <f ref="AC39" si="51" t="shared">R39-G39</f>
        <v>#DIV/0!</v>
      </c>
      <c r="AD39" s="16" t="e">
        <f ref="AD39" si="52" t="shared">S39-H39</f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1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54" t="shared">Q28/$U$28</f>
        <v>0</v>
      </c>
      <c r="R41" s="18">
        <f si="54" t="shared"/>
        <v>0</v>
      </c>
      <c r="S41" s="18">
        <f si="54" t="shared"/>
        <v>0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18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19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  <c r="E8" t="s">
        <v>283</v>
      </c>
      <c r="F8" t="s">
        <v>284</v>
      </c>
      <c r="G8" t="s">
        <v>285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0.91831018518518526</v>
      </c>
      <c r="G9" t="s">
        <v>240</v>
      </c>
      <c r="H9">
        <v>30</v>
      </c>
      <c r="I9" t="s">
        <v>286</v>
      </c>
      <c r="J9">
        <v>20</v>
      </c>
    </row>
    <row r="10" spans="1:11" x14ac:dyDescent="0.25">
      <c r="A10" t="s">
        <v>241</v>
      </c>
    </row>
    <row r="11" spans="1:11" x14ac:dyDescent="0.25">
      <c r="B11">
        <v>1</v>
      </c>
      <c r="C11" t="s">
        <v>287</v>
      </c>
      <c r="D11" t="s">
        <v>242</v>
      </c>
      <c r="E11">
        <v>1</v>
      </c>
      <c r="F11">
        <v>1</v>
      </c>
    </row>
    <row r="12" spans="1:11" x14ac:dyDescent="0.25">
      <c r="B12">
        <v>2</v>
      </c>
      <c r="C12" t="s">
        <v>288</v>
      </c>
      <c r="D12" t="s">
        <v>243</v>
      </c>
      <c r="E12">
        <v>14.842474747500001</v>
      </c>
      <c r="F12">
        <v>1.83835803238</v>
      </c>
    </row>
    <row r="13" spans="1:11" x14ac:dyDescent="0.25">
      <c r="B13">
        <v>3</v>
      </c>
      <c r="C13" t="s">
        <v>289</v>
      </c>
      <c r="D13" t="s">
        <v>243</v>
      </c>
      <c r="E13" s="336">
        <v>5.2231850982500001E-2</v>
      </c>
      <c r="F13">
        <v>0.20210412377100001</v>
      </c>
    </row>
    <row r="14" spans="1:11" x14ac:dyDescent="0.25">
      <c r="B14">
        <v>4</v>
      </c>
      <c r="C14" t="s">
        <v>290</v>
      </c>
      <c r="D14" t="s">
        <v>243</v>
      </c>
      <c r="E14" s="336">
        <v>-0.28042629390099999</v>
      </c>
      <c r="F14">
        <v>0.214012249288</v>
      </c>
    </row>
    <row r="15" spans="1:11" x14ac:dyDescent="0.25">
      <c r="B15">
        <v>5</v>
      </c>
      <c r="C15" t="s">
        <v>291</v>
      </c>
      <c r="D15" t="s">
        <v>243</v>
      </c>
      <c r="E15" s="336">
        <v>3.8864252169499999E-2</v>
      </c>
      <c r="F15">
        <v>0.22261163226899999</v>
      </c>
    </row>
    <row r="16" spans="1:11" x14ac:dyDescent="0.25">
      <c r="B16">
        <v>6</v>
      </c>
      <c r="C16" t="s">
        <v>292</v>
      </c>
      <c r="D16" t="s">
        <v>243</v>
      </c>
      <c r="E16" s="336">
        <v>-5.4105027761100002E-2</v>
      </c>
      <c r="F16" s="336">
        <v>9.1881732487999995E-2</v>
      </c>
    </row>
    <row r="17" spans="2:6" x14ac:dyDescent="0.25">
      <c r="B17">
        <v>7</v>
      </c>
      <c r="C17" t="s">
        <v>293</v>
      </c>
      <c r="D17" t="s">
        <v>243</v>
      </c>
      <c r="E17">
        <v>-1.2443107654000001</v>
      </c>
      <c r="F17">
        <v>0.19943151784099999</v>
      </c>
    </row>
    <row r="18" spans="2:6" x14ac:dyDescent="0.25">
      <c r="B18">
        <v>8</v>
      </c>
      <c r="C18" t="s">
        <v>294</v>
      </c>
      <c r="D18" t="s">
        <v>243</v>
      </c>
      <c r="E18" s="336">
        <v>0.41298170440800003</v>
      </c>
      <c r="F18">
        <v>0.14496922102199999</v>
      </c>
    </row>
    <row r="19" spans="2:6" x14ac:dyDescent="0.25">
      <c r="B19">
        <v>9</v>
      </c>
      <c r="C19" t="s">
        <v>295</v>
      </c>
      <c r="D19" t="s">
        <v>243</v>
      </c>
      <c r="E19" s="336">
        <v>-0.26420630814700002</v>
      </c>
      <c r="F19">
        <v>0.19387529082999999</v>
      </c>
    </row>
    <row r="20" spans="2:6" x14ac:dyDescent="0.25">
      <c r="B20">
        <v>10</v>
      </c>
      <c r="C20" t="s">
        <v>296</v>
      </c>
      <c r="D20" t="s">
        <v>243</v>
      </c>
      <c r="E20">
        <v>-0.35872692861799998</v>
      </c>
      <c r="F20">
        <v>0.100051515259</v>
      </c>
    </row>
    <row r="21" spans="2:6" x14ac:dyDescent="0.25">
      <c r="B21">
        <v>11</v>
      </c>
      <c r="C21" t="s">
        <v>297</v>
      </c>
      <c r="D21" t="s">
        <v>243</v>
      </c>
      <c r="E21">
        <v>0.20317681554899999</v>
      </c>
      <c r="F21">
        <v>0.247232349657</v>
      </c>
    </row>
    <row r="22" spans="2:6" x14ac:dyDescent="0.25">
      <c r="B22">
        <v>12</v>
      </c>
      <c r="C22" t="s">
        <v>298</v>
      </c>
      <c r="D22" t="s">
        <v>243</v>
      </c>
      <c r="E22">
        <v>-0.25772334575</v>
      </c>
      <c r="F22">
        <v>0.170336028034</v>
      </c>
    </row>
    <row r="23" spans="2:6" x14ac:dyDescent="0.25">
      <c r="B23">
        <v>13</v>
      </c>
      <c r="C23" t="s">
        <v>299</v>
      </c>
      <c r="D23" t="s">
        <v>243</v>
      </c>
      <c r="E23">
        <v>-1.51291507531</v>
      </c>
      <c r="F23">
        <v>0.20916747597900001</v>
      </c>
    </row>
    <row r="24" spans="2:6" x14ac:dyDescent="0.25">
      <c r="B24">
        <v>14</v>
      </c>
      <c r="C24" t="s">
        <v>300</v>
      </c>
      <c r="D24" t="s">
        <v>243</v>
      </c>
      <c r="E24">
        <v>-0.21776561918199999</v>
      </c>
      <c r="F24" s="336">
        <v>7.7382027445400001E-2</v>
      </c>
    </row>
    <row r="25" spans="2:6" x14ac:dyDescent="0.25">
      <c r="B25">
        <v>15</v>
      </c>
      <c r="C25" t="s">
        <v>301</v>
      </c>
      <c r="D25" t="s">
        <v>243</v>
      </c>
      <c r="E25">
        <v>-1.27163179208</v>
      </c>
      <c r="F25">
        <v>0.50605159824699997</v>
      </c>
    </row>
    <row r="26" spans="2:6" x14ac:dyDescent="0.25">
      <c r="B26">
        <v>16</v>
      </c>
      <c r="C26" t="s">
        <v>302</v>
      </c>
      <c r="D26" t="s">
        <v>243</v>
      </c>
      <c r="E26">
        <v>-0.54089688480800002</v>
      </c>
      <c r="F26">
        <v>0.15561651788600001</v>
      </c>
    </row>
    <row r="27" spans="2:6" x14ac:dyDescent="0.25">
      <c r="B27">
        <v>17</v>
      </c>
      <c r="C27" t="s">
        <v>303</v>
      </c>
      <c r="D27" t="s">
        <v>242</v>
      </c>
      <c r="E27">
        <v>0</v>
      </c>
      <c r="F27">
        <v>1</v>
      </c>
    </row>
    <row r="28" spans="2:6" x14ac:dyDescent="0.25">
      <c r="B28">
        <v>18</v>
      </c>
      <c r="C28" t="s">
        <v>304</v>
      </c>
      <c r="D28" t="s">
        <v>242</v>
      </c>
      <c r="E28">
        <v>0</v>
      </c>
      <c r="F28">
        <v>1</v>
      </c>
    </row>
    <row r="29" spans="2:6" x14ac:dyDescent="0.25">
      <c r="B29">
        <v>19</v>
      </c>
      <c r="C29" t="s">
        <v>305</v>
      </c>
      <c r="D29" t="s">
        <v>242</v>
      </c>
      <c r="E29">
        <v>0</v>
      </c>
      <c r="F29">
        <v>1</v>
      </c>
    </row>
    <row r="30" spans="2:6" x14ac:dyDescent="0.25">
      <c r="B30">
        <v>20</v>
      </c>
      <c r="C30" t="s">
        <v>306</v>
      </c>
      <c r="D30" t="s">
        <v>243</v>
      </c>
      <c r="E30">
        <v>0.43763139961699998</v>
      </c>
      <c r="F30" s="336">
        <v>4.8429506021399997E-2</v>
      </c>
    </row>
    <row r="31" spans="2:6" x14ac:dyDescent="0.25">
      <c r="B31">
        <v>21</v>
      </c>
      <c r="C31" t="s">
        <v>307</v>
      </c>
      <c r="D31" t="s">
        <v>243</v>
      </c>
      <c r="E31">
        <v>-5.1729505125899999</v>
      </c>
      <c r="F31">
        <v>1.47237352721</v>
      </c>
    </row>
    <row r="32" spans="2:6" x14ac:dyDescent="0.25">
      <c r="B32">
        <v>22</v>
      </c>
      <c r="C32" t="s">
        <v>308</v>
      </c>
      <c r="D32" t="s">
        <v>243</v>
      </c>
      <c r="E32">
        <v>-5.9112646193599998</v>
      </c>
      <c r="F32">
        <v>0.31220814773599997</v>
      </c>
    </row>
    <row r="33" spans="2:6" x14ac:dyDescent="0.25">
      <c r="B33">
        <v>23</v>
      </c>
      <c r="C33" t="s">
        <v>309</v>
      </c>
      <c r="D33" t="s">
        <v>243</v>
      </c>
      <c r="E33">
        <v>-4.3510480079200002</v>
      </c>
      <c r="F33">
        <v>0.18576143123800001</v>
      </c>
    </row>
    <row r="34" spans="2:6" x14ac:dyDescent="0.25">
      <c r="B34">
        <v>24</v>
      </c>
      <c r="C34" t="s">
        <v>310</v>
      </c>
      <c r="D34" t="s">
        <v>243</v>
      </c>
      <c r="E34">
        <v>0.219929989326</v>
      </c>
      <c r="F34" s="336">
        <v>1.3645721239299999E-2</v>
      </c>
    </row>
    <row r="35" spans="2:6" x14ac:dyDescent="0.25">
      <c r="B35">
        <v>25</v>
      </c>
      <c r="C35" t="s">
        <v>311</v>
      </c>
      <c r="D35" t="s">
        <v>243</v>
      </c>
      <c r="E35">
        <v>-0.19965371290799999</v>
      </c>
      <c r="F35" s="336">
        <v>1.5268311706199999E-2</v>
      </c>
    </row>
    <row r="36" spans="2:6" x14ac:dyDescent="0.25">
      <c r="B36">
        <v>26</v>
      </c>
      <c r="C36" t="s">
        <v>312</v>
      </c>
      <c r="D36" t="s">
        <v>243</v>
      </c>
      <c r="E36">
        <v>0.456947594269</v>
      </c>
      <c r="F36" s="336">
        <v>8.45315868922E-2</v>
      </c>
    </row>
    <row r="37" spans="2:6" x14ac:dyDescent="0.25">
      <c r="B37">
        <v>27</v>
      </c>
      <c r="C37" t="s">
        <v>313</v>
      </c>
      <c r="D37" t="s">
        <v>243</v>
      </c>
      <c r="E37">
        <v>-16.041405463699999</v>
      </c>
      <c r="F37">
        <v>1.44425336446</v>
      </c>
    </row>
    <row r="38" spans="2:6" x14ac:dyDescent="0.25">
      <c r="B38">
        <v>28</v>
      </c>
      <c r="C38" t="s">
        <v>314</v>
      </c>
      <c r="D38" t="s">
        <v>243</v>
      </c>
      <c r="E38">
        <v>-4.0058838759500004</v>
      </c>
      <c r="F38">
        <v>0.35273062120999998</v>
      </c>
    </row>
    <row r="39" spans="2:6" x14ac:dyDescent="0.25">
      <c r="B39">
        <v>29</v>
      </c>
      <c r="C39" t="s">
        <v>315</v>
      </c>
      <c r="D39" t="s">
        <v>243</v>
      </c>
      <c r="E39">
        <v>-2.2602358254700001</v>
      </c>
      <c r="F39">
        <v>0.146992342355</v>
      </c>
    </row>
    <row r="40" spans="2:6" x14ac:dyDescent="0.25">
      <c r="B40">
        <v>30</v>
      </c>
      <c r="C40" t="s">
        <v>316</v>
      </c>
      <c r="D40" t="s">
        <v>243</v>
      </c>
      <c r="E40">
        <v>-0.57131171698200001</v>
      </c>
      <c r="F40" s="336">
        <v>8.1640985937999996E-2</v>
      </c>
    </row>
    <row r="41" spans="2:6" x14ac:dyDescent="0.25">
      <c r="B41">
        <v>31</v>
      </c>
      <c r="C41" t="s">
        <v>317</v>
      </c>
      <c r="D41" t="s">
        <v>243</v>
      </c>
      <c r="E41" s="336">
        <v>-9.1432405138999993E-3</v>
      </c>
      <c r="F41" s="336">
        <v>1.8681010178100001E-2</v>
      </c>
    </row>
    <row r="42" spans="2:6" x14ac:dyDescent="0.25">
      <c r="B42">
        <v>32</v>
      </c>
      <c r="C42" t="s">
        <v>318</v>
      </c>
      <c r="D42" t="s">
        <v>243</v>
      </c>
      <c r="E42">
        <v>-0.11638214876</v>
      </c>
      <c r="F42" s="336">
        <v>2.0027350623800001E-2</v>
      </c>
    </row>
    <row r="43" spans="2:6" x14ac:dyDescent="0.25">
      <c r="B43">
        <v>33</v>
      </c>
      <c r="C43" t="s">
        <v>319</v>
      </c>
      <c r="D43" t="s">
        <v>243</v>
      </c>
      <c r="E43" s="336">
        <v>5.6920874310099998E-2</v>
      </c>
      <c r="F43" s="336">
        <v>1.00062712342E-2</v>
      </c>
    </row>
    <row r="44" spans="2:6" x14ac:dyDescent="0.25">
      <c r="B44">
        <v>34</v>
      </c>
      <c r="C44" t="s">
        <v>320</v>
      </c>
      <c r="D44" t="s">
        <v>243</v>
      </c>
      <c r="E44" s="336">
        <v>-1.9362324458399999E-2</v>
      </c>
      <c r="F44" s="336">
        <v>1.63018501781E-2</v>
      </c>
    </row>
    <row r="45" spans="2:6" x14ac:dyDescent="0.25">
      <c r="B45">
        <v>35</v>
      </c>
      <c r="C45" t="s">
        <v>321</v>
      </c>
      <c r="D45" t="s">
        <v>243</v>
      </c>
      <c r="E45" s="336">
        <v>1.8323476485999999E-2</v>
      </c>
      <c r="F45" s="336">
        <v>1.2148526885499999E-2</v>
      </c>
    </row>
    <row r="46" spans="2:6" x14ac:dyDescent="0.25">
      <c r="B46">
        <v>36</v>
      </c>
      <c r="C46" t="s">
        <v>322</v>
      </c>
      <c r="D46" t="s">
        <v>243</v>
      </c>
      <c r="E46" s="336">
        <v>2.3040582229000002</v>
      </c>
      <c r="F46" s="336">
        <v>0.22055425229699999</v>
      </c>
    </row>
    <row r="47" spans="2:6" x14ac:dyDescent="0.25">
      <c r="B47">
        <v>37</v>
      </c>
      <c r="C47" t="s">
        <v>323</v>
      </c>
      <c r="D47" t="s">
        <v>243</v>
      </c>
      <c r="E47">
        <v>-7.2225250615199998</v>
      </c>
      <c r="F47">
        <v>1.6810961957599999</v>
      </c>
    </row>
    <row r="48" spans="2:6" x14ac:dyDescent="0.25">
      <c r="B48">
        <v>38</v>
      </c>
      <c r="C48" t="s">
        <v>324</v>
      </c>
      <c r="D48" t="s">
        <v>243</v>
      </c>
      <c r="E48">
        <v>-5.4693439766900003</v>
      </c>
      <c r="F48">
        <v>0.390672154306</v>
      </c>
    </row>
    <row r="49" spans="2:6" x14ac:dyDescent="0.25">
      <c r="B49">
        <v>39</v>
      </c>
      <c r="C49" t="s">
        <v>325</v>
      </c>
      <c r="D49" t="s">
        <v>243</v>
      </c>
      <c r="E49">
        <v>-2.4179033783600001</v>
      </c>
      <c r="F49">
        <v>0.223286996333</v>
      </c>
    </row>
    <row r="50" spans="2:6" x14ac:dyDescent="0.25">
      <c r="B50">
        <v>40</v>
      </c>
      <c r="C50" t="s">
        <v>326</v>
      </c>
      <c r="D50" t="s">
        <v>243</v>
      </c>
      <c r="E50">
        <v>-0.24529497763800001</v>
      </c>
      <c r="F50">
        <v>0.173792333986</v>
      </c>
    </row>
    <row r="51" spans="2:6" x14ac:dyDescent="0.25">
      <c r="B51">
        <v>41</v>
      </c>
      <c r="C51" t="s">
        <v>327</v>
      </c>
      <c r="D51" t="s">
        <v>243</v>
      </c>
      <c r="E51">
        <v>-0.100545011408</v>
      </c>
      <c r="F51" s="336">
        <v>1.7103318696699999E-2</v>
      </c>
    </row>
    <row r="52" spans="2:6" x14ac:dyDescent="0.25">
      <c r="B52">
        <v>42</v>
      </c>
      <c r="C52" t="s">
        <v>328</v>
      </c>
      <c r="D52" t="s">
        <v>243</v>
      </c>
      <c r="E52">
        <v>0.10049185695100001</v>
      </c>
      <c r="F52" s="336">
        <v>2.1833904078799999E-2</v>
      </c>
    </row>
    <row r="53" spans="2:6" x14ac:dyDescent="0.25">
      <c r="B53">
        <v>43</v>
      </c>
      <c r="C53" t="s">
        <v>329</v>
      </c>
      <c r="D53" t="s">
        <v>243</v>
      </c>
      <c r="E53">
        <v>1.7655971612000001</v>
      </c>
      <c r="F53" s="336">
        <v>0.154891246998</v>
      </c>
    </row>
    <row r="54" spans="2:6" x14ac:dyDescent="0.25">
      <c r="B54">
        <v>44</v>
      </c>
      <c r="C54" t="s">
        <v>330</v>
      </c>
      <c r="D54" t="s">
        <v>243</v>
      </c>
      <c r="E54">
        <v>-13.482142205440001</v>
      </c>
      <c r="F54">
        <v>1.7238420080500001</v>
      </c>
    </row>
    <row r="55" spans="2:6" x14ac:dyDescent="0.25">
      <c r="B55">
        <v>45</v>
      </c>
      <c r="C55" t="s">
        <v>331</v>
      </c>
      <c r="D55" t="s">
        <v>243</v>
      </c>
      <c r="E55">
        <v>-5.7740636752999999</v>
      </c>
      <c r="F55">
        <v>0.44296383007700002</v>
      </c>
    </row>
    <row r="56" spans="2:6" x14ac:dyDescent="0.25">
      <c r="B56">
        <v>46</v>
      </c>
      <c r="C56" t="s">
        <v>332</v>
      </c>
      <c r="D56" t="s">
        <v>243</v>
      </c>
      <c r="E56">
        <v>-3.2513620839500001</v>
      </c>
      <c r="F56">
        <v>0.22459177151199999</v>
      </c>
    </row>
    <row r="57" spans="2:6" x14ac:dyDescent="0.25">
      <c r="B57">
        <v>47</v>
      </c>
      <c r="C57" t="s">
        <v>333</v>
      </c>
      <c r="D57" t="s">
        <v>243</v>
      </c>
      <c r="E57">
        <v>-0.81757689945000001</v>
      </c>
      <c r="F57">
        <v>0.14989642806799999</v>
      </c>
    </row>
    <row r="58" spans="2:6" x14ac:dyDescent="0.25">
      <c r="B58">
        <v>48</v>
      </c>
      <c r="C58" t="s">
        <v>334</v>
      </c>
      <c r="D58" t="s">
        <v>243</v>
      </c>
      <c r="E58">
        <v>0.63335958983999996</v>
      </c>
      <c r="F58" s="336">
        <v>2.38840174789E-2</v>
      </c>
    </row>
    <row r="59" spans="2:6" x14ac:dyDescent="0.25">
      <c r="B59">
        <v>49</v>
      </c>
      <c r="C59" t="s">
        <v>335</v>
      </c>
      <c r="D59" t="s">
        <v>243</v>
      </c>
      <c r="E59">
        <v>0.54194850979700004</v>
      </c>
      <c r="F59" s="336">
        <v>0.13589969408700001</v>
      </c>
    </row>
    <row r="60" spans="2:6" x14ac:dyDescent="0.25">
      <c r="B60">
        <v>50</v>
      </c>
      <c r="C60" t="s">
        <v>336</v>
      </c>
      <c r="D60" t="s">
        <v>243</v>
      </c>
      <c r="E60">
        <v>-26.641935956609998</v>
      </c>
      <c r="F60">
        <v>1.5214646814199999</v>
      </c>
    </row>
    <row r="61" spans="2:6" x14ac:dyDescent="0.25">
      <c r="B61">
        <v>51</v>
      </c>
      <c r="C61" t="s">
        <v>337</v>
      </c>
      <c r="D61" t="s">
        <v>243</v>
      </c>
      <c r="E61">
        <v>-5.8569921168899999</v>
      </c>
      <c r="F61">
        <v>0.46611202703900001</v>
      </c>
    </row>
    <row r="62" spans="2:6" x14ac:dyDescent="0.25">
      <c r="B62">
        <v>52</v>
      </c>
      <c r="C62" t="s">
        <v>338</v>
      </c>
      <c r="D62" t="s">
        <v>243</v>
      </c>
      <c r="E62">
        <v>-3.0622160410500001</v>
      </c>
      <c r="F62">
        <v>0.205947789785</v>
      </c>
    </row>
    <row r="63" spans="2:6" x14ac:dyDescent="0.25">
      <c r="B63">
        <v>53</v>
      </c>
      <c r="C63" t="s">
        <v>339</v>
      </c>
      <c r="D63" t="s">
        <v>243</v>
      </c>
      <c r="E63">
        <v>-1.4592147580599999</v>
      </c>
      <c r="F63">
        <v>0.12706460553599999</v>
      </c>
    </row>
    <row r="64" spans="2:6" x14ac:dyDescent="0.25">
      <c r="B64">
        <v>54</v>
      </c>
      <c r="C64" t="s">
        <v>340</v>
      </c>
      <c r="D64" t="s">
        <v>243</v>
      </c>
      <c r="E64">
        <v>-0.160744421114</v>
      </c>
      <c r="F64" s="336">
        <v>3.1643512928099998E-2</v>
      </c>
    </row>
    <row r="65" spans="2:6" x14ac:dyDescent="0.25">
      <c r="B65">
        <v>55</v>
      </c>
      <c r="C65" t="s">
        <v>341</v>
      </c>
      <c r="D65" t="s">
        <v>243</v>
      </c>
      <c r="E65">
        <v>0.101769944302</v>
      </c>
      <c r="F65" s="336">
        <v>4.0472600922499997E-2</v>
      </c>
    </row>
    <row r="66" spans="2:6" x14ac:dyDescent="0.25">
      <c r="B66">
        <v>56</v>
      </c>
      <c r="C66" t="s">
        <v>342</v>
      </c>
      <c r="D66" t="s">
        <v>243</v>
      </c>
      <c r="E66" s="336">
        <v>-7.3004796389399995E-2</v>
      </c>
      <c r="F66" s="336">
        <v>2.7878888340600001E-2</v>
      </c>
    </row>
    <row r="67" spans="2:6" x14ac:dyDescent="0.25">
      <c r="B67">
        <v>57</v>
      </c>
      <c r="C67" t="s">
        <v>343</v>
      </c>
      <c r="D67" t="s">
        <v>243</v>
      </c>
      <c r="E67" s="336">
        <v>4.7664283443500002E-2</v>
      </c>
      <c r="F67" s="336">
        <v>1.5452195556500001E-2</v>
      </c>
    </row>
    <row r="68" spans="2:6" x14ac:dyDescent="0.25">
      <c r="B68">
        <v>70</v>
      </c>
      <c r="C68" t="s">
        <v>156</v>
      </c>
      <c r="D68" t="s">
        <v>243</v>
      </c>
      <c r="E68" s="336">
        <v>0.70165957865100004</v>
      </c>
      <c r="F68" s="336">
        <v>8.1041561582700008E-3</v>
      </c>
    </row>
    <row r="69" spans="2:6" x14ac:dyDescent="0.25">
      <c r="B69">
        <v>71</v>
      </c>
      <c r="C69" t="s">
        <v>157</v>
      </c>
      <c r="D69" t="s">
        <v>242</v>
      </c>
      <c r="E69">
        <v>0</v>
      </c>
      <c r="F69" s="336">
        <v>1</v>
      </c>
    </row>
    <row r="70" spans="2:6" x14ac:dyDescent="0.25">
      <c r="B70">
        <v>72</v>
      </c>
      <c r="C70" t="s">
        <v>159</v>
      </c>
      <c r="D70" t="s">
        <v>242</v>
      </c>
      <c r="E70">
        <v>0</v>
      </c>
      <c r="F70">
        <v>1</v>
      </c>
    </row>
    <row r="71" spans="2:6" x14ac:dyDescent="0.25">
      <c r="B71">
        <v>73</v>
      </c>
      <c r="C71" t="s">
        <v>161</v>
      </c>
      <c r="D71" t="s">
        <v>243</v>
      </c>
      <c r="E71">
        <v>-1.0451393946200001</v>
      </c>
      <c r="F71">
        <v>0.334189851298</v>
      </c>
    </row>
    <row r="72" spans="2:6" x14ac:dyDescent="0.25">
      <c r="B72">
        <v>74</v>
      </c>
      <c r="C72" t="s">
        <v>163</v>
      </c>
      <c r="D72" t="s">
        <v>242</v>
      </c>
      <c r="E72">
        <v>0</v>
      </c>
      <c r="F72">
        <v>1</v>
      </c>
    </row>
    <row r="73" spans="2:6" x14ac:dyDescent="0.25">
      <c r="B73">
        <v>75</v>
      </c>
      <c r="C73" t="s">
        <v>165</v>
      </c>
      <c r="D73" t="s">
        <v>243</v>
      </c>
      <c r="E73">
        <v>-0.200987204384</v>
      </c>
      <c r="F73">
        <v>0.32860050755699999</v>
      </c>
    </row>
    <row r="74" spans="2:6" x14ac:dyDescent="0.25">
      <c r="B74">
        <v>76</v>
      </c>
      <c r="C74" t="s">
        <v>167</v>
      </c>
      <c r="D74" t="s">
        <v>243</v>
      </c>
      <c r="E74">
        <v>-0.24680877359100001</v>
      </c>
      <c r="F74">
        <v>0.218776351024</v>
      </c>
    </row>
    <row r="75" spans="2:6" x14ac:dyDescent="0.25">
      <c r="B75">
        <v>77</v>
      </c>
      <c r="C75" t="s">
        <v>169</v>
      </c>
      <c r="D75" t="s">
        <v>243</v>
      </c>
      <c r="E75">
        <v>0.105207287565</v>
      </c>
      <c r="F75">
        <v>0.33160558063000001</v>
      </c>
    </row>
    <row r="76" spans="2:6" x14ac:dyDescent="0.25">
      <c r="B76">
        <v>78</v>
      </c>
      <c r="C76" t="s">
        <v>171</v>
      </c>
      <c r="D76" t="s">
        <v>243</v>
      </c>
      <c r="E76">
        <v>-3.0261765923500001</v>
      </c>
      <c r="F76">
        <v>0.63791961209799997</v>
      </c>
    </row>
    <row r="77" spans="2:6" x14ac:dyDescent="0.25">
      <c r="B77">
        <v>79</v>
      </c>
      <c r="C77" t="s">
        <v>173</v>
      </c>
      <c r="D77" t="s">
        <v>243</v>
      </c>
      <c r="E77">
        <v>-3.16760127533</v>
      </c>
      <c r="F77">
        <v>0.17589358259900001</v>
      </c>
    </row>
    <row r="78" spans="2:6" x14ac:dyDescent="0.25">
      <c r="B78">
        <v>80</v>
      </c>
      <c r="C78" t="s">
        <v>175</v>
      </c>
      <c r="D78" t="s">
        <v>243</v>
      </c>
      <c r="E78">
        <v>3.88384299801</v>
      </c>
      <c r="F78">
        <v>0.36343710851900002</v>
      </c>
    </row>
    <row r="79" spans="2:6" x14ac:dyDescent="0.25">
      <c r="B79">
        <v>81</v>
      </c>
      <c r="C79" t="s">
        <v>177</v>
      </c>
      <c r="D79" t="s">
        <v>243</v>
      </c>
      <c r="E79">
        <v>1.2853400619999999</v>
      </c>
      <c r="F79">
        <v>0.33194844094699999</v>
      </c>
    </row>
    <row r="80" spans="2:6" x14ac:dyDescent="0.25">
      <c r="B80">
        <v>82</v>
      </c>
      <c r="C80" t="s">
        <v>179</v>
      </c>
      <c r="D80" t="s">
        <v>242</v>
      </c>
      <c r="E80">
        <v>0</v>
      </c>
      <c r="F80">
        <v>1</v>
      </c>
    </row>
    <row r="81" spans="2:6" x14ac:dyDescent="0.25">
      <c r="B81">
        <v>83</v>
      </c>
      <c r="C81" t="s">
        <v>180</v>
      </c>
      <c r="D81" t="s">
        <v>243</v>
      </c>
      <c r="E81">
        <v>1.5962822273599999</v>
      </c>
      <c r="F81">
        <v>0.31630410811600002</v>
      </c>
    </row>
    <row r="82" spans="2:6" x14ac:dyDescent="0.25">
      <c r="B82">
        <v>84</v>
      </c>
      <c r="C82" t="s">
        <v>182</v>
      </c>
      <c r="D82" t="s">
        <v>243</v>
      </c>
      <c r="E82">
        <v>1.8203743806399999</v>
      </c>
      <c r="F82">
        <v>0.32723912579699999</v>
      </c>
    </row>
    <row r="83" spans="2:6" x14ac:dyDescent="0.25">
      <c r="B83">
        <v>85</v>
      </c>
      <c r="C83" t="s">
        <v>184</v>
      </c>
      <c r="D83" t="s">
        <v>243</v>
      </c>
      <c r="E83">
        <v>0.36845448573400003</v>
      </c>
      <c r="F83">
        <v>0.41451090741399998</v>
      </c>
    </row>
    <row r="84" spans="2:6" x14ac:dyDescent="0.25">
      <c r="B84">
        <v>86</v>
      </c>
      <c r="C84" t="s">
        <v>186</v>
      </c>
      <c r="D84" t="s">
        <v>243</v>
      </c>
      <c r="E84">
        <v>-0.89988004259099996</v>
      </c>
      <c r="F84">
        <v>0.58455068333600002</v>
      </c>
    </row>
    <row r="85" spans="2:6" x14ac:dyDescent="0.25">
      <c r="B85">
        <v>87</v>
      </c>
      <c r="C85" t="s">
        <v>188</v>
      </c>
      <c r="D85" t="s">
        <v>243</v>
      </c>
      <c r="E85">
        <v>-1.54651800243</v>
      </c>
      <c r="F85">
        <v>0.28922210484799998</v>
      </c>
    </row>
    <row r="86" spans="2:6" x14ac:dyDescent="0.25">
      <c r="B86">
        <v>88</v>
      </c>
      <c r="C86" t="s">
        <v>190</v>
      </c>
      <c r="D86" t="s">
        <v>242</v>
      </c>
      <c r="E86">
        <v>0</v>
      </c>
      <c r="F86">
        <v>1</v>
      </c>
    </row>
    <row r="87" spans="2:6" x14ac:dyDescent="0.25">
      <c r="B87">
        <v>89</v>
      </c>
      <c r="C87" t="s">
        <v>192</v>
      </c>
      <c r="D87" t="s">
        <v>243</v>
      </c>
      <c r="E87">
        <v>-1.3661763944</v>
      </c>
      <c r="F87">
        <v>0.21083771707000001</v>
      </c>
    </row>
    <row r="88" spans="2:6" x14ac:dyDescent="0.25">
      <c r="B88">
        <v>90</v>
      </c>
      <c r="C88" t="s">
        <v>194</v>
      </c>
      <c r="D88" t="s">
        <v>242</v>
      </c>
      <c r="E88">
        <v>0</v>
      </c>
      <c r="F88">
        <v>1</v>
      </c>
    </row>
    <row r="89" spans="2:6" x14ac:dyDescent="0.25">
      <c r="B89">
        <v>91</v>
      </c>
      <c r="C89" t="s">
        <v>196</v>
      </c>
      <c r="D89" t="s">
        <v>243</v>
      </c>
      <c r="E89">
        <v>-0.69659049737500001</v>
      </c>
      <c r="F89">
        <v>0.118317298537</v>
      </c>
    </row>
    <row r="90" spans="2:6" x14ac:dyDescent="0.25">
      <c r="B90">
        <v>92</v>
      </c>
      <c r="C90" t="s">
        <v>198</v>
      </c>
      <c r="D90" t="s">
        <v>243</v>
      </c>
      <c r="E90">
        <v>-1.8309142732699999</v>
      </c>
      <c r="F90">
        <v>0.55098538730699997</v>
      </c>
    </row>
    <row r="91" spans="2:6" x14ac:dyDescent="0.25">
      <c r="B91">
        <v>93</v>
      </c>
      <c r="C91" t="s">
        <v>200</v>
      </c>
      <c r="D91" t="s">
        <v>243</v>
      </c>
      <c r="E91">
        <v>-1.59616837557</v>
      </c>
      <c r="F91">
        <v>0.19643171679400001</v>
      </c>
    </row>
    <row r="92" spans="2:6" x14ac:dyDescent="0.25">
      <c r="B92">
        <v>94</v>
      </c>
      <c r="C92" t="s">
        <v>202</v>
      </c>
      <c r="D92" t="s">
        <v>242</v>
      </c>
      <c r="E92">
        <v>0</v>
      </c>
      <c r="F92">
        <v>1</v>
      </c>
    </row>
    <row r="93" spans="2:6" x14ac:dyDescent="0.25">
      <c r="B93">
        <v>95</v>
      </c>
      <c r="C93" t="s">
        <v>204</v>
      </c>
      <c r="D93" t="s">
        <v>243</v>
      </c>
      <c r="E93">
        <v>-3.7524312125899999</v>
      </c>
      <c r="F93">
        <v>0.30709606176900001</v>
      </c>
    </row>
    <row r="94" spans="2:6" x14ac:dyDescent="0.25">
      <c r="B94">
        <v>96</v>
      </c>
      <c r="C94" t="s">
        <v>206</v>
      </c>
      <c r="D94" t="s">
        <v>243</v>
      </c>
      <c r="E94">
        <v>-5.15903380474</v>
      </c>
      <c r="F94">
        <v>0.17390909328599999</v>
      </c>
    </row>
    <row r="95" spans="2:6" x14ac:dyDescent="0.25">
      <c r="B95">
        <v>97</v>
      </c>
      <c r="C95" t="s">
        <v>208</v>
      </c>
      <c r="D95" t="s">
        <v>243</v>
      </c>
      <c r="E95">
        <v>-4.5752497230499998</v>
      </c>
      <c r="F95">
        <v>0.48893954592400002</v>
      </c>
    </row>
    <row r="96" spans="2:6" x14ac:dyDescent="0.25">
      <c r="B96">
        <v>98</v>
      </c>
      <c r="C96" t="s">
        <v>210</v>
      </c>
      <c r="D96" t="s">
        <v>243</v>
      </c>
      <c r="E96">
        <v>-1.55830930615</v>
      </c>
      <c r="F96">
        <v>0.29568339221599999</v>
      </c>
    </row>
    <row r="97" spans="2:6" x14ac:dyDescent="0.25">
      <c r="B97">
        <v>99</v>
      </c>
      <c r="C97" t="s">
        <v>211</v>
      </c>
      <c r="D97" t="s">
        <v>243</v>
      </c>
      <c r="E97">
        <v>-6.7687936642300004</v>
      </c>
      <c r="F97">
        <v>0.63961427466800003</v>
      </c>
    </row>
    <row r="98" spans="2:6" x14ac:dyDescent="0.25">
      <c r="B98">
        <v>100</v>
      </c>
      <c r="C98" t="s">
        <v>212</v>
      </c>
      <c r="D98" t="s">
        <v>242</v>
      </c>
      <c r="E98">
        <v>0</v>
      </c>
      <c r="F98">
        <v>1</v>
      </c>
    </row>
    <row r="99" spans="2:6" x14ac:dyDescent="0.25">
      <c r="B99">
        <v>101</v>
      </c>
      <c r="C99" t="s">
        <v>213</v>
      </c>
      <c r="D99" t="s">
        <v>243</v>
      </c>
      <c r="E99">
        <v>-4.6092008435</v>
      </c>
      <c r="F99">
        <v>0.35687158855500001</v>
      </c>
    </row>
    <row r="100" spans="2:6" x14ac:dyDescent="0.25">
      <c r="B100">
        <v>102</v>
      </c>
      <c r="C100" t="s">
        <v>214</v>
      </c>
      <c r="D100" t="s">
        <v>242</v>
      </c>
      <c r="E100">
        <v>0</v>
      </c>
      <c r="F100">
        <v>1</v>
      </c>
    </row>
    <row r="101" spans="2:6" x14ac:dyDescent="0.25">
      <c r="B101">
        <v>103</v>
      </c>
      <c r="C101" t="s">
        <v>215</v>
      </c>
      <c r="D101" t="s">
        <v>242</v>
      </c>
      <c r="E101">
        <v>0</v>
      </c>
      <c r="F101">
        <v>1</v>
      </c>
    </row>
    <row r="102" spans="2:6" x14ac:dyDescent="0.25">
      <c r="B102">
        <v>104</v>
      </c>
      <c r="C102" t="s">
        <v>216</v>
      </c>
      <c r="D102" t="s">
        <v>242</v>
      </c>
      <c r="E102">
        <v>5</v>
      </c>
      <c r="F102">
        <v>1</v>
      </c>
    </row>
    <row r="103" spans="2:6" x14ac:dyDescent="0.25">
      <c r="B103">
        <v>105</v>
      </c>
      <c r="C103" t="s">
        <v>217</v>
      </c>
      <c r="D103" t="s">
        <v>242</v>
      </c>
      <c r="E103">
        <v>5</v>
      </c>
      <c r="F103">
        <v>1</v>
      </c>
    </row>
    <row r="104" spans="2:6" x14ac:dyDescent="0.25">
      <c r="B104">
        <v>106</v>
      </c>
      <c r="C104" t="s">
        <v>218</v>
      </c>
      <c r="D104" t="s">
        <v>242</v>
      </c>
      <c r="E104">
        <v>0</v>
      </c>
      <c r="F104">
        <v>1</v>
      </c>
    </row>
    <row r="105" spans="2:6" x14ac:dyDescent="0.25">
      <c r="B105">
        <v>107</v>
      </c>
      <c r="C105" t="s">
        <v>219</v>
      </c>
      <c r="D105" t="s">
        <v>243</v>
      </c>
      <c r="E105">
        <v>3.2721559987400002</v>
      </c>
      <c r="F105">
        <v>0.189098453</v>
      </c>
    </row>
    <row r="106" spans="2:6" x14ac:dyDescent="0.25">
      <c r="B106">
        <v>108</v>
      </c>
      <c r="C106" t="s">
        <v>221</v>
      </c>
      <c r="D106" t="s">
        <v>242</v>
      </c>
      <c r="E106">
        <v>0</v>
      </c>
      <c r="F106">
        <v>1</v>
      </c>
    </row>
    <row r="107" spans="2:6" x14ac:dyDescent="0.25">
      <c r="B107">
        <v>109</v>
      </c>
      <c r="C107" t="s">
        <v>222</v>
      </c>
      <c r="D107" t="s">
        <v>243</v>
      </c>
      <c r="E107">
        <v>3.7780647491999999</v>
      </c>
      <c r="F107">
        <v>0.16415128970699999</v>
      </c>
    </row>
    <row r="108" spans="2:6" x14ac:dyDescent="0.25">
      <c r="B108">
        <v>110</v>
      </c>
      <c r="C108" t="s">
        <v>223</v>
      </c>
      <c r="D108" t="s">
        <v>243</v>
      </c>
      <c r="E108">
        <v>3.6698694381700001</v>
      </c>
      <c r="F108">
        <v>0.17265670632899999</v>
      </c>
    </row>
    <row r="109" spans="2:6" x14ac:dyDescent="0.25">
      <c r="B109">
        <v>111</v>
      </c>
      <c r="C109" t="s">
        <v>224</v>
      </c>
      <c r="D109" t="s">
        <v>242</v>
      </c>
      <c r="E109">
        <v>0</v>
      </c>
      <c r="F109">
        <v>1</v>
      </c>
    </row>
    <row r="110" spans="2:6" x14ac:dyDescent="0.25">
      <c r="B110">
        <v>112</v>
      </c>
      <c r="C110" t="s">
        <v>225</v>
      </c>
      <c r="D110" t="s">
        <v>242</v>
      </c>
      <c r="E110">
        <v>0</v>
      </c>
      <c r="F110">
        <v>1</v>
      </c>
    </row>
    <row r="111" spans="2:6" x14ac:dyDescent="0.25">
      <c r="B111">
        <v>113</v>
      </c>
      <c r="C111" t="s">
        <v>227</v>
      </c>
      <c r="D111" t="s">
        <v>243</v>
      </c>
      <c r="E111">
        <v>1.3908719595400001</v>
      </c>
      <c r="F111">
        <v>0.25447036975100001</v>
      </c>
    </row>
    <row r="112" spans="2:6" x14ac:dyDescent="0.25">
      <c r="B112">
        <v>-1</v>
      </c>
    </row>
    <row r="113" spans="2:11" x14ac:dyDescent="0.25">
      <c r="B113">
        <v>13796</v>
      </c>
      <c r="C113" s="336">
        <v>-14054.777031400001</v>
      </c>
      <c r="D113" s="336">
        <v>-53772.333307300003</v>
      </c>
      <c r="E113" s="336">
        <v>-38222.555653299998</v>
      </c>
    </row>
    <row r="114" spans="2:11" x14ac:dyDescent="0.25">
      <c r="B114">
        <v>6</v>
      </c>
      <c r="C114" s="336" t="s">
        <v>344</v>
      </c>
      <c r="D114" s="336" t="s">
        <v>240</v>
      </c>
      <c r="E114" s="336">
        <v>30</v>
      </c>
      <c r="F114" t="s">
        <v>286</v>
      </c>
      <c r="G114">
        <v>20</v>
      </c>
    </row>
    <row r="115" spans="2:11" x14ac:dyDescent="0.2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2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2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2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2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2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2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2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2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2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2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2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2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2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2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2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2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2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2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2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2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2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2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2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2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2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2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2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2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2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2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2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2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2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2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2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2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2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2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2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2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2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2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2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2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2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2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2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2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2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2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2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2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2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2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2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2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2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2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2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2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2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2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2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2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2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2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2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2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2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2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2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2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2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2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2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2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2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2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2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2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2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2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2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2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2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2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2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2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2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2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2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2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2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2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2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2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2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2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2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2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2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2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2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2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2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2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2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2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2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2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2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2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2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2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2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2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2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2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2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2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2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2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2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2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2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2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2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2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2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2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2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2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2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2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2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2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2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2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2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2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2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2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2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2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2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2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2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2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2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2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2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2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2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2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2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2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2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2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2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2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2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2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2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2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2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2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2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2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2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2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2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2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2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2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2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2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2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2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2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2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2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2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2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2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2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2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2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2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2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2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2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2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2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2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2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2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2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2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2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2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2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2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2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2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2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2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2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2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2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2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2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2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2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2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2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2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2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2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2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2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2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2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2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2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2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2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2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2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2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2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2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2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2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2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2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2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2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2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2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2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2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2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2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2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2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2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2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2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2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2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2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2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2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2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2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2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2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2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2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2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2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2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2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2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2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2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2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2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2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2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2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2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2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2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2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2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2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2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2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2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2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2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2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2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2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2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2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2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2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2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2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2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2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2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2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2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2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2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2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2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2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2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2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2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2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2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2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2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2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2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2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2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2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2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2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2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2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2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2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2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2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2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2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2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2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2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2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2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2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2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2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2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2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2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2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2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2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2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2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2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2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2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2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2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2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2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2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2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2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2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2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2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2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2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2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2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2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2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2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2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2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2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2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2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2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2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2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2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2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2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2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2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2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2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2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2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2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2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2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2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2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2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2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2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2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2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2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Y142"/>
  <sheetViews>
    <sheetView workbookViewId="0">
      <selection activeCell="Q104" sqref="M104:Q10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65228.093953775817</v>
      </c>
      <c r="F4" s="302" t="s">
        <v>48</v>
      </c>
      <c r="G4" s="303">
        <f>TLFD!F11</f>
        <v>34694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Beta000002</v>
      </c>
      <c r="P4" s="298">
        <f>OtherTourDestination!E12</f>
        <v>14.842474747500001</v>
      </c>
      <c r="Q4" s="337">
        <f>_xlfn.IFNA(VLOOKUP(N4,$B$43:$D$46,3,FALSE),P4)</f>
        <v>14.842474747500001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120384.59963780543</v>
      </c>
      <c r="F5" s="305" t="s">
        <v>51</v>
      </c>
      <c r="G5" s="306">
        <f>TLFD!F12+TLFD!F13+(TLFD!F14/2)</f>
        <v>146111.5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Beta000003</v>
      </c>
      <c r="P5" s="298">
        <f>OtherTourDestination!E13</f>
        <v>5.2231850982500001E-2</v>
      </c>
      <c r="Q5" s="337">
        <f ref="Q5:Q68" si="0" t="shared">_xlfn.IFNA(VLOOKUP(N5,$B$43:$D$46,3,FALSE),P5)</f>
        <v>5.2231850982500001E-2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96663.107669526886</v>
      </c>
      <c r="F6" s="305" t="s">
        <v>54</v>
      </c>
      <c r="G6" s="306">
        <f>(TLFD!F14/2)+SUM(TLFD!F15:F20)</f>
        <v>109259.5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Beta000004</v>
      </c>
      <c r="P6" s="298">
        <f>OtherTourDestination!E14</f>
        <v>-0.28042629390099999</v>
      </c>
      <c r="Q6" s="337">
        <f si="0" t="shared"/>
        <v>-0.28042629390099999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35328.134738467808</v>
      </c>
      <c r="F7" s="308" t="s">
        <v>57</v>
      </c>
      <c r="G7" s="309">
        <f>SUM(TLFD!F21:F101)</f>
        <v>32452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Beta000005</v>
      </c>
      <c r="P7" s="298">
        <f>OtherTourDestination!E15</f>
        <v>3.8864252169499999E-2</v>
      </c>
      <c r="Q7" s="337">
        <f si="0" t="shared"/>
        <v>3.8864252169499999E-2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317603.93599957594</v>
      </c>
      <c r="E8" s="313"/>
      <c r="F8" s="311" t="s">
        <v>4</v>
      </c>
      <c r="G8" s="312">
        <f>SUM(G4:G7)</f>
        <v>322517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Beta000006</v>
      </c>
      <c r="P8" s="298">
        <f>OtherTourDestination!E16</f>
        <v>-5.4105027761100002E-2</v>
      </c>
      <c r="Q8" s="337">
        <f si="0" t="shared"/>
        <v>-5.4105027761100002E-2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Beta000007</v>
      </c>
      <c r="P9" s="298">
        <f>OtherTourDestination!E17</f>
        <v>-1.2443107654000001</v>
      </c>
      <c r="Q9" s="337">
        <f si="0" t="shared"/>
        <v>-1.2443107654000001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Beta000008</v>
      </c>
      <c r="P10" s="298">
        <f>OtherTourDestination!E18</f>
        <v>0.41298170440800003</v>
      </c>
      <c r="Q10" s="337">
        <f si="0" t="shared"/>
        <v>0.41298170440800003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Beta000009</v>
      </c>
      <c r="P11" s="298">
        <f>OtherTourDestination!E19</f>
        <v>-0.26420630814700002</v>
      </c>
      <c r="Q11" s="337">
        <f si="0" t="shared"/>
        <v>-0.26420630814700002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0.2053755843689006</v>
      </c>
      <c r="F12" s="302" t="s">
        <v>48</v>
      </c>
      <c r="G12" s="316">
        <f>G4/G$8</f>
        <v>0.10757262407873074</v>
      </c>
      <c r="H12" s="316"/>
      <c r="I12" s="356">
        <f>D12/G12</f>
        <v>1.9091807616275067</v>
      </c>
      <c r="J12" s="357">
        <f>LN(I12)</f>
        <v>0.64667422943190944</v>
      </c>
      <c r="K12" s="357">
        <f>K8*J12</f>
        <v>0.64667422943190944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Beta000010</v>
      </c>
      <c r="P12" s="298">
        <f>OtherTourDestination!E20</f>
        <v>-0.35872692861799998</v>
      </c>
      <c r="Q12" s="337">
        <f si="0" t="shared"/>
        <v>-0.35872692861799998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0.37904001176473506</v>
      </c>
      <c r="F13" s="305" t="s">
        <v>51</v>
      </c>
      <c r="G13" s="317">
        <f ref="G13:G16" si="2" t="shared">G5/G$8</f>
        <v>0.45303503381217114</v>
      </c>
      <c r="H13" s="317"/>
      <c r="I13" s="356">
        <f ref="I13:I15" si="3" t="shared">D13/G13</f>
        <v>0.83666821211422138</v>
      </c>
      <c r="J13" s="357">
        <f ref="J13:J15" si="4" t="shared">LN(I13)</f>
        <v>-0.17832768837765139</v>
      </c>
      <c r="K13" s="357">
        <f>K8*(J13-J12)</f>
        <v>-0.82500191780956089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Beta000011</v>
      </c>
      <c r="P13" s="298">
        <f>OtherTourDestination!E21</f>
        <v>0.20317681554899999</v>
      </c>
      <c r="Q13" s="337">
        <f si="0" t="shared"/>
        <v>0.20317681554899999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0.30435110120819142</v>
      </c>
      <c r="F14" s="305" t="s">
        <v>54</v>
      </c>
      <c r="G14" s="317">
        <f si="2" t="shared"/>
        <v>0.33877128957543323</v>
      </c>
      <c r="H14" s="317"/>
      <c r="I14" s="356">
        <f si="3" t="shared"/>
        <v>0.89839697333744228</v>
      </c>
      <c r="J14" s="357">
        <f si="4" t="shared"/>
        <v>-0.10714324451121625</v>
      </c>
      <c r="K14" s="357">
        <f>K8*(J14-J13-J12)</f>
        <v>-0.57548978556547425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Beta000012</v>
      </c>
      <c r="P14" s="298">
        <f>OtherTourDestination!E22</f>
        <v>-0.25772334575</v>
      </c>
      <c r="Q14" s="337">
        <f si="0" t="shared"/>
        <v>-0.25772334575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0.11123330265817291</v>
      </c>
      <c r="F15" s="308" t="s">
        <v>57</v>
      </c>
      <c r="G15" s="317">
        <f si="2" t="shared"/>
        <v>0.10062105253366489</v>
      </c>
      <c r="H15" s="317"/>
      <c r="I15" s="358">
        <f si="3" t="shared"/>
        <v>1.1054674927094155</v>
      </c>
      <c r="J15" s="359">
        <f si="4" t="shared"/>
        <v>0.10026831582596252</v>
      </c>
      <c r="K15" s="359">
        <f>K8*(J15-J14-J13-J12)</f>
        <v>-0.26093498071707927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Beta000013</v>
      </c>
      <c r="P15" s="298">
        <f>OtherTourDestination!E23</f>
        <v>-1.51291507531</v>
      </c>
      <c r="Q15" s="337">
        <f si="0" t="shared"/>
        <v>-1.51291507531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Beta000014</v>
      </c>
      <c r="P16" s="298">
        <f>OtherTourDestination!E24</f>
        <v>-0.21776561918199999</v>
      </c>
      <c r="Q16" s="337">
        <f si="0" t="shared"/>
        <v>-0.21776561918199999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Beta000015</v>
      </c>
      <c r="P17" s="298">
        <f>OtherTourDestination!E25</f>
        <v>-1.27163179208</v>
      </c>
      <c r="Q17" s="337">
        <f si="0" t="shared"/>
        <v>-1.27163179208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Beta000016</v>
      </c>
      <c r="P18" s="298">
        <f>OtherTourDestination!E26</f>
        <v>-0.54089688480800002</v>
      </c>
      <c r="Q18" s="337">
        <f si="0" t="shared"/>
        <v>-0.54089688480800002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Beta000020</v>
      </c>
      <c r="P22" s="298">
        <f>OtherTourDestination!E30</f>
        <v>0.43763139961699998</v>
      </c>
      <c r="Q22" s="337">
        <f si="0" t="shared"/>
        <v>0.43763139961699998</v>
      </c>
    </row>
    <row r="23" spans="2:24" x14ac:dyDescent="0.25">
      <c r="B23" s="346">
        <v>37</v>
      </c>
      <c r="C23" s="302" t="s">
        <v>48</v>
      </c>
      <c r="D23" s="376">
        <f>VLOOKUP($B23,$N:$P,3,FALSE)</f>
        <v>-7.2225250615199998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Beta000021</v>
      </c>
      <c r="P23" s="298">
        <f>OtherTourDestination!E31</f>
        <v>-5.1729505125899999</v>
      </c>
      <c r="Q23" s="337">
        <f si="0" t="shared"/>
        <v>-5.1729505125899999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-5.4693439766900003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Beta000022</v>
      </c>
      <c r="P24" s="298">
        <f>OtherTourDestination!E32</f>
        <v>-5.9112646193599998</v>
      </c>
      <c r="Q24" s="337">
        <f si="0" t="shared"/>
        <v>-5.9112646193599998</v>
      </c>
    </row>
    <row r="25" spans="2:24" x14ac:dyDescent="0.25">
      <c r="B25" s="346">
        <v>39</v>
      </c>
      <c r="C25" s="305" t="s">
        <v>54</v>
      </c>
      <c r="D25" s="376">
        <f si="5" t="shared"/>
        <v>-2.4179033783600001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Beta000023</v>
      </c>
      <c r="P25" s="298">
        <f>OtherTourDestination!E33</f>
        <v>-4.3510480079200002</v>
      </c>
      <c r="Q25" s="337">
        <f si="0" t="shared"/>
        <v>-4.3510480079200002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-0.24529497763800001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Beta000024</v>
      </c>
      <c r="P26" s="298">
        <f>OtherTourDestination!E34</f>
        <v>0.219929989326</v>
      </c>
      <c r="Q26" s="337">
        <f si="0" t="shared"/>
        <v>0.219929989326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Beta000025</v>
      </c>
      <c r="P27" s="298">
        <f>OtherTourDestination!E35</f>
        <v>-0.19965371290799999</v>
      </c>
      <c r="Q27" s="337">
        <f si="0" t="shared"/>
        <v>-0.19965371290799999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Beta000026</v>
      </c>
      <c r="P28" s="298">
        <f>OtherTourDestination!E36</f>
        <v>0.456947594269</v>
      </c>
      <c r="Q28" s="337">
        <f si="0" t="shared"/>
        <v>0.456947594269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Beta000027</v>
      </c>
      <c r="P29" s="298">
        <f>OtherTourDestination!E37</f>
        <v>-16.041405463699999</v>
      </c>
      <c r="Q29" s="337">
        <f si="0" t="shared"/>
        <v>-16.041405463699999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Beta000028</v>
      </c>
      <c r="P30" s="298">
        <f>OtherTourDestination!E38</f>
        <v>-4.0058838759500004</v>
      </c>
      <c r="Q30" s="337">
        <f si="0" t="shared"/>
        <v>-4.0058838759500004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Beta000029</v>
      </c>
      <c r="P31" s="298">
        <f>OtherTourDestination!E39</f>
        <v>-2.2602358254700001</v>
      </c>
      <c r="Q31" s="337">
        <f si="0" t="shared"/>
        <v>-2.2602358254700001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Beta000030</v>
      </c>
      <c r="P32" s="298">
        <f>OtherTourDestination!E40</f>
        <v>-0.57131171698200001</v>
      </c>
      <c r="Q32" s="337">
        <f si="0" t="shared"/>
        <v>-0.57131171698200001</v>
      </c>
    </row>
    <row r="33" spans="2:18" x14ac:dyDescent="0.25">
      <c r="B33" s="346">
        <f>B23</f>
        <v>37</v>
      </c>
      <c r="C33" s="302" t="s">
        <v>48</v>
      </c>
      <c r="D33" s="378">
        <f>K12</f>
        <v>0.64667422943190944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Beta000031</v>
      </c>
      <c r="P33" s="298">
        <f>OtherTourDestination!E41</f>
        <v>-9.1432405138999993E-3</v>
      </c>
      <c r="Q33" s="337">
        <f si="0" t="shared"/>
        <v>-9.1432405138999993E-3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-0.82500191780956089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Beta000032</v>
      </c>
      <c r="P34" s="298">
        <f>OtherTourDestination!E42</f>
        <v>-0.11638214876</v>
      </c>
      <c r="Q34" s="337">
        <f si="0" t="shared"/>
        <v>-0.11638214876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-0.57548978556547425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Beta000033</v>
      </c>
      <c r="P35" s="298">
        <f>OtherTourDestination!E43</f>
        <v>5.6920874310099998E-2</v>
      </c>
      <c r="Q35" s="337">
        <f si="0" t="shared"/>
        <v>5.6920874310099998E-2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-0.26093498071707927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Beta000034</v>
      </c>
      <c r="P36" s="298">
        <f>OtherTourDestination!E44</f>
        <v>-1.9362324458399999E-2</v>
      </c>
      <c r="Q36" s="337">
        <f si="0" t="shared"/>
        <v>-1.9362324458399999E-2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Beta000035</v>
      </c>
      <c r="P37" s="298">
        <f>OtherTourDestination!E45</f>
        <v>1.8323476485999999E-2</v>
      </c>
      <c r="Q37" s="337">
        <f si="0" t="shared"/>
        <v>1.8323476485999999E-2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Beta000036</v>
      </c>
      <c r="P38" s="298">
        <f>OtherTourDestination!E46</f>
        <v>2.3040582229000002</v>
      </c>
      <c r="Q38" s="337">
        <f si="0" t="shared"/>
        <v>2.3040582229000002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Beta000037</v>
      </c>
      <c r="P39" s="339">
        <f>OtherTourDestination!E47</f>
        <v>-7.2225250615199998</v>
      </c>
      <c r="Q39" s="340">
        <f si="0" t="shared"/>
        <v>-6.57585083208809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Beta000038</v>
      </c>
      <c r="P40" s="339">
        <f>OtherTourDestination!E48</f>
        <v>-5.4693439766900003</v>
      </c>
      <c r="Q40" s="340">
        <f si="0" t="shared"/>
        <v>-6.2943458944995614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Beta000039</v>
      </c>
      <c r="P41" s="339">
        <f>OtherTourDestination!E49</f>
        <v>-2.4179033783600001</v>
      </c>
      <c r="Q41" s="340">
        <f si="0" t="shared"/>
        <v>-2.9933931639254743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Beta000040</v>
      </c>
      <c r="P42" s="339">
        <f>OtherTourDestination!E50</f>
        <v>-0.24529497763800001</v>
      </c>
      <c r="Q42" s="340">
        <f si="0" t="shared"/>
        <v>-0.50622995835507933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-6.57585083208809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Beta000041</v>
      </c>
      <c r="P43" s="298">
        <f>OtherTourDestination!E51</f>
        <v>-0.100545011408</v>
      </c>
      <c r="Q43" s="337">
        <f si="0" t="shared"/>
        <v>-0.100545011408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-6.2943458944995614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Beta000042</v>
      </c>
      <c r="P44" s="298">
        <f>OtherTourDestination!E52</f>
        <v>0.10049185695100001</v>
      </c>
      <c r="Q44" s="337">
        <f si="0" t="shared"/>
        <v>0.10049185695100001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-2.9933931639254743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Beta000043</v>
      </c>
      <c r="P45" s="298">
        <f>OtherTourDestination!E53</f>
        <v>1.7655971612000001</v>
      </c>
      <c r="Q45" s="337">
        <f si="0" t="shared"/>
        <v>1.7655971612000001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-0.50622995835507933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Beta000044</v>
      </c>
      <c r="P46" s="298">
        <f>OtherTourDestination!E54</f>
        <v>-13.482142205440001</v>
      </c>
      <c r="Q46" s="337">
        <f si="0" t="shared"/>
        <v>-13.482142205440001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Beta000045</v>
      </c>
      <c r="P47" s="298">
        <f>OtherTourDestination!E55</f>
        <v>-5.7740636752999999</v>
      </c>
      <c r="Q47" s="337">
        <f si="0" t="shared"/>
        <v>-5.7740636752999999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Beta000046</v>
      </c>
      <c r="P48" s="298">
        <f>OtherTourDestination!E56</f>
        <v>-3.2513620839500001</v>
      </c>
      <c r="Q48" s="337">
        <f si="0" t="shared"/>
        <v>-3.2513620839500001</v>
      </c>
    </row>
    <row r="49" spans="1:17" x14ac:dyDescent="0.25">
      <c r="F49" s="386"/>
      <c r="G49" s="387"/>
      <c r="H49" s="387"/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Beta000047</v>
      </c>
      <c r="P49" s="298">
        <f>OtherTourDestination!E57</f>
        <v>-0.81757689945000001</v>
      </c>
      <c r="Q49" s="337">
        <f si="0" t="shared"/>
        <v>-0.81757689945000001</v>
      </c>
    </row>
    <row ht="15.75" r="50" spans="1:17" thickBot="1" x14ac:dyDescent="0.3">
      <c r="F50" s="386"/>
      <c r="G50" s="387"/>
      <c r="H50" s="387"/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Beta000048</v>
      </c>
      <c r="P50" s="298">
        <f>OtherTourDestination!E58</f>
        <v>0.63335958983999996</v>
      </c>
      <c r="Q50" s="337">
        <f si="0" t="shared"/>
        <v>0.63335958983999996</v>
      </c>
    </row>
    <row r="51" spans="1:17" x14ac:dyDescent="0.25">
      <c r="A51" s="6"/>
      <c r="B51" s="6"/>
      <c r="C51" s="5"/>
      <c r="D51" s="5"/>
      <c r="E51" s="3" t="s">
        <v>345</v>
      </c>
      <c r="F51" s="388"/>
      <c r="G51" s="387"/>
      <c r="H51" s="389"/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Beta000049</v>
      </c>
      <c r="P51" s="298">
        <f>OtherTourDestination!E59</f>
        <v>0.54194850979700004</v>
      </c>
      <c r="Q51" s="337">
        <f si="0" t="shared"/>
        <v>0.54194850979700004</v>
      </c>
    </row>
    <row r="52" spans="1:17" x14ac:dyDescent="0.25">
      <c r="A52" s="382" t="s">
        <v>346</v>
      </c>
      <c r="B52" s="382" t="s">
        <v>347</v>
      </c>
      <c r="C52" s="382" t="s">
        <v>36</v>
      </c>
      <c r="D52" s="382" t="s">
        <v>348</v>
      </c>
      <c r="E52" s="383"/>
      <c r="F52" s="6"/>
      <c r="G52" s="387"/>
      <c r="H52" s="388"/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Beta000050</v>
      </c>
      <c r="P52" s="375">
        <f>OtherTourDestination!E60</f>
        <v>-26.641935956609998</v>
      </c>
      <c r="Q52" s="337">
        <f si="0" t="shared"/>
        <v>-26.641935956609998</v>
      </c>
    </row>
    <row r="53" spans="1:17" x14ac:dyDescent="0.25">
      <c r="A53">
        <f>TLFD!A11+0.5</f>
        <v>0.5</v>
      </c>
      <c r="B53" s="384">
        <f>LN(1+A53)</f>
        <v>0.40546510810816438</v>
      </c>
      <c r="C53" s="385">
        <f>TLFD!B11/SUM(TLFD!$B$11:$B$100)</f>
        <v>0.20537558436890072</v>
      </c>
      <c r="D53" s="385">
        <f>TLFD!F11/SUM(TLFD!$F$11:FI$100)</f>
        <v>0.10756922374074467</v>
      </c>
      <c r="E53">
        <f ref="E53:E84" si="10" t="shared">IF(AND(C53&gt;0, D53&gt;0),LN(C53/D53),0)</f>
        <v>0.6467058396278883</v>
      </c>
      <c r="F53" s="390"/>
      <c r="G53" s="387"/>
      <c r="H53" s="6"/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Beta000051</v>
      </c>
      <c r="P53" s="375">
        <f>OtherTourDestination!E61</f>
        <v>-5.8569921168899999</v>
      </c>
      <c r="Q53" s="337">
        <f si="0" t="shared"/>
        <v>-5.8569921168899999</v>
      </c>
    </row>
    <row r="54" spans="1:17" x14ac:dyDescent="0.25">
      <c r="A54">
        <f>TLFD!A12+0.5</f>
        <v>1.5</v>
      </c>
      <c r="B54" s="384">
        <f ref="B54:B117" si="11" t="shared">LN(1+A54)</f>
        <v>0.91629073187415511</v>
      </c>
      <c r="C54" s="385">
        <f>TLFD!B12/SUM(TLFD!$B$11:$B$100)</f>
        <v>0.18275924172713642</v>
      </c>
      <c r="D54" s="385">
        <f>TLFD!F12/SUM(TLFD!$F$11:FI$100)</f>
        <v>0.20802586895894168</v>
      </c>
      <c r="E54">
        <f si="10" t="shared"/>
        <v>-0.12949277428534328</v>
      </c>
      <c r="F54" s="390"/>
      <c r="G54" s="387"/>
      <c r="H54" s="6"/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Beta000052</v>
      </c>
      <c r="P54" s="375">
        <f>OtherTourDestination!E62</f>
        <v>-3.0622160410500001</v>
      </c>
      <c r="Q54" s="337">
        <f si="0" t="shared"/>
        <v>-3.0622160410500001</v>
      </c>
    </row>
    <row r="55" spans="1:17" x14ac:dyDescent="0.25">
      <c r="A55">
        <f>TLFD!A13+0.5</f>
        <v>2.5</v>
      </c>
      <c r="B55" s="384">
        <f si="11" t="shared"/>
        <v>1.2527629684953681</v>
      </c>
      <c r="C55" s="385">
        <f>TLFD!B13/SUM(TLFD!$B$11:$B$100)</f>
        <v>0.13066785795283159</v>
      </c>
      <c r="D55" s="385">
        <f>TLFD!F13/SUM(TLFD!$F$11:FI$100)</f>
        <v>0.18477821692665647</v>
      </c>
      <c r="E55">
        <f si="10" t="shared"/>
        <v>-0.34649761041967125</v>
      </c>
      <c r="F55" s="385"/>
      <c r="H55"/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Beta000053</v>
      </c>
      <c r="P55" s="375">
        <f>OtherTourDestination!E63</f>
        <v>-1.4592147580599999</v>
      </c>
      <c r="Q55" s="337">
        <f si="0" t="shared"/>
        <v>-1.4592147580599999</v>
      </c>
    </row>
    <row r="56" spans="1:17" x14ac:dyDescent="0.25">
      <c r="A56">
        <f>TLFD!A14+0.5</f>
        <v>3.5</v>
      </c>
      <c r="B56" s="384">
        <f si="11" t="shared"/>
        <v>1.5040773967762742</v>
      </c>
      <c r="C56" s="385">
        <f>TLFD!B14/SUM(TLFD!$B$11:$B$100)</f>
        <v>0.13122582416953446</v>
      </c>
      <c r="D56" s="385">
        <f>TLFD!F14/SUM(TLFD!$F$11:FI$100)</f>
        <v>0.12043325525340823</v>
      </c>
      <c r="E56">
        <f si="10" t="shared"/>
        <v>8.5823986541466155E-2</v>
      </c>
      <c r="F56" s="385"/>
      <c r="H56"/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Beta000054</v>
      </c>
      <c r="P56" s="298">
        <f>OtherTourDestination!E64</f>
        <v>-0.160744421114</v>
      </c>
      <c r="Q56" s="337">
        <f si="0" t="shared"/>
        <v>-0.160744421114</v>
      </c>
    </row>
    <row r="57" spans="1:17" x14ac:dyDescent="0.25">
      <c r="A57">
        <f>TLFD!A15+0.5</f>
        <v>4.5</v>
      </c>
      <c r="B57" s="384">
        <f si="11" t="shared"/>
        <v>1.7047480922384253</v>
      </c>
      <c r="C57" s="385">
        <f>TLFD!B15/SUM(TLFD!$B$11:$B$100)</f>
        <v>6.2545757378655156E-2</v>
      </c>
      <c r="D57" s="385">
        <f>TLFD!F15/SUM(TLFD!$F$11:FI$100)</f>
        <v>8.498818216283946E-2</v>
      </c>
      <c r="E57">
        <f si="10" t="shared"/>
        <v>-0.30661380651277592</v>
      </c>
      <c r="F57" s="385"/>
      <c r="H57"/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Beta000055</v>
      </c>
      <c r="P57" s="298">
        <f>OtherTourDestination!E65</f>
        <v>0.101769944302</v>
      </c>
      <c r="Q57" s="337">
        <f si="0" t="shared"/>
        <v>0.101769944302</v>
      </c>
    </row>
    <row r="58" spans="1:17" x14ac:dyDescent="0.25">
      <c r="A58">
        <f>TLFD!A16+0.5</f>
        <v>5.5</v>
      </c>
      <c r="B58" s="384">
        <f si="11" t="shared"/>
        <v>1.8718021769015913</v>
      </c>
      <c r="C58" s="385">
        <f>TLFD!B16/SUM(TLFD!$B$11:$B$100)</f>
        <v>5.4886256731657042E-2</v>
      </c>
      <c r="D58" s="385">
        <f>TLFD!F16/SUM(TLFD!$F$11:FI$100)</f>
        <v>6.5951027791242858E-2</v>
      </c>
      <c r="E58">
        <f si="10" t="shared"/>
        <v>-0.18364947902253329</v>
      </c>
      <c r="F58" s="385"/>
      <c r="H58"/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Beta000056</v>
      </c>
      <c r="P58" s="298">
        <f>OtherTourDestination!E66</f>
        <v>-7.3004796389399995E-2</v>
      </c>
      <c r="Q58" s="337">
        <f si="0" t="shared"/>
        <v>-7.3004796389399995E-2</v>
      </c>
    </row>
    <row r="59" spans="1:17" x14ac:dyDescent="0.25">
      <c r="A59">
        <f>TLFD!A17+0.5</f>
        <v>6.5</v>
      </c>
      <c r="B59" s="384">
        <f si="11" t="shared"/>
        <v>2.0149030205422647</v>
      </c>
      <c r="C59" s="385">
        <f>TLFD!B17/SUM(TLFD!$B$11:$B$100)</f>
        <v>4.6111755551511716E-2</v>
      </c>
      <c r="D59" s="385">
        <f>TLFD!F17/SUM(TLFD!$F$11:FI$100)</f>
        <v>4.811997326501289E-2</v>
      </c>
      <c r="E59">
        <f si="10" t="shared"/>
        <v>-4.2629416903665687E-2</v>
      </c>
      <c r="F59" s="385"/>
      <c r="H59"/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Beta000057</v>
      </c>
      <c r="P59" s="298">
        <f>OtherTourDestination!E67</f>
        <v>4.7664283443500002E-2</v>
      </c>
      <c r="Q59" s="337">
        <f si="0" t="shared"/>
        <v>4.7664283443500002E-2</v>
      </c>
    </row>
    <row r="60" spans="1:17" x14ac:dyDescent="0.25">
      <c r="A60">
        <f>TLFD!A18+0.5</f>
        <v>7.5</v>
      </c>
      <c r="B60" s="384">
        <f si="11" t="shared"/>
        <v>2.1400661634962708</v>
      </c>
      <c r="C60" s="385">
        <f>TLFD!B18/SUM(TLFD!$B$11:$B$100)</f>
        <v>2.5906786976567765E-2</v>
      </c>
      <c r="D60" s="385">
        <f>TLFD!F18/SUM(TLFD!$F$11:FI$100)</f>
        <v>3.422967170397824E-2</v>
      </c>
      <c r="E60">
        <f si="10" t="shared"/>
        <v>-0.2785878818053642</v>
      </c>
      <c r="F60" s="385"/>
      <c r="H60"/>
      <c r="M60" s="296" t="str">
        <f>VLOOKUP(N60,Coeff_Descr!$A:$D,3,FALSE)</f>
        <v>ESCORT</v>
      </c>
      <c r="N60" s="296">
        <f>OtherTourDestination!B68</f>
        <v>70</v>
      </c>
      <c r="O60" s="296" t="str">
        <f>OtherTourDestination!C68</f>
        <v>LSM_0070</v>
      </c>
      <c r="P60" s="298">
        <f>OtherTourDestination!E68</f>
        <v>0.70165957865100004</v>
      </c>
      <c r="Q60" s="337">
        <f si="0" t="shared"/>
        <v>0.70165957865100004</v>
      </c>
    </row>
    <row r="61" spans="1:17" x14ac:dyDescent="0.25">
      <c r="A61">
        <f>TLFD!A19+0.5</f>
        <v>8.5</v>
      </c>
      <c r="B61" s="384">
        <f si="11" t="shared"/>
        <v>2.2512917986064953</v>
      </c>
      <c r="C61" s="385">
        <f>TLFD!B19/SUM(TLFD!$B$11:$B$100)</f>
        <v>2.7143271068123167E-2</v>
      </c>
      <c r="D61" s="385">
        <f>TLFD!F19/SUM(TLFD!$F$11:FI$100)</f>
        <v>2.6785338211111235E-2</v>
      </c>
      <c r="E61">
        <f si="10" t="shared"/>
        <v>1.3274516729041569E-2</v>
      </c>
      <c r="F61" s="385"/>
      <c r="H61"/>
      <c r="M61" s="296" t="str">
        <f>VLOOKUP(N61,Coeff_Descr!$A:$D,3,FALSE)</f>
        <v>ESCORT</v>
      </c>
      <c r="N61" s="296">
        <f>OtherTourDestination!B69</f>
        <v>71</v>
      </c>
      <c r="O61" s="296" t="str">
        <f>OtherTourDestination!C69</f>
        <v>Gamma071</v>
      </c>
      <c r="P61" s="298">
        <f>OtherTourDestination!E69</f>
        <v>0</v>
      </c>
      <c r="Q61" s="337">
        <f si="0" t="shared"/>
        <v>0</v>
      </c>
    </row>
    <row r="62" spans="1:17" x14ac:dyDescent="0.25">
      <c r="A62">
        <f>TLFD!A20+0.5</f>
        <v>9.5</v>
      </c>
      <c r="B62" s="384">
        <f si="11" t="shared"/>
        <v>2.3513752571634776</v>
      </c>
      <c r="C62" s="385">
        <f>TLFD!B20/SUM(TLFD!$B$11:$B$100)</f>
        <v>2.2144361416909474E-2</v>
      </c>
      <c r="D62" s="385">
        <f>TLFD!F20/SUM(TLFD!$F$11:FI$100)</f>
        <v>1.8469760356938258E-2</v>
      </c>
      <c r="E62">
        <f si="10" t="shared"/>
        <v>0.1814480811057825</v>
      </c>
      <c r="F62" s="385"/>
      <c r="H62"/>
      <c r="M62" s="296" t="str">
        <f>VLOOKUP(N62,Coeff_Descr!$A:$D,3,FALSE)</f>
        <v>ESCORT</v>
      </c>
      <c r="N62" s="296">
        <f>OtherTourDestination!B70</f>
        <v>72</v>
      </c>
      <c r="O62" s="296" t="str">
        <f>OtherTourDestination!C70</f>
        <v>Gamma072</v>
      </c>
      <c r="P62" s="298">
        <f>OtherTourDestination!E70</f>
        <v>0</v>
      </c>
      <c r="Q62" s="337">
        <f si="0" t="shared"/>
        <v>0</v>
      </c>
    </row>
    <row r="63" spans="1:17" x14ac:dyDescent="0.25">
      <c r="A63">
        <f>TLFD!A21+0.5</f>
        <v>10.5</v>
      </c>
      <c r="B63" s="384">
        <f si="11" t="shared"/>
        <v>2.4423470353692043</v>
      </c>
      <c r="C63" s="385">
        <f>TLFD!B21/SUM(TLFD!$B$11:$B$100)</f>
        <v>1.1220564567833454E-2</v>
      </c>
      <c r="D63" s="385">
        <f>TLFD!F21/SUM(TLFD!$F$11:FI$100)</f>
        <v>1.5102602433883878E-2</v>
      </c>
      <c r="E63">
        <f si="10" t="shared"/>
        <v>-0.29711885876836919</v>
      </c>
      <c r="F63" s="385"/>
      <c r="H63"/>
      <c r="M63" s="296" t="str">
        <f>VLOOKUP(N63,Coeff_Descr!$A:$D,3,FALSE)</f>
        <v>ESCORT</v>
      </c>
      <c r="N63" s="296">
        <f>OtherTourDestination!B71</f>
        <v>73</v>
      </c>
      <c r="O63" s="296" t="str">
        <f>OtherTourDestination!C71</f>
        <v>Gamma073</v>
      </c>
      <c r="P63" s="298">
        <f>OtherTourDestination!E71</f>
        <v>-1.0451393946200001</v>
      </c>
      <c r="Q63" s="337">
        <f si="0" t="shared"/>
        <v>-1.0451393946200001</v>
      </c>
    </row>
    <row r="64" spans="1:17" x14ac:dyDescent="0.25">
      <c r="A64">
        <f>TLFD!A22+0.5</f>
        <v>11.5</v>
      </c>
      <c r="B64" s="384">
        <f si="11" t="shared"/>
        <v>2.5257286443082556</v>
      </c>
      <c r="C64" s="385">
        <f>TLFD!B22/SUM(TLFD!$B$11:$B$100)</f>
        <v>1.532144586831851E-2</v>
      </c>
      <c r="D64" s="385">
        <f>TLFD!F22/SUM(TLFD!$F$11:FI$100)</f>
        <v>1.2771016100424491E-2</v>
      </c>
      <c r="E64">
        <f si="10" t="shared"/>
        <v>0.18207530147144568</v>
      </c>
      <c r="F64" s="385"/>
      <c r="H64"/>
      <c r="M64" s="296" t="str">
        <f>VLOOKUP(N64,Coeff_Descr!$A:$D,3,FALSE)</f>
        <v>ESCORT</v>
      </c>
      <c r="N64" s="296">
        <f>OtherTourDestination!B72</f>
        <v>74</v>
      </c>
      <c r="O64" s="296" t="str">
        <f>OtherTourDestination!C72</f>
        <v>Gamma074</v>
      </c>
      <c r="P64" s="298">
        <f>OtherTourDestination!E72</f>
        <v>0</v>
      </c>
      <c r="Q64" s="337">
        <f si="0" t="shared"/>
        <v>0</v>
      </c>
    </row>
    <row r="65" spans="1:17" x14ac:dyDescent="0.25">
      <c r="A65">
        <f>TLFD!A23+0.5</f>
        <v>12.5</v>
      </c>
      <c r="B65" s="384">
        <f si="11" t="shared"/>
        <v>2.6026896854443837</v>
      </c>
      <c r="C65" s="385">
        <f>TLFD!B23/SUM(TLFD!$B$11:$B$100)</f>
        <v>1.6901464866370283E-2</v>
      </c>
      <c r="D65" s="385">
        <f>TLFD!F23/SUM(TLFD!$F$11:FI$100)</f>
        <v>1.0613058536478037E-2</v>
      </c>
      <c r="E65">
        <f si="10" t="shared"/>
        <v>0.46531511634673756</v>
      </c>
      <c r="F65" s="385"/>
      <c r="H65"/>
      <c r="M65" s="296" t="str">
        <f>VLOOKUP(N65,Coeff_Descr!$A:$D,3,FALSE)</f>
        <v>ESCORT</v>
      </c>
      <c r="N65" s="296">
        <f>OtherTourDestination!B73</f>
        <v>75</v>
      </c>
      <c r="O65" s="296" t="str">
        <f>OtherTourDestination!C73</f>
        <v>Gamma075</v>
      </c>
      <c r="P65" s="298">
        <f>OtherTourDestination!E73</f>
        <v>-0.200987204384</v>
      </c>
      <c r="Q65" s="337">
        <f si="0" t="shared"/>
        <v>-0.200987204384</v>
      </c>
    </row>
    <row r="66" spans="1:17" x14ac:dyDescent="0.25">
      <c r="A66">
        <f>TLFD!A24+0.5</f>
        <v>13.5</v>
      </c>
      <c r="B66" s="384">
        <f si="11" t="shared"/>
        <v>2.6741486494265287</v>
      </c>
      <c r="C66" s="385">
        <f>TLFD!B24/SUM(TLFD!$B$11:$B$100)</f>
        <v>5.2920227430139598E-3</v>
      </c>
      <c r="D66" s="385">
        <f>TLFD!F24/SUM(TLFD!$F$11:FI$100)</f>
        <v>9.3728530399570867E-3</v>
      </c>
      <c r="E66">
        <f si="10" t="shared"/>
        <v>-0.57161699269348887</v>
      </c>
      <c r="F66" s="385"/>
      <c r="H66"/>
      <c r="M66" s="296" t="str">
        <f>VLOOKUP(N66,Coeff_Descr!$A:$D,3,FALSE)</f>
        <v>ESCORT</v>
      </c>
      <c r="N66" s="296">
        <f>OtherTourDestination!B74</f>
        <v>76</v>
      </c>
      <c r="O66" s="296" t="str">
        <f>OtherTourDestination!C74</f>
        <v>Gamma076</v>
      </c>
      <c r="P66" s="298">
        <f>OtherTourDestination!E74</f>
        <v>-0.24680877359100001</v>
      </c>
      <c r="Q66" s="337">
        <f si="0" t="shared"/>
        <v>-0.24680877359100001</v>
      </c>
    </row>
    <row r="67" spans="1:17" x14ac:dyDescent="0.25">
      <c r="A67">
        <f>TLFD!A25+0.5</f>
        <v>14.5</v>
      </c>
      <c r="B67" s="384">
        <f si="11" t="shared"/>
        <v>2.7408400239252009</v>
      </c>
      <c r="C67" s="385">
        <f>TLFD!B25/SUM(TLFD!$B$11:$B$100)</f>
        <v>1.2627631015369418E-2</v>
      </c>
      <c r="D67" s="385">
        <f>TLFD!F25/SUM(TLFD!$F$11:FI$100)</f>
        <v>7.6582689410168714E-3</v>
      </c>
      <c r="E67">
        <f si="10" t="shared"/>
        <v>0.50010137930550147</v>
      </c>
      <c r="F67" s="385"/>
      <c r="H67"/>
      <c r="M67" s="296" t="str">
        <f>VLOOKUP(N67,Coeff_Descr!$A:$D,3,FALSE)</f>
        <v>ESCORT</v>
      </c>
      <c r="N67" s="296">
        <f>OtherTourDestination!B75</f>
        <v>77</v>
      </c>
      <c r="O67" s="296" t="str">
        <f>OtherTourDestination!C75</f>
        <v>Gamma077</v>
      </c>
      <c r="P67" s="298">
        <f>OtherTourDestination!E75</f>
        <v>0.105207287565</v>
      </c>
      <c r="Q67" s="337">
        <f si="0" t="shared"/>
        <v>0.105207287565</v>
      </c>
    </row>
    <row r="68" spans="1:17" x14ac:dyDescent="0.25">
      <c r="A68">
        <f>TLFD!A26+0.5</f>
        <v>15.5</v>
      </c>
      <c r="B68" s="384">
        <f si="11" t="shared"/>
        <v>2.8033603809065348</v>
      </c>
      <c r="C68" s="385">
        <f>TLFD!B26/SUM(TLFD!$B$11:$B$100)</f>
        <v>1.1154429211487193E-2</v>
      </c>
      <c r="D68" s="385">
        <f>TLFD!F26/SUM(TLFD!$F$11:FI$100)</f>
        <v>6.6475014613522967E-3</v>
      </c>
      <c r="E68">
        <f si="10" t="shared"/>
        <v>0.51759559375624387</v>
      </c>
      <c r="F68" s="385"/>
      <c r="H68"/>
      <c r="M68" s="296" t="str">
        <f>VLOOKUP(N68,Coeff_Descr!$A:$D,3,FALSE)</f>
        <v>ESCORT</v>
      </c>
      <c r="N68" s="296">
        <f>OtherTourDestination!B76</f>
        <v>78</v>
      </c>
      <c r="O68" s="296" t="str">
        <f>OtherTourDestination!C76</f>
        <v>Gamma078</v>
      </c>
      <c r="P68" s="298">
        <f>OtherTourDestination!E76</f>
        <v>-3.0261765923500001</v>
      </c>
      <c r="Q68" s="337">
        <f si="0" t="shared"/>
        <v>-3.0261765923500001</v>
      </c>
    </row>
    <row r="69" spans="1:17" x14ac:dyDescent="0.25">
      <c r="A69">
        <f>TLFD!A27+0.5</f>
        <v>16.5</v>
      </c>
      <c r="B69" s="384">
        <f si="11" t="shared"/>
        <v>2.8622008809294686</v>
      </c>
      <c r="C69" s="385">
        <f>TLFD!B27/SUM(TLFD!$B$11:$B$100)</f>
        <v>2.0270304653809659E-3</v>
      </c>
      <c r="D69" s="385">
        <f>TLFD!F27/SUM(TLFD!$F$11:FI$100)</f>
        <v>5.5034118908117192E-3</v>
      </c>
      <c r="E69">
        <f si="10" t="shared"/>
        <v>-0.99879634654344973</v>
      </c>
      <c r="F69" s="385"/>
      <c r="H69"/>
      <c r="M69" s="296" t="str">
        <f>VLOOKUP(N69,Coeff_Descr!$A:$D,3,FALSE)</f>
        <v>ESCORT</v>
      </c>
      <c r="N69" s="296">
        <f>OtherTourDestination!B77</f>
        <v>79</v>
      </c>
      <c r="O69" s="296" t="str">
        <f>OtherTourDestination!C77</f>
        <v>Gamma079</v>
      </c>
      <c r="P69" s="298">
        <f>OtherTourDestination!E77</f>
        <v>-3.16760127533</v>
      </c>
      <c r="Q69" s="337">
        <f ref="Q69:Q103" si="12" t="shared">_xlfn.IFNA(VLOOKUP(N69,$B$43:$D$46,3,FALSE),P69)</f>
        <v>-3.16760127533</v>
      </c>
    </row>
    <row r="70" spans="1:17" x14ac:dyDescent="0.25">
      <c r="A70">
        <f>TLFD!A28+0.5</f>
        <v>17.5</v>
      </c>
      <c r="B70" s="384">
        <f si="11" t="shared"/>
        <v>2.917770732084279</v>
      </c>
      <c r="C70" s="385">
        <f>TLFD!B28/SUM(TLFD!$B$11:$B$100)</f>
        <v>7.2175332430542702E-3</v>
      </c>
      <c r="D70" s="385">
        <f>TLFD!F28/SUM(TLFD!$F$11:FI$100)</f>
        <v>4.2291007431364425E-3</v>
      </c>
      <c r="E70">
        <f si="10" t="shared"/>
        <v>0.53452385825773252</v>
      </c>
      <c r="F70" s="385"/>
      <c r="H70"/>
      <c r="M70" s="296" t="str">
        <f>VLOOKUP(N70,Coeff_Descr!$A:$D,3,FALSE)</f>
        <v>ESCORT</v>
      </c>
      <c r="N70" s="296">
        <f>OtherTourDestination!B78</f>
        <v>80</v>
      </c>
      <c r="O70" s="296" t="str">
        <f>OtherTourDestination!C78</f>
        <v>Gamma080</v>
      </c>
      <c r="P70" s="298">
        <f>OtherTourDestination!E78</f>
        <v>3.88384299801</v>
      </c>
      <c r="Q70" s="337">
        <f si="12" t="shared"/>
        <v>3.88384299801</v>
      </c>
    </row>
    <row r="71" spans="1:17" x14ac:dyDescent="0.25">
      <c r="A71">
        <f>TLFD!A29+0.5</f>
        <v>18.5</v>
      </c>
      <c r="B71" s="384">
        <f si="11" t="shared"/>
        <v>2.9704144655697009</v>
      </c>
      <c r="C71" s="385">
        <f>TLFD!B29/SUM(TLFD!$B$11:$B$100)</f>
        <v>1.1907049574486324E-3</v>
      </c>
      <c r="D71" s="385">
        <f>TLFD!F29/SUM(TLFD!$F$11:FI$100)</f>
        <v>3.6400031322889907E-3</v>
      </c>
      <c r="E71">
        <f si="10" t="shared"/>
        <v>-1.1174390092267894</v>
      </c>
      <c r="F71" s="385"/>
      <c r="H71"/>
      <c r="M71" s="296" t="str">
        <f>VLOOKUP(N71,Coeff_Descr!$A:$D,3,FALSE)</f>
        <v>ESCORT</v>
      </c>
      <c r="N71" s="296">
        <f>OtherTourDestination!B79</f>
        <v>81</v>
      </c>
      <c r="O71" s="296" t="str">
        <f>OtherTourDestination!C79</f>
        <v>Gamma081</v>
      </c>
      <c r="P71" s="298">
        <f>OtherTourDestination!E79</f>
        <v>1.2853400619999999</v>
      </c>
      <c r="Q71" s="337">
        <f si="12" t="shared"/>
        <v>1.2853400619999999</v>
      </c>
    </row>
    <row r="72" spans="1:17" x14ac:dyDescent="0.25">
      <c r="A72">
        <f>TLFD!A30+0.5</f>
        <v>19.5</v>
      </c>
      <c r="B72" s="384">
        <f si="11" t="shared"/>
        <v>3.0204248861443626</v>
      </c>
      <c r="C72" s="385">
        <f>TLFD!B30/SUM(TLFD!$B$11:$B$100)</f>
        <v>1.4723501721389961E-3</v>
      </c>
      <c r="D72" s="385">
        <f>TLFD!F30/SUM(TLFD!$F$11:FI$100)</f>
        <v>3.3609568955717769E-3</v>
      </c>
      <c r="E72">
        <f si="10" t="shared"/>
        <v>-0.82536584308174032</v>
      </c>
      <c r="F72" s="385"/>
      <c r="H72"/>
      <c r="M72" s="296" t="str">
        <f>VLOOKUP(N72,Coeff_Descr!$A:$D,3,FALSE)</f>
        <v>ESCORT</v>
      </c>
      <c r="N72" s="296">
        <f>OtherTourDestination!B80</f>
        <v>82</v>
      </c>
      <c r="O72" s="296" t="str">
        <f>OtherTourDestination!C80</f>
        <v>Gamma082</v>
      </c>
      <c r="P72" s="298">
        <f>OtherTourDestination!E80</f>
        <v>0</v>
      </c>
      <c r="Q72" s="337">
        <f si="12" t="shared"/>
        <v>0</v>
      </c>
    </row>
    <row r="73" spans="1:17" x14ac:dyDescent="0.25">
      <c r="A73">
        <f>TLFD!A31+0.5</f>
        <v>20.5</v>
      </c>
      <c r="B73" s="384">
        <f si="11" t="shared"/>
        <v>3.068052935133617</v>
      </c>
      <c r="C73" s="385">
        <f>TLFD!B31/SUM(TLFD!$B$11:$B$100)</f>
        <v>2.4657487024274663E-3</v>
      </c>
      <c r="D73" s="385">
        <f>TLFD!F31/SUM(TLFD!$F$11:FI$100)</f>
        <v>2.6943464411917657E-3</v>
      </c>
      <c r="E73">
        <f si="10" t="shared"/>
        <v>-8.8660172431236084E-2</v>
      </c>
      <c r="F73" s="385"/>
      <c r="H73"/>
      <c r="M73" s="296" t="str">
        <f>VLOOKUP(N73,Coeff_Descr!$A:$D,3,FALSE)</f>
        <v>ESCORT</v>
      </c>
      <c r="N73" s="296">
        <f>OtherTourDestination!B81</f>
        <v>83</v>
      </c>
      <c r="O73" s="296" t="str">
        <f>OtherTourDestination!C81</f>
        <v>Gamma083</v>
      </c>
      <c r="P73" s="298">
        <f>OtherTourDestination!E81</f>
        <v>1.5962822273599999</v>
      </c>
      <c r="Q73" s="337">
        <f si="12" t="shared"/>
        <v>1.5962822273599999</v>
      </c>
    </row>
    <row r="74" spans="1:17" x14ac:dyDescent="0.25">
      <c r="A74">
        <f>TLFD!A32+0.5</f>
        <v>21.5</v>
      </c>
      <c r="B74" s="384">
        <f si="11" t="shared"/>
        <v>3.1135153092103742</v>
      </c>
      <c r="C74" s="385">
        <f>TLFD!B32/SUM(TLFD!$B$11:$B$100)</f>
        <v>1.1802485249092316E-2</v>
      </c>
      <c r="D74" s="385">
        <f>TLFD!F32/SUM(TLFD!$F$11:FI$100)</f>
        <v>2.6943464411917657E-3</v>
      </c>
      <c r="E74">
        <f si="10" t="shared"/>
        <v>1.4771544565808092</v>
      </c>
      <c r="F74" s="385"/>
      <c r="H74"/>
      <c r="M74" s="296" t="str">
        <f>VLOOKUP(N74,Coeff_Descr!$A:$D,3,FALSE)</f>
        <v>ESCORT</v>
      </c>
      <c r="N74" s="296">
        <f>OtherTourDestination!B82</f>
        <v>84</v>
      </c>
      <c r="O74" s="296" t="str">
        <f>OtherTourDestination!C82</f>
        <v>Gamma084</v>
      </c>
      <c r="P74" s="298">
        <f>OtherTourDestination!E82</f>
        <v>1.8203743806399999</v>
      </c>
      <c r="Q74" s="337">
        <f si="12" t="shared"/>
        <v>1.8203743806399999</v>
      </c>
    </row>
    <row r="75" spans="1:17" x14ac:dyDescent="0.25">
      <c r="A75">
        <f>TLFD!A33+0.5</f>
        <v>22.5</v>
      </c>
      <c r="B75" s="384">
        <f si="11" t="shared"/>
        <v>3.1570004211501135</v>
      </c>
      <c r="C75" s="385">
        <f>TLFD!B33/SUM(TLFD!$B$11:$B$100)</f>
        <v>1.3160690217897561E-4</v>
      </c>
      <c r="D75" s="385">
        <f>TLFD!F33/SUM(TLFD!$F$11:FI$100)</f>
        <v>2.1424549952399423E-3</v>
      </c>
      <c r="E75">
        <f si="10" t="shared"/>
        <v>-2.7898881788446301</v>
      </c>
      <c r="F75" s="385"/>
      <c r="H75"/>
      <c r="M75" s="296" t="str">
        <f>VLOOKUP(N75,Coeff_Descr!$A:$D,3,FALSE)</f>
        <v>ESCORT</v>
      </c>
      <c r="N75" s="296">
        <f>OtherTourDestination!B83</f>
        <v>85</v>
      </c>
      <c r="O75" s="296" t="str">
        <f>OtherTourDestination!C83</f>
        <v>Gamma085</v>
      </c>
      <c r="P75" s="298">
        <f>OtherTourDestination!E83</f>
        <v>0.36845448573400003</v>
      </c>
      <c r="Q75" s="337">
        <f si="12" t="shared"/>
        <v>0.36845448573400003</v>
      </c>
    </row>
    <row r="76" spans="1:17" x14ac:dyDescent="0.25">
      <c r="A76">
        <f>TLFD!A34+0.5</f>
        <v>23.5</v>
      </c>
      <c r="B76" s="384">
        <f si="11" t="shared"/>
        <v>3.1986731175506815</v>
      </c>
      <c r="C76" s="385">
        <f>TLFD!B34/SUM(TLFD!$B$11:$B$100)</f>
        <v>2.2594146593858129E-4</v>
      </c>
      <c r="D76" s="385">
        <f>TLFD!F34/SUM(TLFD!$F$11:FI$100)</f>
        <v>1.8044989974379834E-3</v>
      </c>
      <c r="E76">
        <f si="10" t="shared"/>
        <v>-2.077762303038607</v>
      </c>
      <c r="F76" s="385"/>
      <c r="H76"/>
      <c r="M76" s="296" t="str">
        <f>VLOOKUP(N76,Coeff_Descr!$A:$D,3,FALSE)</f>
        <v>ESCORT</v>
      </c>
      <c r="N76" s="296">
        <f>OtherTourDestination!B84</f>
        <v>86</v>
      </c>
      <c r="O76" s="296" t="str">
        <f>OtherTourDestination!C84</f>
        <v>Gamma086</v>
      </c>
      <c r="P76" s="298">
        <f>OtherTourDestination!E84</f>
        <v>-0.89988004259099996</v>
      </c>
      <c r="Q76" s="337">
        <f si="12" t="shared"/>
        <v>-0.89988004259099996</v>
      </c>
    </row>
    <row r="77" spans="1:17" x14ac:dyDescent="0.25">
      <c r="A77">
        <f>TLFD!A35+0.5</f>
        <v>24.5</v>
      </c>
      <c r="B77" s="384">
        <f si="11" t="shared"/>
        <v>3.2386784521643803</v>
      </c>
      <c r="C77" s="385">
        <f>TLFD!B35/SUM(TLFD!$B$11:$B$100)</f>
        <v>1.3152789319181548E-4</v>
      </c>
      <c r="D77" s="385">
        <f>TLFD!F35/SUM(TLFD!$F$11:FI$100)</f>
        <v>1.7579912913184479E-3</v>
      </c>
      <c r="E77">
        <f si="10" t="shared"/>
        <v>-2.5927081798374645</v>
      </c>
      <c r="F77" s="385"/>
      <c r="H77"/>
      <c r="M77" s="296" t="str">
        <f>VLOOKUP(N77,Coeff_Descr!$A:$D,3,FALSE)</f>
        <v>ESCORT</v>
      </c>
      <c r="N77" s="296">
        <f>OtherTourDestination!B85</f>
        <v>87</v>
      </c>
      <c r="O77" s="296" t="str">
        <f>OtherTourDestination!C85</f>
        <v>Gamma087</v>
      </c>
      <c r="P77" s="298">
        <f>OtherTourDestination!E85</f>
        <v>-1.54651800243</v>
      </c>
      <c r="Q77" s="337">
        <f si="12" t="shared"/>
        <v>-1.54651800243</v>
      </c>
    </row>
    <row r="78" spans="1:17" x14ac:dyDescent="0.25">
      <c r="A78">
        <f>TLFD!A36+0.5</f>
        <v>25.5</v>
      </c>
      <c r="B78" s="384">
        <f si="11" t="shared"/>
        <v>3.2771447329921766</v>
      </c>
      <c r="C78" s="385">
        <f>TLFD!B36/SUM(TLFD!$B$11:$B$100)</f>
        <v>0</v>
      </c>
      <c r="D78" s="385">
        <f>TLFD!F36/SUM(TLFD!$F$11:FI$100)</f>
        <v>1.6184681729598408E-3</v>
      </c>
      <c r="E78">
        <f si="10" t="shared"/>
        <v>0</v>
      </c>
      <c r="F78" s="385"/>
      <c r="H78"/>
      <c r="M78" s="296" t="str">
        <f>VLOOKUP(N78,Coeff_Descr!$A:$D,3,FALSE)</f>
        <v>ESCORT</v>
      </c>
      <c r="N78" s="296">
        <f>OtherTourDestination!B86</f>
        <v>88</v>
      </c>
      <c r="O78" s="296" t="str">
        <f>OtherTourDestination!C86</f>
        <v>Gamma088</v>
      </c>
      <c r="P78" s="298">
        <f>OtherTourDestination!E86</f>
        <v>0</v>
      </c>
      <c r="Q78" s="337">
        <f si="12" t="shared"/>
        <v>0</v>
      </c>
    </row>
    <row r="79" spans="1:17" x14ac:dyDescent="0.25">
      <c r="A79">
        <f>TLFD!A37+0.5</f>
        <v>26.5</v>
      </c>
      <c r="B79" s="384">
        <f si="11" t="shared"/>
        <v>3.3141860046725258</v>
      </c>
      <c r="C79" s="385">
        <f>TLFD!B37/SUM(TLFD!$B$11:$B$100)</f>
        <v>2.7000560823681593E-3</v>
      </c>
      <c r="D79" s="385">
        <f>TLFD!F37/SUM(TLFD!$F$11:FI$100)</f>
        <v>1.1843962491775079E-3</v>
      </c>
      <c r="E79">
        <f si="10" t="shared"/>
        <v>0.82403939365626466</v>
      </c>
      <c r="F79" s="385"/>
      <c r="H79"/>
      <c r="M79" s="296" t="str">
        <f>VLOOKUP(N79,Coeff_Descr!$A:$D,3,FALSE)</f>
        <v>PERSBUS/MED</v>
      </c>
      <c r="N79" s="296">
        <f>OtherTourDestination!B87</f>
        <v>89</v>
      </c>
      <c r="O79" s="296" t="str">
        <f>OtherTourDestination!C87</f>
        <v>Gamma089</v>
      </c>
      <c r="P79" s="298">
        <f>OtherTourDestination!E87</f>
        <v>-1.3661763944</v>
      </c>
      <c r="Q79" s="337">
        <f si="12" t="shared"/>
        <v>-1.3661763944</v>
      </c>
    </row>
    <row r="80" spans="1:17" x14ac:dyDescent="0.25">
      <c r="A80">
        <f>TLFD!A38+0.5</f>
        <v>27.5</v>
      </c>
      <c r="B80" s="384">
        <f si="11" t="shared"/>
        <v>3.3499040872746049</v>
      </c>
      <c r="C80" s="385">
        <f>TLFD!B38/SUM(TLFD!$B$11:$B$100)</f>
        <v>0</v>
      </c>
      <c r="D80" s="385">
        <f>TLFD!F38/SUM(TLFD!$F$11:FI$100)</f>
        <v>1.0634762132667153E-3</v>
      </c>
      <c r="E80">
        <f si="10" t="shared"/>
        <v>0</v>
      </c>
      <c r="F80" s="385"/>
      <c r="H80"/>
      <c r="M80" s="296" t="str">
        <f>VLOOKUP(N80,Coeff_Descr!$A:$D,3,FALSE)</f>
        <v>PERSBUS/MED</v>
      </c>
      <c r="N80" s="296">
        <f>OtherTourDestination!B88</f>
        <v>90</v>
      </c>
      <c r="O80" s="296" t="str">
        <f>OtherTourDestination!C88</f>
        <v>Gamma090</v>
      </c>
      <c r="P80" s="298">
        <f>OtherTourDestination!E88</f>
        <v>0</v>
      </c>
      <c r="Q80" s="337">
        <f si="12" t="shared"/>
        <v>0</v>
      </c>
    </row>
    <row r="81" spans="1:17" x14ac:dyDescent="0.25">
      <c r="A81">
        <f>TLFD!A39+0.5</f>
        <v>28.5</v>
      </c>
      <c r="B81" s="384">
        <f si="11" t="shared"/>
        <v>3.3843902633457743</v>
      </c>
      <c r="C81" s="385">
        <f>TLFD!B39/SUM(TLFD!$B$11:$B$100)</f>
        <v>4.5807018186700095E-5</v>
      </c>
      <c r="D81" s="385">
        <f>TLFD!F39/SUM(TLFD!$F$11:FI$100)</f>
        <v>8.9914898497768937E-4</v>
      </c>
      <c r="E81">
        <f si="10" t="shared"/>
        <v>-2.9770114288436016</v>
      </c>
      <c r="F81" s="385"/>
      <c r="H81"/>
      <c r="M81" s="296" t="str">
        <f>VLOOKUP(N81,Coeff_Descr!$A:$D,3,FALSE)</f>
        <v>PERSBUS/MED</v>
      </c>
      <c r="N81" s="296">
        <f>OtherTourDestination!B89</f>
        <v>91</v>
      </c>
      <c r="O81" s="296" t="str">
        <f>OtherTourDestination!C89</f>
        <v>Gamma091</v>
      </c>
      <c r="P81" s="298">
        <f>OtherTourDestination!E89</f>
        <v>-0.69659049737500001</v>
      </c>
      <c r="Q81" s="337">
        <f si="12" t="shared"/>
        <v>-0.69659049737500001</v>
      </c>
    </row>
    <row r="82" spans="1:17" x14ac:dyDescent="0.25">
      <c r="A82">
        <f>TLFD!A40+0.5</f>
        <v>29.5</v>
      </c>
      <c r="B82" s="384">
        <f si="11" t="shared"/>
        <v>3.417726683613366</v>
      </c>
      <c r="C82" s="385">
        <f>TLFD!B40/SUM(TLFD!$B$11:$B$100)</f>
        <v>1.1987665811821411E-5</v>
      </c>
      <c r="D82" s="385">
        <f>TLFD!F40/SUM(TLFD!$F$11:FI$100)</f>
        <v>9.2395309490810832E-4</v>
      </c>
      <c r="E82">
        <f si="10" t="shared"/>
        <v>-4.3447830350926573</v>
      </c>
      <c r="F82" s="385"/>
      <c r="H82"/>
      <c r="M82" s="296" t="str">
        <f>VLOOKUP(N82,Coeff_Descr!$A:$D,3,FALSE)</f>
        <v>PERSBUS/MED</v>
      </c>
      <c r="N82" s="296">
        <f>OtherTourDestination!B90</f>
        <v>92</v>
      </c>
      <c r="O82" s="296" t="str">
        <f>OtherTourDestination!C90</f>
        <v>Gamma092</v>
      </c>
      <c r="P82" s="298">
        <f>OtherTourDestination!E90</f>
        <v>-1.8309142732699999</v>
      </c>
      <c r="Q82" s="337">
        <f si="12" t="shared"/>
        <v>-1.8309142732699999</v>
      </c>
    </row>
    <row r="83" spans="1:17" x14ac:dyDescent="0.25">
      <c r="A83">
        <f>TLFD!A41+0.5</f>
        <v>30.5</v>
      </c>
      <c r="B83" s="384">
        <f si="11" t="shared"/>
        <v>3.4499875458315872</v>
      </c>
      <c r="C83" s="385">
        <f>TLFD!B41/SUM(TLFD!$B$11:$B$100)</f>
        <v>6.9843279168234647E-5</v>
      </c>
      <c r="D83" s="385">
        <f>TLFD!F41/SUM(TLFD!$F$11:FI$100)</f>
        <v>8.3093768266903709E-4</v>
      </c>
      <c r="E83">
        <f si="10" t="shared"/>
        <v>-2.4763009382623964</v>
      </c>
      <c r="F83" s="385"/>
      <c r="H83"/>
      <c r="M83" s="296" t="str">
        <f>VLOOKUP(N83,Coeff_Descr!$A:$D,3,FALSE)</f>
        <v>PERSBUS/MED</v>
      </c>
      <c r="N83" s="296">
        <f>OtherTourDestination!B91</f>
        <v>93</v>
      </c>
      <c r="O83" s="296" t="str">
        <f>OtherTourDestination!C91</f>
        <v>Gamma093</v>
      </c>
      <c r="P83" s="298">
        <f>OtherTourDestination!E91</f>
        <v>-1.59616837557</v>
      </c>
      <c r="Q83" s="337">
        <f si="12" t="shared"/>
        <v>-1.59616837557</v>
      </c>
    </row>
    <row r="84" spans="1:17" x14ac:dyDescent="0.25">
      <c r="A84">
        <f>TLFD!A42+0.5</f>
        <v>31.5</v>
      </c>
      <c r="B84" s="384">
        <f si="11" t="shared"/>
        <v>3.4812400893356918</v>
      </c>
      <c r="C84" s="385">
        <f>TLFD!B42/SUM(TLFD!$B$11:$B$100)</f>
        <v>0</v>
      </c>
      <c r="D84" s="385">
        <f>TLFD!F42/SUM(TLFD!$F$11:FI$100)</f>
        <v>4.8678065738447322E-4</v>
      </c>
      <c r="E84">
        <f si="10" t="shared"/>
        <v>0</v>
      </c>
      <c r="F84" s="385"/>
      <c r="H84"/>
      <c r="M84" s="296" t="str">
        <f>VLOOKUP(N84,Coeff_Descr!$A:$D,3,FALSE)</f>
        <v>PERSBUS/MED</v>
      </c>
      <c r="N84" s="296">
        <f>OtherTourDestination!B92</f>
        <v>94</v>
      </c>
      <c r="O84" s="296" t="str">
        <f>OtherTourDestination!C92</f>
        <v>Gamma094</v>
      </c>
      <c r="P84" s="298">
        <f>OtherTourDestination!E92</f>
        <v>0</v>
      </c>
      <c r="Q84" s="337">
        <f si="12" t="shared"/>
        <v>0</v>
      </c>
    </row>
    <row r="85" spans="1:17" x14ac:dyDescent="0.25">
      <c r="A85">
        <f>TLFD!A43+0.5</f>
        <v>32.5</v>
      </c>
      <c r="B85" s="384">
        <f si="11" t="shared"/>
        <v>3.5115454388310208</v>
      </c>
      <c r="C85" s="385">
        <f>TLFD!B43/SUM(TLFD!$B$11:$B$100)</f>
        <v>0</v>
      </c>
      <c r="D85" s="385">
        <f>TLFD!F43/SUM(TLFD!$F$11:FI$100)</f>
        <v>4.5577551997144942E-4</v>
      </c>
      <c r="E85">
        <f ref="E85:E116" si="13" t="shared">IF(AND(C85&gt;0, D85&gt;0),LN(C85/D85),0)</f>
        <v>0</v>
      </c>
      <c r="F85" s="385"/>
      <c r="H85"/>
      <c r="M85" s="296" t="str">
        <f>VLOOKUP(N85,Coeff_Descr!$A:$D,3,FALSE)</f>
        <v>PERSBUS/MED</v>
      </c>
      <c r="N85" s="296">
        <f>OtherTourDestination!B93</f>
        <v>95</v>
      </c>
      <c r="O85" s="296" t="str">
        <f>OtherTourDestination!C93</f>
        <v>Gamma095</v>
      </c>
      <c r="P85" s="298">
        <f>OtherTourDestination!E93</f>
        <v>-3.7524312125899999</v>
      </c>
      <c r="Q85" s="337">
        <f si="12" t="shared"/>
        <v>-3.7524312125899999</v>
      </c>
    </row>
    <row r="86" spans="1:17" x14ac:dyDescent="0.25">
      <c r="A86">
        <f>TLFD!A44+0.5</f>
        <v>33.5</v>
      </c>
      <c r="B86" s="384">
        <f si="11" t="shared"/>
        <v>3.5409593240373143</v>
      </c>
      <c r="C86" s="385">
        <f>TLFD!B44/SUM(TLFD!$B$11:$B$100)</f>
        <v>7.6832118984312568E-5</v>
      </c>
      <c r="D86" s="385">
        <f>TLFD!F44/SUM(TLFD!$F$11:FI$100)</f>
        <v>4.4647397874754229E-4</v>
      </c>
      <c r="E86">
        <f si="13" t="shared"/>
        <v>-1.7597583516700439</v>
      </c>
      <c r="F86" s="385"/>
      <c r="H86"/>
      <c r="M86" s="296" t="str">
        <f>VLOOKUP(N86,Coeff_Descr!$A:$D,3,FALSE)</f>
        <v>PERSBUS/MED</v>
      </c>
      <c r="N86" s="296">
        <f>OtherTourDestination!B94</f>
        <v>96</v>
      </c>
      <c r="O86" s="296" t="str">
        <f>OtherTourDestination!C94</f>
        <v>Gamma096</v>
      </c>
      <c r="P86" s="298">
        <f>OtherTourDestination!E94</f>
        <v>-5.15903380474</v>
      </c>
      <c r="Q86" s="337">
        <f si="12" t="shared"/>
        <v>-5.15903380474</v>
      </c>
    </row>
    <row r="87" spans="1:17" x14ac:dyDescent="0.25">
      <c r="A87">
        <f>TLFD!A45+0.5</f>
        <v>34.5</v>
      </c>
      <c r="B87" s="384">
        <f si="11" t="shared"/>
        <v>3.5695326964813701</v>
      </c>
      <c r="C87" s="385">
        <f>TLFD!B45/SUM(TLFD!$B$11:$B$100)</f>
        <v>4.2651945962264943E-3</v>
      </c>
      <c r="D87" s="385">
        <f>TLFD!F45/SUM(TLFD!$F$11:FI$100)</f>
        <v>3.7826267643889001E-4</v>
      </c>
      <c r="E87">
        <f si="13" t="shared"/>
        <v>2.42265421970371</v>
      </c>
      <c r="F87" s="385"/>
      <c r="H87"/>
      <c r="M87" s="296" t="str">
        <f>VLOOKUP(N87,Coeff_Descr!$A:$D,3,FALSE)</f>
        <v>PERSBUS/MED</v>
      </c>
      <c r="N87" s="296">
        <f>OtherTourDestination!B95</f>
        <v>97</v>
      </c>
      <c r="O87" s="296" t="str">
        <f>OtherTourDestination!C95</f>
        <v>Gamma097</v>
      </c>
      <c r="P87" s="298">
        <f>OtherTourDestination!E95</f>
        <v>-4.5752497230499998</v>
      </c>
      <c r="Q87" s="337">
        <f si="12" t="shared"/>
        <v>-4.5752497230499998</v>
      </c>
    </row>
    <row r="88" spans="1:17" x14ac:dyDescent="0.25">
      <c r="A88">
        <f>TLFD!A46+0.5</f>
        <v>35.5</v>
      </c>
      <c r="B88" s="384">
        <f si="11" t="shared"/>
        <v>3.597312260588446</v>
      </c>
      <c r="C88" s="385">
        <f>TLFD!B46/SUM(TLFD!$B$11:$B$100)</f>
        <v>0</v>
      </c>
      <c r="D88" s="385">
        <f>TLFD!F46/SUM(TLFD!$F$11:FI$100)</f>
        <v>2.5114161304549254E-4</v>
      </c>
      <c r="E88">
        <f si="13" t="shared"/>
        <v>0</v>
      </c>
      <c r="F88" s="385"/>
      <c r="H88"/>
      <c r="M88" s="296" t="str">
        <f>VLOOKUP(N88,Coeff_Descr!$A:$D,3,FALSE)</f>
        <v>SHOP</v>
      </c>
      <c r="N88" s="296">
        <f>OtherTourDestination!B96</f>
        <v>98</v>
      </c>
      <c r="O88" s="296" t="str">
        <f>OtherTourDestination!C96</f>
        <v>Gamma098</v>
      </c>
      <c r="P88" s="298">
        <f>OtherTourDestination!E96</f>
        <v>-1.55830930615</v>
      </c>
      <c r="Q88" s="337">
        <f si="12" t="shared"/>
        <v>-1.55830930615</v>
      </c>
    </row>
    <row r="89" spans="1:17" x14ac:dyDescent="0.25">
      <c r="A89">
        <f>TLFD!A47+0.5</f>
        <v>36.5</v>
      </c>
      <c r="B89" s="384">
        <f si="11" t="shared"/>
        <v>3.6243409329763652</v>
      </c>
      <c r="C89" s="385">
        <f>TLFD!B47/SUM(TLFD!$B$11:$B$100)</f>
        <v>1.7209010472868017E-4</v>
      </c>
      <c r="D89" s="385">
        <f>TLFD!F47/SUM(TLFD!$F$11:FI$100)</f>
        <v>2.8214675045851629E-4</v>
      </c>
      <c r="E89">
        <f si="13" t="shared"/>
        <v>-0.49440912293230527</v>
      </c>
      <c r="F89" s="385"/>
      <c r="H89"/>
      <c r="M89" s="296" t="str">
        <f>VLOOKUP(N89,Coeff_Descr!$A:$D,3,FALSE)</f>
        <v>SHOP</v>
      </c>
      <c r="N89" s="296">
        <f>OtherTourDestination!B97</f>
        <v>99</v>
      </c>
      <c r="O89" s="296" t="str">
        <f>OtherTourDestination!C97</f>
        <v>Gamma099</v>
      </c>
      <c r="P89" s="298">
        <f>OtherTourDestination!E97</f>
        <v>-6.7687936642300004</v>
      </c>
      <c r="Q89" s="337">
        <f si="12" t="shared"/>
        <v>-6.7687936642300004</v>
      </c>
    </row>
    <row r="90" spans="1:17" x14ac:dyDescent="0.25">
      <c r="A90">
        <f>TLFD!A48+0.5</f>
        <v>37.5</v>
      </c>
      <c r="B90" s="384">
        <f si="11" t="shared"/>
        <v>3.6506582412937387</v>
      </c>
      <c r="C90" s="385">
        <f>TLFD!B48/SUM(TLFD!$B$11:$B$100)</f>
        <v>3.4700864435359771E-4</v>
      </c>
      <c r="D90" s="385">
        <f>TLFD!F48/SUM(TLFD!$F$11:FI$100)</f>
        <v>2.1703596189116641E-4</v>
      </c>
      <c r="E90">
        <f si="13" t="shared"/>
        <v>0.46928662850771935</v>
      </c>
      <c r="F90" s="385"/>
      <c r="H90"/>
      <c r="M90" s="296" t="str">
        <f>VLOOKUP(N90,Coeff_Descr!$A:$D,3,FALSE)</f>
        <v>SHOP</v>
      </c>
      <c r="N90" s="296">
        <f>OtherTourDestination!B98</f>
        <v>100</v>
      </c>
      <c r="O90" s="296" t="str">
        <f>OtherTourDestination!C98</f>
        <v>Gamma100</v>
      </c>
      <c r="P90" s="298">
        <f>OtherTourDestination!E98</f>
        <v>0</v>
      </c>
      <c r="Q90" s="337">
        <f si="12" t="shared"/>
        <v>0</v>
      </c>
    </row>
    <row r="91" spans="1:17" x14ac:dyDescent="0.25">
      <c r="A91">
        <f>TLFD!A49+0.5</f>
        <v>38.5</v>
      </c>
      <c r="B91" s="384">
        <f si="11" t="shared"/>
        <v>3.6763006719070761</v>
      </c>
      <c r="C91" s="385">
        <f>TLFD!B49/SUM(TLFD!$B$11:$B$100)</f>
        <v>1.5884030189181309E-3</v>
      </c>
      <c r="D91" s="385">
        <f>TLFD!F49/SUM(TLFD!$F$11:FI$100)</f>
        <v>2.1703596189116641E-4</v>
      </c>
      <c r="E91">
        <f si="13" t="shared"/>
        <v>1.9904213370478083</v>
      </c>
      <c r="F91" s="385"/>
      <c r="H91"/>
      <c r="M91" s="296" t="str">
        <f>VLOOKUP(N91,Coeff_Descr!$A:$D,3,FALSE)</f>
        <v>SHOP</v>
      </c>
      <c r="N91" s="296">
        <f>OtherTourDestination!B99</f>
        <v>101</v>
      </c>
      <c r="O91" s="296" t="str">
        <f>OtherTourDestination!C99</f>
        <v>Gamma101</v>
      </c>
      <c r="P91" s="298">
        <f>OtherTourDestination!E99</f>
        <v>-4.6092008435</v>
      </c>
      <c r="Q91" s="337">
        <f si="12" t="shared"/>
        <v>-4.6092008435</v>
      </c>
    </row>
    <row r="92" spans="1:17" x14ac:dyDescent="0.25">
      <c r="A92">
        <f>TLFD!A50+0.5</f>
        <v>39.5</v>
      </c>
      <c r="B92" s="384">
        <f si="11" t="shared"/>
        <v>3.7013019741124933</v>
      </c>
      <c r="C92" s="385">
        <f>TLFD!B50/SUM(TLFD!$B$11:$B$100)</f>
        <v>0</v>
      </c>
      <c r="D92" s="385">
        <f>TLFD!F50/SUM(TLFD!$F$11:FI$100)</f>
        <v>1.6432722828902598E-4</v>
      </c>
      <c r="E92">
        <f si="13" t="shared"/>
        <v>0</v>
      </c>
      <c r="F92" s="385"/>
      <c r="H92"/>
      <c r="M92" s="296" t="str">
        <f>VLOOKUP(N92,Coeff_Descr!$A:$D,3,FALSE)</f>
        <v>MEAL</v>
      </c>
      <c r="N92" s="296">
        <f>OtherTourDestination!B100</f>
        <v>102</v>
      </c>
      <c r="O92" s="296" t="str">
        <f>OtherTourDestination!C100</f>
        <v>Gamma102</v>
      </c>
      <c r="P92" s="298">
        <f>OtherTourDestination!E100</f>
        <v>0</v>
      </c>
      <c r="Q92" s="337">
        <f si="12" t="shared"/>
        <v>0</v>
      </c>
    </row>
    <row r="93" spans="1:17" x14ac:dyDescent="0.25">
      <c r="A93">
        <f>TLFD!A51+0.5</f>
        <v>40.5</v>
      </c>
      <c r="B93" s="384">
        <f si="11" t="shared"/>
        <v>3.7256934272366524</v>
      </c>
      <c r="C93" s="385">
        <f>TLFD!B51/SUM(TLFD!$B$11:$B$100)</f>
        <v>0</v>
      </c>
      <c r="D93" s="385">
        <f>TLFD!F51/SUM(TLFD!$F$11:FI$100)</f>
        <v>1.5502568706511884E-4</v>
      </c>
      <c r="E93">
        <f si="13" t="shared"/>
        <v>0</v>
      </c>
      <c r="F93" s="385"/>
      <c r="H93"/>
      <c r="M93" s="296" t="str">
        <f>VLOOKUP(N93,Coeff_Descr!$A:$D,3,FALSE)</f>
        <v>MEAL</v>
      </c>
      <c r="N93" s="296">
        <f>OtherTourDestination!B101</f>
        <v>103</v>
      </c>
      <c r="O93" s="296" t="str">
        <f>OtherTourDestination!C101</f>
        <v>Gamma103</v>
      </c>
      <c r="P93" s="298">
        <f>OtherTourDestination!E101</f>
        <v>0</v>
      </c>
      <c r="Q93" s="337">
        <f si="12" t="shared"/>
        <v>0</v>
      </c>
    </row>
    <row r="94" spans="1:17" x14ac:dyDescent="0.25">
      <c r="A94">
        <f>TLFD!A52+0.5</f>
        <v>41.5</v>
      </c>
      <c r="B94" s="384">
        <f si="11" t="shared"/>
        <v>3.7495040759303713</v>
      </c>
      <c r="C94" s="385">
        <f>TLFD!B52/SUM(TLFD!$B$11:$B$100)</f>
        <v>2.6928717967525453E-3</v>
      </c>
      <c r="D94" s="385">
        <f>TLFD!F52/SUM(TLFD!$F$11:FI$100)</f>
        <v>1.2092003591079271E-4</v>
      </c>
      <c r="E94">
        <f si="13" t="shared"/>
        <v>3.1032340186799341</v>
      </c>
      <c r="F94" s="385"/>
      <c r="H94"/>
      <c r="M94" s="296" t="str">
        <f>VLOOKUP(N94,Coeff_Descr!$A:$D,3,FALSE)</f>
        <v>MEAL</v>
      </c>
      <c r="N94" s="296">
        <f>OtherTourDestination!B102</f>
        <v>104</v>
      </c>
      <c r="O94" s="296" t="str">
        <f>OtherTourDestination!C102</f>
        <v>Gamma104</v>
      </c>
      <c r="P94" s="298">
        <f>OtherTourDestination!E102</f>
        <v>5</v>
      </c>
      <c r="Q94" s="337">
        <f si="12" t="shared"/>
        <v>5</v>
      </c>
    </row>
    <row r="95" spans="1:17" x14ac:dyDescent="0.25">
      <c r="A95">
        <f>TLFD!A53+0.5</f>
        <v>42.5</v>
      </c>
      <c r="B95" s="384">
        <f si="11" t="shared"/>
        <v>3.7727609380946383</v>
      </c>
      <c r="C95" s="385">
        <f>TLFD!B53/SUM(TLFD!$B$11:$B$100)</f>
        <v>0</v>
      </c>
      <c r="D95" s="385">
        <f>TLFD!F53/SUM(TLFD!$F$11:FI$100)</f>
        <v>1.2712106339339747E-4</v>
      </c>
      <c r="E95">
        <f si="13" t="shared"/>
        <v>0</v>
      </c>
      <c r="F95" s="385"/>
      <c r="H95"/>
      <c r="M95" s="296" t="str">
        <f>VLOOKUP(N95,Coeff_Descr!$A:$D,3,FALSE)</f>
        <v>MEAL</v>
      </c>
      <c r="N95" s="296">
        <f>OtherTourDestination!B103</f>
        <v>105</v>
      </c>
      <c r="O95" s="296" t="str">
        <f>OtherTourDestination!C103</f>
        <v>Gamma105</v>
      </c>
      <c r="P95" s="298">
        <f>OtherTourDestination!E103</f>
        <v>5</v>
      </c>
      <c r="Q95" s="337">
        <f si="12" t="shared"/>
        <v>5</v>
      </c>
    </row>
    <row r="96" spans="1:17" x14ac:dyDescent="0.25">
      <c r="A96">
        <f>TLFD!A54+0.5</f>
        <v>43.5</v>
      </c>
      <c r="B96" s="384">
        <f si="11" t="shared"/>
        <v>3.7954891891721947</v>
      </c>
      <c r="C96" s="385">
        <f>TLFD!B54/SUM(TLFD!$B$11:$B$100)</f>
        <v>0</v>
      </c>
      <c r="D96" s="385">
        <f>TLFD!F54/SUM(TLFD!$F$11:FI$100)</f>
        <v>9.6115925980373688E-5</v>
      </c>
      <c r="E96">
        <f si="13" t="shared"/>
        <v>0</v>
      </c>
      <c r="F96" s="385"/>
      <c r="H96"/>
      <c r="M96" s="296" t="str">
        <f>VLOOKUP(N96,Coeff_Descr!$A:$D,3,FALSE)</f>
        <v>SOCREC</v>
      </c>
      <c r="N96" s="296">
        <f>OtherTourDestination!B104</f>
        <v>106</v>
      </c>
      <c r="O96" s="296" t="str">
        <f>OtherTourDestination!C104</f>
        <v>Gamma106</v>
      </c>
      <c r="P96" s="298">
        <f>OtherTourDestination!E104</f>
        <v>0</v>
      </c>
      <c r="Q96" s="337">
        <f si="12" t="shared"/>
        <v>0</v>
      </c>
    </row>
    <row r="97" spans="1:17" x14ac:dyDescent="0.25">
      <c r="A97">
        <f>TLFD!A55+0.5</f>
        <v>44.5</v>
      </c>
      <c r="B97" s="384">
        <f si="11" t="shared"/>
        <v>3.8177123259569048</v>
      </c>
      <c r="C97" s="385">
        <f>TLFD!B55/SUM(TLFD!$B$11:$B$100)</f>
        <v>0</v>
      </c>
      <c r="D97" s="385">
        <f>TLFD!F55/SUM(TLFD!$F$11:FI$100)</f>
        <v>7.131181604995467E-5</v>
      </c>
      <c r="E97">
        <f si="13" t="shared"/>
        <v>0</v>
      </c>
      <c r="F97" s="385"/>
      <c r="H97"/>
      <c r="M97" s="296" t="str">
        <f>VLOOKUP(N97,Coeff_Descr!$A:$D,3,FALSE)</f>
        <v>SOCREC</v>
      </c>
      <c r="N97" s="296">
        <f>OtherTourDestination!B105</f>
        <v>107</v>
      </c>
      <c r="O97" s="296" t="str">
        <f>OtherTourDestination!C105</f>
        <v>Gamma107</v>
      </c>
      <c r="P97" s="298">
        <f>OtherTourDestination!E105</f>
        <v>3.2721559987400002</v>
      </c>
      <c r="Q97" s="337">
        <f si="12" t="shared"/>
        <v>3.2721559987400002</v>
      </c>
    </row>
    <row r="98" spans="1:17" x14ac:dyDescent="0.25">
      <c r="A98">
        <f>TLFD!A56+0.5</f>
        <v>45.5</v>
      </c>
      <c r="B98" s="384">
        <f si="11" t="shared"/>
        <v>3.8394523125933104</v>
      </c>
      <c r="C98" s="385">
        <f>TLFD!B56/SUM(TLFD!$B$11:$B$100)</f>
        <v>0</v>
      </c>
      <c r="D98" s="385">
        <f>TLFD!F56/SUM(TLFD!$F$11:FI$100)</f>
        <v>5.8909761084745162E-5</v>
      </c>
      <c r="E98">
        <f si="13" t="shared"/>
        <v>0</v>
      </c>
      <c r="F98" s="385"/>
      <c r="H98"/>
      <c r="M98" s="296" t="str">
        <f>VLOOKUP(N98,Coeff_Descr!$A:$D,3,FALSE)</f>
        <v>SOCREC</v>
      </c>
      <c r="N98" s="296">
        <f>OtherTourDestination!B106</f>
        <v>108</v>
      </c>
      <c r="O98" s="296" t="str">
        <f>OtherTourDestination!C106</f>
        <v>Gamma108</v>
      </c>
      <c r="P98" s="298">
        <f>OtherTourDestination!E106</f>
        <v>0</v>
      </c>
      <c r="Q98" s="337">
        <f si="12" t="shared"/>
        <v>0</v>
      </c>
    </row>
    <row r="99" spans="1:17" x14ac:dyDescent="0.25">
      <c r="A99">
        <f>TLFD!A57+0.5</f>
        <v>46.5</v>
      </c>
      <c r="B99" s="384">
        <f si="11" t="shared"/>
        <v>3.8607297110405954</v>
      </c>
      <c r="C99" s="385">
        <f>TLFD!B57/SUM(TLFD!$B$11:$B$100)</f>
        <v>0</v>
      </c>
      <c r="D99" s="385">
        <f>TLFD!F57/SUM(TLFD!$F$11:FI$100)</f>
        <v>2.1703596189116639E-5</v>
      </c>
      <c r="E99">
        <f si="13" t="shared"/>
        <v>0</v>
      </c>
      <c r="F99" s="385"/>
      <c r="H99"/>
      <c r="M99" s="296" t="str">
        <f>VLOOKUP(N99,Coeff_Descr!$A:$D,3,FALSE)</f>
        <v>SOCREC</v>
      </c>
      <c r="N99" s="296">
        <f>OtherTourDestination!B107</f>
        <v>109</v>
      </c>
      <c r="O99" s="296" t="str">
        <f>OtherTourDestination!C107</f>
        <v>Gamma109</v>
      </c>
      <c r="P99" s="298">
        <f>OtherTourDestination!E107</f>
        <v>3.7780647491999999</v>
      </c>
      <c r="Q99" s="337">
        <f si="12" t="shared"/>
        <v>3.7780647491999999</v>
      </c>
    </row>
    <row r="100" spans="1:17" x14ac:dyDescent="0.25">
      <c r="A100">
        <f>TLFD!A58+0.5</f>
        <v>47.5</v>
      </c>
      <c r="B100" s="384">
        <f si="11" t="shared"/>
        <v>3.8815637979434374</v>
      </c>
      <c r="C100" s="385">
        <f>TLFD!B58/SUM(TLFD!$B$11:$B$100)</f>
        <v>0</v>
      </c>
      <c r="D100" s="385">
        <f>TLFD!F58/SUM(TLFD!$F$11:FI$100)</f>
        <v>4.3407192378233277E-5</v>
      </c>
      <c r="E100">
        <f si="13" t="shared"/>
        <v>0</v>
      </c>
      <c r="F100" s="385"/>
      <c r="H100"/>
      <c r="M100" s="296" t="str">
        <f>VLOOKUP(N100,Coeff_Descr!$A:$D,3,FALSE)</f>
        <v>SOCREC</v>
      </c>
      <c r="N100" s="296">
        <f>OtherTourDestination!B108</f>
        <v>110</v>
      </c>
      <c r="O100" s="296" t="str">
        <f>OtherTourDestination!C108</f>
        <v>Gamma110</v>
      </c>
      <c r="P100" s="298">
        <f>OtherTourDestination!E108</f>
        <v>3.6698694381700001</v>
      </c>
      <c r="Q100" s="337">
        <f si="12" t="shared"/>
        <v>3.6698694381700001</v>
      </c>
    </row>
    <row r="101" spans="1:17" x14ac:dyDescent="0.25">
      <c r="A101">
        <f>TLFD!A59+0.5</f>
        <v>48.5</v>
      </c>
      <c r="B101" s="384">
        <f si="11" t="shared"/>
        <v>3.9019726695746448</v>
      </c>
      <c r="C101" s="385">
        <f>TLFD!B59/SUM(TLFD!$B$11:$B$100)</f>
        <v>0</v>
      </c>
      <c r="D101" s="385">
        <f>TLFD!F59/SUM(TLFD!$F$11:FI$100)</f>
        <v>4.6507706119535653E-5</v>
      </c>
      <c r="E101">
        <f si="13" t="shared"/>
        <v>0</v>
      </c>
      <c r="F101" s="385"/>
      <c r="H101"/>
      <c r="M101" s="296" t="str">
        <f>VLOOKUP(N101,Coeff_Descr!$A:$D,3,FALSE)</f>
        <v>SOCREC</v>
      </c>
      <c r="N101" s="296">
        <f>OtherTourDestination!B109</f>
        <v>111</v>
      </c>
      <c r="O101" s="296" t="str">
        <f>OtherTourDestination!C109</f>
        <v>Gamma111</v>
      </c>
      <c r="P101" s="298">
        <f>OtherTourDestination!E109</f>
        <v>0</v>
      </c>
      <c r="Q101" s="337">
        <f si="12" t="shared"/>
        <v>0</v>
      </c>
    </row>
    <row r="102" spans="1:17" x14ac:dyDescent="0.25">
      <c r="A102">
        <f>TLFD!A60+0.5</f>
        <v>49.5</v>
      </c>
      <c r="B102" s="384">
        <f si="11" t="shared"/>
        <v>3.9219733362813143</v>
      </c>
      <c r="C102" s="385">
        <f>TLFD!B60/SUM(TLFD!$B$11:$B$100)</f>
        <v>0</v>
      </c>
      <c r="D102" s="385">
        <f>TLFD!F60/SUM(TLFD!$F$11:FI$100)</f>
        <v>2.4804109930419018E-5</v>
      </c>
      <c r="E102">
        <f si="13" t="shared"/>
        <v>0</v>
      </c>
      <c r="F102" s="385"/>
      <c r="H102"/>
      <c r="M102" s="296" t="str">
        <f>VLOOKUP(N102,Coeff_Descr!$A:$D,3,FALSE)</f>
        <v>SOCREC</v>
      </c>
      <c r="N102" s="296">
        <f>OtherTourDestination!B110</f>
        <v>112</v>
      </c>
      <c r="O102" s="296" t="str">
        <f>OtherTourDestination!C110</f>
        <v>Gamma112</v>
      </c>
      <c r="P102" s="298">
        <f>OtherTourDestination!E110</f>
        <v>0</v>
      </c>
      <c r="Q102" s="337">
        <f si="12" t="shared"/>
        <v>0</v>
      </c>
    </row>
    <row r="103" spans="1:17" x14ac:dyDescent="0.25">
      <c r="A103">
        <f>TLFD!A61+0.5</f>
        <v>50.5</v>
      </c>
      <c r="B103" s="384">
        <f si="11" t="shared"/>
        <v>3.9415818076696905</v>
      </c>
      <c r="C103" s="385">
        <f>TLFD!B61/SUM(TLFD!$B$11:$B$100)</f>
        <v>0</v>
      </c>
      <c r="D103" s="385">
        <f>TLFD!F61/SUM(TLFD!$F$11:FI$100)</f>
        <v>3.4105651154326151E-5</v>
      </c>
      <c r="E103">
        <f si="13" t="shared"/>
        <v>0</v>
      </c>
      <c r="F103" s="385"/>
      <c r="H103"/>
      <c r="M103" s="296" t="str">
        <f>VLOOKUP(N103,Coeff_Descr!$A:$D,3,FALSE)</f>
        <v>SOCREC</v>
      </c>
      <c r="N103" s="296">
        <f>OtherTourDestination!B111</f>
        <v>113</v>
      </c>
      <c r="O103" s="296" t="str">
        <f>OtherTourDestination!C111</f>
        <v>Gamma113</v>
      </c>
      <c r="P103" s="298">
        <f>OtherTourDestination!E111</f>
        <v>1.3908719595400001</v>
      </c>
      <c r="Q103" s="337">
        <f si="12" t="shared"/>
        <v>1.3908719595400001</v>
      </c>
    </row>
    <row r="104" spans="1:17" x14ac:dyDescent="0.25">
      <c r="A104">
        <f>TLFD!A62+0.5</f>
        <v>51.5</v>
      </c>
      <c r="B104" s="384">
        <f si="11" t="shared"/>
        <v>3.9608131695975781</v>
      </c>
      <c r="C104" s="385">
        <f>TLFD!B62/SUM(TLFD!$B$11:$B$100)</f>
        <v>0</v>
      </c>
      <c r="D104" s="385">
        <f>TLFD!F62/SUM(TLFD!$F$11:FI$100)</f>
        <v>3.1005137413023769E-5</v>
      </c>
      <c r="E104">
        <f si="13" t="shared"/>
        <v>0</v>
      </c>
      <c r="F104" s="385"/>
      <c r="H104"/>
      <c r="Q104" s="337"/>
    </row>
    <row r="105" spans="1:17" x14ac:dyDescent="0.25">
      <c r="A105">
        <f>TLFD!A63+0.5</f>
        <v>52.5</v>
      </c>
      <c r="B105" s="384">
        <f si="11" t="shared"/>
        <v>3.9796816539019608</v>
      </c>
      <c r="C105" s="385">
        <f>TLFD!B63/SUM(TLFD!$B$11:$B$100)</f>
        <v>0</v>
      </c>
      <c r="D105" s="385">
        <f>TLFD!F63/SUM(TLFD!$F$11:FI$100)</f>
        <v>2.7904623671721393E-5</v>
      </c>
      <c r="E105">
        <f si="13" t="shared"/>
        <v>0</v>
      </c>
      <c r="F105" s="385"/>
      <c r="H105"/>
    </row>
    <row r="106" spans="1:17" x14ac:dyDescent="0.25">
      <c r="A106">
        <f>TLFD!A64+0.5</f>
        <v>53.5</v>
      </c>
      <c r="B106" s="384">
        <f si="11" t="shared"/>
        <v>3.9982007016691985</v>
      </c>
      <c r="C106" s="385">
        <f>TLFD!B64/SUM(TLFD!$B$11:$B$100)</f>
        <v>0</v>
      </c>
      <c r="D106" s="385">
        <f>TLFD!F64/SUM(TLFD!$F$11:FI$100)</f>
        <v>9.3015412239071316E-6</v>
      </c>
      <c r="E106">
        <f si="13" t="shared"/>
        <v>0</v>
      </c>
      <c r="F106" s="385"/>
      <c r="H106"/>
    </row>
    <row r="107" spans="1:17" x14ac:dyDescent="0.25">
      <c r="A107">
        <f>TLFD!A65+0.5</f>
        <v>54.5</v>
      </c>
      <c r="B107" s="384">
        <f si="11" t="shared"/>
        <v>4.0163830207523885</v>
      </c>
      <c r="C107" s="385">
        <f>TLFD!B65/SUM(TLFD!$B$11:$B$100)</f>
        <v>8.07210094294261E-5</v>
      </c>
      <c r="D107" s="385">
        <f>TLFD!F65/SUM(TLFD!$F$11:FI$100)</f>
        <v>9.3015412239071306E-5</v>
      </c>
      <c r="E107">
        <f si="13" t="shared"/>
        <v>-0.14176632113637369</v>
      </c>
      <c r="F107" s="385"/>
      <c r="H107"/>
    </row>
    <row r="108" spans="1:17" x14ac:dyDescent="0.25">
      <c r="A108">
        <f>TLFD!A66+0.5</f>
        <v>55.5</v>
      </c>
      <c r="B108" s="384">
        <f si="11" t="shared"/>
        <v>4.0342406381523954</v>
      </c>
      <c r="C108" s="385">
        <f>TLFD!B66/SUM(TLFD!$B$11:$B$100)</f>
        <v>0</v>
      </c>
      <c r="D108" s="385">
        <f>TLFD!F66/SUM(TLFD!$F$11:FI$100)</f>
        <v>5.8909761084745162E-5</v>
      </c>
      <c r="E108">
        <f si="13" t="shared"/>
        <v>0</v>
      </c>
      <c r="F108" s="385"/>
      <c r="H108"/>
    </row>
    <row r="109" spans="1:17" x14ac:dyDescent="0.25">
      <c r="A109">
        <f>TLFD!A67+0.5</f>
        <v>56.5</v>
      </c>
      <c r="B109" s="384">
        <f si="11" t="shared"/>
        <v>4.0517849478033048</v>
      </c>
      <c r="C109" s="385">
        <f>TLFD!B67/SUM(TLFD!$B$11:$B$100)</f>
        <v>0</v>
      </c>
      <c r="D109" s="385">
        <f>TLFD!F67/SUM(TLFD!$F$11:FI$100)</f>
        <v>4.6507706119535653E-5</v>
      </c>
      <c r="E109">
        <f si="13" t="shared"/>
        <v>0</v>
      </c>
      <c r="F109" s="385"/>
      <c r="H109"/>
    </row>
    <row r="110" spans="1:17" x14ac:dyDescent="0.25">
      <c r="A110">
        <f>TLFD!A68+0.5</f>
        <v>57.5</v>
      </c>
      <c r="B110" s="384">
        <f si="11" t="shared"/>
        <v>4.0690267542378109</v>
      </c>
      <c r="C110" s="385">
        <f>TLFD!B68/SUM(TLFD!$B$11:$B$100)</f>
        <v>0</v>
      </c>
      <c r="D110" s="385">
        <f>TLFD!F68/SUM(TLFD!$F$11:FI$100)</f>
        <v>6.2010274826047544E-6</v>
      </c>
      <c r="E110">
        <f si="13" t="shared"/>
        <v>0</v>
      </c>
      <c r="F110" s="385"/>
      <c r="H110"/>
    </row>
    <row r="111" spans="1:17" x14ac:dyDescent="0.25">
      <c r="A111">
        <f>TLFD!A69+0.5</f>
        <v>58.5</v>
      </c>
      <c r="B111" s="384">
        <f si="11" t="shared"/>
        <v>4.0859763125515842</v>
      </c>
      <c r="C111" s="385">
        <f>TLFD!B69/SUM(TLFD!$B$11:$B$100)</f>
        <v>0</v>
      </c>
      <c r="D111" s="385">
        <f>TLFD!F69/SUM(TLFD!$F$11:FI$100)</f>
        <v>0</v>
      </c>
      <c r="E111">
        <f si="13" t="shared"/>
        <v>0</v>
      </c>
      <c r="F111" s="385"/>
      <c r="H111"/>
    </row>
    <row r="112" spans="1:17" x14ac:dyDescent="0.25">
      <c r="A112">
        <f>TLFD!A70+0.5</f>
        <v>59.5</v>
      </c>
      <c r="B112" s="384">
        <f si="11" t="shared"/>
        <v>4.1026433650367959</v>
      </c>
      <c r="C112" s="385">
        <f>TLFD!B70/SUM(TLFD!$B$11:$B$100)</f>
        <v>0</v>
      </c>
      <c r="D112" s="385">
        <f>TLFD!F70/SUM(TLFD!$F$11:FI$100)</f>
        <v>9.3015412239071316E-6</v>
      </c>
      <c r="E112">
        <f si="13" t="shared"/>
        <v>0</v>
      </c>
      <c r="F112" s="385"/>
      <c r="H112"/>
    </row>
    <row r="113" spans="1:8" x14ac:dyDescent="0.25">
      <c r="A113">
        <f>TLFD!A71+0.5</f>
        <v>60.5</v>
      </c>
      <c r="B113" s="384">
        <f si="11" t="shared"/>
        <v>4.1190371748124726</v>
      </c>
      <c r="C113" s="385">
        <f>TLFD!B71/SUM(TLFD!$B$11:$B$100)</f>
        <v>0</v>
      </c>
      <c r="D113" s="385">
        <f>TLFD!F71/SUM(TLFD!$F$11:FI$100)</f>
        <v>3.1005137413023772E-6</v>
      </c>
      <c r="E113">
        <f si="13" t="shared"/>
        <v>0</v>
      </c>
      <c r="F113" s="385"/>
      <c r="H113"/>
    </row>
    <row r="114" spans="1:8" x14ac:dyDescent="0.25">
      <c r="A114">
        <f>TLFD!A72+0.5</f>
        <v>61.5</v>
      </c>
      <c r="B114" s="384">
        <f si="11" t="shared"/>
        <v>4.1351665567423561</v>
      </c>
      <c r="C114" s="385">
        <f>TLFD!B72/SUM(TLFD!$B$11:$B$100)</f>
        <v>0</v>
      </c>
      <c r="D114" s="385">
        <f>TLFD!F72/SUM(TLFD!$F$11:FI$100)</f>
        <v>3.1005137413023772E-6</v>
      </c>
      <c r="E114">
        <f si="13" t="shared"/>
        <v>0</v>
      </c>
      <c r="F114" s="385"/>
      <c r="H114"/>
    </row>
    <row r="115" spans="1:8" x14ac:dyDescent="0.25">
      <c r="A115">
        <f>TLFD!A73+0.5</f>
        <v>62.5</v>
      </c>
      <c r="B115" s="384">
        <f si="11" t="shared"/>
        <v>4.1510399058986458</v>
      </c>
      <c r="C115" s="385">
        <f>TLFD!B73/SUM(TLFD!$B$11:$B$100)</f>
        <v>0</v>
      </c>
      <c r="D115" s="385">
        <f>TLFD!F73/SUM(TLFD!$F$11:FI$100)</f>
        <v>3.1005137413023772E-6</v>
      </c>
      <c r="E115">
        <f si="13" t="shared"/>
        <v>0</v>
      </c>
      <c r="F115" s="385"/>
      <c r="H115"/>
    </row>
    <row r="116" spans="1:8" x14ac:dyDescent="0.25">
      <c r="A116">
        <f>TLFD!A74+0.5</f>
        <v>63.5</v>
      </c>
      <c r="B116" s="384">
        <f si="11" t="shared"/>
        <v>4.1666652238017265</v>
      </c>
      <c r="C116" s="385">
        <f>TLFD!B74/SUM(TLFD!$B$11:$B$100)</f>
        <v>0</v>
      </c>
      <c r="D116" s="385">
        <f>TLFD!F74/SUM(TLFD!$F$11:FI$100)</f>
        <v>0</v>
      </c>
      <c r="E116">
        <f si="13" t="shared"/>
        <v>0</v>
      </c>
      <c r="F116" s="385"/>
      <c r="H116"/>
    </row>
    <row r="117" spans="1:8" x14ac:dyDescent="0.25">
      <c r="A117">
        <f>TLFD!A75+0.5</f>
        <v>64.5</v>
      </c>
      <c r="B117" s="384">
        <f si="11" t="shared"/>
        <v>4.1820501426412067</v>
      </c>
      <c r="C117" s="385">
        <f>TLFD!B75/SUM(TLFD!$B$11:$B$100)</f>
        <v>0</v>
      </c>
      <c r="D117" s="385">
        <f>TLFD!F75/SUM(TLFD!$F$11:FI$100)</f>
        <v>6.2010274826047544E-6</v>
      </c>
      <c r="E117">
        <f ref="E117:E142" si="14" t="shared">IF(AND(C117&gt;0, D117&gt;0),LN(C117/D117),0)</f>
        <v>0</v>
      </c>
      <c r="F117" s="385"/>
      <c r="H117"/>
    </row>
    <row r="118" spans="1:8" x14ac:dyDescent="0.25">
      <c r="A118">
        <f>TLFD!A76+0.5</f>
        <v>65.5</v>
      </c>
      <c r="B118" s="384">
        <f ref="B118:B142" si="15" t="shared">LN(1+A118)</f>
        <v>4.1972019476618083</v>
      </c>
      <c r="C118" s="385">
        <f>TLFD!B76/SUM(TLFD!$B$11:$B$100)</f>
        <v>0</v>
      </c>
      <c r="D118" s="385">
        <f>TLFD!F76/SUM(TLFD!$F$11:FI$100)</f>
        <v>3.1005137413023772E-6</v>
      </c>
      <c r="E118">
        <f si="14" t="shared"/>
        <v>0</v>
      </c>
      <c r="F118" s="385"/>
      <c r="H118"/>
    </row>
    <row r="119" spans="1:8" x14ac:dyDescent="0.25">
      <c r="A119">
        <f>TLFD!A77+0.5</f>
        <v>66.5</v>
      </c>
      <c r="B119" s="384">
        <f si="15" t="shared"/>
        <v>4.2121275978784842</v>
      </c>
      <c r="C119" s="385">
        <f>TLFD!B77/SUM(TLFD!$B$11:$B$100)</f>
        <v>0</v>
      </c>
      <c r="D119" s="385">
        <f>TLFD!F77/SUM(TLFD!$F$11:FI$100)</f>
        <v>9.3015412239071316E-6</v>
      </c>
      <c r="E119">
        <f si="14" t="shared"/>
        <v>0</v>
      </c>
      <c r="F119" s="385"/>
      <c r="H119"/>
    </row>
    <row r="120" spans="1:8" x14ac:dyDescent="0.25">
      <c r="A120">
        <f>TLFD!A78+0.5</f>
        <v>67.5</v>
      </c>
      <c r="B120" s="384">
        <f si="15" t="shared"/>
        <v>4.2268337452681797</v>
      </c>
      <c r="C120" s="385">
        <f>TLFD!B78/SUM(TLFD!$B$11:$B$100)</f>
        <v>0</v>
      </c>
      <c r="D120" s="385">
        <f>TLFD!F78/SUM(TLFD!$F$11:FI$100)</f>
        <v>9.3015412239071316E-6</v>
      </c>
      <c r="E120">
        <f si="14" t="shared"/>
        <v>0</v>
      </c>
      <c r="F120" s="385"/>
      <c r="H120"/>
    </row>
    <row r="121" spans="1:8" x14ac:dyDescent="0.25">
      <c r="A121">
        <f>TLFD!A79+0.5</f>
        <v>68.5</v>
      </c>
      <c r="B121" s="384">
        <f si="15" t="shared"/>
        <v>4.2413267525707461</v>
      </c>
      <c r="C121" s="385">
        <f>TLFD!B79/SUM(TLFD!$B$11:$B$100)</f>
        <v>0</v>
      </c>
      <c r="D121" s="385">
        <f>TLFD!F79/SUM(TLFD!$F$11:FI$100)</f>
        <v>0</v>
      </c>
      <c r="E121">
        <f si="14" t="shared"/>
        <v>0</v>
      </c>
      <c r="F121" s="385"/>
      <c r="H121"/>
    </row>
    <row r="122" spans="1:8" x14ac:dyDescent="0.25">
      <c r="A122">
        <f>TLFD!A80+0.5</f>
        <v>69.5</v>
      </c>
      <c r="B122" s="384">
        <f si="15" t="shared"/>
        <v>4.255612709818223</v>
      </c>
      <c r="C122" s="385">
        <f>TLFD!B80/SUM(TLFD!$B$11:$B$100)</f>
        <v>0</v>
      </c>
      <c r="D122" s="385">
        <f>TLFD!F80/SUM(TLFD!$F$11:FI$100)</f>
        <v>0</v>
      </c>
      <c r="E122">
        <f si="14" t="shared"/>
        <v>0</v>
      </c>
      <c r="F122" s="385"/>
      <c r="H122"/>
    </row>
    <row r="123" spans="1:8" x14ac:dyDescent="0.25">
      <c r="A123">
        <f>TLFD!A81+0.5</f>
        <v>70.5</v>
      </c>
      <c r="B123" s="384">
        <f si="15" t="shared"/>
        <v>4.2696974496999616</v>
      </c>
      <c r="C123" s="385">
        <f>TLFD!B81/SUM(TLFD!$B$11:$B$100)</f>
        <v>0</v>
      </c>
      <c r="D123" s="385">
        <f>TLFD!F81/SUM(TLFD!$F$11:FI$100)</f>
        <v>2.1703596189116639E-5</v>
      </c>
      <c r="E123">
        <f si="14" t="shared"/>
        <v>0</v>
      </c>
      <c r="F123" s="385"/>
      <c r="H123"/>
    </row>
    <row r="124" spans="1:8" x14ac:dyDescent="0.25">
      <c r="A124">
        <f>TLFD!A82+0.5</f>
        <v>71.5</v>
      </c>
      <c r="B124" s="384">
        <f si="15" t="shared"/>
        <v>4.2835865618606288</v>
      </c>
      <c r="C124" s="385">
        <f>TLFD!B82/SUM(TLFD!$B$11:$B$100)</f>
        <v>0</v>
      </c>
      <c r="D124" s="385">
        <f>TLFD!F82/SUM(TLFD!$F$11:FI$100)</f>
        <v>6.2010274826047544E-6</v>
      </c>
      <c r="E124">
        <f si="14" t="shared"/>
        <v>0</v>
      </c>
      <c r="F124" s="385"/>
      <c r="H124"/>
    </row>
    <row r="125" spans="1:8" x14ac:dyDescent="0.25">
      <c r="A125">
        <f>TLFD!A83+0.5</f>
        <v>72.5</v>
      </c>
      <c r="B125" s="384">
        <f si="15" t="shared"/>
        <v>4.2972854062187906</v>
      </c>
      <c r="C125" s="385">
        <f>TLFD!B83/SUM(TLFD!$B$11:$B$100)</f>
        <v>0</v>
      </c>
      <c r="D125" s="385">
        <f>TLFD!F83/SUM(TLFD!$F$11:FI$100)</f>
        <v>3.1005137413023772E-6</v>
      </c>
      <c r="E125">
        <f si="14" t="shared"/>
        <v>0</v>
      </c>
      <c r="F125" s="385"/>
      <c r="H125"/>
    </row>
    <row r="126" spans="1:8" x14ac:dyDescent="0.25">
      <c r="A126">
        <f>TLFD!A84+0.5</f>
        <v>73.5</v>
      </c>
      <c r="B126" s="384">
        <f si="15" t="shared"/>
        <v>4.3107991253855138</v>
      </c>
      <c r="C126" s="385">
        <f>TLFD!B84/SUM(TLFD!$B$11:$B$100)</f>
        <v>0</v>
      </c>
      <c r="D126" s="385">
        <f>TLFD!F84/SUM(TLFD!$F$11:FI$100)</f>
        <v>1.2402054965209509E-5</v>
      </c>
      <c r="E126">
        <f si="14" t="shared"/>
        <v>0</v>
      </c>
      <c r="F126" s="385"/>
      <c r="H126"/>
    </row>
    <row r="127" spans="1:8" x14ac:dyDescent="0.25">
      <c r="A127">
        <f>TLFD!A85+0.5</f>
        <v>74.5</v>
      </c>
      <c r="B127" s="384">
        <f si="15" t="shared"/>
        <v>4.3241326562549789</v>
      </c>
      <c r="C127" s="385">
        <f>TLFD!B85/SUM(TLFD!$B$11:$B$100)</f>
        <v>0</v>
      </c>
      <c r="D127" s="385">
        <f>TLFD!F85/SUM(TLFD!$F$11:FI$100)</f>
        <v>3.1005137413023772E-6</v>
      </c>
      <c r="E127">
        <f si="14" t="shared"/>
        <v>0</v>
      </c>
      <c r="F127" s="385"/>
      <c r="H127"/>
    </row>
    <row r="128" spans="1:8" x14ac:dyDescent="0.25">
      <c r="A128">
        <f>TLFD!A86+0.5</f>
        <v>75.5</v>
      </c>
      <c r="B128" s="384">
        <f si="15" t="shared"/>
        <v>4.3372907408324899</v>
      </c>
      <c r="C128" s="385">
        <f>TLFD!B86/SUM(TLFD!$B$11:$B$100)</f>
        <v>0</v>
      </c>
      <c r="D128" s="385">
        <f>TLFD!F86/SUM(TLFD!$F$11:FI$100)</f>
        <v>9.3015412239071316E-6</v>
      </c>
      <c r="E128">
        <f si="14" t="shared"/>
        <v>0</v>
      </c>
      <c r="F128" s="385"/>
      <c r="H128"/>
    </row>
    <row r="129" spans="1:8" x14ac:dyDescent="0.25">
      <c r="A129">
        <f>TLFD!A87+0.5</f>
        <v>76.5</v>
      </c>
      <c r="B129" s="384">
        <f si="15" t="shared"/>
        <v>4.3502779363593014</v>
      </c>
      <c r="C129" s="385">
        <f>TLFD!B87/SUM(TLFD!$B$11:$B$100)</f>
        <v>0</v>
      </c>
      <c r="D129" s="385">
        <f>TLFD!F87/SUM(TLFD!$F$11:FI$100)</f>
        <v>0</v>
      </c>
      <c r="E129">
        <f si="14" t="shared"/>
        <v>0</v>
      </c>
      <c r="F129" s="385"/>
      <c r="H129"/>
    </row>
    <row r="130" spans="1:8" x14ac:dyDescent="0.25">
      <c r="A130">
        <f>TLFD!A88+0.5</f>
        <v>77.5</v>
      </c>
      <c r="B130" s="384">
        <f si="15" t="shared"/>
        <v>4.3630986247883632</v>
      </c>
      <c r="C130" s="385">
        <f>TLFD!B88/SUM(TLFD!$B$11:$B$100)</f>
        <v>0</v>
      </c>
      <c r="D130" s="385">
        <f>TLFD!F88/SUM(TLFD!$F$11:FI$100)</f>
        <v>3.1005137413023772E-6</v>
      </c>
      <c r="E130">
        <f si="14" t="shared"/>
        <v>0</v>
      </c>
      <c r="F130" s="385"/>
      <c r="H130"/>
    </row>
    <row r="131" spans="1:8" x14ac:dyDescent="0.25">
      <c r="A131">
        <f>TLFD!A89+0.5</f>
        <v>78.5</v>
      </c>
      <c r="B131" s="384">
        <f si="15" t="shared"/>
        <v>4.3757570216602861</v>
      </c>
      <c r="C131" s="385">
        <f>TLFD!B89/SUM(TLFD!$B$11:$B$100)</f>
        <v>0</v>
      </c>
      <c r="D131" s="385">
        <f>TLFD!F89/SUM(TLFD!$F$11:FI$100)</f>
        <v>0</v>
      </c>
      <c r="E131">
        <f si="14" t="shared"/>
        <v>0</v>
      </c>
      <c r="F131" s="385"/>
      <c r="H131"/>
    </row>
    <row r="132" spans="1:8" x14ac:dyDescent="0.25">
      <c r="A132">
        <f>TLFD!A90+0.5</f>
        <v>79.5</v>
      </c>
      <c r="B132" s="384">
        <f si="15" t="shared"/>
        <v>4.3882571844245177</v>
      </c>
      <c r="C132" s="385">
        <f>TLFD!B90/SUM(TLFD!$B$11:$B$100)</f>
        <v>0</v>
      </c>
      <c r="D132" s="385">
        <f>TLFD!F90/SUM(TLFD!$F$11:FI$100)</f>
        <v>0</v>
      </c>
      <c r="E132">
        <f si="14" t="shared"/>
        <v>0</v>
      </c>
      <c r="F132" s="385"/>
      <c r="H132"/>
    </row>
    <row r="133" spans="1:8" x14ac:dyDescent="0.25">
      <c r="A133">
        <f>TLFD!A91+0.5</f>
        <v>80.5</v>
      </c>
      <c r="B133" s="384">
        <f si="15" t="shared"/>
        <v>4.4006030202468169</v>
      </c>
      <c r="C133" s="385">
        <f>TLFD!B91/SUM(TLFD!$B$11:$B$100)</f>
        <v>0</v>
      </c>
      <c r="D133" s="385">
        <f>TLFD!F91/SUM(TLFD!$F$11:FI$100)</f>
        <v>0</v>
      </c>
      <c r="E133">
        <f si="14" t="shared"/>
        <v>0</v>
      </c>
      <c r="F133" s="385"/>
      <c r="H133"/>
    </row>
    <row r="134" spans="1:8" x14ac:dyDescent="0.25">
      <c r="A134">
        <f>TLFD!A92+0.5</f>
        <v>81.5</v>
      </c>
      <c r="B134" s="384">
        <f si="15" t="shared"/>
        <v>4.4127982933406349</v>
      </c>
      <c r="C134" s="385">
        <f>TLFD!B92/SUM(TLFD!$B$11:$B$100)</f>
        <v>0</v>
      </c>
      <c r="D134" s="385">
        <f>TLFD!F92/SUM(TLFD!$F$11:FI$100)</f>
        <v>3.1005137413023772E-6</v>
      </c>
      <c r="E134">
        <f si="14" t="shared"/>
        <v>0</v>
      </c>
      <c r="F134" s="385"/>
      <c r="H134"/>
    </row>
    <row r="135" spans="1:8" x14ac:dyDescent="0.25">
      <c r="A135">
        <f>TLFD!A93+0.5</f>
        <v>82.5</v>
      </c>
      <c r="B135" s="384">
        <f si="15" t="shared"/>
        <v>4.42484663185681</v>
      </c>
      <c r="C135" s="385">
        <f>TLFD!B93/SUM(TLFD!$B$11:$B$100)</f>
        <v>0</v>
      </c>
      <c r="D135" s="385">
        <f>TLFD!F93/SUM(TLFD!$F$11:FI$100)</f>
        <v>3.1005137413023772E-6</v>
      </c>
      <c r="E135">
        <f si="14" t="shared"/>
        <v>0</v>
      </c>
      <c r="F135" s="385"/>
      <c r="H135"/>
    </row>
    <row r="136" spans="1:8" x14ac:dyDescent="0.25">
      <c r="A136">
        <f>TLFD!A94+0.5</f>
        <v>83.5</v>
      </c>
      <c r="B136" s="384">
        <f si="15" t="shared"/>
        <v>4.4367515343631281</v>
      </c>
      <c r="C136" s="385">
        <f>TLFD!B94/SUM(TLFD!$B$11:$B$100)</f>
        <v>0</v>
      </c>
      <c r="D136" s="385">
        <f>TLFD!F94/SUM(TLFD!$F$11:FI$100)</f>
        <v>0</v>
      </c>
      <c r="E136">
        <f si="14" t="shared"/>
        <v>0</v>
      </c>
      <c r="F136" s="385"/>
      <c r="H136"/>
    </row>
    <row r="137" spans="1:8" x14ac:dyDescent="0.25">
      <c r="A137">
        <f>TLFD!A95+0.5</f>
        <v>84.5</v>
      </c>
      <c r="B137" s="384">
        <f si="15" t="shared"/>
        <v>4.4485163759427149</v>
      </c>
      <c r="C137" s="385">
        <f>TLFD!B95/SUM(TLFD!$B$11:$B$100)</f>
        <v>0</v>
      </c>
      <c r="D137" s="385">
        <f>TLFD!F95/SUM(TLFD!$F$11:FI$100)</f>
        <v>0</v>
      </c>
      <c r="E137">
        <f si="14" t="shared"/>
        <v>0</v>
      </c>
      <c r="F137" s="385"/>
      <c r="H137"/>
    </row>
    <row r="138" spans="1:8" x14ac:dyDescent="0.25">
      <c r="A138">
        <f>TLFD!A96+0.5</f>
        <v>85.5</v>
      </c>
      <c r="B138" s="384">
        <f si="15" t="shared"/>
        <v>4.4601444139378339</v>
      </c>
      <c r="C138" s="385">
        <f>TLFD!B96/SUM(TLFD!$B$11:$B$100)</f>
        <v>0</v>
      </c>
      <c r="D138" s="385">
        <f>TLFD!F96/SUM(TLFD!$F$11:FI$100)</f>
        <v>6.2010274826047544E-6</v>
      </c>
      <c r="E138">
        <f si="14" t="shared"/>
        <v>0</v>
      </c>
      <c r="F138" s="385"/>
      <c r="H138"/>
    </row>
    <row r="139" spans="1:8" x14ac:dyDescent="0.25">
      <c r="A139">
        <f>TLFD!A97+0.5</f>
        <v>86.5</v>
      </c>
      <c r="B139" s="384">
        <f si="15" t="shared"/>
        <v>4.4716387933635691</v>
      </c>
      <c r="C139" s="385">
        <f>TLFD!B97/SUM(TLFD!$B$11:$B$100)</f>
        <v>0</v>
      </c>
      <c r="D139" s="385">
        <f>TLFD!F97/SUM(TLFD!$F$11:FI$100)</f>
        <v>0</v>
      </c>
      <c r="E139">
        <f si="14" t="shared"/>
        <v>0</v>
      </c>
      <c r="F139" s="385"/>
      <c r="H139"/>
    </row>
    <row r="140" spans="1:8" x14ac:dyDescent="0.25">
      <c r="A140">
        <f>TLFD!A98+0.5</f>
        <v>87.5</v>
      </c>
      <c r="B140" s="384">
        <f si="15" t="shared"/>
        <v>4.4830025520138834</v>
      </c>
      <c r="C140" s="385">
        <f>TLFD!B98/SUM(TLFD!$B$11:$B$100)</f>
        <v>0</v>
      </c>
      <c r="D140" s="385">
        <f>TLFD!F98/SUM(TLFD!$F$11:FI$100)</f>
        <v>0</v>
      </c>
      <c r="E140">
        <f si="14" t="shared"/>
        <v>0</v>
      </c>
      <c r="F140" s="385"/>
      <c r="H140"/>
    </row>
    <row r="141" spans="1:8" x14ac:dyDescent="0.25">
      <c r="A141">
        <f>TLFD!A99+0.5</f>
        <v>88.5</v>
      </c>
      <c r="B141" s="384">
        <f si="15" t="shared"/>
        <v>4.4942386252808095</v>
      </c>
      <c r="C141" s="385">
        <f>TLFD!B99/SUM(TLFD!$B$11:$B$100)</f>
        <v>0</v>
      </c>
      <c r="D141" s="385">
        <f>TLFD!F99/SUM(TLFD!$F$11:FI$100)</f>
        <v>0</v>
      </c>
      <c r="E141">
        <f si="14" t="shared"/>
        <v>0</v>
      </c>
      <c r="F141" s="385"/>
      <c r="H141"/>
    </row>
    <row r="142" spans="1:8" x14ac:dyDescent="0.25">
      <c r="A142">
        <f>TLFD!A100+0.5</f>
        <v>89.5</v>
      </c>
      <c r="B142" s="384">
        <f si="15" t="shared"/>
        <v>4.5053498507058807</v>
      </c>
      <c r="C142" s="385">
        <f>TLFD!B100/SUM(TLFD!$B$11:$B$100)</f>
        <v>0</v>
      </c>
      <c r="D142" s="385">
        <f>TLFD!F100/SUM(TLFD!$F$11:FI$100)</f>
        <v>1.5502568706511884E-5</v>
      </c>
      <c r="E142">
        <f si="14" t="shared"/>
        <v>0</v>
      </c>
      <c r="F142" s="385"/>
      <c r="H142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2022-03-10T16:24:45Z</dcterms:modified>
</cp:coreProperties>
</file>