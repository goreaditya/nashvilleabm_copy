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B36"/>
  <c i="6" r="B46" s="1"/>
  <c i="6" r="B35"/>
  <c i="6" r="B45" s="1"/>
  <c i="6" r="B34"/>
  <c i="6" r="B44" s="1"/>
  <c i="6" r="B33"/>
  <c i="6" r="B43" s="1"/>
  <c i="6" l="1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D8"/>
  <c i="1" r="H15"/>
  <c i="1" r="J13"/>
  <c i="6" l="1" r="D14"/>
  <c i="6" r="F23"/>
  <c i="6" r="G12"/>
  <c i="6" r="G23"/>
  <c i="6" r="G14"/>
  <c i="6" r="I14" s="1"/>
  <c i="6" r="J14" s="1"/>
  <c i="6" r="G15"/>
  <c i="6" r="G16"/>
  <c i="6" r="G13"/>
  <c i="6" r="D13"/>
  <c i="6" r="D16"/>
  <c i="6" r="D12"/>
  <c i="6" r="D15"/>
  <c i="1" r="S15"/>
  <c i="1" r="U13"/>
  <c i="6" l="1" r="F24"/>
  <c i="6" r="H23"/>
  <c i="6" r="G24"/>
  <c i="6" r="I23"/>
  <c i="6" r="I13"/>
  <c i="6" r="J13" s="1"/>
  <c i="6" r="I15"/>
  <c i="6" r="J15" s="1"/>
  <c i="6" r="I12"/>
  <c i="6" r="J12" s="1"/>
  <c i="1" r="B26"/>
  <c i="1" r="C26"/>
  <c i="1" r="D26"/>
  <c i="1" r="E26"/>
  <c i="1" r="F26"/>
  <c i="1" r="G26"/>
  <c i="1" r="H26"/>
  <c i="1" r="S28"/>
  <c i="1" r="U26"/>
  <c i="1" r="J27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K15"/>
  <c i="6" r="G25"/>
  <c i="6" r="I24"/>
  <c i="6" r="J23"/>
  <c i="6" r="K23" s="1"/>
  <c i="6" r="L23" s="1"/>
  <c i="6" r="F25"/>
  <c i="6" r="H24"/>
  <c i="6" r="J24" s="1"/>
  <c i="6" r="K24" s="1"/>
  <c i="6" r="K12"/>
  <c i="6" r="D33" s="1"/>
  <c i="6" r="D43" s="1"/>
  <c i="6" r="Q52" s="1"/>
  <c i="6" r="D36"/>
  <c i="6" r="D46" s="1"/>
  <c i="6" r="Q55" s="1"/>
  <c i="6" r="K14"/>
  <c i="6" r="K13"/>
  <c i="6" r="D34" s="1"/>
  <c i="6" r="D44" s="1"/>
  <c i="6" r="Q53" s="1"/>
  <c i="6" r="D35"/>
  <c i="6" r="D45" s="1"/>
  <c i="6" r="Q54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H25"/>
  <c i="6" r="F26"/>
  <c i="6" r="H26" s="1"/>
  <c i="6" r="G26"/>
  <c i="6" r="I26" s="1"/>
  <c i="6" r="I25"/>
  <c i="1" r="Q15"/>
  <c i="1" r="Q28" s="1"/>
  <c i="1" r="R15"/>
  <c i="1" r="R28" s="1"/>
  <c i="1" r="U10"/>
  <c i="1" r="U11"/>
  <c i="1" r="U12"/>
  <c i="1" r="F15"/>
  <c i="1" r="G15"/>
  <c i="1" r="J10"/>
  <c i="1" r="J11"/>
  <c i="1" r="J12"/>
  <c i="6" l="1" r="J26"/>
  <c i="6" r="K26" s="1"/>
  <c i="6" r="J25"/>
  <c i="6" r="K25" s="1"/>
  <c i="1" r="H24"/>
  <c i="1" r="H25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1"/>
  <c i="1" r="H22"/>
  <c i="1" r="J24"/>
  <c i="1" r="J25"/>
  <c i="1" r="J23"/>
  <c i="1" r="U20"/>
  <c i="1" r="U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36"/>
  <c i="1" r="S35"/>
  <c i="1" r="M39"/>
  <c i="1" r="N39"/>
  <c i="1" r="O39"/>
  <c i="1" r="P39"/>
  <c i="1" r="R39"/>
  <c i="1" r="S39"/>
  <c i="1" r="S34"/>
  <c i="1" r="S33"/>
  <c i="1" r="S38"/>
  <c i="1" r="S37"/>
  <c i="1" r="Q39"/>
  <c i="1" r="G28"/>
  <c i="1" r="S41"/>
  <c i="1" r="U39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F39"/>
  <c i="1" r="AB39" s="1"/>
  <c i="1" r="E39"/>
  <c i="1" r="AA39" s="1"/>
  <c i="1" r="G39"/>
  <c i="1" r="AC39" s="1"/>
  <c i="1" r="D39"/>
  <c i="1" r="Z39" s="1"/>
  <c i="1" r="H39"/>
  <c i="1" r="AD39" s="1"/>
  <c i="1" r="C39"/>
  <c i="1" r="Y39" s="1"/>
  <c i="1" r="B39"/>
  <c i="1" r="X39" s="1"/>
  <c i="1" r="H36"/>
  <c i="1" r="AD36" s="1"/>
  <c i="1" r="H38"/>
  <c i="1" r="AD38" s="1"/>
  <c i="1" r="H37"/>
  <c i="1" r="AD37" s="1"/>
  <c i="1" r="H34"/>
  <c i="1" r="AD34" s="1"/>
  <c i="1" r="H35"/>
  <c i="1" r="AD35" s="1"/>
  <c i="1" r="H33"/>
  <c i="1" r="AD33" s="1"/>
  <c i="1" r="J39"/>
  <c i="1" r="AF39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<sst xmlns="http://schemas.openxmlformats.org/spreadsheetml/2006/main" count="719" uniqueCount="288">
  <si>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</si>
  <si>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</si>
  <si>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</si>
  <si>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</si>
  <si>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</si>
  <si>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</si>
  <si>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</si>
  <si>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</si>
  <si>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</si>
  <si>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</si>
  <si>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</si>
  <si>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</si>
  <si>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</si>
  <si>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</si>
  <si>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</si>
  <si>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</si>
  <si>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</si>
  <si>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</si>
  <si>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</si>
  <si>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</si>
  <si>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</si>
  <si>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</si>
  <si>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</si>
  <si>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</si>
  <si>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</si>
  <si>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</si>
  <si>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</si>
  <si>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</si>
  <si>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</si>
  <si>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</si>
  <si>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</si>
  <si>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</si>
  <si>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</si>
  <si>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</si>
  <si>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</si>
  <si>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</si>
  <si>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</si>
  <si>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</si>
  <si>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</si>
  <si>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</si>
  <si>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</si>
  <si>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</si>
  <si>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</si>
  <si>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</si>
  <si>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</si>
  <si>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</si>
  <si>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</si>
  <si>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</si>
  <si>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</si>
  <si>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</si>
  <si>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</si>
  <si>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</si>
  <si>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</si>
  <si>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</si>
  <si>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</si>
  <si>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</si>
  <si>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</si>
  <si>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</si>
  <si>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</si>
  <si>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</si>
  <si>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</si>
  <si>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</si>
  <si>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</si>
  <si>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</si>
  <si>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</si>
  <si>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</si>
  <si>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</si>
  <si>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</si>
  <si>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</si>
  <si>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</si>
  <si>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</si>
  <si>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</si>
  <si>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</si>
  <si>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</si>
  <si>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</si>
  <si>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</si>
  <si>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</si>
  <si>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</si>
  <si>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</si>
  <si>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</si>
  <si>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</si>
  <si>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</si>
  <si>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</si>
  <si>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</si>
  <si>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</si>
  <si>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</si>
  <si>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</si>
  <si>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</si>
  <si>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</si>
  <si>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</si>
  <si>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</si>
  <si>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</si>
  <si>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</si>
  <si>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</si>
  <si>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</si>
  <si>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</si>
  <si>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</si>
  <si>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</si>
  <si>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</si>
  <si>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</si>
  <si>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</si>
  <si>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</si>
  <si>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</si>
  <si>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</si>
  <si>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</si>
  <si>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</si>
  <si>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</si>
  <si>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</si>
  <si>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</si>
  <si>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</si>
  <si>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</si>
  <si>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</si>
  <si>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</si>
  <si>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</si>
  <si>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</si>
  <si>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</si>
  <si>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</si>
  <si>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</si>
  <si>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</si>
  <si>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</si>
  <si>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</si>
  <si>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</si>
  <si>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</si>
  <si>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</si>
  <si>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</si>
  <si>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</si>
  <si>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</si>
  <si>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</si>
  <si>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</si>
  <si>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</si>
  <si>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</si>
  <si>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</si>
  <si>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</si>
  <si>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</si>
  <si>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</si>
  <si>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</si>
  <si>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</si>
  <si>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</si>
  <si>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</si>
  <si>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</si>
  <si>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</si>
  <si>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</si>
  <si>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</si>
  <si>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</si>
  <si>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</si>
  <si>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</si>
  <si>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</si>
  <si>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</si>
  <si>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</si>
  <si>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</si>
  <si>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</si>
  <si>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</si>
  <si>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</si>
  <si>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</si>
  <si>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</si>
  <si>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</si>
  <si>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</si>
  <si>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</si>
  <si>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</si>
  <si>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</si>
  <si>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</si>
  <si>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</si>
  <si>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</si>
  <si>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</si>
  <si>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</si>
  <si>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</si>
  <si>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</si>
  <si>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</si>
  <si>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</si>
  <si>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</si>
  <si>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</si>
  <si>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</si>
  <si>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</si>
  <si>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</si>
  <si>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</si>
  <si>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</si>
  <si>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</si>
  <si>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</si>
  <si>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</si>
  <si>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</si>
  <si>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</si>
  <si>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</si>
  <si>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</si>
  <si>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</si>
  <si>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</si>
  <si>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</si>
  <si>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</si>
  <si>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</si>
  <si>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</si>
  <si>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</si>
  <si>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</si>
  <si>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</si>
  <si>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</si>
  <si>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</si>
  <si>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</si>
  <si>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</si>
  <si>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</si>
  <si>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</si>
  <si>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</si>
  <si>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</si>
  <si>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</si>
  <si>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</si>
  <si>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</si>
  <si>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</si>
  <si>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</si>
  <si>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</si>
  <si>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</si>
  <si>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</si>
  <si>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</si>
  <si>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</si>
  <si>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</si>
  <si>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</si>
  <si>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</si>
  <si>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</si>
  <si>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</si>
  <si>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</si>
  <si>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</si>
  <si>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</si>
  <si>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</si>
  <si>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</si>
  <si>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</si>
  <si>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</si>
  <si>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</si>
  <si>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</si>
  <si>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</si>
  <si>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</si>
  <si>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</si>
  <si>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</si>
  <si>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</si>
  <si>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</si>
  <si>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</si>
  <si>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</si>
  <si>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</si>
  <si>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</si>
  <si>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</si>
  <si>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</si>
  <si>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</si>
  <si>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</si>
  <si>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</si>
  <si>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</si>
  <si>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</si>
  <si>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</si>
  <si>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</si>
  <si>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</si>
  <si>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</si>
  <si>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</si>
  <si>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</si>
  <si>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</si>
  <si>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</si>
  <si>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</si>
  <si>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</si>
  <si>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</si>
  <si>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</si>
  <si>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</si>
  <si>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Beta00118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</si>
  <si>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</si>
  <si>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</si>
  <si>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</si>
  <si>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</si>
  <si>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</si>
  <si>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</si>
  <si>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</si>
  <si>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</si>
  <si>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</si>
  <si>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</si>
  <si>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</si>
  <si>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</si>
  <si>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</si>
  <si>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</si>
  <si>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</si>
  <si>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</si>
  <si>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</si>
  <si>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</si>
  <si>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</si>
  <si>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</si>
  <si>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</si>
  <si>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</si>
  <si>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</si>
  <si>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</si>
  <si>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</si>
  <si>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</si>
  <si>
    <t>svn</t>
  </si>
  <si>
    <t>v1799,</t>
  </si>
  <si>
    <t>alo</t>
  </si>
  <si>
    <t>v0601)</t>
  </si>
  <si>
    <t>May</t>
  </si>
  <si>
    <t>Gamma120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</si>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</sst>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1" xfId="0">
      <alignment horizontal="right"/>
    </xf>
    <xf applyNumberFormat="1" borderId="0" fillId="0" fontId="0" numFmtId="169" xfId="0"/>
    <xf applyAlignment="1" applyFont="1" borderId="0" fillId="0" fontId="0" numFmtId="9" xfId="9">
      <alignment horizontal="right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0.25729143195191362</c:v>
                </c:pt>
                <c:pt idx="1">
                  <c:v>0.14414392754395541</c:v>
                </c:pt>
                <c:pt idx="2">
                  <c:v>0.10325751204804026</c:v>
                </c:pt>
                <c:pt idx="3">
                  <c:v>7.4984866565860939E-2</c:v>
                </c:pt>
                <c:pt idx="4">
                  <c:v>7.6017535413964429E-2</c:v>
                </c:pt>
                <c:pt idx="5">
                  <c:v>4.9553501078097598E-2</c:v>
                </c:pt>
                <c:pt idx="6">
                  <c:v>4.7465632839142957E-2</c:v>
                </c:pt>
                <c:pt idx="7">
                  <c:v>4.9872693794765686E-2</c:v>
                </c:pt>
                <c:pt idx="8">
                  <c:v>4.0180743316524249E-2</c:v>
                </c:pt>
                <c:pt idx="9">
                  <c:v>3.0872879291923637E-2</c:v>
                </c:pt>
                <c:pt idx="10">
                  <c:v>1.9980199921102743E-2</c:v>
                </c:pt>
                <c:pt idx="11">
                  <c:v>1.0528900748560952E-2</c:v>
                </c:pt>
                <c:pt idx="12">
                  <c:v>5.1263787878898679E-3</c:v>
                </c:pt>
                <c:pt idx="13">
                  <c:v>9.2204663760736185E-3</c:v>
                </c:pt>
                <c:pt idx="14">
                  <c:v>8.9260558180544736E-3</c:v>
                </c:pt>
                <c:pt idx="15">
                  <c:v>9.4950799464191965E-4</c:v>
                </c:pt>
                <c:pt idx="16">
                  <c:v>2.6455495514223948E-3</c:v>
                </c:pt>
                <c:pt idx="17">
                  <c:v>8.8542891780021924E-3</c:v>
                </c:pt>
                <c:pt idx="18">
                  <c:v>4.2476853301459758E-3</c:v>
                </c:pt>
                <c:pt idx="19">
                  <c:v>3.5369040449786974E-3</c:v>
                </c:pt>
                <c:pt idx="20">
                  <c:v>6.5761527840523743E-3</c:v>
                </c:pt>
                <c:pt idx="21">
                  <c:v>1.6957550415290554E-2</c:v>
                </c:pt>
                <c:pt idx="22">
                  <c:v>5.9200528499846693E-4</c:v>
                </c:pt>
                <c:pt idx="23">
                  <c:v>1.1741797441142438E-3</c:v>
                </c:pt>
                <c:pt idx="24">
                  <c:v>6.4639110952479175E-4</c:v>
                </c:pt>
                <c:pt idx="25">
                  <c:v>4.3507137520007352E-4</c:v>
                </c:pt>
                <c:pt idx="26">
                  <c:v>1.0153528194713809E-4</c:v>
                </c:pt>
                <c:pt idx="27">
                  <c:v>0</c:v>
                </c:pt>
                <c:pt idx="28">
                  <c:v>1.0008006435021781E-2</c:v>
                </c:pt>
                <c:pt idx="29">
                  <c:v>3.8247887610805075E-5</c:v>
                </c:pt>
                <c:pt idx="30">
                  <c:v>3.0131773035682684E-5</c:v>
                </c:pt>
                <c:pt idx="31">
                  <c:v>3.4302840668337377E-4</c:v>
                </c:pt>
                <c:pt idx="32">
                  <c:v>1.8287334964416846E-3</c:v>
                </c:pt>
                <c:pt idx="33">
                  <c:v>2.9987629387322168E-3</c:v>
                </c:pt>
                <c:pt idx="34">
                  <c:v>8.7214895507484495E-4</c:v>
                </c:pt>
                <c:pt idx="35">
                  <c:v>0</c:v>
                </c:pt>
                <c:pt idx="36">
                  <c:v>3.0947090348481773E-4</c:v>
                </c:pt>
                <c:pt idx="37">
                  <c:v>0</c:v>
                </c:pt>
                <c:pt idx="38">
                  <c:v>2.606467866808438E-5</c:v>
                </c:pt>
                <c:pt idx="39">
                  <c:v>1.4077277283388767E-3</c:v>
                </c:pt>
                <c:pt idx="40">
                  <c:v>7.0352064280899282E-5</c:v>
                </c:pt>
                <c:pt idx="41">
                  <c:v>5.6680048369008975E-3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1.6096056800691147E-5</c:v>
                </c:pt>
                <c:pt idx="48">
                  <c:v>0</c:v>
                </c:pt>
                <c:pt idx="49">
                  <c:v>6.0181004446621916E-5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2.1301675772483516E-3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0.17208462528854723</c:v>
                </c:pt>
                <c:pt idx="1">
                  <c:v>0.16002468364556113</c:v>
                </c:pt>
                <c:pt idx="2">
                  <c:v>0.13979272848243829</c:v>
                </c:pt>
                <c:pt idx="3">
                  <c:v>0.10184289316704885</c:v>
                </c:pt>
                <c:pt idx="4">
                  <c:v>8.0364058377329642E-2</c:v>
                </c:pt>
                <c:pt idx="5">
                  <c:v>6.2757914892212205E-2</c:v>
                </c:pt>
                <c:pt idx="6">
                  <c:v>5.0776696810172099E-2</c:v>
                </c:pt>
                <c:pt idx="7">
                  <c:v>4.0636594266385294E-2</c:v>
                </c:pt>
                <c:pt idx="8">
                  <c:v>3.1486884908693363E-2</c:v>
                </c:pt>
                <c:pt idx="9">
                  <c:v>2.5712130792847839E-2</c:v>
                </c:pt>
                <c:pt idx="10">
                  <c:v>2.0391941754722778E-2</c:v>
                </c:pt>
                <c:pt idx="11">
                  <c:v>1.74893278785524E-2</c:v>
                </c:pt>
                <c:pt idx="12">
                  <c:v>1.5178410444331015E-2</c:v>
                </c:pt>
                <c:pt idx="13">
                  <c:v>1.2362138538230446E-2</c:v>
                </c:pt>
                <c:pt idx="14">
                  <c:v>9.9851948916027354E-3</c:v>
                </c:pt>
                <c:pt idx="15">
                  <c:v>8.2329607931271795E-3</c:v>
                </c:pt>
                <c:pt idx="16">
                  <c:v>7.1536861672545542E-3</c:v>
                </c:pt>
                <c:pt idx="17">
                  <c:v>5.8788723738708885E-3</c:v>
                </c:pt>
                <c:pt idx="18">
                  <c:v>4.9925974458013677E-3</c:v>
                </c:pt>
                <c:pt idx="19">
                  <c:v>4.2815459275794025E-3</c:v>
                </c:pt>
                <c:pt idx="20">
                  <c:v>3.6060469852685364E-3</c:v>
                </c:pt>
                <c:pt idx="21">
                  <c:v>3.1641792560877439E-3</c:v>
                </c:pt>
                <c:pt idx="22">
                  <c:v>2.6816800115799819E-3</c:v>
                </c:pt>
                <c:pt idx="23">
                  <c:v>2.3667857677959689E-3</c:v>
                </c:pt>
                <c:pt idx="24">
                  <c:v>2.1433124334976372E-3</c:v>
                </c:pt>
                <c:pt idx="25">
                  <c:v>1.8995233415358204E-3</c:v>
                </c:pt>
                <c:pt idx="26">
                  <c:v>1.4779713700185128E-3</c:v>
                </c:pt>
                <c:pt idx="27">
                  <c:v>1.2951295510471503E-3</c:v>
                </c:pt>
                <c:pt idx="28">
                  <c:v>1.1326034897392726E-3</c:v>
                </c:pt>
                <c:pt idx="29">
                  <c:v>1.1757744747741777E-3</c:v>
                </c:pt>
                <c:pt idx="30">
                  <c:v>1.1021298532440456E-3</c:v>
                </c:pt>
                <c:pt idx="31">
                  <c:v>7.8723560946003252E-4</c:v>
                </c:pt>
                <c:pt idx="32">
                  <c:v>6.6026212406325316E-4</c:v>
                </c:pt>
                <c:pt idx="33">
                  <c:v>4.9011765363156867E-4</c:v>
                </c:pt>
                <c:pt idx="34">
                  <c:v>4.6980189596808396E-4</c:v>
                </c:pt>
                <c:pt idx="35">
                  <c:v>3.8092045619033836E-4</c:v>
                </c:pt>
                <c:pt idx="36">
                  <c:v>4.4694666859666364E-4</c:v>
                </c:pt>
                <c:pt idx="37">
                  <c:v>2.71723258749108E-4</c:v>
                </c:pt>
                <c:pt idx="38">
                  <c:v>2.8188113758085035E-4</c:v>
                </c:pt>
                <c:pt idx="39">
                  <c:v>2.5140750108562329E-4</c:v>
                </c:pt>
                <c:pt idx="40">
                  <c:v>3.4282841057130448E-4</c:v>
                </c:pt>
                <c:pt idx="41">
                  <c:v>2.742627284570436E-4</c:v>
                </c:pt>
                <c:pt idx="42">
                  <c:v>2.8188113758085035E-4</c:v>
                </c:pt>
                <c:pt idx="43">
                  <c:v>2.310917434221386E-4</c:v>
                </c:pt>
                <c:pt idx="44">
                  <c:v>1.396708339364574E-4</c:v>
                </c:pt>
                <c:pt idx="45">
                  <c:v>1.396708339364574E-4</c:v>
                </c:pt>
                <c:pt idx="46">
                  <c:v>1.142761368571015E-4</c:v>
                </c:pt>
                <c:pt idx="47">
                  <c:v>8.3802500361874433E-5</c:v>
                </c:pt>
                <c:pt idx="48">
                  <c:v>9.3960379193616788E-5</c:v>
                </c:pt>
                <c:pt idx="49">
                  <c:v>1.0665772773329473E-4</c:v>
                </c:pt>
                <c:pt idx="50">
                  <c:v>8.3802500361874433E-5</c:v>
                </c:pt>
                <c:pt idx="51">
                  <c:v>7.8723560946003255E-5</c:v>
                </c:pt>
                <c:pt idx="52">
                  <c:v>9.14209094856812E-5</c:v>
                </c:pt>
                <c:pt idx="53">
                  <c:v>5.3328863866647366E-5</c:v>
                </c:pt>
                <c:pt idx="54">
                  <c:v>7.6184091238067666E-5</c:v>
                </c:pt>
                <c:pt idx="55">
                  <c:v>5.8407803282518544E-5</c:v>
                </c:pt>
                <c:pt idx="56">
                  <c:v>4.0631515326969422E-5</c:v>
                </c:pt>
                <c:pt idx="57">
                  <c:v>1.0157878831742356E-5</c:v>
                </c:pt>
                <c:pt idx="58">
                  <c:v>2.5394697079355889E-6</c:v>
                </c:pt>
                <c:pt idx="59">
                  <c:v>1.2697348539677944E-5</c:v>
                </c:pt>
                <c:pt idx="60">
                  <c:v>1.2697348539677944E-5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6.7577839558648836E-2</c:v>
                </c:pt>
                <c:pt idx="1">
                  <c:v>0.1608342006950722</c:v>
                </c:pt>
                <c:pt idx="2">
                  <c:v>5.3426878283010105E-2</c:v>
                </c:pt>
                <c:pt idx="3">
                  <c:v>6.0640308770569411E-2</c:v>
                </c:pt>
                <c:pt idx="4">
                  <c:v>5.8249484207131601E-2</c:v>
                </c:pt>
                <c:pt idx="5">
                  <c:v>7.4628510815435367E-2</c:v>
                </c:pt>
                <c:pt idx="6">
                  <c:v>5.8513532928187437E-2</c:v>
                </c:pt>
                <c:pt idx="7">
                  <c:v>2.5683111911384324E-2</c:v>
                </c:pt>
                <c:pt idx="8">
                  <c:v>5.5270336028480485E-2</c:v>
                </c:pt>
                <c:pt idx="9">
                  <c:v>4.175450515508914E-2</c:v>
                </c:pt>
                <c:pt idx="10">
                  <c:v>3.7843855140430774E-2</c:v>
                </c:pt>
                <c:pt idx="11">
                  <c:v>2.6578441168385449E-2</c:v>
                </c:pt>
                <c:pt idx="12">
                  <c:v>1.8833360106018413E-2</c:v>
                </c:pt>
                <c:pt idx="13">
                  <c:v>2.2383698087676637E-2</c:v>
                </c:pt>
                <c:pt idx="14">
                  <c:v>4.5594626404939456E-2</c:v>
                </c:pt>
                <c:pt idx="15">
                  <c:v>3.0076308651327745E-2</c:v>
                </c:pt>
                <c:pt idx="16">
                  <c:v>9.2502306067547176E-3</c:v>
                </c:pt>
                <c:pt idx="17">
                  <c:v>1.8005917443587104E-2</c:v>
                </c:pt>
                <c:pt idx="18">
                  <c:v>1.6894698549218049E-2</c:v>
                </c:pt>
                <c:pt idx="19">
                  <c:v>1.9918167364902258E-2</c:v>
                </c:pt>
                <c:pt idx="20">
                  <c:v>9.3105707932764382E-3</c:v>
                </c:pt>
                <c:pt idx="21">
                  <c:v>5.2410929589422658E-4</c:v>
                </c:pt>
                <c:pt idx="22">
                  <c:v>4.5510295580252231E-3</c:v>
                </c:pt>
                <c:pt idx="23">
                  <c:v>8.0916524839421446E-3</c:v>
                </c:pt>
                <c:pt idx="24">
                  <c:v>3.5640672481243463E-3</c:v>
                </c:pt>
                <c:pt idx="25">
                  <c:v>5.1459764024673832E-3</c:v>
                </c:pt>
                <c:pt idx="26">
                  <c:v>1.2691285304834994E-3</c:v>
                </c:pt>
                <c:pt idx="27">
                  <c:v>6.4783147541697316E-3</c:v>
                </c:pt>
                <c:pt idx="28">
                  <c:v>5.4293442413775395E-3</c:v>
                </c:pt>
                <c:pt idx="29">
                  <c:v>1.7949677661465373E-2</c:v>
                </c:pt>
                <c:pt idx="30">
                  <c:v>2.5359045827607401E-3</c:v>
                </c:pt>
                <c:pt idx="31">
                  <c:v>3.615518247962627E-4</c:v>
                </c:pt>
                <c:pt idx="32">
                  <c:v>1.3627592294630578E-3</c:v>
                </c:pt>
                <c:pt idx="33">
                  <c:v>2.2947227237042834E-4</c:v>
                </c:pt>
                <c:pt idx="34">
                  <c:v>2.7208539356082121E-3</c:v>
                </c:pt>
                <c:pt idx="35">
                  <c:v>3.3167126467035726E-4</c:v>
                </c:pt>
                <c:pt idx="36">
                  <c:v>1.9432401687820907E-4</c:v>
                </c:pt>
                <c:pt idx="37">
                  <c:v>1.0578868108365634E-4</c:v>
                </c:pt>
                <c:pt idx="38">
                  <c:v>6.8139571780918519E-3</c:v>
                </c:pt>
                <c:pt idx="39">
                  <c:v>6.9583196923716172E-4</c:v>
                </c:pt>
                <c:pt idx="40">
                  <c:v>2.510561618234449E-3</c:v>
                </c:pt>
                <c:pt idx="41">
                  <c:v>0</c:v>
                </c:pt>
                <c:pt idx="42">
                  <c:v>1.3382405085021897E-4</c:v>
                </c:pt>
                <c:pt idx="43">
                  <c:v>4.9665978448655893E-4</c:v>
                </c:pt>
                <c:pt idx="44">
                  <c:v>1.6757836439534842E-3</c:v>
                </c:pt>
                <c:pt idx="45">
                  <c:v>4.7153813544548976E-5</c:v>
                </c:pt>
                <c:pt idx="46">
                  <c:v>4.7628929337046325E-4</c:v>
                </c:pt>
                <c:pt idx="47">
                  <c:v>2.0457983205385282E-3</c:v>
                </c:pt>
                <c:pt idx="48">
                  <c:v>0</c:v>
                </c:pt>
                <c:pt idx="49">
                  <c:v>8.8353789933728386E-5</c:v>
                </c:pt>
                <c:pt idx="50">
                  <c:v>0</c:v>
                </c:pt>
                <c:pt idx="51">
                  <c:v>2.3153458713276489E-4</c:v>
                </c:pt>
                <c:pt idx="52">
                  <c:v>1.3876861628481143E-3</c:v>
                </c:pt>
                <c:pt idx="53">
                  <c:v>3.163316944181184E-3</c:v>
                </c:pt>
                <c:pt idx="54">
                  <c:v>5.6680048369008957E-3</c:v>
                </c:pt>
                <c:pt idx="55">
                  <c:v>9.6073382306834424E-5</c:v>
                </c:pt>
                <c:pt idx="56">
                  <c:v>0</c:v>
                </c:pt>
                <c:pt idx="57">
                  <c:v>0</c:v>
                </c:pt>
                <c:pt idx="58">
                  <c:v>9.5189665745786976E-5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4.7023360581843303E-2</c:v>
                </c:pt>
                <c:pt idx="1">
                  <c:v>7.1889847961948583E-2</c:v>
                </c:pt>
                <c:pt idx="2">
                  <c:v>7.1948255765231103E-2</c:v>
                </c:pt>
                <c:pt idx="3">
                  <c:v>7.9107020871901523E-2</c:v>
                </c:pt>
                <c:pt idx="4">
                  <c:v>8.3281909071747637E-2</c:v>
                </c:pt>
                <c:pt idx="5">
                  <c:v>7.797441738216225E-2</c:v>
                </c:pt>
                <c:pt idx="6">
                  <c:v>6.8347287719378438E-2</c:v>
                </c:pt>
                <c:pt idx="7">
                  <c:v>5.5873412513998827E-2</c:v>
                </c:pt>
                <c:pt idx="8">
                  <c:v>4.8795910437982343E-2</c:v>
                </c:pt>
                <c:pt idx="9">
                  <c:v>4.480640352681553E-2</c:v>
                </c:pt>
                <c:pt idx="10">
                  <c:v>4.0011884718233137E-2</c:v>
                </c:pt>
                <c:pt idx="11">
                  <c:v>3.606808826180917E-2</c:v>
                </c:pt>
                <c:pt idx="12">
                  <c:v>3.277439605061671E-2</c:v>
                </c:pt>
                <c:pt idx="13">
                  <c:v>2.9132796489437077E-2</c:v>
                </c:pt>
                <c:pt idx="14">
                  <c:v>2.5260105184835301E-2</c:v>
                </c:pt>
                <c:pt idx="15">
                  <c:v>2.2520017369972802E-2</c:v>
                </c:pt>
                <c:pt idx="16">
                  <c:v>1.9145062128126406E-2</c:v>
                </c:pt>
                <c:pt idx="17">
                  <c:v>1.7585827727453953E-2</c:v>
                </c:pt>
                <c:pt idx="18">
                  <c:v>1.4127069985245681E-2</c:v>
                </c:pt>
                <c:pt idx="19">
                  <c:v>1.2080257400649596E-2</c:v>
                </c:pt>
                <c:pt idx="20">
                  <c:v>1.0653075424789795E-2</c:v>
                </c:pt>
                <c:pt idx="21">
                  <c:v>9.7033137540218847E-3</c:v>
                </c:pt>
                <c:pt idx="22">
                  <c:v>8.8983018566063041E-3</c:v>
                </c:pt>
                <c:pt idx="23">
                  <c:v>8.3980263241429931E-3</c:v>
                </c:pt>
                <c:pt idx="24">
                  <c:v>7.1460677581307473E-3</c:v>
                </c:pt>
                <c:pt idx="25">
                  <c:v>5.9906090410200546E-3</c:v>
                </c:pt>
                <c:pt idx="26">
                  <c:v>5.5436623724233903E-3</c:v>
                </c:pt>
                <c:pt idx="27">
                  <c:v>4.9748211578458188E-3</c:v>
                </c:pt>
                <c:pt idx="28">
                  <c:v>4.1748881998461083E-3</c:v>
                </c:pt>
                <c:pt idx="29">
                  <c:v>3.7304810009573799E-3</c:v>
                </c:pt>
                <c:pt idx="30">
                  <c:v>3.2835343323607165E-3</c:v>
                </c:pt>
                <c:pt idx="31">
                  <c:v>2.7680219816497917E-3</c:v>
                </c:pt>
                <c:pt idx="32">
                  <c:v>2.470904025821328E-3</c:v>
                </c:pt>
                <c:pt idx="33">
                  <c:v>2.0798256907992472E-3</c:v>
                </c:pt>
                <c:pt idx="34">
                  <c:v>1.8385760685453664E-3</c:v>
                </c:pt>
                <c:pt idx="35">
                  <c:v>1.6912868254851021E-3</c:v>
                </c:pt>
                <c:pt idx="36">
                  <c:v>1.5947869765835499E-3</c:v>
                </c:pt>
                <c:pt idx="37">
                  <c:v>1.5033660670978686E-3</c:v>
                </c:pt>
                <c:pt idx="38">
                  <c:v>1.3916293999487028E-3</c:v>
                </c:pt>
                <c:pt idx="39">
                  <c:v>1.2214849295170182E-3</c:v>
                </c:pt>
                <c:pt idx="40">
                  <c:v>1.1605376565265641E-3</c:v>
                </c:pt>
                <c:pt idx="41">
                  <c:v>1.1529192474027574E-3</c:v>
                </c:pt>
                <c:pt idx="42">
                  <c:v>9.6245901930758822E-4</c:v>
                </c:pt>
                <c:pt idx="43">
                  <c:v>7.9485401858383933E-4</c:v>
                </c:pt>
                <c:pt idx="44">
                  <c:v>7.0343310909815808E-4</c:v>
                </c:pt>
                <c:pt idx="45">
                  <c:v>5.8407803282518541E-4</c:v>
                </c:pt>
                <c:pt idx="46">
                  <c:v>6.3486742698389725E-4</c:v>
                </c:pt>
                <c:pt idx="47">
                  <c:v>6.0439379048867013E-4</c:v>
                </c:pt>
                <c:pt idx="48">
                  <c:v>5.8661750253312102E-4</c:v>
                </c:pt>
                <c:pt idx="49">
                  <c:v>4.3170985034905014E-4</c:v>
                </c:pt>
                <c:pt idx="50">
                  <c:v>5.0281500217124657E-4</c:v>
                </c:pt>
                <c:pt idx="51">
                  <c:v>5.0027553246331097E-4</c:v>
                </c:pt>
                <c:pt idx="52">
                  <c:v>3.4790734998717569E-4</c:v>
                </c:pt>
                <c:pt idx="53">
                  <c:v>2.8949954670465716E-4</c:v>
                </c:pt>
                <c:pt idx="54">
                  <c:v>2.5648644050149449E-4</c:v>
                </c:pt>
                <c:pt idx="55">
                  <c:v>2.2601280400626742E-4</c:v>
                </c:pt>
                <c:pt idx="56">
                  <c:v>2.2093386459039625E-4</c:v>
                </c:pt>
                <c:pt idx="57">
                  <c:v>2.1839439488246064E-4</c:v>
                </c:pt>
                <c:pt idx="58">
                  <c:v>1.371313642285218E-4</c:v>
                </c:pt>
                <c:pt idx="59">
                  <c:v>1.7522340984755565E-4</c:v>
                </c:pt>
                <c:pt idx="60">
                  <c:v>1.6252606130787769E-4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K11" sqref="K11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0" t="n">
        <v>21852.81223156922</v>
      </c>
      <c r="C11" s="11">
        <f>B11/B$102</f>
        <v>0.25729143195191362</v>
      </c>
      <c r="D11" s="379"/>
      <c r="E11" s="19">
        <v>0</v>
      </c>
      <c r="F11" s="342" t="n">
        <v>25936.0</v>
      </c>
      <c r="G11" s="11">
        <f>F11/F$102</f>
        <v>0.17208462528854723</v>
      </c>
      <c r="H11" s="379"/>
      <c r="K11" s="8" t="n">
        <v>6.241974757619176</v>
      </c>
      <c r="L11" s="8" t="n">
        <v>6.747663977830437</v>
      </c>
    </row>
    <row r="12" spans="1:12" x14ac:dyDescent="0.25">
      <c r="A12">
        <v>1</v>
      </c>
      <c r="B12" s="340" t="n">
        <v>36330.565947616706</v>
      </c>
      <c r="C12" s="11">
        <f>B12/B$102</f>
        <v>0.14414392754395541</v>
      </c>
      <c r="D12" s="379"/>
      <c r="E12" s="20">
        <v>1</v>
      </c>
      <c r="F12" s="342" t="n">
        <v>33195.0</v>
      </c>
      <c r="G12" s="11">
        <f>F12/F$102</f>
        <v>0.16002468364556113</v>
      </c>
      <c r="H12" s="379"/>
      <c r="K12" s="8"/>
      <c r="L12" s="289"/>
    </row>
    <row r="13" spans="1:12" x14ac:dyDescent="0.25">
      <c r="A13">
        <v>2</v>
      </c>
      <c r="B13" s="340" t="n">
        <v>32693.459463965628</v>
      </c>
      <c r="C13" s="11">
        <f ref="C13:C76" si="0" t="shared">B13/B$102</f>
        <v>0.10325751204804026</v>
      </c>
      <c r="D13" s="379"/>
      <c r="E13" s="21">
        <v>2</v>
      </c>
      <c r="F13" s="342" t="n">
        <v>35044.0</v>
      </c>
      <c r="G13" s="11">
        <f ref="G13:G76" si="1" t="shared">F13/F$102</f>
        <v>0.13979272848243829</v>
      </c>
      <c r="H13" s="379"/>
    </row>
    <row r="14" spans="1:12" x14ac:dyDescent="0.25">
      <c r="A14">
        <v>3</v>
      </c>
      <c r="B14" s="340" t="n">
        <v>29586.14106527111</v>
      </c>
      <c r="C14" s="11">
        <f si="0" t="shared"/>
        <v>7.4984866565860939E-2</v>
      </c>
      <c r="D14" s="379"/>
      <c r="E14" s="22">
        <v>3</v>
      </c>
      <c r="F14" s="342" t="n">
        <v>34215.0</v>
      </c>
      <c r="G14" s="11">
        <f si="1" t="shared"/>
        <v>0.10184289316704885</v>
      </c>
      <c r="H14" s="379"/>
    </row>
    <row r="15" spans="1:12" x14ac:dyDescent="0.25">
      <c r="A15">
        <v>4</v>
      </c>
      <c r="B15" s="340" t="n">
        <v>24314.26853238209</v>
      </c>
      <c r="C15" s="11">
        <f si="0" t="shared"/>
        <v>7.6017535413964429E-2</v>
      </c>
      <c r="D15" s="379"/>
      <c r="E15" s="23">
        <v>4</v>
      </c>
      <c r="F15" s="342" t="n">
        <v>26637.0</v>
      </c>
      <c r="G15" s="11">
        <f si="1" t="shared"/>
        <v>8.0364058377329642E-2</v>
      </c>
      <c r="H15" s="379"/>
    </row>
    <row r="16" spans="1:12" x14ac:dyDescent="0.25">
      <c r="A16">
        <v>5</v>
      </c>
      <c r="B16" s="340" t="n">
        <v>13994.824658975458</v>
      </c>
      <c r="C16" s="11">
        <f si="0" t="shared"/>
        <v>4.9553501078097598E-2</v>
      </c>
      <c r="D16" s="379"/>
      <c r="E16" s="24">
        <v>5</v>
      </c>
      <c r="F16" s="342" t="n">
        <v>19951.0</v>
      </c>
      <c r="G16" s="11">
        <f si="1" t="shared"/>
        <v>6.2757914892212205E-2</v>
      </c>
      <c r="H16" s="379"/>
    </row>
    <row r="17" spans="1:8" x14ac:dyDescent="0.25">
      <c r="A17">
        <v>6</v>
      </c>
      <c r="B17" s="340" t="n">
        <v>17143.6952853576</v>
      </c>
      <c r="C17" s="11">
        <f si="0" t="shared"/>
        <v>4.7465632839142957E-2</v>
      </c>
      <c r="D17" s="379"/>
      <c r="E17" s="25">
        <v>6</v>
      </c>
      <c r="F17" s="342" t="n">
        <v>15233.0</v>
      </c>
      <c r="G17" s="11">
        <f si="1" t="shared"/>
        <v>5.0776696810172099E-2</v>
      </c>
      <c r="H17" s="379"/>
    </row>
    <row r="18" spans="1:8" x14ac:dyDescent="0.25">
      <c r="A18">
        <v>7</v>
      </c>
      <c r="B18" s="340" t="n">
        <v>8434.25520588832</v>
      </c>
      <c r="C18" s="11">
        <f si="0" t="shared"/>
        <v>4.9872693794765686E-2</v>
      </c>
      <c r="D18" s="379"/>
      <c r="E18" s="26">
        <v>7</v>
      </c>
      <c r="F18" s="342" t="n">
        <v>11283.0</v>
      </c>
      <c r="G18" s="11">
        <f si="1" t="shared"/>
        <v>4.0636594266385294E-2</v>
      </c>
      <c r="H18" s="379"/>
    </row>
    <row r="19" spans="1:8" x14ac:dyDescent="0.25">
      <c r="A19">
        <v>8</v>
      </c>
      <c r="B19" s="340" t="n">
        <v>12957.532669810942</v>
      </c>
      <c r="C19" s="11">
        <f si="0" t="shared"/>
        <v>4.0180743316524249E-2</v>
      </c>
      <c r="D19" s="379"/>
      <c r="E19" s="27">
        <v>8</v>
      </c>
      <c r="F19" s="342" t="n">
        <v>7109.0</v>
      </c>
      <c r="G19" s="11">
        <f si="1" t="shared"/>
        <v>3.1486884908693363E-2</v>
      </c>
      <c r="H19" s="379"/>
    </row>
    <row r="20" spans="1:8" x14ac:dyDescent="0.25">
      <c r="A20">
        <v>9</v>
      </c>
      <c r="B20" s="340" t="n">
        <v>4313.5652975805215</v>
      </c>
      <c r="C20" s="11">
        <f si="0" t="shared"/>
        <v>3.0872879291923637E-2</v>
      </c>
      <c r="D20" s="379"/>
      <c r="E20" s="28">
        <v>9</v>
      </c>
      <c r="F20" s="342" t="n">
        <v>5460.0</v>
      </c>
      <c r="G20" s="11">
        <f si="1" t="shared"/>
        <v>2.5712130792847839E-2</v>
      </c>
      <c r="H20" s="379"/>
    </row>
    <row r="21" spans="1:8" x14ac:dyDescent="0.25">
      <c r="A21">
        <v>10</v>
      </c>
      <c r="B21" s="340" t="n">
        <v>7955.37844302364</v>
      </c>
      <c r="C21" s="11">
        <f si="0" t="shared"/>
        <v>1.9980199921102743E-2</v>
      </c>
      <c r="D21" s="379"/>
      <c r="E21" s="29">
        <v>10</v>
      </c>
      <c r="F21" s="342" t="n">
        <v>4651.0</v>
      </c>
      <c r="G21" s="11">
        <f si="1" t="shared"/>
        <v>2.0391941754722778E-2</v>
      </c>
      <c r="H21" s="379"/>
    </row>
    <row r="22" spans="1:8" x14ac:dyDescent="0.25">
      <c r="A22">
        <v>11</v>
      </c>
      <c r="B22" s="340" t="n">
        <v>3965.8435713884164</v>
      </c>
      <c r="C22" s="11">
        <f si="0" t="shared"/>
        <v>1.0528900748560952E-2</v>
      </c>
      <c r="D22" s="379"/>
      <c r="E22" s="30">
        <v>11</v>
      </c>
      <c r="F22" s="342" t="n">
        <v>4293.0</v>
      </c>
      <c r="G22" s="11">
        <f si="1" t="shared"/>
        <v>1.74893278785524E-2</v>
      </c>
      <c r="H22" s="379"/>
    </row>
    <row r="23" spans="1:8" x14ac:dyDescent="0.25">
      <c r="A23">
        <v>12</v>
      </c>
      <c r="B23" s="340" t="n">
        <v>5299.99748707507</v>
      </c>
      <c r="C23" s="11">
        <f si="0" t="shared"/>
        <v>5.1263787878898679E-3</v>
      </c>
      <c r="D23" s="379"/>
      <c r="E23" s="31">
        <v>12</v>
      </c>
      <c r="F23" s="342" t="n">
        <v>4024.0</v>
      </c>
      <c r="G23" s="11">
        <f si="1" t="shared"/>
        <v>1.5178410444331015E-2</v>
      </c>
      <c r="H23" s="379"/>
    </row>
    <row r="24" spans="1:8" x14ac:dyDescent="0.25">
      <c r="A24">
        <v>13</v>
      </c>
      <c r="B24" s="340" t="n">
        <v>5163.9576383555695</v>
      </c>
      <c r="C24" s="11">
        <f si="0" t="shared"/>
        <v>9.2204663760736185E-3</v>
      </c>
      <c r="D24" s="379"/>
      <c r="E24" s="32">
        <v>13</v>
      </c>
      <c r="F24" s="342" t="n">
        <v>3329.0</v>
      </c>
      <c r="G24" s="11">
        <f si="1" t="shared"/>
        <v>1.2362138538230446E-2</v>
      </c>
      <c r="H24" s="379"/>
    </row>
    <row r="25" spans="1:8" x14ac:dyDescent="0.25">
      <c r="A25">
        <v>14</v>
      </c>
      <c r="B25" s="340" t="n">
        <v>3535.980710965693</v>
      </c>
      <c r="C25" s="11">
        <f si="0" t="shared"/>
        <v>8.9260558180544736E-3</v>
      </c>
      <c r="D25" s="379"/>
      <c r="E25" s="33">
        <v>14</v>
      </c>
      <c r="F25" s="342" t="n">
        <v>2982.0</v>
      </c>
      <c r="G25" s="11">
        <f si="1" t="shared"/>
        <v>9.9851948916027354E-3</v>
      </c>
      <c r="H25" s="379"/>
    </row>
    <row r="26" spans="1:8" x14ac:dyDescent="0.25">
      <c r="A26">
        <v>15</v>
      </c>
      <c r="B26" s="340" t="n">
        <v>2683.455624390657</v>
      </c>
      <c r="C26" s="11">
        <f si="0" t="shared"/>
        <v>9.4950799464191965E-4</v>
      </c>
      <c r="D26" s="379"/>
      <c r="E26" s="34">
        <v>15</v>
      </c>
      <c r="F26" s="342" t="n">
        <v>2609.0</v>
      </c>
      <c r="G26" s="11">
        <f si="1" t="shared"/>
        <v>8.2329607931271795E-3</v>
      </c>
      <c r="H26" s="379"/>
    </row>
    <row r="27" spans="1:8" x14ac:dyDescent="0.25">
      <c r="A27">
        <v>16</v>
      </c>
      <c r="B27" s="340" t="n">
        <v>1651.2909784804754</v>
      </c>
      <c r="C27" s="11">
        <f si="0" t="shared"/>
        <v>2.6455495514223948E-3</v>
      </c>
      <c r="D27" s="379"/>
      <c r="E27" s="35">
        <v>16</v>
      </c>
      <c r="F27" s="342" t="n">
        <v>2351.0</v>
      </c>
      <c r="G27" s="11">
        <f si="1" t="shared"/>
        <v>7.1536861672545542E-3</v>
      </c>
      <c r="H27" s="379"/>
    </row>
    <row r="28" spans="1:8" x14ac:dyDescent="0.25">
      <c r="A28">
        <v>17</v>
      </c>
      <c r="B28" s="340" t="n">
        <v>1091.8335351240619</v>
      </c>
      <c r="C28" s="11">
        <f si="0" t="shared"/>
        <v>8.8542891780021924E-3</v>
      </c>
      <c r="D28" s="379"/>
      <c r="E28" s="36">
        <v>17</v>
      </c>
      <c r="F28" s="342" t="n">
        <v>1896.0</v>
      </c>
      <c r="G28" s="11">
        <f si="1" t="shared"/>
        <v>5.8788723738708885E-3</v>
      </c>
      <c r="H28" s="379"/>
    </row>
    <row r="29" spans="1:8" x14ac:dyDescent="0.25">
      <c r="A29">
        <v>18</v>
      </c>
      <c r="B29" s="340" t="n">
        <v>752.5087710785593</v>
      </c>
      <c r="C29" s="11">
        <f si="0" t="shared"/>
        <v>4.2476853301459758E-3</v>
      </c>
      <c r="D29" s="379"/>
      <c r="E29" s="37">
        <v>18</v>
      </c>
      <c r="F29" s="342" t="n">
        <v>1811.0</v>
      </c>
      <c r="G29" s="11">
        <f si="1" t="shared"/>
        <v>4.9925974458013677E-3</v>
      </c>
      <c r="H29" s="379"/>
    </row>
    <row r="30" spans="1:8" x14ac:dyDescent="0.25">
      <c r="A30">
        <v>19</v>
      </c>
      <c r="B30" s="340" t="n">
        <v>1092.831461303046</v>
      </c>
      <c r="C30" s="11">
        <f si="0" t="shared"/>
        <v>3.5369040449786974E-3</v>
      </c>
      <c r="D30" s="379"/>
      <c r="E30" s="38">
        <v>19</v>
      </c>
      <c r="F30" s="342" t="n">
        <v>1681.0</v>
      </c>
      <c r="G30" s="11">
        <f si="1" t="shared"/>
        <v>4.2815459275794025E-3</v>
      </c>
      <c r="H30" s="379"/>
    </row>
    <row r="31" spans="1:8" x14ac:dyDescent="0.25">
      <c r="A31">
        <v>20</v>
      </c>
      <c r="B31" s="340" t="n">
        <v>1566.939904906863</v>
      </c>
      <c r="C31" s="11">
        <f si="0" t="shared"/>
        <v>6.5761527840523743E-3</v>
      </c>
      <c r="D31" s="379"/>
      <c r="E31" s="39">
        <v>20</v>
      </c>
      <c r="F31" s="342" t="n">
        <v>1568.0</v>
      </c>
      <c r="G31" s="11">
        <f si="1" t="shared"/>
        <v>3.6060469852685364E-3</v>
      </c>
      <c r="H31" s="379"/>
    </row>
    <row r="32" spans="1:8" x14ac:dyDescent="0.25">
      <c r="A32">
        <v>21</v>
      </c>
      <c r="B32" s="340" t="n">
        <v>349.8309521582037</v>
      </c>
      <c r="C32" s="11">
        <f si="0" t="shared"/>
        <v>1.6957550415290554E-2</v>
      </c>
      <c r="D32" s="379"/>
      <c r="E32" s="40">
        <v>21</v>
      </c>
      <c r="F32" s="342" t="n">
        <v>1621.0</v>
      </c>
      <c r="G32" s="11">
        <f si="1" t="shared"/>
        <v>3.1641792560877439E-3</v>
      </c>
      <c r="H32" s="379"/>
    </row>
    <row r="33" spans="1:8" x14ac:dyDescent="0.25">
      <c r="A33">
        <v>22</v>
      </c>
      <c r="B33" s="340" t="n">
        <v>1490.558653803001</v>
      </c>
      <c r="C33" s="11">
        <f si="0" t="shared"/>
        <v>5.9200528499846693E-4</v>
      </c>
      <c r="D33" s="379"/>
      <c r="E33" s="41">
        <v>22</v>
      </c>
      <c r="F33" s="342" t="n">
        <v>1330.0</v>
      </c>
      <c r="G33" s="11">
        <f si="1" t="shared"/>
        <v>2.6816800115799819E-3</v>
      </c>
      <c r="H33" s="379"/>
    </row>
    <row r="34" spans="1:8" x14ac:dyDescent="0.25">
      <c r="A34">
        <v>23</v>
      </c>
      <c r="B34" s="340" t="n">
        <v>1516.5577447007943</v>
      </c>
      <c r="C34" s="11">
        <f si="0" t="shared"/>
        <v>1.1741797441142438E-3</v>
      </c>
      <c r="D34" s="379"/>
      <c r="E34" s="42">
        <v>23</v>
      </c>
      <c r="F34" s="342" t="n">
        <v>1248.0</v>
      </c>
      <c r="G34" s="11">
        <f si="1" t="shared"/>
        <v>2.3667857677959689E-3</v>
      </c>
      <c r="H34" s="379"/>
    </row>
    <row r="35" spans="1:8" x14ac:dyDescent="0.25">
      <c r="A35">
        <v>24</v>
      </c>
      <c r="B35" s="340" t="n">
        <v>1245.7890675085666</v>
      </c>
      <c r="C35" s="11">
        <f si="0" t="shared"/>
        <v>6.4639110952479175E-4</v>
      </c>
      <c r="D35" s="379"/>
      <c r="E35" s="43">
        <v>24</v>
      </c>
      <c r="F35" s="342" t="n">
        <v>1084.0</v>
      </c>
      <c r="G35" s="11">
        <f si="1" t="shared"/>
        <v>2.1433124334976372E-3</v>
      </c>
      <c r="H35" s="379"/>
    </row>
    <row r="36" spans="1:8" x14ac:dyDescent="0.25">
      <c r="A36">
        <v>25</v>
      </c>
      <c r="B36" s="340" t="n">
        <v>358.7034664325033</v>
      </c>
      <c r="C36" s="11">
        <f si="0" t="shared"/>
        <v>4.3507137520007352E-4</v>
      </c>
      <c r="D36" s="379"/>
      <c r="E36" s="44">
        <v>25</v>
      </c>
      <c r="F36" s="342" t="n">
        <v>959.0</v>
      </c>
      <c r="G36" s="11">
        <f si="1" t="shared"/>
        <v>1.8995233415358204E-3</v>
      </c>
      <c r="H36" s="379"/>
    </row>
    <row r="37" spans="1:8" x14ac:dyDescent="0.25">
      <c r="A37">
        <v>26</v>
      </c>
      <c r="B37" s="340" t="n">
        <v>405.228817440217</v>
      </c>
      <c r="C37" s="11">
        <f si="0" t="shared"/>
        <v>1.0153528194713809E-4</v>
      </c>
      <c r="D37" s="379"/>
      <c r="E37" s="45">
        <v>26</v>
      </c>
      <c r="F37" s="342" t="n">
        <v>884.0</v>
      </c>
      <c r="G37" s="11">
        <f si="1" t="shared"/>
        <v>1.4779713700185128E-3</v>
      </c>
      <c r="H37" s="379"/>
    </row>
    <row r="38" spans="1:8" x14ac:dyDescent="0.25">
      <c r="A38">
        <v>27</v>
      </c>
      <c r="B38" s="340" t="n">
        <v>135.3432718779182</v>
      </c>
      <c r="C38" s="11">
        <f si="0" t="shared"/>
        <v>0</v>
      </c>
      <c r="D38" s="379"/>
      <c r="E38" s="46">
        <v>27</v>
      </c>
      <c r="F38" s="342" t="n">
        <v>803.0</v>
      </c>
      <c r="G38" s="11">
        <f si="1" t="shared"/>
        <v>1.2951295510471503E-3</v>
      </c>
      <c r="H38" s="379"/>
    </row>
    <row r="39" spans="1:8" x14ac:dyDescent="0.25">
      <c r="A39">
        <v>28</v>
      </c>
      <c r="B39" s="340" t="n">
        <v>340.3632200156069</v>
      </c>
      <c r="C39" s="11">
        <f si="0" t="shared"/>
        <v>1.0008006435021781E-2</v>
      </c>
      <c r="D39" s="379"/>
      <c r="E39" s="47">
        <v>28</v>
      </c>
      <c r="F39" s="342" t="n">
        <v>793.0</v>
      </c>
      <c r="G39" s="11">
        <f si="1" t="shared"/>
        <v>1.1326034897392726E-3</v>
      </c>
      <c r="H39" s="379"/>
    </row>
    <row r="40" spans="1:8" x14ac:dyDescent="0.25">
      <c r="A40">
        <v>29</v>
      </c>
      <c r="B40" s="340" t="n">
        <v>70.4307490241258</v>
      </c>
      <c r="C40" s="11">
        <f si="0" t="shared"/>
        <v>3.8247887610805075E-5</v>
      </c>
      <c r="D40" s="379"/>
      <c r="E40" s="48">
        <v>29</v>
      </c>
      <c r="F40" s="342" t="n">
        <v>551.0</v>
      </c>
      <c r="G40" s="11">
        <f si="1" t="shared"/>
        <v>1.1757744747741777E-3</v>
      </c>
      <c r="H40" s="379"/>
    </row>
    <row r="41" spans="1:8" x14ac:dyDescent="0.25">
      <c r="A41">
        <v>30</v>
      </c>
      <c r="B41" s="340" t="n">
        <v>0.0</v>
      </c>
      <c r="C41" s="11">
        <f si="0" t="shared"/>
        <v>3.0131773035682684E-5</v>
      </c>
      <c r="D41" s="379"/>
      <c r="E41" s="49">
        <v>30</v>
      </c>
      <c r="F41" s="342" t="n">
        <v>601.0</v>
      </c>
      <c r="G41" s="11">
        <f si="1" t="shared"/>
        <v>1.1021298532440456E-3</v>
      </c>
      <c r="H41" s="379"/>
    </row>
    <row r="42" spans="1:8" x14ac:dyDescent="0.25">
      <c r="A42">
        <v>31</v>
      </c>
      <c r="B42" s="340" t="n">
        <v>657.4038490406699</v>
      </c>
      <c r="C42" s="11">
        <f si="0" t="shared"/>
        <v>3.4302840668337377E-4</v>
      </c>
      <c r="D42" s="379"/>
      <c r="E42" s="50">
        <v>31</v>
      </c>
      <c r="F42" s="342" t="n">
        <v>571.0</v>
      </c>
      <c r="G42" s="11">
        <f si="1" t="shared"/>
        <v>7.8723560946003252E-4</v>
      </c>
      <c r="H42" s="379"/>
    </row>
    <row r="43" spans="1:8" x14ac:dyDescent="0.25">
      <c r="A43">
        <v>32</v>
      </c>
      <c r="B43" s="340" t="n">
        <v>1806.9108277880925</v>
      </c>
      <c r="C43" s="11">
        <f si="0" t="shared"/>
        <v>1.8287334964416846E-3</v>
      </c>
      <c r="D43" s="379"/>
      <c r="E43" s="51">
        <v>32</v>
      </c>
      <c r="F43" s="342" t="n">
        <v>425.0</v>
      </c>
      <c r="G43" s="11">
        <f si="1" t="shared"/>
        <v>6.6026212406325316E-4</v>
      </c>
      <c r="H43" s="379"/>
    </row>
    <row r="44" spans="1:8" x14ac:dyDescent="0.25">
      <c r="A44">
        <v>33</v>
      </c>
      <c r="B44" s="340" t="n">
        <v>162.5478734838398</v>
      </c>
      <c r="C44" s="11">
        <f si="0" t="shared"/>
        <v>2.9987629387322168E-3</v>
      </c>
      <c r="D44" s="379"/>
      <c r="E44" s="52">
        <v>33</v>
      </c>
      <c r="F44" s="342" t="n">
        <v>436.0</v>
      </c>
      <c r="G44" s="11">
        <f si="1" t="shared"/>
        <v>4.9011765363156867E-4</v>
      </c>
      <c r="H44" s="379"/>
    </row>
    <row r="45" spans="1:8" x14ac:dyDescent="0.25">
      <c r="A45">
        <v>34</v>
      </c>
      <c r="B45" s="340" t="n">
        <v>660.608188248682</v>
      </c>
      <c r="C45" s="11">
        <f si="0" t="shared"/>
        <v>8.7214895507484495E-4</v>
      </c>
      <c r="D45" s="379"/>
      <c r="E45" s="53">
        <v>34</v>
      </c>
      <c r="F45" s="342" t="n">
        <v>398.0</v>
      </c>
      <c r="G45" s="11">
        <f si="1" t="shared"/>
        <v>4.6980189596808396E-4</v>
      </c>
      <c r="H45" s="379"/>
    </row>
    <row r="46" spans="1:8" x14ac:dyDescent="0.25">
      <c r="A46">
        <v>35</v>
      </c>
      <c r="B46" s="340" t="n">
        <v>0.0</v>
      </c>
      <c r="C46" s="11">
        <f si="0" t="shared"/>
        <v>0</v>
      </c>
      <c r="D46" s="379"/>
      <c r="E46" s="54">
        <v>35</v>
      </c>
      <c r="F46" s="342" t="n">
        <v>360.0</v>
      </c>
      <c r="G46" s="11">
        <f si="1" t="shared"/>
        <v>3.8092045619033836E-4</v>
      </c>
      <c r="H46" s="379"/>
    </row>
    <row r="47" spans="1:8" x14ac:dyDescent="0.25">
      <c r="A47">
        <v>36</v>
      </c>
      <c r="B47" s="340" t="n">
        <v>280.7608808965792</v>
      </c>
      <c r="C47" s="11">
        <f si="0" t="shared"/>
        <v>3.0947090348481773E-4</v>
      </c>
      <c r="D47" s="379"/>
      <c r="E47" s="55">
        <v>36</v>
      </c>
      <c r="F47" s="342" t="n">
        <v>314.0</v>
      </c>
      <c r="G47" s="11">
        <f si="1" t="shared"/>
        <v>4.4694666859666364E-4</v>
      </c>
      <c r="H47" s="379"/>
    </row>
    <row r="48" spans="1:8" x14ac:dyDescent="0.25">
      <c r="A48">
        <v>37</v>
      </c>
      <c r="B48" s="340" t="n">
        <v>73.7105075583979</v>
      </c>
      <c r="C48" s="11">
        <f si="0" t="shared"/>
        <v>0</v>
      </c>
      <c r="D48" s="379"/>
      <c r="E48" s="56">
        <v>37</v>
      </c>
      <c r="F48" s="342" t="n">
        <v>296.0</v>
      </c>
      <c r="G48" s="11">
        <f si="1" t="shared"/>
        <v>2.71723258749108E-4</v>
      </c>
      <c r="H48" s="379"/>
    </row>
    <row r="49" spans="1:8" x14ac:dyDescent="0.25">
      <c r="A49">
        <v>38</v>
      </c>
      <c r="B49" s="340" t="n">
        <v>37.2777370518172</v>
      </c>
      <c r="C49" s="11">
        <f si="0" t="shared"/>
        <v>2.606467866808438E-5</v>
      </c>
      <c r="D49" s="379"/>
      <c r="E49" s="57">
        <v>38</v>
      </c>
      <c r="F49" s="342" t="n">
        <v>252.0</v>
      </c>
      <c r="G49" s="11">
        <f si="1" t="shared"/>
        <v>2.8188113758085035E-4</v>
      </c>
      <c r="H49" s="379"/>
    </row>
    <row r="50" spans="1:8" x14ac:dyDescent="0.25">
      <c r="A50">
        <v>39</v>
      </c>
      <c r="B50" s="340" t="n">
        <v>0.0</v>
      </c>
      <c r="C50" s="11">
        <f si="0" t="shared"/>
        <v>1.4077277283388767E-3</v>
      </c>
      <c r="D50" s="379"/>
      <c r="E50" s="58">
        <v>39</v>
      </c>
      <c r="F50" s="342" t="n">
        <v>196.0</v>
      </c>
      <c r="G50" s="11">
        <f si="1" t="shared"/>
        <v>2.5140750108562329E-4</v>
      </c>
      <c r="H50" s="379"/>
    </row>
    <row r="51" spans="1:8" x14ac:dyDescent="0.25">
      <c r="A51">
        <v>40</v>
      </c>
      <c r="B51" s="340" t="n">
        <v>0.0</v>
      </c>
      <c r="C51" s="11">
        <f si="0" t="shared"/>
        <v>7.0352064280899282E-5</v>
      </c>
      <c r="D51" s="379"/>
      <c r="E51" s="59">
        <v>40</v>
      </c>
      <c r="F51" s="342" t="n">
        <v>146.0</v>
      </c>
      <c r="G51" s="11">
        <f si="1" t="shared"/>
        <v>3.4282841057130448E-4</v>
      </c>
      <c r="H51" s="379"/>
    </row>
    <row r="52" spans="1:8" x14ac:dyDescent="0.25">
      <c r="A52">
        <v>41</v>
      </c>
      <c r="B52" s="340" t="n">
        <v>896.555066469939</v>
      </c>
      <c r="C52" s="11">
        <f si="0" t="shared"/>
        <v>5.6680048369008975E-3</v>
      </c>
      <c r="D52" s="379"/>
      <c r="E52" s="60">
        <v>41</v>
      </c>
      <c r="F52" s="342" t="n">
        <v>158.0</v>
      </c>
      <c r="G52" s="11">
        <f si="1" t="shared"/>
        <v>2.742627284570436E-4</v>
      </c>
      <c r="H52" s="379"/>
    </row>
    <row r="53" spans="1:8" x14ac:dyDescent="0.25">
      <c r="A53">
        <v>42</v>
      </c>
      <c r="B53" s="340" t="n">
        <v>118.5227411219067</v>
      </c>
      <c r="C53" s="11">
        <f si="0" t="shared"/>
        <v>0</v>
      </c>
      <c r="D53" s="379"/>
      <c r="E53" s="61">
        <v>42</v>
      </c>
      <c r="F53" s="342" t="n">
        <v>142.0</v>
      </c>
      <c r="G53" s="11">
        <f si="1" t="shared"/>
        <v>2.8188113758085035E-4</v>
      </c>
      <c r="H53" s="379"/>
    </row>
    <row r="54" spans="1:8" x14ac:dyDescent="0.25">
      <c r="A54">
        <v>43</v>
      </c>
      <c r="B54" s="340" t="n">
        <v>93.8231734172571</v>
      </c>
      <c r="C54" s="11">
        <f si="0" t="shared"/>
        <v>0</v>
      </c>
      <c r="D54" s="379"/>
      <c r="E54" s="62">
        <v>43</v>
      </c>
      <c r="F54" s="342" t="n">
        <v>133.0</v>
      </c>
      <c r="G54" s="11">
        <f si="1" t="shared"/>
        <v>2.310917434221386E-4</v>
      </c>
      <c r="H54" s="379"/>
    </row>
    <row r="55" spans="1:8" x14ac:dyDescent="0.25">
      <c r="A55">
        <v>44</v>
      </c>
      <c r="B55" s="340" t="n">
        <v>0.0</v>
      </c>
      <c r="C55" s="11">
        <f si="0" t="shared"/>
        <v>0</v>
      </c>
      <c r="D55" s="379"/>
      <c r="E55" s="63">
        <v>44</v>
      </c>
      <c r="F55" s="342" t="n">
        <v>105.0</v>
      </c>
      <c r="G55" s="11">
        <f si="1" t="shared"/>
        <v>1.396708339364574E-4</v>
      </c>
      <c r="H55" s="379"/>
    </row>
    <row r="56" spans="1:8" x14ac:dyDescent="0.25">
      <c r="A56">
        <v>45</v>
      </c>
      <c r="B56" s="340" t="n">
        <v>0.0</v>
      </c>
      <c r="C56" s="11">
        <f si="0" t="shared"/>
        <v>0</v>
      </c>
      <c r="D56" s="379"/>
      <c r="E56" s="64">
        <v>45</v>
      </c>
      <c r="F56" s="342" t="n">
        <v>114.0</v>
      </c>
      <c r="G56" s="11">
        <f si="1" t="shared"/>
        <v>1.396708339364574E-4</v>
      </c>
      <c r="H56" s="379"/>
    </row>
    <row r="57" spans="1:8" x14ac:dyDescent="0.25">
      <c r="A57">
        <v>46</v>
      </c>
      <c r="B57" s="340" t="n">
        <v>89.9968879909445</v>
      </c>
      <c r="C57" s="11">
        <f si="0" t="shared"/>
        <v>0</v>
      </c>
      <c r="D57" s="379"/>
      <c r="E57" s="65">
        <v>46</v>
      </c>
      <c r="F57" s="342" t="n">
        <v>80.0</v>
      </c>
      <c r="G57" s="11">
        <f si="1" t="shared"/>
        <v>1.142761368571015E-4</v>
      </c>
      <c r="H57" s="379"/>
    </row>
    <row r="58" spans="1:8" x14ac:dyDescent="0.25">
      <c r="A58">
        <v>47</v>
      </c>
      <c r="B58" s="340" t="n">
        <v>0.0</v>
      </c>
      <c r="C58" s="11">
        <f si="0" t="shared"/>
        <v>1.6096056800691147E-5</v>
      </c>
      <c r="D58" s="379"/>
      <c r="E58" s="66">
        <v>47</v>
      </c>
      <c r="F58" s="342" t="n">
        <v>67.0</v>
      </c>
      <c r="G58" s="11">
        <f si="1" t="shared"/>
        <v>8.3802500361874433E-5</v>
      </c>
      <c r="H58" s="379"/>
    </row>
    <row r="59" spans="1:8" x14ac:dyDescent="0.25">
      <c r="A59">
        <v>48</v>
      </c>
      <c r="B59" s="340" t="n">
        <v>0.0</v>
      </c>
      <c r="C59" s="11">
        <f si="0" t="shared"/>
        <v>0</v>
      </c>
      <c r="D59" s="379"/>
      <c r="E59" s="67">
        <v>48</v>
      </c>
      <c r="F59" s="342" t="n">
        <v>55.0</v>
      </c>
      <c r="G59" s="11">
        <f si="1" t="shared"/>
        <v>9.3960379193616788E-5</v>
      </c>
      <c r="H59" s="379"/>
    </row>
    <row r="60" spans="1:8" x14ac:dyDescent="0.25">
      <c r="A60">
        <v>49</v>
      </c>
      <c r="B60" s="340" t="n">
        <v>0.0</v>
      </c>
      <c r="C60" s="11">
        <f si="0" t="shared"/>
        <v>6.0181004446621916E-5</v>
      </c>
      <c r="D60" s="379"/>
      <c r="E60" s="68">
        <v>49</v>
      </c>
      <c r="F60" s="342" t="n">
        <v>51.0</v>
      </c>
      <c r="G60" s="11">
        <f si="1" t="shared"/>
        <v>1.0665772773329473E-4</v>
      </c>
      <c r="H60" s="379"/>
    </row>
    <row r="61" spans="1:8" x14ac:dyDescent="0.25">
      <c r="A61">
        <v>50</v>
      </c>
      <c r="B61" s="340" t="n">
        <v>0.0</v>
      </c>
      <c r="C61" s="11">
        <f si="0" t="shared"/>
        <v>0</v>
      </c>
      <c r="D61" s="379"/>
      <c r="E61" s="69">
        <v>50</v>
      </c>
      <c r="F61" s="342" t="n">
        <v>89.0</v>
      </c>
      <c r="G61" s="11">
        <f si="1" t="shared"/>
        <v>8.3802500361874433E-5</v>
      </c>
      <c r="H61" s="379"/>
    </row>
    <row r="62" spans="1:8" x14ac:dyDescent="0.25">
      <c r="A62">
        <v>51</v>
      </c>
      <c r="B62" s="340" t="n">
        <v>0.0</v>
      </c>
      <c r="C62" s="11">
        <f si="0" t="shared"/>
        <v>0</v>
      </c>
      <c r="D62" s="379"/>
      <c r="E62" s="70">
        <v>51</v>
      </c>
      <c r="F62" s="342" t="n">
        <v>48.0</v>
      </c>
      <c r="G62" s="11">
        <f si="1" t="shared"/>
        <v>7.8723560946003255E-5</v>
      </c>
      <c r="H62" s="379"/>
    </row>
    <row r="63" spans="1:8" x14ac:dyDescent="0.25">
      <c r="A63">
        <v>52</v>
      </c>
      <c r="B63" s="340" t="n">
        <v>0.0</v>
      </c>
      <c r="C63" s="11">
        <f si="0" t="shared"/>
        <v>0</v>
      </c>
      <c r="D63" s="379"/>
      <c r="E63" s="71">
        <v>52</v>
      </c>
      <c r="F63" s="342" t="n">
        <v>139.0</v>
      </c>
      <c r="G63" s="11">
        <f si="1" t="shared"/>
        <v>9.14209094856812E-5</v>
      </c>
      <c r="H63" s="379"/>
    </row>
    <row r="64" spans="1:8" x14ac:dyDescent="0.25">
      <c r="A64">
        <v>53</v>
      </c>
      <c r="B64" s="340" t="n">
        <v>0.0</v>
      </c>
      <c r="C64" s="11">
        <f si="0" t="shared"/>
        <v>2.1301675772483516E-3</v>
      </c>
      <c r="D64" s="379"/>
      <c r="E64" s="72">
        <v>53</v>
      </c>
      <c r="F64" s="342" t="n">
        <v>105.0</v>
      </c>
      <c r="G64" s="11">
        <f si="1" t="shared"/>
        <v>5.3328863866647366E-5</v>
      </c>
      <c r="H64" s="379"/>
    </row>
    <row r="65" spans="1:8" x14ac:dyDescent="0.25">
      <c r="A65">
        <v>54</v>
      </c>
      <c r="B65" s="340" t="n">
        <v>0.0</v>
      </c>
      <c r="C65" s="11">
        <f si="0" t="shared"/>
        <v>0</v>
      </c>
      <c r="D65" s="379"/>
      <c r="E65" s="73">
        <v>54</v>
      </c>
      <c r="F65" s="342" t="n">
        <v>39.0</v>
      </c>
      <c r="G65" s="11">
        <f si="1" t="shared"/>
        <v>7.6184091238067666E-5</v>
      </c>
      <c r="H65" s="379"/>
    </row>
    <row r="66" spans="1:8" x14ac:dyDescent="0.25">
      <c r="A66">
        <v>55</v>
      </c>
      <c r="B66" s="340" t="n">
        <v>0.0</v>
      </c>
      <c r="C66" s="11">
        <f si="0" t="shared"/>
        <v>0</v>
      </c>
      <c r="D66" s="379"/>
      <c r="E66" s="74">
        <v>55</v>
      </c>
      <c r="F66" s="342" t="n">
        <v>42.0</v>
      </c>
      <c r="G66" s="11">
        <f si="1" t="shared"/>
        <v>5.8407803282518544E-5</v>
      </c>
      <c r="H66" s="379"/>
    </row>
    <row r="67" spans="1:8" x14ac:dyDescent="0.25">
      <c r="A67">
        <v>56</v>
      </c>
      <c r="B67" s="340" t="n">
        <v>0.0</v>
      </c>
      <c r="C67" s="11">
        <f si="0" t="shared"/>
        <v>0</v>
      </c>
      <c r="D67" s="379"/>
      <c r="E67" s="75">
        <v>56</v>
      </c>
      <c r="F67" s="342" t="n">
        <v>67.0</v>
      </c>
      <c r="G67" s="11">
        <f si="1" t="shared"/>
        <v>4.0631515326969422E-5</v>
      </c>
      <c r="H67" s="379"/>
    </row>
    <row r="68" spans="1:8" x14ac:dyDescent="0.25">
      <c r="A68">
        <v>57</v>
      </c>
      <c r="B68" s="340" t="n">
        <v>0.0</v>
      </c>
      <c r="C68" s="11">
        <f si="0" t="shared"/>
        <v>0</v>
      </c>
      <c r="D68" s="379"/>
      <c r="E68" s="76">
        <v>57</v>
      </c>
      <c r="F68" s="342" t="n">
        <v>79.0</v>
      </c>
      <c r="G68" s="11">
        <f si="1" t="shared"/>
        <v>1.0157878831742356E-5</v>
      </c>
      <c r="H68" s="379"/>
    </row>
    <row r="69" spans="1:8" x14ac:dyDescent="0.25">
      <c r="A69">
        <v>58</v>
      </c>
      <c r="B69" s="340" t="n">
        <v>0.0</v>
      </c>
      <c r="C69" s="11">
        <f si="0" t="shared"/>
        <v>0</v>
      </c>
      <c r="D69" s="379"/>
      <c r="E69" s="77">
        <v>58</v>
      </c>
      <c r="F69" s="342" t="n">
        <v>32.0</v>
      </c>
      <c r="G69" s="11">
        <f si="1" t="shared"/>
        <v>2.5394697079355889E-6</v>
      </c>
      <c r="H69" s="379"/>
    </row>
    <row r="70" spans="1:8" x14ac:dyDescent="0.25">
      <c r="A70">
        <v>59</v>
      </c>
      <c r="B70" s="340" t="n">
        <v>0.0</v>
      </c>
      <c r="C70" s="11">
        <f si="0" t="shared"/>
        <v>0</v>
      </c>
      <c r="D70" s="379"/>
      <c r="E70" s="78">
        <v>59</v>
      </c>
      <c r="F70" s="342" t="n">
        <v>40.0</v>
      </c>
      <c r="G70" s="11">
        <f si="1" t="shared"/>
        <v>1.2697348539677944E-5</v>
      </c>
      <c r="H70" s="379"/>
    </row>
    <row r="71" spans="1:8" x14ac:dyDescent="0.25">
      <c r="A71">
        <v>60</v>
      </c>
      <c r="B71" s="340" t="n">
        <v>0.0</v>
      </c>
      <c r="C71" s="11">
        <f si="0" t="shared"/>
        <v>0</v>
      </c>
      <c r="D71" s="379"/>
      <c r="E71" s="79">
        <v>60</v>
      </c>
      <c r="F71" s="342" t="n">
        <v>33.0</v>
      </c>
      <c r="G71" s="11">
        <f si="1" t="shared"/>
        <v>1.2697348539677944E-5</v>
      </c>
      <c r="H71" s="379"/>
    </row>
    <row r="72" spans="1:8" x14ac:dyDescent="0.25">
      <c r="A72">
        <v>61</v>
      </c>
      <c r="B72" s="340" t="n">
        <v>0.0</v>
      </c>
      <c r="C72" s="11">
        <f si="0" t="shared"/>
        <v>0</v>
      </c>
      <c r="D72" s="379"/>
      <c r="E72" s="80">
        <v>61</v>
      </c>
      <c r="F72" s="342" t="n">
        <v>47.0</v>
      </c>
      <c r="G72" s="11">
        <f si="1" t="shared"/>
        <v>5.0789394158711778E-6</v>
      </c>
      <c r="H72" s="379"/>
    </row>
    <row r="73" spans="1:8" x14ac:dyDescent="0.25">
      <c r="A73">
        <v>62</v>
      </c>
      <c r="B73" s="340" t="n">
        <v>0.0</v>
      </c>
      <c r="C73" s="11">
        <f si="0" t="shared"/>
        <v>0</v>
      </c>
      <c r="D73" s="379"/>
      <c r="E73" s="81">
        <v>62</v>
      </c>
      <c r="F73" s="342" t="n">
        <v>23.0</v>
      </c>
      <c r="G73" s="11">
        <f si="1" t="shared"/>
        <v>2.5394697079355889E-6</v>
      </c>
      <c r="H73" s="379"/>
    </row>
    <row r="74" spans="1:8" x14ac:dyDescent="0.25">
      <c r="A74">
        <v>63</v>
      </c>
      <c r="B74" s="340" t="n">
        <v>0.0</v>
      </c>
      <c r="C74" s="11">
        <f si="0" t="shared"/>
        <v>0</v>
      </c>
      <c r="D74" s="379"/>
      <c r="E74" s="82">
        <v>63</v>
      </c>
      <c r="F74" s="342" t="n">
        <v>31.0</v>
      </c>
      <c r="G74" s="11">
        <f si="1" t="shared"/>
        <v>5.0789394158711778E-6</v>
      </c>
      <c r="H74" s="379"/>
    </row>
    <row r="75" spans="1:8" x14ac:dyDescent="0.25">
      <c r="A75">
        <v>64</v>
      </c>
      <c r="B75" s="340" t="n">
        <v>0.0</v>
      </c>
      <c r="C75" s="11">
        <f si="0" t="shared"/>
        <v>5.3327667041003758E-5</v>
      </c>
      <c r="D75" s="379"/>
      <c r="E75" s="83">
        <v>64</v>
      </c>
      <c r="F75" s="342" t="n">
        <v>15.0</v>
      </c>
      <c r="G75" s="11">
        <f si="1" t="shared"/>
        <v>7.6184091238067666E-6</v>
      </c>
      <c r="H75" s="379"/>
    </row>
    <row r="76" spans="1:8" x14ac:dyDescent="0.25">
      <c r="A76">
        <v>65</v>
      </c>
      <c r="B76" s="340" t="n">
        <v>0.0</v>
      </c>
      <c r="C76" s="11">
        <f si="0" t="shared"/>
        <v>0</v>
      </c>
      <c r="D76" s="379"/>
      <c r="E76" s="84">
        <v>65</v>
      </c>
      <c r="F76" s="342" t="n">
        <v>34.0</v>
      </c>
      <c r="G76" s="11">
        <f si="1" t="shared"/>
        <v>0</v>
      </c>
      <c r="H76" s="379"/>
    </row>
    <row r="77" spans="1:8" x14ac:dyDescent="0.25">
      <c r="A77">
        <v>66</v>
      </c>
      <c r="B77" s="340" t="n">
        <v>0.0</v>
      </c>
      <c r="C77" s="11">
        <f ref="C77:C102" si="2" t="shared">B77/B$102</f>
        <v>0</v>
      </c>
      <c r="D77" s="379"/>
      <c r="E77" s="85">
        <v>66</v>
      </c>
      <c r="F77" s="342" t="n">
        <v>6.0</v>
      </c>
      <c r="G77" s="11">
        <f ref="G77:G102" si="3" t="shared">F77/F$102</f>
        <v>7.6184091238067666E-6</v>
      </c>
      <c r="H77" s="379"/>
    </row>
    <row r="78" spans="1:8" x14ac:dyDescent="0.25">
      <c r="A78">
        <v>67</v>
      </c>
      <c r="B78" s="340" t="n">
        <v>0.0</v>
      </c>
      <c r="C78" s="11">
        <f si="2" t="shared"/>
        <v>0</v>
      </c>
      <c r="D78" s="379"/>
      <c r="E78" s="86">
        <v>67</v>
      </c>
      <c r="F78" s="342" t="n">
        <v>26.0</v>
      </c>
      <c r="G78" s="11">
        <f si="3" t="shared"/>
        <v>7.6184091238067666E-6</v>
      </c>
      <c r="H78" s="379"/>
    </row>
    <row r="79" spans="1:8" x14ac:dyDescent="0.25">
      <c r="A79">
        <v>68</v>
      </c>
      <c r="B79" s="340" t="n">
        <v>0.0</v>
      </c>
      <c r="C79" s="11">
        <f si="2" t="shared"/>
        <v>0</v>
      </c>
      <c r="D79" s="379"/>
      <c r="E79" s="87">
        <v>68</v>
      </c>
      <c r="F79" s="342" t="n">
        <v>62.0</v>
      </c>
      <c r="G79" s="11">
        <f si="3" t="shared"/>
        <v>0</v>
      </c>
      <c r="H79" s="379"/>
    </row>
    <row r="80" spans="1:8" x14ac:dyDescent="0.25">
      <c r="A80">
        <v>69</v>
      </c>
      <c r="B80" s="340" t="n">
        <v>0.0</v>
      </c>
      <c r="C80" s="11">
        <f si="2" t="shared"/>
        <v>0</v>
      </c>
      <c r="D80" s="379"/>
      <c r="E80" s="88">
        <v>69</v>
      </c>
      <c r="F80" s="342" t="n">
        <v>16.0</v>
      </c>
      <c r="G80" s="11">
        <f si="3" t="shared"/>
        <v>0</v>
      </c>
      <c r="H80" s="379"/>
    </row>
    <row r="81" spans="1:8" x14ac:dyDescent="0.25">
      <c r="A81">
        <v>70</v>
      </c>
      <c r="B81" s="340" t="n">
        <v>0.0</v>
      </c>
      <c r="C81" s="11">
        <f si="2" t="shared"/>
        <v>0</v>
      </c>
      <c r="D81" s="379"/>
      <c r="E81" s="89">
        <v>70</v>
      </c>
      <c r="F81" s="342" t="n">
        <v>32.0</v>
      </c>
      <c r="G81" s="11">
        <f si="3" t="shared"/>
        <v>1.2697348539677944E-5</v>
      </c>
      <c r="H81" s="379"/>
    </row>
    <row r="82" spans="1:8" x14ac:dyDescent="0.25">
      <c r="A82">
        <v>71</v>
      </c>
      <c r="B82" s="340" t="n">
        <v>0.0</v>
      </c>
      <c r="C82" s="11">
        <f si="2" t="shared"/>
        <v>0</v>
      </c>
      <c r="D82" s="379"/>
      <c r="E82" s="90">
        <v>71</v>
      </c>
      <c r="F82" s="342" t="n">
        <v>13.0</v>
      </c>
      <c r="G82" s="11">
        <f si="3" t="shared"/>
        <v>7.6184091238067666E-6</v>
      </c>
      <c r="H82" s="379"/>
    </row>
    <row r="83" spans="1:8" x14ac:dyDescent="0.25">
      <c r="A83">
        <v>72</v>
      </c>
      <c r="B83" s="340" t="n">
        <v>0.0</v>
      </c>
      <c r="C83" s="11">
        <f si="2" t="shared"/>
        <v>0</v>
      </c>
      <c r="D83" s="379"/>
      <c r="E83" s="91">
        <v>72</v>
      </c>
      <c r="F83" s="342" t="n">
        <v>20.0</v>
      </c>
      <c r="G83" s="11">
        <f si="3" t="shared"/>
        <v>1.2697348539677944E-5</v>
      </c>
      <c r="H83" s="379"/>
    </row>
    <row r="84" spans="1:8" x14ac:dyDescent="0.25">
      <c r="A84">
        <v>73</v>
      </c>
      <c r="B84" s="340" t="n">
        <v>0.0</v>
      </c>
      <c r="C84" s="11">
        <f si="2" t="shared"/>
        <v>0</v>
      </c>
      <c r="D84" s="379"/>
      <c r="E84" s="92">
        <v>73</v>
      </c>
      <c r="F84" s="342" t="n">
        <v>40.0</v>
      </c>
      <c r="G84" s="11">
        <f si="3" t="shared"/>
        <v>2.5394697079355889E-6</v>
      </c>
      <c r="H84" s="379"/>
    </row>
    <row r="85" spans="1:8" x14ac:dyDescent="0.25">
      <c r="A85">
        <v>74</v>
      </c>
      <c r="B85" s="340" t="n">
        <v>0.0</v>
      </c>
      <c r="C85" s="11">
        <f si="2" t="shared"/>
        <v>0</v>
      </c>
      <c r="D85" s="379"/>
      <c r="E85" s="93">
        <v>74</v>
      </c>
      <c r="F85" s="342" t="n">
        <v>42.0</v>
      </c>
      <c r="G85" s="11">
        <f si="3" t="shared"/>
        <v>1.2697348539677944E-5</v>
      </c>
      <c r="H85" s="379"/>
    </row>
    <row r="86" spans="1:8" x14ac:dyDescent="0.25">
      <c r="A86">
        <v>75</v>
      </c>
      <c r="B86" s="340" t="n">
        <v>0.0</v>
      </c>
      <c r="C86" s="11">
        <f si="2" t="shared"/>
        <v>0</v>
      </c>
      <c r="D86" s="379"/>
      <c r="E86" s="94">
        <v>75</v>
      </c>
      <c r="F86" s="342" t="n">
        <v>11.0</v>
      </c>
      <c r="G86" s="11">
        <f si="3" t="shared"/>
        <v>2.0315757663484711E-5</v>
      </c>
      <c r="H86" s="379"/>
    </row>
    <row r="87" spans="1:8" x14ac:dyDescent="0.25">
      <c r="A87">
        <v>76</v>
      </c>
      <c r="B87" s="340" t="n">
        <v>0.0</v>
      </c>
      <c r="C87" s="11">
        <f si="2" t="shared"/>
        <v>0</v>
      </c>
      <c r="D87" s="379"/>
      <c r="E87" s="95">
        <v>76</v>
      </c>
      <c r="F87" s="342" t="n">
        <v>16.0</v>
      </c>
      <c r="G87" s="11">
        <f si="3" t="shared"/>
        <v>2.5394697079355889E-6</v>
      </c>
      <c r="H87" s="379"/>
    </row>
    <row r="88" spans="1:8" x14ac:dyDescent="0.25">
      <c r="A88">
        <v>77</v>
      </c>
      <c r="B88" s="340" t="n">
        <v>0.0</v>
      </c>
      <c r="C88" s="11">
        <f si="2" t="shared"/>
        <v>0</v>
      </c>
      <c r="D88" s="379"/>
      <c r="E88" s="96">
        <v>77</v>
      </c>
      <c r="F88" s="342" t="n">
        <v>14.0</v>
      </c>
      <c r="G88" s="11">
        <f si="3" t="shared"/>
        <v>1.5236818247613533E-5</v>
      </c>
      <c r="H88" s="379"/>
    </row>
    <row r="89" spans="1:8" x14ac:dyDescent="0.25">
      <c r="A89">
        <v>78</v>
      </c>
      <c r="B89" s="340" t="n">
        <v>0.0</v>
      </c>
      <c r="C89" s="11">
        <f si="2" t="shared"/>
        <v>0</v>
      </c>
      <c r="D89" s="379"/>
      <c r="E89" s="97">
        <v>78</v>
      </c>
      <c r="F89" s="342" t="n">
        <v>9.0</v>
      </c>
      <c r="G89" s="11">
        <f si="3" t="shared"/>
        <v>2.5394697079355889E-6</v>
      </c>
      <c r="H89" s="379"/>
    </row>
    <row r="90" spans="1:8" x14ac:dyDescent="0.25">
      <c r="A90">
        <v>79</v>
      </c>
      <c r="B90" s="340" t="n">
        <v>0.0</v>
      </c>
      <c r="C90" s="11">
        <f si="2" t="shared"/>
        <v>0</v>
      </c>
      <c r="D90" s="379"/>
      <c r="E90" s="98">
        <v>79</v>
      </c>
      <c r="F90" s="342" t="n">
        <v>13.0</v>
      </c>
      <c r="G90" s="11">
        <f si="3" t="shared"/>
        <v>1.0157878831742356E-5</v>
      </c>
      <c r="H90" s="379"/>
    </row>
    <row r="91" spans="1:8" x14ac:dyDescent="0.25">
      <c r="A91">
        <v>80</v>
      </c>
      <c r="B91" s="340" t="n">
        <v>0.0</v>
      </c>
      <c r="C91" s="11">
        <f si="2" t="shared"/>
        <v>0</v>
      </c>
      <c r="D91" s="379"/>
      <c r="E91" s="99">
        <v>80</v>
      </c>
      <c r="F91" s="342" t="n">
        <v>15.0</v>
      </c>
      <c r="G91" s="11">
        <f si="3" t="shared"/>
        <v>7.6184091238067666E-6</v>
      </c>
      <c r="H91" s="379"/>
    </row>
    <row r="92" spans="1:8" x14ac:dyDescent="0.25">
      <c r="A92">
        <v>81</v>
      </c>
      <c r="B92" s="340" t="n">
        <v>0.0</v>
      </c>
      <c r="C92" s="11">
        <f si="2" t="shared"/>
        <v>0</v>
      </c>
      <c r="D92" s="379"/>
      <c r="E92" s="100">
        <v>81</v>
      </c>
      <c r="F92" s="342" t="n">
        <v>11.0</v>
      </c>
      <c r="G92" s="11">
        <f si="3" t="shared"/>
        <v>2.5394697079355889E-6</v>
      </c>
      <c r="H92" s="379"/>
    </row>
    <row r="93" spans="1:8" x14ac:dyDescent="0.25">
      <c r="A93">
        <v>82</v>
      </c>
      <c r="B93" s="340" t="n">
        <v>0.0</v>
      </c>
      <c r="C93" s="11">
        <f si="2" t="shared"/>
        <v>0</v>
      </c>
      <c r="D93" s="379"/>
      <c r="E93" s="101">
        <v>82</v>
      </c>
      <c r="F93" s="342" t="n">
        <v>5.0</v>
      </c>
      <c r="G93" s="11">
        <f si="3" t="shared"/>
        <v>2.5394697079355889E-6</v>
      </c>
      <c r="H93" s="379"/>
    </row>
    <row r="94" spans="1:8" x14ac:dyDescent="0.25">
      <c r="A94">
        <v>83</v>
      </c>
      <c r="B94" s="340" t="n">
        <v>0.0</v>
      </c>
      <c r="C94" s="11">
        <f si="2" t="shared"/>
        <v>0</v>
      </c>
      <c r="D94" s="379"/>
      <c r="E94" s="102">
        <v>83</v>
      </c>
      <c r="F94" s="342" t="n">
        <v>19.0</v>
      </c>
      <c r="G94" s="11">
        <f si="3" t="shared"/>
        <v>0</v>
      </c>
      <c r="H94" s="379"/>
    </row>
    <row r="95" spans="1:8" x14ac:dyDescent="0.25">
      <c r="A95">
        <v>84</v>
      </c>
      <c r="B95" s="340" t="n">
        <v>0.0</v>
      </c>
      <c r="C95" s="11">
        <f si="2" t="shared"/>
        <v>0</v>
      </c>
      <c r="D95" s="379"/>
      <c r="E95" s="103">
        <v>84</v>
      </c>
      <c r="F95" s="342" t="n">
        <v>4.0</v>
      </c>
      <c r="G95" s="11">
        <f si="3" t="shared"/>
        <v>0</v>
      </c>
      <c r="H95" s="379"/>
    </row>
    <row r="96" spans="1:8" x14ac:dyDescent="0.25">
      <c r="A96">
        <v>85</v>
      </c>
      <c r="B96" s="340" t="n">
        <v>0.0</v>
      </c>
      <c r="C96" s="11">
        <f si="2" t="shared"/>
        <v>0</v>
      </c>
      <c r="D96" s="379"/>
      <c r="E96" s="104">
        <v>85</v>
      </c>
      <c r="F96" s="342" t="n">
        <v>15.0</v>
      </c>
      <c r="G96" s="11">
        <f si="3" t="shared"/>
        <v>7.6184091238067666E-6</v>
      </c>
      <c r="H96" s="379"/>
    </row>
    <row r="97" spans="1:8" x14ac:dyDescent="0.25">
      <c r="A97">
        <v>86</v>
      </c>
      <c r="B97" s="340" t="n">
        <v>0.0</v>
      </c>
      <c r="C97" s="11">
        <f si="2" t="shared"/>
        <v>0</v>
      </c>
      <c r="D97" s="379"/>
      <c r="E97" s="105">
        <v>86</v>
      </c>
      <c r="F97" s="342" t="n">
        <v>17.0</v>
      </c>
      <c r="G97" s="11">
        <f si="3" t="shared"/>
        <v>0</v>
      </c>
      <c r="H97" s="379"/>
    </row>
    <row r="98" spans="1:8" x14ac:dyDescent="0.25">
      <c r="A98">
        <v>87</v>
      </c>
      <c r="B98" s="340" t="n">
        <v>0.0</v>
      </c>
      <c r="C98" s="11">
        <f si="2" t="shared"/>
        <v>0</v>
      </c>
      <c r="D98" s="379"/>
      <c r="E98" s="106">
        <v>87</v>
      </c>
      <c r="F98" s="342" t="n">
        <v>11.0</v>
      </c>
      <c r="G98" s="11">
        <f si="3" t="shared"/>
        <v>0</v>
      </c>
      <c r="H98" s="379"/>
    </row>
    <row r="99" spans="1:8" x14ac:dyDescent="0.25">
      <c r="A99">
        <v>88</v>
      </c>
      <c r="B99" s="340" t="n">
        <v>0.0</v>
      </c>
      <c r="C99" s="11">
        <f si="2" t="shared"/>
        <v>0</v>
      </c>
      <c r="D99" s="379"/>
      <c r="E99" s="107">
        <v>88</v>
      </c>
      <c r="F99" s="342" t="n">
        <v>24.0</v>
      </c>
      <c r="G99" s="11">
        <f si="3" t="shared"/>
        <v>0</v>
      </c>
      <c r="H99" s="379"/>
    </row>
    <row r="100" spans="1:8" x14ac:dyDescent="0.25">
      <c r="A100">
        <v>89</v>
      </c>
      <c r="B100" s="340" t="n">
        <v>0.0</v>
      </c>
      <c r="C100" s="11">
        <f si="2" t="shared"/>
        <v>0</v>
      </c>
      <c r="D100" s="379"/>
      <c r="E100" s="108">
        <v>89</v>
      </c>
      <c r="F100" s="342" t="n">
        <v>0.0</v>
      </c>
      <c r="G100" s="11">
        <f si="3" t="shared"/>
        <v>0</v>
      </c>
      <c r="H100" s="379"/>
    </row>
    <row ht="15.75" r="101" spans="1:8" thickBot="1" x14ac:dyDescent="0.3">
      <c r="A101" s="1">
        <v>90</v>
      </c>
      <c r="B101" s="341" t="n">
        <v>0.0</v>
      </c>
      <c r="C101" s="11">
        <f si="2" t="shared"/>
        <v>0</v>
      </c>
      <c r="D101" s="379"/>
      <c r="E101" s="292">
        <v>90</v>
      </c>
      <c r="F101" s="343" t="n">
        <v>306.0</v>
      </c>
      <c r="G101" s="11">
        <f si="3" t="shared"/>
        <v>5.0789394158711778E-6</v>
      </c>
      <c r="H101" s="379"/>
    </row>
    <row r="102" spans="1:8" x14ac:dyDescent="0.25">
      <c r="B102" s="340">
        <f>SUM(B11:B101)</f>
        <v>390233.38873174525</v>
      </c>
      <c r="C102" s="11">
        <f si="2" t="shared"/>
        <v>1</v>
      </c>
      <c r="F102" s="340">
        <f>SUM(F11:F101)</f>
        <v>393783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6.7577839558648836E-2</v>
      </c>
      <c r="E11" s="109">
        <v>0</v>
      </c>
      <c r="F11" s="199" t="n">
        <v>7732.0</v>
      </c>
      <c r="G11" s="11">
        <f>F11/F$102</f>
        <v>4.7023360581843303E-2</v>
      </c>
      <c r="K11" s="8" t="n">
        <v>14.22847633491345</v>
      </c>
      <c r="L11" s="8" t="n">
        <v>16.36925229427146</v>
      </c>
    </row>
    <row r="12" spans="1:12" x14ac:dyDescent="0.25">
      <c r="A12">
        <v>1</v>
      </c>
      <c r="B12" s="8" t="n">
        <v>0.0</v>
      </c>
      <c r="C12" s="11">
        <f>B12/B$102</f>
        <v>0.1608342006950722</v>
      </c>
      <c r="E12" s="110">
        <v>1</v>
      </c>
      <c r="F12" s="200" t="n">
        <v>4744.0</v>
      </c>
      <c r="G12" s="11">
        <f>F12/F$102</f>
        <v>7.1889847961948583E-2</v>
      </c>
      <c r="K12" s="8"/>
      <c r="L12" s="290"/>
    </row>
    <row r="13" spans="1:12" x14ac:dyDescent="0.25">
      <c r="A13">
        <v>2</v>
      </c>
      <c r="B13" s="8" t="n">
        <v>2896.822884770425</v>
      </c>
      <c r="C13" s="11">
        <f ref="C13:C76" si="0" t="shared">B13/B$102</f>
        <v>5.3426878283010105E-2</v>
      </c>
      <c r="E13" s="111">
        <v>2</v>
      </c>
      <c r="F13" s="201" t="n">
        <v>3771.0</v>
      </c>
      <c r="G13" s="11">
        <f ref="G13:G76" si="1" t="shared">F13/F$102</f>
        <v>7.1948255765231103E-2</v>
      </c>
    </row>
    <row r="14" spans="1:12" x14ac:dyDescent="0.25">
      <c r="A14">
        <v>3</v>
      </c>
      <c r="B14" s="8" t="n">
        <v>20428.684351437452</v>
      </c>
      <c r="C14" s="11">
        <f si="0" t="shared"/>
        <v>6.0640308770569411E-2</v>
      </c>
      <c r="E14" s="112">
        <v>3</v>
      </c>
      <c r="F14" s="202" t="n">
        <v>5722.0</v>
      </c>
      <c r="G14" s="11">
        <f si="1" t="shared"/>
        <v>7.9107020871901523E-2</v>
      </c>
    </row>
    <row r="15" spans="1:12" x14ac:dyDescent="0.25">
      <c r="A15">
        <v>4</v>
      </c>
      <c r="B15" s="8" t="n">
        <v>13232.24887833754</v>
      </c>
      <c r="C15" s="11">
        <f si="0" t="shared"/>
        <v>5.8249484207131601E-2</v>
      </c>
      <c r="E15" s="113">
        <v>4</v>
      </c>
      <c r="F15" s="203" t="n">
        <v>9982.0</v>
      </c>
      <c r="G15" s="11">
        <f si="1" t="shared"/>
        <v>8.3281909071747637E-2</v>
      </c>
    </row>
    <row r="16" spans="1:12" x14ac:dyDescent="0.25">
      <c r="A16">
        <v>5</v>
      </c>
      <c r="B16" s="8" t="n">
        <v>16089.378891644825</v>
      </c>
      <c r="C16" s="11">
        <f si="0" t="shared"/>
        <v>7.4628510815435367E-2</v>
      </c>
      <c r="E16" s="114">
        <v>5</v>
      </c>
      <c r="F16" s="204" t="n">
        <v>13226.0</v>
      </c>
      <c r="G16" s="11">
        <f si="1" t="shared"/>
        <v>7.797441738216225E-2</v>
      </c>
    </row>
    <row r="17" spans="1:7" x14ac:dyDescent="0.25">
      <c r="A17">
        <v>6</v>
      </c>
      <c r="B17" s="8" t="n">
        <v>11781.602587583868</v>
      </c>
      <c r="C17" s="11">
        <f si="0" t="shared"/>
        <v>5.8513532928187437E-2</v>
      </c>
      <c r="E17" s="115">
        <v>6</v>
      </c>
      <c r="F17" s="205" t="n">
        <v>15459.0</v>
      </c>
      <c r="G17" s="11">
        <f si="1" t="shared"/>
        <v>6.8347287719378438E-2</v>
      </c>
    </row>
    <row r="18" spans="1:7" x14ac:dyDescent="0.25">
      <c r="A18">
        <v>7</v>
      </c>
      <c r="B18" s="8" t="n">
        <v>18619.575050014904</v>
      </c>
      <c r="C18" s="11">
        <f si="0" t="shared"/>
        <v>2.5683111911384324E-2</v>
      </c>
      <c r="E18" s="116">
        <v>7</v>
      </c>
      <c r="F18" s="206" t="n">
        <v>16453.0</v>
      </c>
      <c r="G18" s="11">
        <f si="1" t="shared"/>
        <v>5.5873412513998827E-2</v>
      </c>
    </row>
    <row r="19" spans="1:7" x14ac:dyDescent="0.25">
      <c r="A19">
        <v>8</v>
      </c>
      <c r="B19" s="8" t="n">
        <v>14593.543195973807</v>
      </c>
      <c r="C19" s="11">
        <f si="0" t="shared"/>
        <v>5.5270336028480485E-2</v>
      </c>
      <c r="E19" s="117">
        <v>8</v>
      </c>
      <c r="F19" s="207" t="n">
        <v>16468.0</v>
      </c>
      <c r="G19" s="11">
        <f si="1" t="shared"/>
        <v>4.8795910437982343E-2</v>
      </c>
    </row>
    <row r="20" spans="1:7" x14ac:dyDescent="0.25">
      <c r="A20">
        <v>9</v>
      </c>
      <c r="B20" s="8" t="n">
        <v>21261.50544429159</v>
      </c>
      <c r="C20" s="11">
        <f si="0" t="shared"/>
        <v>4.175450515508914E-2</v>
      </c>
      <c r="E20" s="118">
        <v>9</v>
      </c>
      <c r="F20" s="208" t="n">
        <v>16111.0</v>
      </c>
      <c r="G20" s="11">
        <f si="1" t="shared"/>
        <v>4.480640352681553E-2</v>
      </c>
    </row>
    <row r="21" spans="1:7" x14ac:dyDescent="0.25">
      <c r="A21">
        <v>10</v>
      </c>
      <c r="B21" s="8" t="n">
        <v>9853.840222711815</v>
      </c>
      <c r="C21" s="11">
        <f si="0" t="shared"/>
        <v>3.7843855140430774E-2</v>
      </c>
      <c r="E21" s="119">
        <v>10</v>
      </c>
      <c r="F21" s="209" t="n">
        <v>14763.0</v>
      </c>
      <c r="G21" s="11">
        <f si="1" t="shared"/>
        <v>4.0011884718233137E-2</v>
      </c>
    </row>
    <row r="22" spans="1:7" x14ac:dyDescent="0.25">
      <c r="A22">
        <v>11</v>
      </c>
      <c r="B22" s="8" t="n">
        <v>14963.451695251464</v>
      </c>
      <c r="C22" s="11">
        <f si="0" t="shared"/>
        <v>2.6578441168385449E-2</v>
      </c>
      <c r="E22" s="120">
        <v>11</v>
      </c>
      <c r="F22" s="210" t="n">
        <v>13734.0</v>
      </c>
      <c r="G22" s="11">
        <f si="1" t="shared"/>
        <v>3.606808826180917E-2</v>
      </c>
    </row>
    <row r="23" spans="1:7" x14ac:dyDescent="0.25">
      <c r="A23">
        <v>12</v>
      </c>
      <c r="B23" s="8" t="n">
        <v>11130.058552007515</v>
      </c>
      <c r="C23" s="11">
        <f si="0" t="shared"/>
        <v>1.8833360106018413E-2</v>
      </c>
      <c r="E23" s="121">
        <v>12</v>
      </c>
      <c r="F23" s="211" t="n">
        <v>12285.0</v>
      </c>
      <c r="G23" s="11">
        <f si="1" t="shared"/>
        <v>3.277439605061671E-2</v>
      </c>
    </row>
    <row r="24" spans="1:7" x14ac:dyDescent="0.25">
      <c r="A24">
        <v>13</v>
      </c>
      <c r="B24" s="8" t="n">
        <v>9616.822389490271</v>
      </c>
      <c r="C24" s="11">
        <f si="0" t="shared"/>
        <v>2.2383698087676637E-2</v>
      </c>
      <c r="E24" s="122">
        <v>13</v>
      </c>
      <c r="F24" s="212" t="n">
        <v>11218.0</v>
      </c>
      <c r="G24" s="11">
        <f si="1" t="shared"/>
        <v>2.9132796489437077E-2</v>
      </c>
    </row>
    <row r="25" spans="1:7" x14ac:dyDescent="0.25">
      <c r="A25">
        <v>14</v>
      </c>
      <c r="B25" s="8" t="n">
        <v>6095.170030420848</v>
      </c>
      <c r="C25" s="11">
        <f si="0" t="shared"/>
        <v>4.5594626404939456E-2</v>
      </c>
      <c r="E25" s="123">
        <v>14</v>
      </c>
      <c r="F25" s="213" t="n">
        <v>9239.0</v>
      </c>
      <c r="G25" s="11">
        <f si="1" t="shared"/>
        <v>2.5260105184835301E-2</v>
      </c>
    </row>
    <row r="26" spans="1:7" x14ac:dyDescent="0.25">
      <c r="A26">
        <v>15</v>
      </c>
      <c r="B26" s="8" t="n">
        <v>3246.3104179443503</v>
      </c>
      <c r="C26" s="11">
        <f si="0" t="shared"/>
        <v>3.0076308651327745E-2</v>
      </c>
      <c r="E26" s="124">
        <v>15</v>
      </c>
      <c r="F26" s="214" t="n">
        <v>8740.0</v>
      </c>
      <c r="G26" s="11">
        <f si="1" t="shared"/>
        <v>2.2520017369972802E-2</v>
      </c>
    </row>
    <row r="27" spans="1:7" x14ac:dyDescent="0.25">
      <c r="A27">
        <v>16</v>
      </c>
      <c r="B27" s="8" t="n">
        <v>7614.633804670156</v>
      </c>
      <c r="C27" s="11">
        <f si="0" t="shared"/>
        <v>9.2502306067547176E-3</v>
      </c>
      <c r="E27" s="125">
        <v>16</v>
      </c>
      <c r="F27" s="215" t="n">
        <v>7435.0</v>
      </c>
      <c r="G27" s="11">
        <f si="1" t="shared"/>
        <v>1.9145062128126406E-2</v>
      </c>
    </row>
    <row r="28" spans="1:7" x14ac:dyDescent="0.25">
      <c r="A28">
        <v>17</v>
      </c>
      <c r="B28" s="8" t="n">
        <v>6585.372636758727</v>
      </c>
      <c r="C28" s="11">
        <f si="0" t="shared"/>
        <v>1.8005917443587104E-2</v>
      </c>
      <c r="E28" s="126">
        <v>17</v>
      </c>
      <c r="F28" s="216" t="n">
        <v>6453.0</v>
      </c>
      <c r="G28" s="11">
        <f si="1" t="shared"/>
        <v>1.7585827727453953E-2</v>
      </c>
    </row>
    <row r="29" spans="1:7" x14ac:dyDescent="0.25">
      <c r="A29">
        <v>18</v>
      </c>
      <c r="B29" s="8" t="n">
        <v>8227.97899064465</v>
      </c>
      <c r="C29" s="11">
        <f si="0" t="shared"/>
        <v>1.6894698549218049E-2</v>
      </c>
      <c r="E29" s="127">
        <v>18</v>
      </c>
      <c r="F29" s="217" t="n">
        <v>5515.0</v>
      </c>
      <c r="G29" s="11">
        <f si="1" t="shared"/>
        <v>1.4127069985245681E-2</v>
      </c>
    </row>
    <row r="30" spans="1:7" x14ac:dyDescent="0.25">
      <c r="A30">
        <v>19</v>
      </c>
      <c r="B30" s="8" t="n">
        <v>4718.417897035948</v>
      </c>
      <c r="C30" s="11">
        <f si="0" t="shared"/>
        <v>1.9918167364902258E-2</v>
      </c>
      <c r="E30" s="128">
        <v>19</v>
      </c>
      <c r="F30" s="218" t="n">
        <v>4928.0</v>
      </c>
      <c r="G30" s="11">
        <f si="1" t="shared"/>
        <v>1.2080257400649596E-2</v>
      </c>
    </row>
    <row r="31" spans="1:7" x14ac:dyDescent="0.25">
      <c r="A31">
        <v>20</v>
      </c>
      <c r="B31" s="8" t="n">
        <v>1861.7044473169894</v>
      </c>
      <c r="C31" s="11">
        <f si="0" t="shared"/>
        <v>9.3105707932764382E-3</v>
      </c>
      <c r="E31" s="129">
        <v>20</v>
      </c>
      <c r="F31" s="219" t="n">
        <v>4275.0</v>
      </c>
      <c r="G31" s="11">
        <f si="1" t="shared"/>
        <v>1.0653075424789795E-2</v>
      </c>
    </row>
    <row r="32" spans="1:7" x14ac:dyDescent="0.25">
      <c r="A32">
        <v>21</v>
      </c>
      <c r="B32" s="8" t="n">
        <v>2175.474399232544</v>
      </c>
      <c r="C32" s="11">
        <f si="0" t="shared"/>
        <v>5.2410929589422658E-4</v>
      </c>
      <c r="E32" s="130">
        <v>21</v>
      </c>
      <c r="F32" s="220" t="n">
        <v>3795.0</v>
      </c>
      <c r="G32" s="11">
        <f si="1" t="shared"/>
        <v>9.7033137540218847E-3</v>
      </c>
    </row>
    <row r="33" spans="1:7" x14ac:dyDescent="0.25">
      <c r="A33">
        <v>22</v>
      </c>
      <c r="B33" s="8" t="n">
        <v>2371.146358630754</v>
      </c>
      <c r="C33" s="11">
        <f si="0" t="shared"/>
        <v>4.5510295580252231E-3</v>
      </c>
      <c r="E33" s="131">
        <v>22</v>
      </c>
      <c r="F33" s="221" t="n">
        <v>3483.0</v>
      </c>
      <c r="G33" s="11">
        <f si="1" t="shared"/>
        <v>8.8983018566063041E-3</v>
      </c>
    </row>
    <row r="34" spans="1:7" x14ac:dyDescent="0.25">
      <c r="A34">
        <v>23</v>
      </c>
      <c r="B34" s="8" t="n">
        <v>1767.5958667646742</v>
      </c>
      <c r="C34" s="11">
        <f si="0" t="shared"/>
        <v>8.0916524839421446E-3</v>
      </c>
      <c r="E34" s="132">
        <v>23</v>
      </c>
      <c r="F34" s="222" t="n">
        <v>3203.0</v>
      </c>
      <c r="G34" s="11">
        <f si="1" t="shared"/>
        <v>8.3980263241429931E-3</v>
      </c>
    </row>
    <row r="35" spans="1:7" x14ac:dyDescent="0.25">
      <c r="A35">
        <v>24</v>
      </c>
      <c r="B35" s="8" t="n">
        <v>4394.468771271642</v>
      </c>
      <c r="C35" s="11">
        <f si="0" t="shared"/>
        <v>3.5640672481243463E-3</v>
      </c>
      <c r="E35" s="133">
        <v>24</v>
      </c>
      <c r="F35" s="223" t="n">
        <v>2678.0</v>
      </c>
      <c r="G35" s="11">
        <f si="1" t="shared"/>
        <v>7.1460677581307473E-3</v>
      </c>
    </row>
    <row r="36" spans="1:7" x14ac:dyDescent="0.25">
      <c r="A36">
        <v>25</v>
      </c>
      <c r="B36" s="8" t="n">
        <v>2761.617244600739</v>
      </c>
      <c r="C36" s="11">
        <f si="0" t="shared"/>
        <v>5.1459764024673832E-3</v>
      </c>
      <c r="E36" s="134">
        <v>25</v>
      </c>
      <c r="F36" s="224" t="n">
        <v>2404.0</v>
      </c>
      <c r="G36" s="11">
        <f si="1" t="shared"/>
        <v>5.9906090410200546E-3</v>
      </c>
    </row>
    <row r="37" spans="1:7" x14ac:dyDescent="0.25">
      <c r="A37">
        <v>26</v>
      </c>
      <c r="B37" s="8" t="n">
        <v>4345.079334448126</v>
      </c>
      <c r="C37" s="11">
        <f si="0" t="shared"/>
        <v>1.2691285304834994E-3</v>
      </c>
      <c r="E37" s="135">
        <v>26</v>
      </c>
      <c r="F37" s="225" t="n">
        <v>2248.0</v>
      </c>
      <c r="G37" s="11">
        <f si="1" t="shared"/>
        <v>5.5436623724233903E-3</v>
      </c>
    </row>
    <row r="38" spans="1:7" x14ac:dyDescent="0.25">
      <c r="A38">
        <v>27</v>
      </c>
      <c r="B38" s="8" t="n">
        <v>2608.733121901165</v>
      </c>
      <c r="C38" s="11">
        <f si="0" t="shared"/>
        <v>6.4783147541697316E-3</v>
      </c>
      <c r="E38" s="136">
        <v>27</v>
      </c>
      <c r="F38" s="226" t="n">
        <v>2038.0</v>
      </c>
      <c r="G38" s="11">
        <f si="1" t="shared"/>
        <v>4.9748211578458188E-3</v>
      </c>
    </row>
    <row r="39" spans="1:7" x14ac:dyDescent="0.25">
      <c r="A39">
        <v>28</v>
      </c>
      <c r="B39" s="8" t="n">
        <v>1030.2868940554629</v>
      </c>
      <c r="C39" s="11">
        <f si="0" t="shared"/>
        <v>5.4293442413775395E-3</v>
      </c>
      <c r="E39" s="137">
        <v>28</v>
      </c>
      <c r="F39" s="227" t="n">
        <v>1922.0</v>
      </c>
      <c r="G39" s="11">
        <f si="1" t="shared"/>
        <v>4.1748881998461083E-3</v>
      </c>
    </row>
    <row r="40" spans="1:7" x14ac:dyDescent="0.25">
      <c r="A40">
        <v>29</v>
      </c>
      <c r="B40" s="8" t="n">
        <v>1099.4631716834044</v>
      </c>
      <c r="C40" s="11">
        <f si="0" t="shared"/>
        <v>1.7949677661465373E-2</v>
      </c>
      <c r="E40" s="138">
        <v>29</v>
      </c>
      <c r="F40" s="228" t="n">
        <v>1790.0</v>
      </c>
      <c r="G40" s="11">
        <f si="1" t="shared"/>
        <v>3.7304810009573799E-3</v>
      </c>
    </row>
    <row r="41" spans="1:7" x14ac:dyDescent="0.25">
      <c r="A41">
        <v>30</v>
      </c>
      <c r="B41" s="8" t="n">
        <v>2828.0672742240317</v>
      </c>
      <c r="C41" s="11">
        <f si="0" t="shared"/>
        <v>2.5359045827607401E-3</v>
      </c>
      <c r="E41" s="139">
        <v>30</v>
      </c>
      <c r="F41" s="229" t="n">
        <v>1740.0</v>
      </c>
      <c r="G41" s="11">
        <f si="1" t="shared"/>
        <v>3.2835343323607165E-3</v>
      </c>
    </row>
    <row r="42" spans="1:7" x14ac:dyDescent="0.25">
      <c r="A42">
        <v>31</v>
      </c>
      <c r="B42" s="8" t="n">
        <v>2510.1001430997285</v>
      </c>
      <c r="C42" s="11">
        <f si="0" t="shared"/>
        <v>3.615518247962627E-4</v>
      </c>
      <c r="E42" s="140">
        <v>31</v>
      </c>
      <c r="F42" s="230" t="n">
        <v>1494.0</v>
      </c>
      <c r="G42" s="11">
        <f si="1" t="shared"/>
        <v>2.7680219816497917E-3</v>
      </c>
    </row>
    <row r="43" spans="1:7" x14ac:dyDescent="0.25">
      <c r="A43">
        <v>32</v>
      </c>
      <c r="B43" s="8" t="n">
        <v>446.17911689442633</v>
      </c>
      <c r="C43" s="11">
        <f si="0" t="shared"/>
        <v>1.3627592294630578E-3</v>
      </c>
      <c r="E43" s="141">
        <v>32</v>
      </c>
      <c r="F43" s="231" t="n">
        <v>1462.0</v>
      </c>
      <c r="G43" s="11">
        <f si="1" t="shared"/>
        <v>2.470904025821328E-3</v>
      </c>
    </row>
    <row r="44" spans="1:7" x14ac:dyDescent="0.25">
      <c r="A44">
        <v>33</v>
      </c>
      <c r="B44" s="8" t="n">
        <v>1512.0973473227198</v>
      </c>
      <c r="C44" s="11">
        <f si="0" t="shared"/>
        <v>2.2947227237042834E-4</v>
      </c>
      <c r="E44" s="142">
        <v>33</v>
      </c>
      <c r="F44" s="232" t="n">
        <v>1484.0</v>
      </c>
      <c r="G44" s="11">
        <f si="1" t="shared"/>
        <v>2.0798256907992472E-3</v>
      </c>
    </row>
    <row r="45" spans="1:7" x14ac:dyDescent="0.25">
      <c r="A45">
        <v>34</v>
      </c>
      <c r="B45" s="8" t="n">
        <v>368.0002382763034</v>
      </c>
      <c r="C45" s="11">
        <f si="0" t="shared"/>
        <v>2.7208539356082121E-3</v>
      </c>
      <c r="E45" s="143">
        <v>34</v>
      </c>
      <c r="F45" s="233" t="n">
        <v>1257.0</v>
      </c>
      <c r="G45" s="11">
        <f si="1" t="shared"/>
        <v>1.8385760685453664E-3</v>
      </c>
    </row>
    <row r="46" spans="1:7" x14ac:dyDescent="0.25">
      <c r="A46">
        <v>35</v>
      </c>
      <c r="B46" s="8" t="n">
        <v>605.0096225506064</v>
      </c>
      <c r="C46" s="11">
        <f si="0" t="shared"/>
        <v>3.3167126467035726E-4</v>
      </c>
      <c r="E46" s="144">
        <v>35</v>
      </c>
      <c r="F46" s="234" t="n">
        <v>1206.0</v>
      </c>
      <c r="G46" s="11">
        <f si="1" t="shared"/>
        <v>1.6912868254851021E-3</v>
      </c>
    </row>
    <row r="47" spans="1:7" x14ac:dyDescent="0.25">
      <c r="A47">
        <v>36</v>
      </c>
      <c r="B47" s="8" t="n">
        <v>442.5298372694707</v>
      </c>
      <c r="C47" s="11">
        <f si="0" t="shared"/>
        <v>1.9432401687820907E-4</v>
      </c>
      <c r="E47" s="145">
        <v>36</v>
      </c>
      <c r="F47" s="235" t="n">
        <v>1130.0</v>
      </c>
      <c r="G47" s="11">
        <f si="1" t="shared"/>
        <v>1.5947869765835499E-3</v>
      </c>
    </row>
    <row r="48" spans="1:7" x14ac:dyDescent="0.25">
      <c r="A48">
        <v>37</v>
      </c>
      <c r="B48" s="8" t="n">
        <v>655.5272199736089</v>
      </c>
      <c r="C48" s="11">
        <f si="0" t="shared"/>
        <v>1.0578868108365634E-4</v>
      </c>
      <c r="E48" s="146">
        <v>37</v>
      </c>
      <c r="F48" s="236" t="n">
        <v>962.0</v>
      </c>
      <c r="G48" s="11">
        <f si="1" t="shared"/>
        <v>1.5033660670978686E-3</v>
      </c>
    </row>
    <row r="49" spans="1:7" x14ac:dyDescent="0.25">
      <c r="A49">
        <v>38</v>
      </c>
      <c r="B49" s="8" t="n">
        <v>784.8213806863972</v>
      </c>
      <c r="C49" s="11">
        <f si="0" t="shared"/>
        <v>6.8139571780918519E-3</v>
      </c>
      <c r="E49" s="147">
        <v>38</v>
      </c>
      <c r="F49" s="237" t="n">
        <v>960.0</v>
      </c>
      <c r="G49" s="11">
        <f si="1" t="shared"/>
        <v>1.3916293999487028E-3</v>
      </c>
    </row>
    <row r="50" spans="1:7" x14ac:dyDescent="0.25">
      <c r="A50">
        <v>39</v>
      </c>
      <c r="B50" s="8" t="n">
        <v>1210.0290468785333</v>
      </c>
      <c r="C50" s="11">
        <f si="0" t="shared"/>
        <v>6.9583196923716172E-4</v>
      </c>
      <c r="E50" s="148">
        <v>39</v>
      </c>
      <c r="F50" s="238" t="n">
        <v>890.0</v>
      </c>
      <c r="G50" s="11">
        <f si="1" t="shared"/>
        <v>1.2214849295170182E-3</v>
      </c>
    </row>
    <row r="51" spans="1:7" x14ac:dyDescent="0.25">
      <c r="A51">
        <v>40</v>
      </c>
      <c r="B51" s="8" t="n">
        <v>592.2424382333918</v>
      </c>
      <c r="C51" s="11">
        <f si="0" t="shared"/>
        <v>2.510561618234449E-3</v>
      </c>
      <c r="E51" s="149">
        <v>40</v>
      </c>
      <c r="F51" s="239" t="n">
        <v>843.0</v>
      </c>
      <c r="G51" s="11">
        <f si="1" t="shared"/>
        <v>1.1605376565265641E-3</v>
      </c>
    </row>
    <row r="52" spans="1:7" x14ac:dyDescent="0.25">
      <c r="A52">
        <v>41</v>
      </c>
      <c r="B52" s="8" t="n">
        <v>528.030057563826</v>
      </c>
      <c r="C52" s="11">
        <f si="0" t="shared"/>
        <v>0</v>
      </c>
      <c r="E52" s="150">
        <v>41</v>
      </c>
      <c r="F52" s="240" t="n">
        <v>789.0</v>
      </c>
      <c r="G52" s="11">
        <f si="1" t="shared"/>
        <v>1.1529192474027574E-3</v>
      </c>
    </row>
    <row r="53" spans="1:7" x14ac:dyDescent="0.25">
      <c r="A53">
        <v>42</v>
      </c>
      <c r="B53" s="8" t="n">
        <v>0.0</v>
      </c>
      <c r="C53" s="11">
        <f si="0" t="shared"/>
        <v>1.3382405085021897E-4</v>
      </c>
      <c r="E53" s="151">
        <v>42</v>
      </c>
      <c r="F53" s="241" t="n">
        <v>694.0</v>
      </c>
      <c r="G53" s="11">
        <f si="1" t="shared"/>
        <v>9.6245901930758822E-4</v>
      </c>
    </row>
    <row r="54" spans="1:7" x14ac:dyDescent="0.25">
      <c r="A54">
        <v>43</v>
      </c>
      <c r="B54" s="8" t="n">
        <v>614.5002043515569</v>
      </c>
      <c r="C54" s="11">
        <f si="0" t="shared"/>
        <v>4.9665978448655893E-4</v>
      </c>
      <c r="E54" s="152">
        <v>43</v>
      </c>
      <c r="F54" s="242" t="n">
        <v>618.0</v>
      </c>
      <c r="G54" s="11">
        <f si="1" t="shared"/>
        <v>7.9485401858383933E-4</v>
      </c>
    </row>
    <row r="55" spans="1:7" x14ac:dyDescent="0.25">
      <c r="A55">
        <v>44</v>
      </c>
      <c r="B55" s="8" t="n">
        <v>38.7229467628712</v>
      </c>
      <c r="C55" s="11">
        <f si="0" t="shared"/>
        <v>1.6757836439534842E-3</v>
      </c>
      <c r="E55" s="153">
        <v>44</v>
      </c>
      <c r="F55" s="243" t="n">
        <v>626.0</v>
      </c>
      <c r="G55" s="11">
        <f si="1" t="shared"/>
        <v>7.0343310909815808E-4</v>
      </c>
    </row>
    <row r="56" spans="1:7" x14ac:dyDescent="0.25">
      <c r="A56">
        <v>45</v>
      </c>
      <c r="B56" s="8" t="n">
        <v>36.5724197823008</v>
      </c>
      <c r="C56" s="11">
        <f si="0" t="shared"/>
        <v>4.7153813544548976E-5</v>
      </c>
      <c r="E56" s="154">
        <v>45</v>
      </c>
      <c r="F56" s="244" t="n">
        <v>620.0</v>
      </c>
      <c r="G56" s="11">
        <f si="1" t="shared"/>
        <v>5.8407803282518541E-4</v>
      </c>
    </row>
    <row r="57" spans="1:7" x14ac:dyDescent="0.25">
      <c r="A57">
        <v>46</v>
      </c>
      <c r="B57" s="8" t="n">
        <v>431.9920460289233</v>
      </c>
      <c r="C57" s="11">
        <f si="0" t="shared"/>
        <v>4.7628929337046325E-4</v>
      </c>
      <c r="E57" s="155">
        <v>46</v>
      </c>
      <c r="F57" s="245" t="n">
        <v>522.0</v>
      </c>
      <c r="G57" s="11">
        <f si="1" t="shared"/>
        <v>6.3486742698389725E-4</v>
      </c>
    </row>
    <row r="58" spans="1:7" x14ac:dyDescent="0.25">
      <c r="A58">
        <v>47</v>
      </c>
      <c r="B58" s="8" t="n">
        <v>136.693306252759</v>
      </c>
      <c r="C58" s="11">
        <f si="0" t="shared"/>
        <v>2.0457983205385282E-3</v>
      </c>
      <c r="E58" s="156">
        <v>47</v>
      </c>
      <c r="F58" s="246" t="n">
        <v>558.0</v>
      </c>
      <c r="G58" s="11">
        <f si="1" t="shared"/>
        <v>6.0439379048867013E-4</v>
      </c>
    </row>
    <row r="59" spans="1:7" x14ac:dyDescent="0.25">
      <c r="A59">
        <v>48</v>
      </c>
      <c r="B59" s="8" t="n">
        <v>139.1546149477704</v>
      </c>
      <c r="C59" s="11">
        <f si="0" t="shared"/>
        <v>0</v>
      </c>
      <c r="E59" s="157">
        <v>48</v>
      </c>
      <c r="F59" s="247" t="n">
        <v>457.0</v>
      </c>
      <c r="G59" s="11">
        <f si="1" t="shared"/>
        <v>5.8661750253312102E-4</v>
      </c>
    </row>
    <row r="60" spans="1:7" x14ac:dyDescent="0.25">
      <c r="A60">
        <v>49</v>
      </c>
      <c r="B60" s="8" t="n">
        <v>1261.15768993008</v>
      </c>
      <c r="C60" s="11">
        <f si="0" t="shared"/>
        <v>8.8353789933728386E-5</v>
      </c>
      <c r="E60" s="158">
        <v>49</v>
      </c>
      <c r="F60" s="248" t="n">
        <v>465.0</v>
      </c>
      <c r="G60" s="11">
        <f si="1" t="shared"/>
        <v>4.3170985034905014E-4</v>
      </c>
    </row>
    <row r="61" spans="1:7" x14ac:dyDescent="0.25">
      <c r="A61">
        <v>50</v>
      </c>
      <c r="B61" s="8" t="n">
        <v>1213.158969724607</v>
      </c>
      <c r="C61" s="11">
        <f si="0" t="shared"/>
        <v>0</v>
      </c>
      <c r="E61" s="159">
        <v>50</v>
      </c>
      <c r="F61" s="249" t="n">
        <v>435.0</v>
      </c>
      <c r="G61" s="11">
        <f si="1" t="shared"/>
        <v>5.0281500217124657E-4</v>
      </c>
    </row>
    <row r="62" spans="1:7" x14ac:dyDescent="0.25">
      <c r="A62">
        <v>51</v>
      </c>
      <c r="B62" s="8" t="n">
        <v>0.0</v>
      </c>
      <c r="C62" s="11">
        <f si="0" t="shared"/>
        <v>2.3153458713276489E-4</v>
      </c>
      <c r="E62" s="160">
        <v>51</v>
      </c>
      <c r="F62" s="250" t="n">
        <v>375.0</v>
      </c>
      <c r="G62" s="11">
        <f si="1" t="shared"/>
        <v>5.0027553246331097E-4</v>
      </c>
    </row>
    <row r="63" spans="1:7" x14ac:dyDescent="0.25">
      <c r="A63">
        <v>52</v>
      </c>
      <c r="B63" s="8" t="n">
        <v>0.0</v>
      </c>
      <c r="C63" s="11">
        <f si="0" t="shared"/>
        <v>1.3876861628481143E-3</v>
      </c>
      <c r="E63" s="161">
        <v>52</v>
      </c>
      <c r="F63" s="251" t="n">
        <v>359.0</v>
      </c>
      <c r="G63" s="11">
        <f si="1" t="shared"/>
        <v>3.4790734998717569E-4</v>
      </c>
    </row>
    <row r="64" spans="1:7" x14ac:dyDescent="0.25">
      <c r="A64">
        <v>53</v>
      </c>
      <c r="B64" s="8" t="n">
        <v>413.36693347555604</v>
      </c>
      <c r="C64" s="11">
        <f si="0" t="shared"/>
        <v>3.163316944181184E-3</v>
      </c>
      <c r="E64" s="162">
        <v>53</v>
      </c>
      <c r="F64" s="252" t="n">
        <v>307.0</v>
      </c>
      <c r="G64" s="11">
        <f si="1" t="shared"/>
        <v>2.8949954670465716E-4</v>
      </c>
    </row>
    <row r="65" spans="1:7" x14ac:dyDescent="0.25">
      <c r="A65">
        <v>54</v>
      </c>
      <c r="B65" s="8" t="n">
        <v>151.5995139980236</v>
      </c>
      <c r="C65" s="11">
        <f si="0" t="shared"/>
        <v>5.6680048369008957E-3</v>
      </c>
      <c r="E65" s="163">
        <v>54</v>
      </c>
      <c r="F65" s="253" t="n">
        <v>338.0</v>
      </c>
      <c r="G65" s="11">
        <f si="1" t="shared"/>
        <v>2.5648644050149449E-4</v>
      </c>
    </row>
    <row r="66" spans="1:7" x14ac:dyDescent="0.25">
      <c r="A66">
        <v>55</v>
      </c>
      <c r="B66" s="8" t="n">
        <v>0.0</v>
      </c>
      <c r="C66" s="11">
        <f si="0" t="shared"/>
        <v>9.6073382306834424E-5</v>
      </c>
      <c r="E66" s="164">
        <v>55</v>
      </c>
      <c r="F66" s="254" t="n">
        <v>328.0</v>
      </c>
      <c r="G66" s="11">
        <f si="1" t="shared"/>
        <v>2.2601280400626742E-4</v>
      </c>
    </row>
    <row r="67" spans="1:7" x14ac:dyDescent="0.25">
      <c r="A67">
        <v>56</v>
      </c>
      <c r="B67" s="8" t="n">
        <v>467.9468710144856</v>
      </c>
      <c r="C67" s="11">
        <f si="0" t="shared"/>
        <v>0</v>
      </c>
      <c r="E67" s="165">
        <v>56</v>
      </c>
      <c r="F67" s="255" t="n">
        <v>311.0</v>
      </c>
      <c r="G67" s="11">
        <f si="1" t="shared"/>
        <v>2.2093386459039625E-4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244.0</v>
      </c>
      <c r="G68" s="11">
        <f si="1" t="shared"/>
        <v>2.1839439488246064E-4</v>
      </c>
    </row>
    <row r="69" spans="1:7" x14ac:dyDescent="0.25">
      <c r="A69">
        <v>58</v>
      </c>
      <c r="B69" s="8" t="n">
        <v>70.4307490241258</v>
      </c>
      <c r="C69" s="11">
        <f si="0" t="shared"/>
        <v>9.5189665745786976E-5</v>
      </c>
      <c r="E69" s="167">
        <v>58</v>
      </c>
      <c r="F69" s="257" t="n">
        <v>247.0</v>
      </c>
      <c r="G69" s="11">
        <f si="1" t="shared"/>
        <v>1.371313642285218E-4</v>
      </c>
    </row>
    <row r="70" spans="1:7" x14ac:dyDescent="0.25">
      <c r="A70">
        <v>59</v>
      </c>
      <c r="B70" s="8" t="n">
        <v>1205.791854368316</v>
      </c>
      <c r="C70" s="11">
        <f si="0" t="shared"/>
        <v>0</v>
      </c>
      <c r="E70" s="168">
        <v>59</v>
      </c>
      <c r="F70" s="258" t="n">
        <v>226.0</v>
      </c>
      <c r="G70" s="11">
        <f si="1" t="shared"/>
        <v>1.7522340984755565E-4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265.0</v>
      </c>
      <c r="G71" s="11">
        <f si="1" t="shared"/>
        <v>1.6252606130787769E-4</v>
      </c>
    </row>
    <row r="72" spans="1:7" x14ac:dyDescent="0.25">
      <c r="A72">
        <v>61</v>
      </c>
      <c r="B72" s="8" t="n">
        <v>0.0</v>
      </c>
      <c r="C72" s="11">
        <f si="0" t="shared"/>
        <v>1.6096056800691144E-5</v>
      </c>
      <c r="E72" s="170">
        <v>61</v>
      </c>
      <c r="F72" s="260" t="n">
        <v>216.0</v>
      </c>
      <c r="G72" s="11">
        <f si="1" t="shared"/>
        <v>1.5490765218407093E-4</v>
      </c>
    </row>
    <row r="73" spans="1:7" x14ac:dyDescent="0.25">
      <c r="A73">
        <v>62</v>
      </c>
      <c r="B73" s="8" t="n">
        <v>84.6019937960529</v>
      </c>
      <c r="C73" s="11">
        <f si="0" t="shared"/>
        <v>6.0181004446621896E-5</v>
      </c>
      <c r="E73" s="171">
        <v>62</v>
      </c>
      <c r="F73" s="261" t="n">
        <v>180.0</v>
      </c>
      <c r="G73" s="11">
        <f si="1" t="shared"/>
        <v>1.9553916751104036E-4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227.0</v>
      </c>
      <c r="G74" s="11">
        <f si="1" t="shared"/>
        <v>1.4474977335232858E-4</v>
      </c>
    </row>
    <row r="75" spans="1:7" x14ac:dyDescent="0.25">
      <c r="A75">
        <v>64</v>
      </c>
      <c r="B75" s="8" t="n">
        <v>489.14120032638</v>
      </c>
      <c r="C75" s="11">
        <f si="0" t="shared"/>
        <v>0</v>
      </c>
      <c r="E75" s="173">
        <v>64</v>
      </c>
      <c r="F75" s="263" t="n">
        <v>194.0</v>
      </c>
      <c r="G75" s="11">
        <f si="1" t="shared"/>
        <v>1.0919719744123032E-4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161.0</v>
      </c>
      <c r="G76" s="11">
        <f si="1" t="shared"/>
        <v>8.8881439777745611E-5</v>
      </c>
    </row>
    <row r="77" spans="1:7" x14ac:dyDescent="0.25">
      <c r="A77">
        <v>66</v>
      </c>
      <c r="B77" s="8" t="n">
        <v>94.6456372765986</v>
      </c>
      <c r="C77" s="11">
        <f ref="C77:C102" si="2" t="shared">B77/B$102</f>
        <v>0</v>
      </c>
      <c r="E77" s="175">
        <v>66</v>
      </c>
      <c r="F77" s="265" t="n">
        <v>190.0</v>
      </c>
      <c r="G77" s="11">
        <f ref="G77:G102" si="3" t="shared">F77/F$102</f>
        <v>9.14209094856812E-5</v>
      </c>
    </row>
    <row r="78" spans="1:7" x14ac:dyDescent="0.25">
      <c r="A78">
        <v>67</v>
      </c>
      <c r="B78" s="8" t="n">
        <v>335.9217802668262</v>
      </c>
      <c r="C78" s="11">
        <f si="2" t="shared"/>
        <v>2.1301675772483512E-3</v>
      </c>
      <c r="E78" s="176">
        <v>67</v>
      </c>
      <c r="F78" s="266" t="n">
        <v>181.0</v>
      </c>
      <c r="G78" s="11">
        <f si="3" t="shared"/>
        <v>9.14209094856812E-5</v>
      </c>
    </row>
    <row r="79" spans="1:7" x14ac:dyDescent="0.25">
      <c r="A79">
        <v>68</v>
      </c>
      <c r="B79" s="8" t="n">
        <v>89.9968879909445</v>
      </c>
      <c r="C79" s="11">
        <f si="2" t="shared"/>
        <v>0</v>
      </c>
      <c r="E79" s="177">
        <v>68</v>
      </c>
      <c r="F79" s="267" t="n">
        <v>129.0</v>
      </c>
      <c r="G79" s="11">
        <f si="3" t="shared"/>
        <v>9.6499848901552377E-5</v>
      </c>
    </row>
    <row r="80" spans="1:7" x14ac:dyDescent="0.25">
      <c r="A80">
        <v>69</v>
      </c>
      <c r="B80" s="8" t="n">
        <v>697.8859253004993</v>
      </c>
      <c r="C80" s="11">
        <f si="2" t="shared"/>
        <v>0</v>
      </c>
      <c r="E80" s="178">
        <v>69</v>
      </c>
      <c r="F80" s="268" t="n">
        <v>171.0</v>
      </c>
      <c r="G80" s="11">
        <f si="3" t="shared"/>
        <v>7.1105151822196489E-5</v>
      </c>
    </row>
    <row r="81" spans="1:7" x14ac:dyDescent="0.25">
      <c r="A81">
        <v>70</v>
      </c>
      <c r="B81" s="8" t="n">
        <v>93.8231734172571</v>
      </c>
      <c r="C81" s="11">
        <f si="2" t="shared"/>
        <v>0</v>
      </c>
      <c r="E81" s="179">
        <v>70</v>
      </c>
      <c r="F81" s="269" t="n">
        <v>136.0</v>
      </c>
      <c r="G81" s="11">
        <f si="3" t="shared"/>
        <v>5.5868333574582955E-5</v>
      </c>
    </row>
    <row r="82" spans="1:7" x14ac:dyDescent="0.25">
      <c r="A82">
        <v>71</v>
      </c>
      <c r="B82" s="8" t="n">
        <v>110.6912816761092</v>
      </c>
      <c r="C82" s="11">
        <f si="2" t="shared"/>
        <v>0</v>
      </c>
      <c r="E82" s="180">
        <v>71</v>
      </c>
      <c r="F82" s="270" t="n">
        <v>115.0</v>
      </c>
      <c r="G82" s="11">
        <f si="3" t="shared"/>
        <v>4.3170985034905011E-5</v>
      </c>
    </row>
    <row r="83" spans="1:7" x14ac:dyDescent="0.25">
      <c r="A83">
        <v>72</v>
      </c>
      <c r="B83" s="8" t="n">
        <v>73.7105075583979</v>
      </c>
      <c r="C83" s="11">
        <f si="2" t="shared"/>
        <v>0</v>
      </c>
      <c r="E83" s="181">
        <v>72</v>
      </c>
      <c r="F83" s="271" t="n">
        <v>131.0</v>
      </c>
      <c r="G83" s="11">
        <f si="3" t="shared"/>
        <v>6.3486742698389722E-5</v>
      </c>
    </row>
    <row r="84" spans="1:7" x14ac:dyDescent="0.25">
      <c r="A84">
        <v>73</v>
      </c>
      <c r="B84" s="8" t="n">
        <v>51.8565918077306</v>
      </c>
      <c r="C84" s="11">
        <f si="2" t="shared"/>
        <v>0</v>
      </c>
      <c r="E84" s="182">
        <v>73</v>
      </c>
      <c r="F84" s="272" t="n">
        <v>131.0</v>
      </c>
      <c r="G84" s="11">
        <f si="3" t="shared"/>
        <v>2.5394697079355889E-5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123.0</v>
      </c>
      <c r="G85" s="11">
        <f si="3" t="shared"/>
        <v>3.5552575911098244E-5</v>
      </c>
    </row>
    <row r="86" spans="1:7" x14ac:dyDescent="0.25">
      <c r="A86">
        <v>75</v>
      </c>
      <c r="B86" s="8" t="n">
        <v>386.066401633487</v>
      </c>
      <c r="C86" s="11">
        <f si="2" t="shared"/>
        <v>0</v>
      </c>
      <c r="E86" s="184">
        <v>75</v>
      </c>
      <c r="F86" s="274" t="n">
        <v>121.0</v>
      </c>
      <c r="G86" s="11">
        <f si="3" t="shared"/>
        <v>7.1105151822196489E-5</v>
      </c>
    </row>
    <row r="87" spans="1:7" x14ac:dyDescent="0.25">
      <c r="A87">
        <v>76</v>
      </c>
      <c r="B87" s="8" t="n">
        <v>225.6347275876197</v>
      </c>
      <c r="C87" s="11">
        <f si="2" t="shared"/>
        <v>0</v>
      </c>
      <c r="E87" s="185">
        <v>76</v>
      </c>
      <c r="F87" s="275" t="n">
        <v>128.0</v>
      </c>
      <c r="G87" s="11">
        <f si="3" t="shared"/>
        <v>5.8407803282518544E-5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114.0</v>
      </c>
      <c r="G88" s="11">
        <f si="3" t="shared"/>
        <v>3.3013106203162655E-5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94.0</v>
      </c>
      <c r="G89" s="11">
        <f si="3" t="shared"/>
        <v>4.0631515326969422E-5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73.0</v>
      </c>
      <c r="G90" s="11">
        <f si="3" t="shared"/>
        <v>2.5394697079355889E-5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98.0</v>
      </c>
      <c r="G91" s="11">
        <f si="3" t="shared"/>
        <v>2.28552273714203E-5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87.0</v>
      </c>
      <c r="G92" s="11">
        <f si="3" t="shared"/>
        <v>2.28552273714203E-5</v>
      </c>
    </row>
    <row r="93" spans="1:7" x14ac:dyDescent="0.25">
      <c r="A93">
        <v>82</v>
      </c>
      <c r="B93" s="8" t="n">
        <v>403.376678370739</v>
      </c>
      <c r="C93" s="11">
        <f si="2" t="shared"/>
        <v>0</v>
      </c>
      <c r="E93" s="191">
        <v>82</v>
      </c>
      <c r="F93" s="281" t="n">
        <v>67.0</v>
      </c>
      <c r="G93" s="11">
        <f si="3" t="shared"/>
        <v>1.7776287955549122E-5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59.0</v>
      </c>
      <c r="G94" s="11">
        <f si="3" t="shared"/>
        <v>5.0789394158711778E-5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85.0</v>
      </c>
      <c r="G95" s="11">
        <f si="3" t="shared"/>
        <v>2.28552273714203E-5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59.0</v>
      </c>
      <c r="G96" s="11">
        <f si="3" t="shared"/>
        <v>2.5394697079355889E-5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53.0</v>
      </c>
      <c r="G97" s="11">
        <f si="3" t="shared"/>
        <v>1.7776287955549122E-5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55.0</v>
      </c>
      <c r="G98" s="11">
        <f si="3" t="shared"/>
        <v>7.6184091238067666E-6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67.0</v>
      </c>
      <c r="G99" s="11">
        <f si="3" t="shared"/>
        <v>1.5236818247613533E-5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54.0</v>
      </c>
      <c r="G100" s="11">
        <f si="3" t="shared"/>
        <v>5.0789394158711778E-6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5.3327667041003744E-5</v>
      </c>
      <c r="E101" s="292">
        <v>90</v>
      </c>
      <c r="F101" s="292" t="n">
        <v>3516.0</v>
      </c>
      <c r="G101" s="11">
        <f si="3" t="shared"/>
        <v>8.3294606420287315E-4</v>
      </c>
    </row>
    <row r="102" spans="1:7" x14ac:dyDescent="0.25">
      <c r="B102" s="8">
        <f>SUM(B11:B101)</f>
        <v>390233.38873174536</v>
      </c>
      <c r="C102" s="11">
        <f si="2" t="shared"/>
        <v>1</v>
      </c>
      <c r="F102" s="8">
        <f>SUM(F11:F101)</f>
        <v>393783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M12" sqref="M12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bestFit="true" customWidth="true" width="10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 t="n">
        <v>78101.96811664973</v>
      </c>
      <c r="C7" s="12" t="n">
        <v>118.5227411219067</v>
      </c>
      <c r="D7" s="12" t="n">
        <v>0.0</v>
      </c>
      <c r="E7" s="12" t="n">
        <v>1094.5419298646386</v>
      </c>
      <c r="F7" s="12" t="n">
        <v>3524.333002533605</v>
      </c>
      <c r="G7" s="12" t="n">
        <v>5258.901879385372</v>
      </c>
      <c r="H7" s="12" t="n">
        <v>301.1907248559892</v>
      </c>
      <c r="I7" s="12"/>
      <c r="J7" s="12">
        <f>SUM(B7:I7)</f>
        <v>390233.38873174519</v>
      </c>
      <c r="K7" s="12"/>
      <c r="L7" t="str">
        <f>$A$7</f>
        <v>Bellevue</v>
      </c>
      <c r="M7" s="342" t="n">
        <v>85882.0</v>
      </c>
      <c r="N7" s="342" t="n">
        <v>0.0</v>
      </c>
      <c r="O7" s="342" t="n">
        <v>29.0</v>
      </c>
      <c r="P7" s="342" t="n">
        <v>2481.0</v>
      </c>
      <c r="Q7" s="342" t="n">
        <v>405.0</v>
      </c>
      <c r="R7" s="342" t="n">
        <v>5276.0</v>
      </c>
      <c r="S7" s="342" t="n">
        <v>1225.0</v>
      </c>
      <c r="T7" s="291"/>
      <c r="U7" s="12">
        <f>SUM(M7:T7)</f>
        <v>393783</v>
      </c>
    </row>
    <row r="8" spans="1:21" x14ac:dyDescent="0.25">
      <c r="A8" t="s">
        <v>249</v>
      </c>
      <c r="B8" s="12" t="n">
        <v>1255.372886117745</v>
      </c>
      <c r="C8" s="12" t="n">
        <v>9910.413158780753</v>
      </c>
      <c r="D8" s="12" t="n">
        <v>0.0</v>
      </c>
      <c r="E8" s="12" t="n">
        <v>0.0</v>
      </c>
      <c r="F8" s="12" t="n">
        <v>0.0</v>
      </c>
      <c r="G8" s="12" t="n">
        <v>788.1750163505787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42" t="n">
        <v>287.0</v>
      </c>
      <c r="N8" s="342" t="n">
        <v>12422.0</v>
      </c>
      <c r="O8" s="342" t="n">
        <v>0.0</v>
      </c>
      <c r="P8" s="342" t="n">
        <v>195.0</v>
      </c>
      <c r="Q8" s="342" t="n">
        <v>0.0</v>
      </c>
      <c r="R8" s="342" t="n">
        <v>2166.0</v>
      </c>
      <c r="S8" s="342" t="n">
        <v>2.0</v>
      </c>
      <c r="T8" s="291"/>
      <c r="U8" s="12">
        <f ref="U8:U14" si="1" t="shared">SUM(M8:T8)</f>
        <v>0</v>
      </c>
    </row>
    <row r="9" spans="1:21" x14ac:dyDescent="0.25">
      <c r="A9" t="s">
        <v>250</v>
      </c>
      <c r="B9" s="12" t="n">
        <v>462.0915509042302</v>
      </c>
      <c r="C9" s="12" t="n">
        <v>0.0</v>
      </c>
      <c r="D9" s="12" t="n">
        <v>6254.771596840463</v>
      </c>
      <c r="E9" s="12" t="n">
        <v>0.0</v>
      </c>
      <c r="F9" s="12" t="n">
        <v>474.6408941053403</v>
      </c>
      <c r="G9" s="12" t="n">
        <v>107.111986465713</v>
      </c>
      <c r="H9" s="12" t="n">
        <v>261.632662862269</v>
      </c>
      <c r="I9" s="12"/>
      <c r="J9" s="12">
        <f si="0" t="shared"/>
        <v>0</v>
      </c>
      <c r="K9" s="13"/>
      <c r="L9" t="str">
        <f>$A$9</f>
        <v>Kirkland</v>
      </c>
      <c r="M9" s="342" t="n">
        <v>2724.0</v>
      </c>
      <c r="N9" s="342" t="n">
        <v>0.0</v>
      </c>
      <c r="O9" s="342" t="n">
        <v>7007.0</v>
      </c>
      <c r="P9" s="342" t="n">
        <v>22.0</v>
      </c>
      <c r="Q9" s="342" t="n">
        <v>558.0</v>
      </c>
      <c r="R9" s="342" t="n">
        <v>76.0</v>
      </c>
      <c r="S9" s="342" t="n">
        <v>48.0</v>
      </c>
      <c r="T9" s="291"/>
      <c r="U9" s="12">
        <f si="1" t="shared"/>
        <v>0</v>
      </c>
    </row>
    <row r="10" spans="1:21" x14ac:dyDescent="0.25">
      <c r="A10" t="s">
        <v>251</v>
      </c>
      <c r="B10" s="12" t="n">
        <v>1153.0695492211314</v>
      </c>
      <c r="C10" s="12" t="n">
        <v>0.0</v>
      </c>
      <c r="D10" s="12" t="n">
        <v>0.0</v>
      </c>
      <c r="E10" s="12" t="n">
        <v>45138.29597408534</v>
      </c>
      <c r="F10" s="12" t="n">
        <v>51.8565918077306</v>
      </c>
      <c r="G10" s="12" t="n">
        <v>836.183034925287</v>
      </c>
      <c r="H10" s="12" t="n">
        <v>922.7588459669319</v>
      </c>
      <c r="I10" s="12"/>
      <c r="J10" s="12">
        <f si="0" t="shared"/>
        <v>0</v>
      </c>
      <c r="K10" s="13"/>
      <c r="L10" t="str">
        <f>$A$10</f>
        <v>Redmond</v>
      </c>
      <c r="M10" s="342" t="n">
        <v>1420.0</v>
      </c>
      <c r="N10" s="342" t="n">
        <v>1.0</v>
      </c>
      <c r="O10" s="342" t="n">
        <v>0.0</v>
      </c>
      <c r="P10" s="342" t="n">
        <v>47017.0</v>
      </c>
      <c r="Q10" s="342" t="n">
        <v>1.0</v>
      </c>
      <c r="R10" s="342" t="n">
        <v>403.0</v>
      </c>
      <c r="S10" s="342" t="n">
        <v>153.0</v>
      </c>
      <c r="T10" s="291"/>
      <c r="U10" s="12">
        <f si="1" t="shared"/>
        <v>0</v>
      </c>
    </row>
    <row r="11" spans="1:21" x14ac:dyDescent="0.25">
      <c r="A11" t="s">
        <v>247</v>
      </c>
      <c r="B11" s="12" t="n">
        <v>2515.417744329846</v>
      </c>
      <c r="C11" s="12" t="n">
        <v>0.0</v>
      </c>
      <c r="D11" s="12" t="n">
        <v>1663.061531098867</v>
      </c>
      <c r="E11" s="12" t="n">
        <v>0.0</v>
      </c>
      <c r="F11" s="12" t="n">
        <v>29559.213551074634</v>
      </c>
      <c r="G11" s="12" t="n">
        <v>223.0245045385059</v>
      </c>
      <c r="H11" s="12" t="n">
        <v>549.6395841143135</v>
      </c>
      <c r="I11" s="12"/>
      <c r="J11" s="12">
        <f si="0" t="shared"/>
        <v>0</v>
      </c>
      <c r="K11" s="13"/>
      <c r="L11" t="str">
        <f>$A$11</f>
        <v>Seattle</v>
      </c>
      <c r="M11" s="342" t="n">
        <v>5564.0</v>
      </c>
      <c r="N11" s="342" t="n">
        <v>0.0</v>
      </c>
      <c r="O11" s="342" t="n">
        <v>652.0</v>
      </c>
      <c r="P11" s="342" t="n">
        <v>85.0</v>
      </c>
      <c r="Q11" s="342" t="n">
        <v>21681.0</v>
      </c>
      <c r="R11" s="342" t="n">
        <v>161.0</v>
      </c>
      <c r="S11" s="342" t="n">
        <v>433.0</v>
      </c>
      <c r="T11" s="291"/>
      <c r="U11" s="12">
        <f si="1" t="shared"/>
        <v>0</v>
      </c>
    </row>
    <row r="12" spans="1:21" x14ac:dyDescent="0.25">
      <c r="A12" t="s">
        <v>252</v>
      </c>
      <c r="B12" s="12" t="n">
        <v>7916.408414852804</v>
      </c>
      <c r="C12" s="12" t="n">
        <v>127.31811015178269</v>
      </c>
      <c r="D12" s="12" t="n">
        <v>0.0</v>
      </c>
      <c r="E12" s="12" t="n">
        <v>149.5431775095528</v>
      </c>
      <c r="F12" s="12" t="n">
        <v>386.066401633487</v>
      </c>
      <c r="G12" s="12" t="n">
        <v>30317.79758624986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42" t="n">
        <v>3650.0</v>
      </c>
      <c r="N12" s="342" t="n">
        <v>1884.0</v>
      </c>
      <c r="O12" s="342" t="n">
        <v>0.0</v>
      </c>
      <c r="P12" s="342" t="n">
        <v>1301.0</v>
      </c>
      <c r="Q12" s="342" t="n">
        <v>3.0</v>
      </c>
      <c r="R12" s="342" t="n">
        <v>33551.0</v>
      </c>
      <c r="S12" s="342" t="n">
        <v>16.0</v>
      </c>
      <c r="T12" s="291"/>
      <c r="U12" s="12">
        <f si="1" t="shared"/>
        <v>0</v>
      </c>
    </row>
    <row r="13" spans="1:21" x14ac:dyDescent="0.25">
      <c r="A13" t="s">
        <v>253</v>
      </c>
      <c r="B13" s="12" t="n">
        <v>3260.8013597023782</v>
      </c>
      <c r="C13" s="12" t="n">
        <v>0.0</v>
      </c>
      <c r="D13" s="12" t="n">
        <v>0.0</v>
      </c>
      <c r="E13" s="12" t="n">
        <v>487.216530187099</v>
      </c>
      <c r="F13" s="12" t="n">
        <v>262.800476063334</v>
      </c>
      <c r="G13" s="12" t="n">
        <v>821.0358252637524</v>
      </c>
      <c r="H13" s="12" t="n">
        <v>12916.885220923738</v>
      </c>
      <c r="I13" s="12"/>
      <c r="J13" s="12">
        <f si="0" t="shared"/>
        <v>0</v>
      </c>
      <c r="K13" s="13"/>
      <c r="L13" t="str">
        <f>$A$13</f>
        <v>Rest</v>
      </c>
      <c r="M13" s="342" t="n">
        <v>3598.0</v>
      </c>
      <c r="N13" s="342" t="n">
        <v>0.0</v>
      </c>
      <c r="O13" s="342" t="n">
        <v>1.0</v>
      </c>
      <c r="P13" s="342" t="n">
        <v>1256.0</v>
      </c>
      <c r="Q13" s="342" t="n">
        <v>51.0</v>
      </c>
      <c r="R13" s="342" t="n">
        <v>88.0</v>
      </c>
      <c r="S13" s="342" t="n">
        <v>17266.0</v>
      </c>
      <c r="T13" s="291"/>
      <c r="U13" s="12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390233.38873174519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390233.38873174519</v>
      </c>
      <c r="K15" s="12"/>
      <c r="L15" s="15" t="s">
        <v>4</v>
      </c>
      <c r="M15" s="15">
        <f ref="M15:U15" si="3" t="shared">SUM(M7:M14)</f>
        <v>393783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0</v>
      </c>
      <c r="R15" s="15">
        <f si="3" t="shared"/>
        <v>0</v>
      </c>
      <c r="S15" s="15">
        <f si="3" t="shared"/>
        <v>0</v>
      </c>
      <c r="T15" s="15">
        <f si="3" t="shared"/>
        <v>0</v>
      </c>
      <c r="U15" s="15">
        <f si="3" t="shared"/>
        <v>393783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393782.99999999994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393782.99999999994</v>
      </c>
      <c r="K20" s="12"/>
      <c r="L20" t="str">
        <f>$A$7</f>
        <v>Bellevue</v>
      </c>
      <c r="M20" s="12">
        <f ref="M20:M26" si="6" t="shared">M7</f>
        <v>393783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393783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6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0</v>
      </c>
      <c r="R24" s="12">
        <f si="12" t="shared"/>
        <v>0</v>
      </c>
      <c r="S24" s="12">
        <f ref="S24" si="20" t="shared">S11</f>
        <v>0</v>
      </c>
      <c r="T24" s="12"/>
      <c r="U24" s="12">
        <f si="14" t="shared"/>
        <v>0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0</v>
      </c>
      <c r="R25" s="12">
        <f si="12" t="shared"/>
        <v>0</v>
      </c>
      <c r="S25" s="12">
        <f ref="S25:S26" si="22" t="shared">S12</f>
        <v>0</v>
      </c>
      <c r="T25" s="12"/>
      <c r="U25" s="12">
        <f si="14" t="shared"/>
        <v>0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0</v>
      </c>
      <c r="N26" s="12">
        <f si="12" t="shared"/>
        <v>0</v>
      </c>
      <c r="O26" s="12">
        <f si="12" t="shared"/>
        <v>0</v>
      </c>
      <c r="P26" s="12">
        <f si="12" t="shared"/>
        <v>0</v>
      </c>
      <c r="Q26" s="12">
        <f si="12" t="shared"/>
        <v>0</v>
      </c>
      <c r="R26" s="12">
        <f si="12" t="shared"/>
        <v>0</v>
      </c>
      <c r="S26" s="12">
        <f si="22" t="shared"/>
        <v>0</v>
      </c>
      <c r="T26" s="12"/>
      <c r="U26" s="12">
        <f si="14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393783</v>
      </c>
      <c r="N28" s="15">
        <f si="24" t="shared"/>
        <v>0</v>
      </c>
      <c r="O28" s="15">
        <f si="24" t="shared"/>
        <v>0</v>
      </c>
      <c r="P28" s="15">
        <f si="24" t="shared"/>
        <v>0</v>
      </c>
      <c r="Q28" s="15">
        <f si="24" t="shared"/>
        <v>0</v>
      </c>
      <c r="R28" s="15">
        <f si="24" t="shared"/>
        <v>0</v>
      </c>
      <c r="S28" s="15">
        <f si="24" t="shared"/>
        <v>0</v>
      </c>
      <c r="T28" s="15"/>
      <c r="U28" s="15">
        <f si="24" t="shared"/>
        <v>393783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G33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2"/>
      <c r="J33" s="16" t="e">
        <f ref="J33:J39" si="27" t="shared">J20/$J$28</f>
        <v>#DIV/0!</v>
      </c>
      <c r="K33" s="12"/>
      <c r="L33" t="str">
        <f>$A$7</f>
        <v>Bellevue</v>
      </c>
      <c r="M33" s="16">
        <f ref="M33:R33" si="28" t="shared">M20/$U$28</f>
        <v>1</v>
      </c>
      <c r="N33" s="16">
        <f si="28" t="shared"/>
        <v>0</v>
      </c>
      <c r="O33" s="16">
        <f si="28" t="shared"/>
        <v>0</v>
      </c>
      <c r="P33" s="16">
        <f si="28" t="shared"/>
        <v>0</v>
      </c>
      <c r="Q33" s="16">
        <f si="28" t="shared"/>
        <v>0</v>
      </c>
      <c r="R33" s="16">
        <f si="28" t="shared"/>
        <v>0</v>
      </c>
      <c r="S33" s="16">
        <f ref="S33" si="29" t="shared">S20/$U$28</f>
        <v>0</v>
      </c>
      <c r="T33" s="16"/>
      <c r="U33" s="16">
        <f ref="U33:U39" si="30" t="shared">U20/$U$28</f>
        <v>1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ref="B34:G39" si="33" t="shared">B21/$J$28</f>
        <v>#DIV/0!</v>
      </c>
      <c r="C34" s="16" t="e">
        <f si="33" t="shared"/>
        <v>#DIV/0!</v>
      </c>
      <c r="D34" s="16" t="e">
        <f si="33" t="shared"/>
        <v>#DIV/0!</v>
      </c>
      <c r="E34" s="16" t="e">
        <f si="33" t="shared"/>
        <v>#DIV/0!</v>
      </c>
      <c r="F34" s="16" t="e">
        <f si="33" t="shared"/>
        <v>#DIV/0!</v>
      </c>
      <c r="G34" s="16" t="e">
        <f si="33" t="shared"/>
        <v>#DIV/0!</v>
      </c>
      <c r="H34" s="16" t="e">
        <f ref="H34" si="34" t="shared">H21/$J$28</f>
        <v>#DIV/0!</v>
      </c>
      <c r="I34" s="12"/>
      <c r="J34" s="16" t="e">
        <f si="27" t="shared"/>
        <v>#DIV/0!</v>
      </c>
      <c r="K34" s="12"/>
      <c r="L34" t="str">
        <f>$A$8</f>
        <v>Bellevue Downtown</v>
      </c>
      <c r="M34" s="16">
        <f ref="M34:R39" si="35" t="shared">M21/$U$28</f>
        <v>0</v>
      </c>
      <c r="N34" s="16">
        <f si="35" t="shared"/>
        <v>0</v>
      </c>
      <c r="O34" s="16">
        <f si="35" t="shared"/>
        <v>0</v>
      </c>
      <c r="P34" s="16">
        <f si="35" t="shared"/>
        <v>0</v>
      </c>
      <c r="Q34" s="16">
        <f si="35" t="shared"/>
        <v>0</v>
      </c>
      <c r="R34" s="16">
        <f si="35" t="shared"/>
        <v>0</v>
      </c>
      <c r="S34" s="16">
        <f ref="S34" si="36" t="shared">S21/$U$28</f>
        <v>0</v>
      </c>
      <c r="T34" s="16"/>
      <c r="U34" s="16">
        <f si="30" t="shared"/>
        <v>0</v>
      </c>
      <c r="W34" t="str">
        <f>$A$8</f>
        <v>Bellevue Downtown</v>
      </c>
      <c r="X34" s="16" t="e">
        <f ref="X34:X38" si="37" t="shared">M34-B34</f>
        <v>#DIV/0!</v>
      </c>
      <c r="Y34" s="16" t="e">
        <f ref="Y34:AD38" si="38" t="shared">N34-C34</f>
        <v>#DIV/0!</v>
      </c>
      <c r="Z34" s="16" t="e">
        <f si="38" t="shared"/>
        <v>#DIV/0!</v>
      </c>
      <c r="AA34" s="16" t="e">
        <f si="38" t="shared"/>
        <v>#DIV/0!</v>
      </c>
      <c r="AB34" s="16" t="e">
        <f si="38" t="shared"/>
        <v>#DIV/0!</v>
      </c>
      <c r="AC34" s="16" t="e">
        <f si="38" t="shared"/>
        <v>#DIV/0!</v>
      </c>
      <c r="AD34" s="16" t="e">
        <f si="38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33" t="shared"/>
        <v>#DIV/0!</v>
      </c>
      <c r="C35" s="16" t="e">
        <f si="33" t="shared"/>
        <v>#DIV/0!</v>
      </c>
      <c r="D35" s="16" t="e">
        <f si="33" t="shared"/>
        <v>#DIV/0!</v>
      </c>
      <c r="E35" s="16" t="e">
        <f si="33" t="shared"/>
        <v>#DIV/0!</v>
      </c>
      <c r="F35" s="16" t="e">
        <f si="33" t="shared"/>
        <v>#DIV/0!</v>
      </c>
      <c r="G35" s="16" t="e">
        <f si="33" t="shared"/>
        <v>#DIV/0!</v>
      </c>
      <c r="H35" s="16" t="e">
        <f ref="H35" si="39" t="shared">H22/$J$28</f>
        <v>#DIV/0!</v>
      </c>
      <c r="I35" s="12"/>
      <c r="J35" s="16" t="e">
        <f si="27" t="shared"/>
        <v>#DIV/0!</v>
      </c>
      <c r="K35" s="13"/>
      <c r="L35" t="str">
        <f>$A$9</f>
        <v>Kirkland</v>
      </c>
      <c r="M35" s="16">
        <f si="35" t="shared"/>
        <v>0</v>
      </c>
      <c r="N35" s="16">
        <f si="35" t="shared"/>
        <v>0</v>
      </c>
      <c r="O35" s="16">
        <f si="35" t="shared"/>
        <v>0</v>
      </c>
      <c r="P35" s="16">
        <f si="35" t="shared"/>
        <v>0</v>
      </c>
      <c r="Q35" s="16">
        <f si="35" t="shared"/>
        <v>0</v>
      </c>
      <c r="R35" s="16">
        <f si="35" t="shared"/>
        <v>0</v>
      </c>
      <c r="S35" s="16">
        <f ref="S35" si="40" t="shared">S22/$U$28</f>
        <v>0</v>
      </c>
      <c r="T35" s="16"/>
      <c r="U35" s="16">
        <f si="30" t="shared"/>
        <v>0</v>
      </c>
      <c r="W35" t="str">
        <f>$A$9</f>
        <v>Kirkland</v>
      </c>
      <c r="X35" s="16" t="e">
        <f si="37" t="shared"/>
        <v>#DIV/0!</v>
      </c>
      <c r="Y35" s="16" t="e">
        <f si="38" t="shared"/>
        <v>#DIV/0!</v>
      </c>
      <c r="Z35" s="16" t="e">
        <f si="38" t="shared"/>
        <v>#DIV/0!</v>
      </c>
      <c r="AA35" s="16" t="e">
        <f si="38" t="shared"/>
        <v>#DIV/0!</v>
      </c>
      <c r="AB35" s="16" t="e">
        <f si="38" t="shared"/>
        <v>#DIV/0!</v>
      </c>
      <c r="AC35" s="16" t="e">
        <f si="38" t="shared"/>
        <v>#DIV/0!</v>
      </c>
      <c r="AD35" s="16" t="e">
        <f si="38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33" t="shared"/>
        <v>#DIV/0!</v>
      </c>
      <c r="C36" s="16" t="e">
        <f si="33" t="shared"/>
        <v>#DIV/0!</v>
      </c>
      <c r="D36" s="16" t="e">
        <f si="33" t="shared"/>
        <v>#DIV/0!</v>
      </c>
      <c r="E36" s="16" t="e">
        <f si="33" t="shared"/>
        <v>#DIV/0!</v>
      </c>
      <c r="F36" s="16" t="e">
        <f si="33" t="shared"/>
        <v>#DIV/0!</v>
      </c>
      <c r="G36" s="16" t="e">
        <f si="33" t="shared"/>
        <v>#DIV/0!</v>
      </c>
      <c r="H36" s="16" t="e">
        <f ref="H36" si="41" t="shared">H23/$J$28</f>
        <v>#DIV/0!</v>
      </c>
      <c r="I36" s="12"/>
      <c r="J36" s="16" t="e">
        <f si="27" t="shared"/>
        <v>#DIV/0!</v>
      </c>
      <c r="K36" s="13"/>
      <c r="L36" t="str">
        <f>$A$10</f>
        <v>Redmond</v>
      </c>
      <c r="M36" s="16">
        <f si="35" t="shared"/>
        <v>0</v>
      </c>
      <c r="N36" s="16">
        <f si="35" t="shared"/>
        <v>0</v>
      </c>
      <c r="O36" s="16">
        <f si="35" t="shared"/>
        <v>0</v>
      </c>
      <c r="P36" s="16">
        <f si="35" t="shared"/>
        <v>0</v>
      </c>
      <c r="Q36" s="16">
        <f si="35" t="shared"/>
        <v>0</v>
      </c>
      <c r="R36" s="16">
        <f si="35" t="shared"/>
        <v>0</v>
      </c>
      <c r="S36" s="16">
        <f ref="S36" si="42" t="shared">S23/$U$28</f>
        <v>0</v>
      </c>
      <c r="T36" s="16"/>
      <c r="U36" s="16">
        <f si="30" t="shared"/>
        <v>0</v>
      </c>
      <c r="W36" t="str">
        <f>$A$10</f>
        <v>Redmond</v>
      </c>
      <c r="X36" s="16" t="e">
        <f si="37" t="shared"/>
        <v>#DIV/0!</v>
      </c>
      <c r="Y36" s="16" t="e">
        <f si="38" t="shared"/>
        <v>#DIV/0!</v>
      </c>
      <c r="Z36" s="16" t="e">
        <f si="38" t="shared"/>
        <v>#DIV/0!</v>
      </c>
      <c r="AA36" s="16" t="e">
        <f si="38" t="shared"/>
        <v>#DIV/0!</v>
      </c>
      <c r="AB36" s="16" t="e">
        <f si="38" t="shared"/>
        <v>#DIV/0!</v>
      </c>
      <c r="AC36" s="16" t="e">
        <f si="38" t="shared"/>
        <v>#DIV/0!</v>
      </c>
      <c r="AD36" s="16" t="e">
        <f si="38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33" t="shared"/>
        <v>#DIV/0!</v>
      </c>
      <c r="C37" s="16" t="e">
        <f si="33" t="shared"/>
        <v>#DIV/0!</v>
      </c>
      <c r="D37" s="16" t="e">
        <f si="33" t="shared"/>
        <v>#DIV/0!</v>
      </c>
      <c r="E37" s="16" t="e">
        <f si="33" t="shared"/>
        <v>#DIV/0!</v>
      </c>
      <c r="F37" s="16" t="e">
        <f si="33" t="shared"/>
        <v>#DIV/0!</v>
      </c>
      <c r="G37" s="16" t="e">
        <f si="33" t="shared"/>
        <v>#DIV/0!</v>
      </c>
      <c r="H37" s="16" t="e">
        <f ref="H37" si="43" t="shared">H24/$J$28</f>
        <v>#DIV/0!</v>
      </c>
      <c r="I37" s="12"/>
      <c r="J37" s="16" t="e">
        <f si="27" t="shared"/>
        <v>#DIV/0!</v>
      </c>
      <c r="K37" s="13"/>
      <c r="L37" t="str">
        <f>$A$11</f>
        <v>Seattle</v>
      </c>
      <c r="M37" s="16">
        <f si="35" t="shared"/>
        <v>0</v>
      </c>
      <c r="N37" s="16">
        <f si="35" t="shared"/>
        <v>0</v>
      </c>
      <c r="O37" s="16">
        <f si="35" t="shared"/>
        <v>0</v>
      </c>
      <c r="P37" s="16">
        <f si="35" t="shared"/>
        <v>0</v>
      </c>
      <c r="Q37" s="16">
        <f si="35" t="shared"/>
        <v>0</v>
      </c>
      <c r="R37" s="16">
        <f si="35" t="shared"/>
        <v>0</v>
      </c>
      <c r="S37" s="16">
        <f ref="S37" si="44" t="shared">S24/$U$28</f>
        <v>0</v>
      </c>
      <c r="T37" s="16"/>
      <c r="U37" s="16">
        <f si="30" t="shared"/>
        <v>0</v>
      </c>
      <c r="W37" t="str">
        <f>$A$11</f>
        <v>Seattle</v>
      </c>
      <c r="X37" s="16" t="e">
        <f si="37" t="shared"/>
        <v>#DIV/0!</v>
      </c>
      <c r="Y37" s="16" t="e">
        <f si="38" t="shared"/>
        <v>#DIV/0!</v>
      </c>
      <c r="Z37" s="16" t="e">
        <f si="38" t="shared"/>
        <v>#DIV/0!</v>
      </c>
      <c r="AA37" s="16" t="e">
        <f si="38" t="shared"/>
        <v>#DIV/0!</v>
      </c>
      <c r="AB37" s="16" t="e">
        <f si="38" t="shared"/>
        <v>#DIV/0!</v>
      </c>
      <c r="AC37" s="16" t="e">
        <f si="38" t="shared"/>
        <v>#DIV/0!</v>
      </c>
      <c r="AD37" s="16" t="e">
        <f si="38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33" t="shared"/>
        <v>#DIV/0!</v>
      </c>
      <c r="C38" s="16" t="e">
        <f si="33" t="shared"/>
        <v>#DIV/0!</v>
      </c>
      <c r="D38" s="16" t="e">
        <f si="33" t="shared"/>
        <v>#DIV/0!</v>
      </c>
      <c r="E38" s="16" t="e">
        <f si="33" t="shared"/>
        <v>#DIV/0!</v>
      </c>
      <c r="F38" s="16" t="e">
        <f si="33" t="shared"/>
        <v>#DIV/0!</v>
      </c>
      <c r="G38" s="16" t="e">
        <f si="33" t="shared"/>
        <v>#DIV/0!</v>
      </c>
      <c r="H38" s="16" t="e">
        <f ref="H38:H39" si="45" t="shared">H25/$J$28</f>
        <v>#DIV/0!</v>
      </c>
      <c r="I38" s="12"/>
      <c r="J38" s="16" t="e">
        <f si="27" t="shared"/>
        <v>#DIV/0!</v>
      </c>
      <c r="K38" s="13"/>
      <c r="L38" t="str">
        <f>$A$12</f>
        <v>Seattle Downtown</v>
      </c>
      <c r="M38" s="16">
        <f si="35" t="shared"/>
        <v>0</v>
      </c>
      <c r="N38" s="16">
        <f si="35" t="shared"/>
        <v>0</v>
      </c>
      <c r="O38" s="16">
        <f si="35" t="shared"/>
        <v>0</v>
      </c>
      <c r="P38" s="16">
        <f si="35" t="shared"/>
        <v>0</v>
      </c>
      <c r="Q38" s="16">
        <f si="35" t="shared"/>
        <v>0</v>
      </c>
      <c r="R38" s="16">
        <f si="35" t="shared"/>
        <v>0</v>
      </c>
      <c r="S38" s="16">
        <f ref="S38:S39" si="46" t="shared">S25/$U$28</f>
        <v>0</v>
      </c>
      <c r="T38" s="16"/>
      <c r="U38" s="16">
        <f si="30" t="shared"/>
        <v>0</v>
      </c>
      <c r="W38" t="str">
        <f>$A$12</f>
        <v>Seattle Downtown</v>
      </c>
      <c r="X38" s="16" t="e">
        <f si="37" t="shared"/>
        <v>#DIV/0!</v>
      </c>
      <c r="Y38" s="16" t="e">
        <f si="38" t="shared"/>
        <v>#DIV/0!</v>
      </c>
      <c r="Z38" s="16" t="e">
        <f si="38" t="shared"/>
        <v>#DIV/0!</v>
      </c>
      <c r="AA38" s="16" t="e">
        <f si="38" t="shared"/>
        <v>#DIV/0!</v>
      </c>
      <c r="AB38" s="16" t="e">
        <f si="38" t="shared"/>
        <v>#DIV/0!</v>
      </c>
      <c r="AC38" s="16" t="e">
        <f si="38" t="shared"/>
        <v>#DIV/0!</v>
      </c>
      <c r="AD38" s="16" t="e">
        <f si="38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33" t="shared"/>
        <v>#DIV/0!</v>
      </c>
      <c r="C39" s="16" t="e">
        <f si="33" t="shared"/>
        <v>#DIV/0!</v>
      </c>
      <c r="D39" s="16" t="e">
        <f si="33" t="shared"/>
        <v>#DIV/0!</v>
      </c>
      <c r="E39" s="16" t="e">
        <f si="33" t="shared"/>
        <v>#DIV/0!</v>
      </c>
      <c r="F39" s="16" t="e">
        <f si="33" t="shared"/>
        <v>#DIV/0!</v>
      </c>
      <c r="G39" s="16" t="e">
        <f si="33" t="shared"/>
        <v>#DIV/0!</v>
      </c>
      <c r="H39" s="16" t="e">
        <f si="45" t="shared"/>
        <v>#DIV/0!</v>
      </c>
      <c r="I39" s="12"/>
      <c r="J39" s="16" t="e">
        <f si="27" t="shared"/>
        <v>#DIV/0!</v>
      </c>
      <c r="K39" s="13"/>
      <c r="L39" t="str">
        <f>$A$13</f>
        <v>Rest</v>
      </c>
      <c r="M39" s="16">
        <f si="35" t="shared"/>
        <v>0</v>
      </c>
      <c r="N39" s="16">
        <f si="35" t="shared"/>
        <v>0</v>
      </c>
      <c r="O39" s="16">
        <f si="35" t="shared"/>
        <v>0</v>
      </c>
      <c r="P39" s="16">
        <f si="35" t="shared"/>
        <v>0</v>
      </c>
      <c r="Q39" s="16">
        <f si="35" t="shared"/>
        <v>0</v>
      </c>
      <c r="R39" s="16">
        <f si="35" t="shared"/>
        <v>0</v>
      </c>
      <c r="S39" s="16">
        <f si="46" t="shared"/>
        <v>0</v>
      </c>
      <c r="T39" s="16"/>
      <c r="U39" s="16">
        <f si="30" t="shared"/>
        <v>0</v>
      </c>
      <c r="W39" t="str">
        <f>$A$13</f>
        <v>Rest</v>
      </c>
      <c r="X39" s="16" t="e">
        <f ref="X39" si="47" t="shared">M39-B39</f>
        <v>#DIV/0!</v>
      </c>
      <c r="Y39" s="16" t="e">
        <f ref="Y39" si="48" t="shared">N39-C39</f>
        <v>#DIV/0!</v>
      </c>
      <c r="Z39" s="16" t="e">
        <f ref="Z39" si="49" t="shared">O39-D39</f>
        <v>#DIV/0!</v>
      </c>
      <c r="AA39" s="16" t="e">
        <f ref="AA39" si="50" t="shared">P39-E39</f>
        <v>#DIV/0!</v>
      </c>
      <c r="AB39" s="16" t="e">
        <f ref="AB39" si="51" t="shared">Q39-F39</f>
        <v>#DIV/0!</v>
      </c>
      <c r="AC39" s="16" t="e">
        <f ref="AC39:AD39" si="52" t="shared">R39-G39</f>
        <v>#DIV/0!</v>
      </c>
      <c r="AD39" s="16" t="e">
        <f si="52" t="shared"/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 t="e">
        <f ref="B41:J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 si="53" t="shared"/>
        <v>#DIV/0!</v>
      </c>
      <c r="J41" s="18" t="e">
        <f si="53" t="shared"/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54" t="shared">Q28/$U$28</f>
        <v>0</v>
      </c>
      <c r="R41" s="18">
        <f si="54" t="shared"/>
        <v>0</v>
      </c>
      <c r="S41" s="18">
        <f si="54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295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68" workbookViewId="0">
      <selection activeCell="K98" sqref="K9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8" t="s">
        <v>42</v>
      </c>
    </row>
    <row r="2" spans="1:4" x14ac:dyDescent="0.25">
      <c r="A2" t="s">
        <v>255</v>
      </c>
      <c r="B2" t="s">
        <v>256</v>
      </c>
      <c r="C2" t="s">
        <v>91</v>
      </c>
      <c r="D2" t="s">
        <v>257</v>
      </c>
    </row>
    <row r="3" spans="1:4" x14ac:dyDescent="0.25">
      <c r="A3">
        <v>1</v>
      </c>
      <c r="B3" t="s">
        <v>45</v>
      </c>
      <c r="C3" t="s">
        <v>274</v>
      </c>
      <c r="D3" t="s">
        <v>46</v>
      </c>
    </row>
    <row r="4" spans="1:4" x14ac:dyDescent="0.25">
      <c r="A4">
        <v>2</v>
      </c>
      <c r="B4" t="s">
        <v>48</v>
      </c>
      <c r="C4" t="s">
        <v>274</v>
      </c>
      <c r="D4" t="s">
        <v>49</v>
      </c>
    </row>
    <row r="5" spans="1:4" x14ac:dyDescent="0.25">
      <c r="A5">
        <v>3</v>
      </c>
      <c r="B5" t="s">
        <v>51</v>
      </c>
      <c r="C5" t="s">
        <v>274</v>
      </c>
      <c r="D5" t="s">
        <v>52</v>
      </c>
    </row>
    <row r="6" spans="1:4" x14ac:dyDescent="0.25">
      <c r="A6">
        <v>4</v>
      </c>
      <c r="B6" t="s">
        <v>54</v>
      </c>
      <c r="C6" t="s">
        <v>274</v>
      </c>
      <c r="D6" t="s">
        <v>55</v>
      </c>
    </row>
    <row r="7" spans="1:4" x14ac:dyDescent="0.25">
      <c r="A7">
        <v>5</v>
      </c>
      <c r="B7" t="s">
        <v>57</v>
      </c>
      <c r="C7" t="s">
        <v>274</v>
      </c>
      <c r="D7" t="s">
        <v>58</v>
      </c>
    </row>
    <row r="8" spans="1:4" x14ac:dyDescent="0.25">
      <c r="A8">
        <v>6</v>
      </c>
      <c r="B8" t="s">
        <v>59</v>
      </c>
      <c r="C8" t="s">
        <v>274</v>
      </c>
      <c r="D8" t="s">
        <v>60</v>
      </c>
    </row>
    <row r="9" spans="1:4" x14ac:dyDescent="0.25">
      <c r="A9">
        <v>7</v>
      </c>
      <c r="B9" t="s">
        <v>61</v>
      </c>
      <c r="C9" t="s">
        <v>274</v>
      </c>
      <c r="D9" t="s">
        <v>62</v>
      </c>
    </row>
    <row r="10" spans="1:4" x14ac:dyDescent="0.25">
      <c r="A10">
        <v>8</v>
      </c>
      <c r="B10" t="s">
        <v>64</v>
      </c>
      <c r="C10" t="s">
        <v>274</v>
      </c>
      <c r="D10" t="s">
        <v>65</v>
      </c>
    </row>
    <row r="11" spans="1:4" x14ac:dyDescent="0.25">
      <c r="A11">
        <v>9</v>
      </c>
      <c r="B11" t="s">
        <v>66</v>
      </c>
      <c r="C11" t="s">
        <v>274</v>
      </c>
      <c r="D11" t="s">
        <v>67</v>
      </c>
    </row>
    <row r="12" spans="1:4" x14ac:dyDescent="0.25">
      <c r="A12">
        <v>10</v>
      </c>
      <c r="B12" t="s">
        <v>68</v>
      </c>
      <c r="C12" t="s">
        <v>274</v>
      </c>
      <c r="D12" t="s">
        <v>69</v>
      </c>
    </row>
    <row r="13" spans="1:4" x14ac:dyDescent="0.25">
      <c r="A13">
        <v>11</v>
      </c>
      <c r="B13" t="s">
        <v>70</v>
      </c>
      <c r="C13" t="s">
        <v>274</v>
      </c>
      <c r="D13" t="s">
        <v>71</v>
      </c>
    </row>
    <row r="14" spans="1:4" x14ac:dyDescent="0.25">
      <c r="A14">
        <v>12</v>
      </c>
      <c r="B14" t="s">
        <v>72</v>
      </c>
      <c r="C14" t="s">
        <v>274</v>
      </c>
      <c r="D14" t="s">
        <v>73</v>
      </c>
    </row>
    <row r="15" spans="1:4" x14ac:dyDescent="0.25">
      <c r="A15">
        <v>13</v>
      </c>
      <c r="B15" t="s">
        <v>74</v>
      </c>
      <c r="C15" t="s">
        <v>274</v>
      </c>
      <c r="D15" t="s">
        <v>75</v>
      </c>
    </row>
    <row r="16" spans="1:4" x14ac:dyDescent="0.25">
      <c r="A16">
        <v>14</v>
      </c>
      <c r="B16" t="s">
        <v>76</v>
      </c>
      <c r="C16" t="s">
        <v>274</v>
      </c>
      <c r="D16" t="s">
        <v>77</v>
      </c>
    </row>
    <row r="17" spans="1:4" x14ac:dyDescent="0.25">
      <c r="A17">
        <v>15</v>
      </c>
      <c r="B17" t="s">
        <v>78</v>
      </c>
      <c r="C17" t="s">
        <v>274</v>
      </c>
      <c r="D17" t="s">
        <v>79</v>
      </c>
    </row>
    <row r="18" spans="1:4" x14ac:dyDescent="0.25">
      <c r="A18">
        <v>16</v>
      </c>
      <c r="B18" t="s">
        <v>80</v>
      </c>
      <c r="C18" t="s">
        <v>274</v>
      </c>
      <c r="D18" t="s">
        <v>81</v>
      </c>
    </row>
    <row r="19" spans="1:4" x14ac:dyDescent="0.25">
      <c r="A19">
        <v>17</v>
      </c>
      <c r="B19" t="s">
        <v>83</v>
      </c>
      <c r="C19" t="s">
        <v>274</v>
      </c>
      <c r="D19" t="s">
        <v>84</v>
      </c>
    </row>
    <row r="20" spans="1:4" x14ac:dyDescent="0.25">
      <c r="A20">
        <v>18</v>
      </c>
      <c r="B20" t="s">
        <v>86</v>
      </c>
      <c r="C20" t="s">
        <v>274</v>
      </c>
      <c r="D20" t="s">
        <v>87</v>
      </c>
    </row>
    <row r="21" spans="1:4" x14ac:dyDescent="0.25">
      <c r="A21">
        <v>19</v>
      </c>
      <c r="B21" t="s">
        <v>89</v>
      </c>
      <c r="C21" t="s">
        <v>274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254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350" t="s">
        <v>227</v>
      </c>
      <c r="B1" s="351"/>
      <c r="C1" s="351"/>
      <c r="D1" s="351"/>
      <c r="E1" s="351"/>
      <c r="F1" s="351"/>
      <c r="G1" s="351"/>
      <c r="H1" s="351" t="s">
        <v>228</v>
      </c>
      <c r="I1" s="351"/>
      <c r="J1" s="351"/>
      <c r="K1" s="352"/>
    </row>
    <row r="2" spans="1:11" x14ac:dyDescent="0.25">
      <c r="A2" s="353">
        <v>1</v>
      </c>
      <c r="B2" s="354" t="s">
        <v>261</v>
      </c>
      <c r="C2" s="354"/>
      <c r="D2" s="354"/>
      <c r="E2" s="354"/>
      <c r="F2" s="354"/>
      <c r="G2" s="354"/>
      <c r="H2" s="354"/>
      <c r="I2" s="354"/>
      <c r="J2" s="354"/>
      <c r="K2" s="355"/>
    </row>
    <row r="3" spans="1:11" x14ac:dyDescent="0.25">
      <c r="A3" s="353">
        <v>2</v>
      </c>
      <c r="B3" s="354" t="s">
        <v>229</v>
      </c>
      <c r="C3" s="354"/>
      <c r="D3" s="354"/>
      <c r="E3" s="354"/>
      <c r="F3" s="354"/>
      <c r="G3" s="354"/>
      <c r="H3" s="354"/>
      <c r="I3" s="354"/>
      <c r="J3" s="354"/>
      <c r="K3" s="355"/>
    </row>
    <row r="4" spans="1:11" x14ac:dyDescent="0.25">
      <c r="A4" s="353">
        <v>3</v>
      </c>
      <c r="B4" s="354" t="s">
        <v>230</v>
      </c>
      <c r="C4" s="354"/>
      <c r="D4" s="354"/>
      <c r="E4" s="354"/>
      <c r="F4" s="354"/>
      <c r="G4" s="354"/>
      <c r="H4" s="354"/>
      <c r="I4" s="354"/>
      <c r="J4" s="354"/>
      <c r="K4" s="355"/>
    </row>
    <row r="5" spans="1:11" x14ac:dyDescent="0.25">
      <c r="A5" s="356">
        <v>4</v>
      </c>
      <c r="B5" s="357" t="s">
        <v>231</v>
      </c>
      <c r="C5" s="357"/>
      <c r="D5" s="357"/>
      <c r="E5" s="357"/>
      <c r="F5" s="357"/>
      <c r="G5" s="357"/>
      <c r="H5" s="357"/>
      <c r="I5" s="357"/>
      <c r="J5" s="357"/>
      <c r="K5" s="358"/>
    </row>
    <row r="8" spans="1:11" x14ac:dyDescent="0.25">
      <c r="B8" t="s">
        <v>232</v>
      </c>
      <c r="C8" t="s">
        <v>233</v>
      </c>
      <c r="D8" t="s">
        <v>234</v>
      </c>
      <c r="E8" t="s">
        <v>281</v>
      </c>
      <c r="F8" t="s">
        <v>282</v>
      </c>
      <c r="G8" t="s">
        <v>283</v>
      </c>
      <c r="H8" t="s">
        <v>284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4">
        <v>0.48607638888888888</v>
      </c>
      <c r="G9" t="s">
        <v>239</v>
      </c>
      <c r="H9">
        <v>24</v>
      </c>
      <c r="I9" t="s">
        <v>285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51</v>
      </c>
      <c r="D13" t="s">
        <v>242</v>
      </c>
      <c r="E13" s="335">
        <v>7.0220312730799997E-2</v>
      </c>
      <c r="F13">
        <v>0.25869937796300002</v>
      </c>
    </row>
    <row r="14" spans="1:11" x14ac:dyDescent="0.25">
      <c r="B14">
        <v>4</v>
      </c>
      <c r="C14" t="s">
        <v>54</v>
      </c>
      <c r="D14" t="s">
        <v>242</v>
      </c>
      <c r="E14" s="335">
        <v>-3.3904088920700001E-2</v>
      </c>
      <c r="F14">
        <v>0.29717527652300002</v>
      </c>
    </row>
    <row r="15" spans="1:11" x14ac:dyDescent="0.25">
      <c r="B15">
        <v>5</v>
      </c>
      <c r="C15" t="s">
        <v>57</v>
      </c>
      <c r="D15" t="s">
        <v>242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59</v>
      </c>
      <c r="D16" t="s">
        <v>242</v>
      </c>
      <c r="E16" s="335">
        <v>0.36721258210199997</v>
      </c>
      <c r="F16">
        <v>0.14251816133299999</v>
      </c>
    </row>
    <row r="17" spans="2:6" x14ac:dyDescent="0.25">
      <c r="B17">
        <v>7</v>
      </c>
      <c r="C17" t="s">
        <v>61</v>
      </c>
      <c r="D17" t="s">
        <v>242</v>
      </c>
      <c r="E17">
        <v>-6.4918460355300001</v>
      </c>
      <c r="F17">
        <v>0.28790085567700002</v>
      </c>
    </row>
    <row r="18" spans="2:6" x14ac:dyDescent="0.25">
      <c r="B18">
        <v>8</v>
      </c>
      <c r="C18" t="s">
        <v>64</v>
      </c>
      <c r="D18" t="s">
        <v>242</v>
      </c>
      <c r="E18" s="335">
        <v>1.39963442933</v>
      </c>
      <c r="F18">
        <v>0.219287303381</v>
      </c>
    </row>
    <row r="19" spans="2:6" x14ac:dyDescent="0.25">
      <c r="B19">
        <v>9</v>
      </c>
      <c r="C19" t="s">
        <v>66</v>
      </c>
      <c r="D19" t="s">
        <v>242</v>
      </c>
      <c r="E19" s="335">
        <v>0.66317866364400002</v>
      </c>
      <c r="F19">
        <v>0.26858783017999999</v>
      </c>
    </row>
    <row r="20" spans="2:6" x14ac:dyDescent="0.25">
      <c r="B20">
        <v>10</v>
      </c>
      <c r="C20" t="s">
        <v>68</v>
      </c>
      <c r="D20" t="s">
        <v>242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70</v>
      </c>
      <c r="D21" t="s">
        <v>242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72</v>
      </c>
      <c r="D22" t="s">
        <v>242</v>
      </c>
      <c r="E22">
        <v>-0.913115187153</v>
      </c>
      <c r="F22">
        <v>0.28732544144</v>
      </c>
    </row>
    <row r="23" spans="2:6" x14ac:dyDescent="0.25">
      <c r="B23">
        <v>13</v>
      </c>
      <c r="C23" t="s">
        <v>74</v>
      </c>
      <c r="D23" t="s">
        <v>242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76</v>
      </c>
      <c r="D24" t="s">
        <v>242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78</v>
      </c>
      <c r="D25" t="s">
        <v>242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80</v>
      </c>
      <c r="D26" t="s">
        <v>242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0.55927220197000005</v>
      </c>
      <c r="F30" s="335">
        <v>6.3070773371999997E-2</v>
      </c>
    </row>
    <row r="31" spans="2:6" x14ac:dyDescent="0.25">
      <c r="B31">
        <v>21</v>
      </c>
      <c r="C31" t="s">
        <v>94</v>
      </c>
      <c r="D31" t="s">
        <v>242</v>
      </c>
      <c r="E31">
        <v>-10.6100761267462</v>
      </c>
      <c r="F31">
        <v>2.1635731872099999</v>
      </c>
    </row>
    <row r="32" spans="2:6" x14ac:dyDescent="0.25">
      <c r="B32">
        <v>22</v>
      </c>
      <c r="C32" t="s">
        <v>96</v>
      </c>
      <c r="D32" t="s">
        <v>242</v>
      </c>
      <c r="E32">
        <v>-9.3491031588377993</v>
      </c>
      <c r="F32">
        <v>0.48285243031500003</v>
      </c>
    </row>
    <row r="33" spans="2:6" x14ac:dyDescent="0.25">
      <c r="B33">
        <v>23</v>
      </c>
      <c r="C33" t="s">
        <v>98</v>
      </c>
      <c r="D33" t="s">
        <v>242</v>
      </c>
      <c r="E33">
        <v>-4.0525569260302001</v>
      </c>
      <c r="F33">
        <v>0.28097869320699997</v>
      </c>
    </row>
    <row r="34" spans="2:6" x14ac:dyDescent="0.25">
      <c r="B34">
        <v>24</v>
      </c>
      <c r="C34" t="s">
        <v>100</v>
      </c>
      <c r="D34" t="s">
        <v>242</v>
      </c>
      <c r="E34">
        <v>0.21220129380800001</v>
      </c>
      <c r="F34" s="335">
        <v>2.3591368768600001E-2</v>
      </c>
    </row>
    <row r="35" spans="2:6" x14ac:dyDescent="0.25">
      <c r="B35">
        <v>25</v>
      </c>
      <c r="C35" t="s">
        <v>103</v>
      </c>
      <c r="D35" t="s">
        <v>242</v>
      </c>
      <c r="E35">
        <v>-0.156772126135</v>
      </c>
      <c r="F35" s="335">
        <v>2.5404206972699999E-2</v>
      </c>
    </row>
    <row r="36" spans="2:6" x14ac:dyDescent="0.25">
      <c r="B36">
        <v>26</v>
      </c>
      <c r="C36" t="s">
        <v>105</v>
      </c>
      <c r="D36" t="s">
        <v>242</v>
      </c>
      <c r="E36">
        <v>0.78053827557199995</v>
      </c>
      <c r="F36" s="335">
        <v>0.13801392691299999</v>
      </c>
    </row>
    <row r="37" spans="2:6" x14ac:dyDescent="0.25">
      <c r="B37">
        <v>27</v>
      </c>
      <c r="C37" t="s">
        <v>106</v>
      </c>
      <c r="D37" t="s">
        <v>242</v>
      </c>
      <c r="E37">
        <v>-10.801432269311199</v>
      </c>
      <c r="F37">
        <v>2.1635010799400001</v>
      </c>
    </row>
    <row r="38" spans="2:6" x14ac:dyDescent="0.25">
      <c r="B38">
        <v>28</v>
      </c>
      <c r="C38" t="s">
        <v>108</v>
      </c>
      <c r="D38" t="s">
        <v>242</v>
      </c>
      <c r="E38">
        <v>-6.3576746947949996</v>
      </c>
      <c r="F38">
        <v>0.49109078483500002</v>
      </c>
    </row>
    <row r="39" spans="2:6" x14ac:dyDescent="0.25">
      <c r="B39">
        <v>29</v>
      </c>
      <c r="C39" t="s">
        <v>109</v>
      </c>
      <c r="D39" t="s">
        <v>242</v>
      </c>
      <c r="E39">
        <v>-2.8344072250191998</v>
      </c>
      <c r="F39">
        <v>0.23114662533300001</v>
      </c>
    </row>
    <row r="40" spans="2:6" x14ac:dyDescent="0.25">
      <c r="B40">
        <v>30</v>
      </c>
      <c r="C40" t="s">
        <v>110</v>
      </c>
      <c r="D40" t="s">
        <v>242</v>
      </c>
      <c r="E40">
        <v>-1.4822873023622001</v>
      </c>
      <c r="F40" s="335">
        <v>0.15445284496</v>
      </c>
    </row>
    <row r="41" spans="2:6" x14ac:dyDescent="0.25">
      <c r="B41">
        <v>31</v>
      </c>
      <c r="C41" t="s">
        <v>112</v>
      </c>
      <c r="D41" t="s">
        <v>242</v>
      </c>
      <c r="E41" s="335">
        <v>0.161916660248</v>
      </c>
      <c r="F41" s="335">
        <v>2.4598246513100001E-2</v>
      </c>
    </row>
    <row r="42" spans="2:6" x14ac:dyDescent="0.25">
      <c r="B42">
        <v>32</v>
      </c>
      <c r="C42" t="s">
        <v>114</v>
      </c>
      <c r="D42" t="s">
        <v>242</v>
      </c>
      <c r="E42">
        <v>-0.164548260329</v>
      </c>
      <c r="F42" s="335">
        <v>3.0497321424399999E-2</v>
      </c>
    </row>
    <row r="43" spans="2:6" x14ac:dyDescent="0.25">
      <c r="B43">
        <v>33</v>
      </c>
      <c r="C43" t="s">
        <v>116</v>
      </c>
      <c r="D43" t="s">
        <v>242</v>
      </c>
      <c r="E43">
        <v>0.20498917376299999</v>
      </c>
      <c r="F43" s="335">
        <v>2.26070286041E-2</v>
      </c>
    </row>
    <row r="44" spans="2:6" x14ac:dyDescent="0.25">
      <c r="B44">
        <v>34</v>
      </c>
      <c r="C44" t="s">
        <v>118</v>
      </c>
      <c r="D44" t="s">
        <v>242</v>
      </c>
      <c r="E44">
        <v>-0.128001396233</v>
      </c>
      <c r="F44" s="335">
        <v>2.71057179313E-2</v>
      </c>
    </row>
    <row r="45" spans="2:6" x14ac:dyDescent="0.25">
      <c r="B45">
        <v>35</v>
      </c>
      <c r="C45" t="s">
        <v>121</v>
      </c>
      <c r="D45" t="s">
        <v>242</v>
      </c>
      <c r="E45" s="335">
        <v>6.1170505754699997E-2</v>
      </c>
      <c r="F45" s="335">
        <v>1.6417141522400001E-2</v>
      </c>
    </row>
    <row r="46" spans="2:6" x14ac:dyDescent="0.25">
      <c r="B46">
        <v>36</v>
      </c>
      <c r="C46" t="s">
        <v>123</v>
      </c>
      <c r="D46" t="s">
        <v>242</v>
      </c>
      <c r="E46" s="335">
        <v>1.3253567635600001</v>
      </c>
      <c r="F46" s="335">
        <v>0.18997438038600001</v>
      </c>
    </row>
    <row r="47" spans="2:6" x14ac:dyDescent="0.25">
      <c r="B47">
        <v>37</v>
      </c>
      <c r="C47" t="s">
        <v>124</v>
      </c>
      <c r="D47" t="s">
        <v>242</v>
      </c>
      <c r="E47">
        <v>-6.8051932741582997</v>
      </c>
      <c r="F47">
        <v>2.2590324693200001</v>
      </c>
    </row>
    <row r="48" spans="2:6" x14ac:dyDescent="0.25">
      <c r="B48">
        <v>38</v>
      </c>
      <c r="C48" t="s">
        <v>126</v>
      </c>
      <c r="D48" t="s">
        <v>242</v>
      </c>
      <c r="E48">
        <v>-8.2040601552336003</v>
      </c>
      <c r="F48">
        <v>0.534114739916</v>
      </c>
    </row>
    <row r="49" spans="2:6" x14ac:dyDescent="0.25">
      <c r="B49">
        <v>39</v>
      </c>
      <c r="C49" t="s">
        <v>127</v>
      </c>
      <c r="D49" t="s">
        <v>242</v>
      </c>
      <c r="E49">
        <v>-7.9091539026991002</v>
      </c>
      <c r="F49">
        <v>0.29434692441299998</v>
      </c>
    </row>
    <row r="50" spans="2:6" x14ac:dyDescent="0.25">
      <c r="B50">
        <v>40</v>
      </c>
      <c r="C50" t="s">
        <v>128</v>
      </c>
      <c r="D50" t="s">
        <v>242</v>
      </c>
      <c r="E50">
        <v>-5.6394867063158003</v>
      </c>
      <c r="F50">
        <v>0.21098361657199999</v>
      </c>
    </row>
    <row r="51" spans="2:6" x14ac:dyDescent="0.25">
      <c r="B51">
        <v>41</v>
      </c>
      <c r="C51" t="s">
        <v>129</v>
      </c>
      <c r="D51" t="s">
        <v>242</v>
      </c>
      <c r="E51">
        <v>-0.149205194047</v>
      </c>
      <c r="F51" s="335">
        <v>2.2183697722899999E-2</v>
      </c>
    </row>
    <row r="52" spans="2:6" x14ac:dyDescent="0.25">
      <c r="B52">
        <v>42</v>
      </c>
      <c r="C52" t="s">
        <v>131</v>
      </c>
      <c r="D52" t="s">
        <v>242</v>
      </c>
      <c r="E52">
        <v>0.517393579278</v>
      </c>
      <c r="F52" s="335">
        <v>3.32158540558E-2</v>
      </c>
    </row>
    <row r="53" spans="2:6" x14ac:dyDescent="0.25">
      <c r="B53">
        <v>43</v>
      </c>
      <c r="C53" t="s">
        <v>133</v>
      </c>
      <c r="D53" t="s">
        <v>242</v>
      </c>
      <c r="E53">
        <v>0.84374741070500003</v>
      </c>
      <c r="F53" s="335">
        <v>0.178687822675</v>
      </c>
    </row>
    <row r="54" spans="2:6" x14ac:dyDescent="0.25">
      <c r="B54">
        <v>44</v>
      </c>
      <c r="C54" t="s">
        <v>134</v>
      </c>
      <c r="D54" t="s">
        <v>242</v>
      </c>
      <c r="E54">
        <v>-17.092202073927201</v>
      </c>
      <c r="F54">
        <v>2.7220288019000001</v>
      </c>
    </row>
    <row r="55" spans="2:6" x14ac:dyDescent="0.25">
      <c r="B55">
        <v>45</v>
      </c>
      <c r="C55" t="s">
        <v>136</v>
      </c>
      <c r="D55" t="s">
        <v>242</v>
      </c>
      <c r="E55">
        <v>-4.6499214915950997</v>
      </c>
      <c r="F55">
        <v>0.678544989012</v>
      </c>
    </row>
    <row r="56" spans="2:6" x14ac:dyDescent="0.25">
      <c r="B56">
        <v>46</v>
      </c>
      <c r="C56" t="s">
        <v>138</v>
      </c>
      <c r="D56" t="s">
        <v>242</v>
      </c>
      <c r="E56">
        <v>0.11007373396759999</v>
      </c>
      <c r="F56">
        <v>0.316542075087</v>
      </c>
    </row>
    <row r="57" spans="2:6" x14ac:dyDescent="0.25">
      <c r="B57">
        <v>47</v>
      </c>
      <c r="C57" t="s">
        <v>140</v>
      </c>
      <c r="D57" t="s">
        <v>242</v>
      </c>
      <c r="E57">
        <v>-2.6006433832395999</v>
      </c>
      <c r="F57">
        <v>0.198666198524</v>
      </c>
    </row>
    <row r="58" spans="2:6" x14ac:dyDescent="0.25">
      <c r="B58">
        <v>48</v>
      </c>
      <c r="C58" t="s">
        <v>143</v>
      </c>
      <c r="D58" t="s">
        <v>242</v>
      </c>
      <c r="E58">
        <v>0.16683062839400001</v>
      </c>
      <c r="F58" s="335">
        <v>3.6092162993199998E-2</v>
      </c>
    </row>
    <row r="59" spans="2:6" x14ac:dyDescent="0.25">
      <c r="B59">
        <v>49</v>
      </c>
      <c r="C59" t="s">
        <v>145</v>
      </c>
      <c r="D59" t="s">
        <v>242</v>
      </c>
      <c r="E59">
        <v>0.80686039286800004</v>
      </c>
      <c r="F59" s="335">
        <v>0.18430849226599999</v>
      </c>
    </row>
    <row r="60" spans="2:6" x14ac:dyDescent="0.25">
      <c r="B60">
        <v>50</v>
      </c>
      <c r="C60" t="s">
        <v>146</v>
      </c>
      <c r="D60" t="s">
        <v>242</v>
      </c>
      <c r="E60">
        <v>-10.020777192745999</v>
      </c>
      <c r="F60">
        <v>2.32184701625</v>
      </c>
    </row>
    <row r="61" spans="2:6" x14ac:dyDescent="0.25">
      <c r="B61">
        <v>51</v>
      </c>
      <c r="C61" t="s">
        <v>147</v>
      </c>
      <c r="D61" t="s">
        <v>242</v>
      </c>
      <c r="E61">
        <v>-4.7109881624506</v>
      </c>
      <c r="F61">
        <v>0.59301229503800001</v>
      </c>
    </row>
    <row r="62" spans="2:6" x14ac:dyDescent="0.25">
      <c r="B62">
        <v>52</v>
      </c>
      <c r="C62" t="s">
        <v>148</v>
      </c>
      <c r="D62" t="s">
        <v>242</v>
      </c>
      <c r="E62">
        <v>-1.2671613377644</v>
      </c>
      <c r="F62">
        <v>0.29029353811199998</v>
      </c>
    </row>
    <row r="63" spans="2:6" x14ac:dyDescent="0.25">
      <c r="B63">
        <v>53</v>
      </c>
      <c r="C63" t="s">
        <v>149</v>
      </c>
      <c r="D63" t="s">
        <v>242</v>
      </c>
      <c r="E63">
        <v>-1.1289015585513</v>
      </c>
      <c r="F63">
        <v>0.18935293258499999</v>
      </c>
    </row>
    <row r="64" spans="2:6" x14ac:dyDescent="0.25">
      <c r="B64">
        <v>54</v>
      </c>
      <c r="C64" t="s">
        <v>150</v>
      </c>
      <c r="D64" t="s">
        <v>242</v>
      </c>
      <c r="E64">
        <v>0.21306405683599999</v>
      </c>
      <c r="F64" s="335">
        <v>4.0484886653700002E-2</v>
      </c>
    </row>
    <row r="65" spans="2:6" x14ac:dyDescent="0.25">
      <c r="B65">
        <v>55</v>
      </c>
      <c r="C65" t="s">
        <v>152</v>
      </c>
      <c r="D65" t="s">
        <v>242</v>
      </c>
      <c r="E65">
        <v>0.49322187999099998</v>
      </c>
      <c r="F65" s="335">
        <v>4.4144582285800003E-2</v>
      </c>
    </row>
    <row r="66" spans="2:6" x14ac:dyDescent="0.25">
      <c r="B66">
        <v>56</v>
      </c>
      <c r="C66" t="s">
        <v>153</v>
      </c>
      <c r="D66" t="s">
        <v>242</v>
      </c>
      <c r="E66">
        <v>-0.81297460986500003</v>
      </c>
      <c r="F66" s="335">
        <v>4.4146608637300001E-2</v>
      </c>
    </row>
    <row r="67" spans="2:6" x14ac:dyDescent="0.25">
      <c r="B67">
        <v>57</v>
      </c>
      <c r="C67" t="s">
        <v>154</v>
      </c>
      <c r="D67" t="s">
        <v>242</v>
      </c>
      <c r="E67" s="335">
        <v>8.0759501397E-2</v>
      </c>
      <c r="F67" s="335">
        <v>2.06933444566E-2</v>
      </c>
    </row>
    <row r="68" spans="2:6" x14ac:dyDescent="0.25">
      <c r="B68">
        <v>70</v>
      </c>
      <c r="C68" t="s">
        <v>155</v>
      </c>
      <c r="D68" t="s">
        <v>242</v>
      </c>
      <c r="E68" s="335">
        <v>0.29053029913700001</v>
      </c>
      <c r="F68" s="335">
        <v>1.13080873111E-2</v>
      </c>
    </row>
    <row r="69" spans="2:6" x14ac:dyDescent="0.25">
      <c r="B69">
        <v>71</v>
      </c>
      <c r="C69" t="s">
        <v>156</v>
      </c>
      <c r="D69" t="s">
        <v>241</v>
      </c>
      <c r="E69">
        <v>0</v>
      </c>
      <c r="F69" s="335">
        <v>0</v>
      </c>
    </row>
    <row r="70" spans="2:6" x14ac:dyDescent="0.25">
      <c r="B70">
        <v>72</v>
      </c>
      <c r="C70" t="s">
        <v>158</v>
      </c>
      <c r="D70" t="s">
        <v>242</v>
      </c>
      <c r="E70">
        <v>-3.51218611463</v>
      </c>
      <c r="F70">
        <v>1.10016104602</v>
      </c>
    </row>
    <row r="71" spans="2:6" x14ac:dyDescent="0.25">
      <c r="B71">
        <v>73</v>
      </c>
      <c r="C71" t="s">
        <v>160</v>
      </c>
      <c r="D71" t="s">
        <v>242</v>
      </c>
      <c r="E71">
        <v>-1.9512398226400001</v>
      </c>
      <c r="F71">
        <v>1.3061635869799999</v>
      </c>
    </row>
    <row r="72" spans="2:6" x14ac:dyDescent="0.25">
      <c r="B72">
        <v>74</v>
      </c>
      <c r="C72" t="s">
        <v>162</v>
      </c>
      <c r="D72" t="s">
        <v>242</v>
      </c>
      <c r="E72">
        <v>-2.2875988415099999</v>
      </c>
      <c r="F72">
        <v>0.68287455172</v>
      </c>
    </row>
    <row r="73" spans="2:6" x14ac:dyDescent="0.25">
      <c r="B73">
        <v>75</v>
      </c>
      <c r="C73" t="s">
        <v>164</v>
      </c>
      <c r="D73" t="s">
        <v>242</v>
      </c>
      <c r="E73">
        <v>-2.97270473739</v>
      </c>
      <c r="F73">
        <v>0.801285272145</v>
      </c>
    </row>
    <row r="74" spans="2:6" x14ac:dyDescent="0.25">
      <c r="B74">
        <v>76</v>
      </c>
      <c r="C74" t="s">
        <v>166</v>
      </c>
      <c r="D74" t="s">
        <v>242</v>
      </c>
      <c r="E74">
        <v>-2.2065775626700002</v>
      </c>
      <c r="F74">
        <v>0.71288966547400001</v>
      </c>
    </row>
    <row r="75" spans="2:6" x14ac:dyDescent="0.25">
      <c r="B75">
        <v>77</v>
      </c>
      <c r="C75" t="s">
        <v>168</v>
      </c>
      <c r="D75" t="s">
        <v>242</v>
      </c>
      <c r="E75">
        <v>-1.91608314575</v>
      </c>
      <c r="F75">
        <v>0.89189817863900001</v>
      </c>
    </row>
    <row r="76" spans="2:6" x14ac:dyDescent="0.25">
      <c r="B76">
        <v>78</v>
      </c>
      <c r="C76" t="s">
        <v>170</v>
      </c>
      <c r="D76" t="s">
        <v>242</v>
      </c>
      <c r="E76">
        <v>-2.9941803696</v>
      </c>
      <c r="F76">
        <v>0.73230805856600001</v>
      </c>
    </row>
    <row r="77" spans="2:6" x14ac:dyDescent="0.25">
      <c r="B77">
        <v>79</v>
      </c>
      <c r="C77" t="s">
        <v>172</v>
      </c>
      <c r="D77" t="s">
        <v>242</v>
      </c>
      <c r="E77">
        <v>-20.893048808300001</v>
      </c>
      <c r="F77">
        <v>1.3318572224</v>
      </c>
    </row>
    <row r="78" spans="2:6" x14ac:dyDescent="0.25">
      <c r="B78">
        <v>80</v>
      </c>
      <c r="C78" t="s">
        <v>174</v>
      </c>
      <c r="D78" t="s">
        <v>242</v>
      </c>
      <c r="E78">
        <v>-0.340851234339</v>
      </c>
      <c r="F78">
        <v>0.73993441747499999</v>
      </c>
    </row>
    <row r="79" spans="2:6" x14ac:dyDescent="0.25">
      <c r="B79">
        <v>81</v>
      </c>
      <c r="C79" t="s">
        <v>176</v>
      </c>
      <c r="D79" t="s">
        <v>242</v>
      </c>
      <c r="E79">
        <v>-3.5548804977600001</v>
      </c>
      <c r="F79">
        <v>1.7924879455</v>
      </c>
    </row>
    <row r="80" spans="2:6" x14ac:dyDescent="0.25">
      <c r="B80">
        <v>82</v>
      </c>
      <c r="C80" t="s">
        <v>178</v>
      </c>
      <c r="D80" t="s">
        <v>242</v>
      </c>
      <c r="E80">
        <v>-2.04042829643</v>
      </c>
      <c r="F80">
        <v>0.57123076706499998</v>
      </c>
    </row>
    <row r="81" spans="2:6" x14ac:dyDescent="0.25">
      <c r="B81">
        <v>83</v>
      </c>
      <c r="C81" t="s">
        <v>179</v>
      </c>
      <c r="D81" t="s">
        <v>242</v>
      </c>
      <c r="E81">
        <v>-3.1291070048599998</v>
      </c>
      <c r="F81">
        <v>0.70960900603900001</v>
      </c>
    </row>
    <row r="82" spans="2:6" x14ac:dyDescent="0.25">
      <c r="B82">
        <v>84</v>
      </c>
      <c r="C82" t="s">
        <v>181</v>
      </c>
      <c r="D82" t="s">
        <v>242</v>
      </c>
      <c r="E82">
        <v>-1.36058822067</v>
      </c>
      <c r="F82">
        <v>0.54117102218500002</v>
      </c>
    </row>
    <row r="83" spans="2:6" x14ac:dyDescent="0.25">
      <c r="B83">
        <v>85</v>
      </c>
      <c r="C83" t="s">
        <v>183</v>
      </c>
      <c r="D83" t="s">
        <v>242</v>
      </c>
      <c r="E83">
        <v>-3.7593502074299998</v>
      </c>
      <c r="F83">
        <v>0.90517580077699999</v>
      </c>
    </row>
    <row r="84" spans="2:6" x14ac:dyDescent="0.25">
      <c r="B84">
        <v>86</v>
      </c>
      <c r="C84" t="s">
        <v>185</v>
      </c>
      <c r="D84" t="s">
        <v>242</v>
      </c>
      <c r="E84">
        <v>-2.6162258391100002</v>
      </c>
      <c r="F84">
        <v>0.60159109194399996</v>
      </c>
    </row>
    <row r="85" spans="2:6" x14ac:dyDescent="0.25">
      <c r="B85">
        <v>87</v>
      </c>
      <c r="C85" t="s">
        <v>187</v>
      </c>
      <c r="D85" t="s">
        <v>242</v>
      </c>
      <c r="E85">
        <v>-18.920608679800001</v>
      </c>
      <c r="F85">
        <v>1.15389556702</v>
      </c>
    </row>
    <row r="86" spans="2:6" x14ac:dyDescent="0.25">
      <c r="B86">
        <v>88</v>
      </c>
      <c r="C86" t="s">
        <v>189</v>
      </c>
      <c r="D86" t="s">
        <v>241</v>
      </c>
      <c r="E86">
        <v>0</v>
      </c>
      <c r="F86">
        <v>0</v>
      </c>
    </row>
    <row r="87" spans="2:6" x14ac:dyDescent="0.25">
      <c r="B87">
        <v>89</v>
      </c>
      <c r="C87" t="s">
        <v>191</v>
      </c>
      <c r="D87" t="s">
        <v>242</v>
      </c>
      <c r="E87">
        <v>-6.14284833482</v>
      </c>
      <c r="F87">
        <v>0.878821332959</v>
      </c>
    </row>
    <row r="88" spans="2:6" x14ac:dyDescent="0.25">
      <c r="B88">
        <v>90</v>
      </c>
      <c r="C88" t="s">
        <v>193</v>
      </c>
      <c r="D88" t="s">
        <v>242</v>
      </c>
      <c r="E88">
        <v>-16.4745846271</v>
      </c>
      <c r="F88">
        <v>3.4758476738100001</v>
      </c>
    </row>
    <row r="89" spans="2:6" x14ac:dyDescent="0.25">
      <c r="B89">
        <v>91</v>
      </c>
      <c r="C89" t="s">
        <v>195</v>
      </c>
      <c r="D89" t="s">
        <v>242</v>
      </c>
      <c r="E89">
        <v>-9.3272520902899991</v>
      </c>
      <c r="F89">
        <v>0.81194250572399995</v>
      </c>
    </row>
    <row r="90" spans="2:6" x14ac:dyDescent="0.25">
      <c r="B90">
        <v>92</v>
      </c>
      <c r="C90" t="s">
        <v>197</v>
      </c>
      <c r="D90" t="s">
        <v>242</v>
      </c>
      <c r="E90">
        <v>-0.748114378523</v>
      </c>
      <c r="F90">
        <v>0.37548664507700003</v>
      </c>
    </row>
    <row r="91" spans="2:6" x14ac:dyDescent="0.25">
      <c r="B91">
        <v>93</v>
      </c>
      <c r="C91" t="s">
        <v>199</v>
      </c>
      <c r="D91" t="s">
        <v>242</v>
      </c>
      <c r="E91">
        <v>-0.29100107664500002</v>
      </c>
      <c r="F91">
        <v>0.38141528568499999</v>
      </c>
    </row>
    <row r="92" spans="2:6" x14ac:dyDescent="0.25">
      <c r="B92">
        <v>94</v>
      </c>
      <c r="C92" t="s">
        <v>201</v>
      </c>
      <c r="D92" t="s">
        <v>241</v>
      </c>
      <c r="E92">
        <v>0</v>
      </c>
      <c r="F92">
        <v>0</v>
      </c>
    </row>
    <row r="93" spans="2:6" x14ac:dyDescent="0.25">
      <c r="B93">
        <v>95</v>
      </c>
      <c r="C93" t="s">
        <v>203</v>
      </c>
      <c r="D93" t="s">
        <v>242</v>
      </c>
      <c r="E93">
        <v>-10.3298280696</v>
      </c>
      <c r="F93">
        <v>0.93444956582399996</v>
      </c>
    </row>
    <row r="94" spans="2:6" x14ac:dyDescent="0.25">
      <c r="B94">
        <v>96</v>
      </c>
      <c r="C94" t="s">
        <v>205</v>
      </c>
      <c r="D94" t="s">
        <v>242</v>
      </c>
      <c r="E94">
        <v>-16.742935323400001</v>
      </c>
      <c r="F94">
        <v>0.87728587361400001</v>
      </c>
    </row>
    <row r="95" spans="2:6" x14ac:dyDescent="0.25">
      <c r="B95">
        <v>97</v>
      </c>
      <c r="C95" t="s">
        <v>207</v>
      </c>
      <c r="D95" t="s">
        <v>242</v>
      </c>
      <c r="E95">
        <v>-6.97234539975</v>
      </c>
      <c r="F95">
        <v>0.84429798985799998</v>
      </c>
    </row>
    <row r="96" spans="2:6" x14ac:dyDescent="0.25">
      <c r="B96">
        <v>98</v>
      </c>
      <c r="C96" t="s">
        <v>209</v>
      </c>
      <c r="D96" t="s">
        <v>242</v>
      </c>
      <c r="E96">
        <v>-10.7755348742</v>
      </c>
      <c r="F96">
        <v>1.10642531916</v>
      </c>
    </row>
    <row r="97" spans="2:6" x14ac:dyDescent="0.25">
      <c r="B97">
        <v>99</v>
      </c>
      <c r="C97" t="s">
        <v>210</v>
      </c>
      <c r="D97" t="s">
        <v>242</v>
      </c>
      <c r="E97">
        <v>-11.547846395100001</v>
      </c>
      <c r="F97">
        <v>0.74733147077399997</v>
      </c>
    </row>
    <row r="98" spans="2:6" x14ac:dyDescent="0.25">
      <c r="B98">
        <v>100</v>
      </c>
      <c r="C98" t="s">
        <v>211</v>
      </c>
      <c r="D98" t="s">
        <v>241</v>
      </c>
      <c r="E98">
        <v>0</v>
      </c>
      <c r="F98">
        <v>0</v>
      </c>
    </row>
    <row r="99" spans="2:6" x14ac:dyDescent="0.25">
      <c r="B99">
        <v>101</v>
      </c>
      <c r="C99" t="s">
        <v>212</v>
      </c>
      <c r="D99" t="s">
        <v>242</v>
      </c>
      <c r="E99">
        <v>-11.0962758301</v>
      </c>
      <c r="F99">
        <v>0.74556172273099997</v>
      </c>
    </row>
    <row r="100" spans="2:6" x14ac:dyDescent="0.25">
      <c r="B100">
        <v>102</v>
      </c>
      <c r="C100" t="s">
        <v>213</v>
      </c>
      <c r="D100" t="s">
        <v>241</v>
      </c>
      <c r="E100">
        <v>0</v>
      </c>
      <c r="F100">
        <v>0</v>
      </c>
    </row>
    <row r="101" spans="2:6" x14ac:dyDescent="0.25">
      <c r="B101">
        <v>103</v>
      </c>
      <c r="C101" t="s">
        <v>214</v>
      </c>
      <c r="D101" t="s">
        <v>242</v>
      </c>
      <c r="E101">
        <v>-12.7257909892</v>
      </c>
      <c r="F101">
        <v>1.5440284820600001</v>
      </c>
    </row>
    <row r="102" spans="2:6" x14ac:dyDescent="0.25">
      <c r="B102">
        <v>104</v>
      </c>
      <c r="C102" t="s">
        <v>215</v>
      </c>
      <c r="D102" t="s">
        <v>242</v>
      </c>
      <c r="E102">
        <v>-12.5271034041</v>
      </c>
      <c r="F102">
        <v>0.667513404915</v>
      </c>
    </row>
    <row r="103" spans="2:6" x14ac:dyDescent="0.25">
      <c r="B103">
        <v>105</v>
      </c>
      <c r="C103" t="s">
        <v>216</v>
      </c>
      <c r="D103" t="s">
        <v>242</v>
      </c>
      <c r="E103">
        <v>-21.008822510800002</v>
      </c>
      <c r="F103">
        <v>2.1748440765799999</v>
      </c>
    </row>
    <row r="104" spans="2:6" x14ac:dyDescent="0.25">
      <c r="B104">
        <v>106</v>
      </c>
      <c r="C104" t="s">
        <v>217</v>
      </c>
      <c r="D104" t="s">
        <v>242</v>
      </c>
      <c r="E104">
        <v>-1.63176275226</v>
      </c>
      <c r="F104">
        <v>0.967651109555</v>
      </c>
    </row>
    <row r="105" spans="2:6" x14ac:dyDescent="0.25">
      <c r="B105">
        <v>107</v>
      </c>
      <c r="C105" t="s">
        <v>218</v>
      </c>
      <c r="D105" t="s">
        <v>242</v>
      </c>
      <c r="E105">
        <v>-4.6653914733199997</v>
      </c>
      <c r="F105">
        <v>2.61248252668</v>
      </c>
    </row>
    <row r="106" spans="2:6" x14ac:dyDescent="0.25">
      <c r="B106">
        <v>108</v>
      </c>
      <c r="C106" t="s">
        <v>220</v>
      </c>
      <c r="D106" t="s">
        <v>242</v>
      </c>
      <c r="E106">
        <v>-7.5050624753099999</v>
      </c>
      <c r="F106">
        <v>1.3833200651199999</v>
      </c>
    </row>
    <row r="107" spans="2:6" x14ac:dyDescent="0.25">
      <c r="B107">
        <v>109</v>
      </c>
      <c r="C107" t="s">
        <v>221</v>
      </c>
      <c r="D107" t="s">
        <v>242</v>
      </c>
      <c r="E107">
        <v>-7.2217481188799999</v>
      </c>
      <c r="F107">
        <v>1.5428659018799999</v>
      </c>
    </row>
    <row r="108" spans="2:6" x14ac:dyDescent="0.25">
      <c r="B108">
        <v>110</v>
      </c>
      <c r="C108" t="s">
        <v>222</v>
      </c>
      <c r="D108" t="s">
        <v>242</v>
      </c>
      <c r="E108">
        <v>-3.4793464222399999</v>
      </c>
      <c r="F108">
        <v>0.74775521117900001</v>
      </c>
    </row>
    <row r="109" spans="2:6" x14ac:dyDescent="0.25">
      <c r="B109">
        <v>111</v>
      </c>
      <c r="C109" t="s">
        <v>223</v>
      </c>
      <c r="D109" t="s">
        <v>241</v>
      </c>
      <c r="E109">
        <v>0</v>
      </c>
      <c r="F109">
        <v>0</v>
      </c>
    </row>
    <row r="110" spans="2:6" x14ac:dyDescent="0.25">
      <c r="B110">
        <v>112</v>
      </c>
      <c r="C110" t="s">
        <v>224</v>
      </c>
      <c r="D110" t="s">
        <v>241</v>
      </c>
      <c r="E110">
        <v>0</v>
      </c>
      <c r="F110">
        <v>0</v>
      </c>
    </row>
    <row r="111" spans="2:6" x14ac:dyDescent="0.25">
      <c r="B111">
        <v>113</v>
      </c>
      <c r="C111" t="s">
        <v>226</v>
      </c>
      <c r="D111" t="s">
        <v>242</v>
      </c>
      <c r="E111">
        <v>-2.23577200178</v>
      </c>
      <c r="F111">
        <v>2.4396907415000002</v>
      </c>
    </row>
    <row r="112" spans="2:6" x14ac:dyDescent="0.25">
      <c r="B112">
        <v>120</v>
      </c>
      <c r="C112" t="s">
        <v>286</v>
      </c>
      <c r="D112" t="s">
        <v>242</v>
      </c>
      <c r="E112">
        <v>3</v>
      </c>
      <c r="F112">
        <v>2.4396907415000002</v>
      </c>
    </row>
    <row r="113" spans="2:11" x14ac:dyDescent="0.25">
      <c r="B113">
        <v>-1</v>
      </c>
    </row>
    <row r="114" spans="2:11" x14ac:dyDescent="0.25">
      <c r="B114">
        <v>6224</v>
      </c>
      <c r="C114" s="335">
        <v>-7713.1262757699997</v>
      </c>
      <c r="D114" s="335">
        <v>-24166.840237699998</v>
      </c>
      <c r="E114" s="335">
        <v>-15453.864181499999</v>
      </c>
    </row>
    <row r="115" spans="2:11" x14ac:dyDescent="0.25">
      <c r="B115">
        <v>5</v>
      </c>
      <c r="C115" t="s">
        <v>287</v>
      </c>
      <c r="D115" t="s">
        <v>239</v>
      </c>
      <c r="E115">
        <v>24</v>
      </c>
      <c r="F115" t="s">
        <v>285</v>
      </c>
      <c r="G115">
        <v>12</v>
      </c>
    </row>
    <row r="116" spans="2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2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2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2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2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2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2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2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2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2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2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2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Z104"/>
  <sheetViews>
    <sheetView workbookViewId="0" zoomScaleNormal="100">
      <selection activeCell="K9" sqref="K9"/>
    </sheetView>
  </sheetViews>
  <sheetFormatPr defaultRowHeight="15" x14ac:dyDescent="0.25"/>
  <cols>
    <col min="1" max="2" style="297" width="9.140625" collapsed="true"/>
    <col min="3" max="3" bestFit="true" customWidth="true" style="297" width="12.7109375" collapsed="true"/>
    <col min="4" max="4" customWidth="true" style="296" width="18.85546875" collapsed="true"/>
    <col min="5" max="5" customWidth="true" style="297" width="6.7109375" collapsed="true"/>
    <col min="6" max="6" customWidth="true" style="297" width="12.7109375" collapsed="true"/>
    <col min="7" max="7" customWidth="true" style="296" width="18.85546875" collapsed="true"/>
    <col min="8" max="8" customWidth="true" style="296" width="8.7109375" collapsed="true"/>
    <col min="9" max="9" customWidth="true" style="296" width="9.5703125" collapsed="true"/>
    <col min="10" max="10" customWidth="true" style="296" width="10.140625" collapsed="true"/>
    <col min="11" max="11" customWidth="true" style="296" width="9.85546875" collapsed="true"/>
    <col min="12" max="14" style="297" width="9.140625" collapsed="true"/>
    <col min="15" max="15" customWidth="true" style="297" width="13.0" collapsed="true"/>
    <col min="16" max="16" bestFit="true" customWidth="true" style="299" width="19.5703125" collapsed="true"/>
    <col min="17" max="17" customWidth="true" style="333" width="19.5703125" collapsed="true"/>
    <col min="18" max="16384" style="297" width="9.140625" collapsed="true"/>
  </cols>
  <sheetData>
    <row r="1" spans="3:25" x14ac:dyDescent="0.25">
      <c r="C1" s="10" t="s">
        <v>40</v>
      </c>
      <c r="F1" s="10" t="s">
        <v>41</v>
      </c>
      <c r="N1" s="298" t="s">
        <v>260</v>
      </c>
      <c r="S1" s="298"/>
      <c r="T1" s="298" t="s">
        <v>260</v>
      </c>
      <c r="U1" s="321"/>
      <c r="V1" s="321"/>
      <c r="W1" s="321"/>
      <c r="X1" s="321"/>
      <c r="Y1" s="321"/>
    </row>
    <row ht="15.75" r="2" spans="3:25" thickBot="1" x14ac:dyDescent="0.3">
      <c r="C2" s="298" t="s">
        <v>43</v>
      </c>
      <c r="M2" s="10" t="s">
        <v>91</v>
      </c>
      <c r="N2" s="10" t="s">
        <v>255</v>
      </c>
      <c r="O2" s="10" t="s">
        <v>256</v>
      </c>
      <c r="P2" s="348" t="s">
        <v>258</v>
      </c>
      <c r="Q2" s="349" t="s">
        <v>259</v>
      </c>
      <c r="T2" s="321"/>
      <c r="U2" s="298" t="s">
        <v>262</v>
      </c>
      <c r="V2"/>
      <c r="W2" s="321"/>
      <c r="X2" s="321"/>
      <c r="Y2" s="321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5"/>
      <c r="I3" s="365"/>
      <c r="J3" s="365"/>
      <c r="K3" s="365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6">
        <f>_xlfn.IFNA(VLOOKUP(N3,$B$43:$D$46,3,FALSE),P3)</f>
        <v>1</v>
      </c>
      <c r="T3">
        <v>1</v>
      </c>
      <c r="U3" s="294" t="s">
        <v>278</v>
      </c>
      <c r="V3"/>
      <c r="W3" s="321"/>
      <c r="X3" s="321"/>
      <c r="Y3" s="321"/>
    </row>
    <row r="4" spans="3:25" x14ac:dyDescent="0.25">
      <c r="C4" s="303" t="s">
        <v>47</v>
      </c>
      <c r="D4" s="304">
        <f>TLFD!B11</f>
        <v>100403.70738223848</v>
      </c>
      <c r="F4" s="303" t="s">
        <v>47</v>
      </c>
      <c r="G4" s="304">
        <f>TLFD!F11</f>
        <v>67764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13.7073027249</v>
      </c>
      <c r="Q4" s="336">
        <f>_xlfn.IFNA(VLOOKUP(N4,$B$43:$D$46,3,FALSE),P4)</f>
        <v>13.7073027249</v>
      </c>
      <c r="T4">
        <v>2</v>
      </c>
      <c r="U4" s="294" t="s">
        <v>270</v>
      </c>
      <c r="V4"/>
      <c r="W4" s="321"/>
      <c r="X4" s="321"/>
      <c r="Y4" s="321"/>
    </row>
    <row r="5" spans="3:25" x14ac:dyDescent="0.25">
      <c r="C5" s="306" t="s">
        <v>50</v>
      </c>
      <c r="D5" s="307">
        <f>TLFD!B12+TLFD!B13+(TLFD!B14/2)</f>
        <v>111175.10144089346</v>
      </c>
      <c r="F5" s="306" t="s">
        <v>50</v>
      </c>
      <c r="G5" s="307">
        <f>TLFD!F12+TLFD!F13+(TLFD!F14/2)</f>
        <v>138115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7.0220312730799997E-2</v>
      </c>
      <c r="Q5" s="336">
        <f ref="Q5:Q68" si="0" t="shared">_xlfn.IFNA(VLOOKUP(N5,$B$43:$D$46,3,FALSE),P5)</f>
        <v>7.0220312730799997E-2</v>
      </c>
      <c r="T5">
        <v>3</v>
      </c>
      <c r="U5" s="321" t="s">
        <v>272</v>
      </c>
      <c r="V5" s="321"/>
      <c r="W5" s="321"/>
      <c r="X5" s="321"/>
      <c r="Y5" s="321"/>
    </row>
    <row r="6" spans="3:25" x14ac:dyDescent="0.25">
      <c r="C6" s="306" t="s">
        <v>53</v>
      </c>
      <c r="D6" s="307">
        <f>(TLFD!B14/2)+SUM(TLFD!B15:B20)</f>
        <v>129344.97137664066</v>
      </c>
      <c r="F6" s="306" t="s">
        <v>53</v>
      </c>
      <c r="G6" s="307">
        <f>(TLFD!F14/2)+SUM(TLFD!F15:F20)</f>
        <v>134932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-3.3904088920700001E-2</v>
      </c>
      <c r="Q6" s="336">
        <f si="0" t="shared"/>
        <v>-3.3904088920700001E-2</v>
      </c>
      <c r="T6">
        <v>4</v>
      </c>
      <c r="U6" s="321" t="s">
        <v>263</v>
      </c>
      <c r="V6" s="321"/>
      <c r="W6" s="321"/>
      <c r="X6" s="321"/>
      <c r="Y6" s="321"/>
    </row>
    <row r="7" spans="3:25" x14ac:dyDescent="0.25">
      <c r="C7" s="309" t="s">
        <v>56</v>
      </c>
      <c r="D7" s="310">
        <f>SUM(TLFD!B21:B101)</f>
        <v>49309.608531972568</v>
      </c>
      <c r="F7" s="309" t="s">
        <v>56</v>
      </c>
      <c r="G7" s="310">
        <f>SUM(TLFD!F21:F101)</f>
        <v>52972</v>
      </c>
      <c r="H7" s="366"/>
      <c r="I7" s="366"/>
      <c r="J7" s="366"/>
      <c r="K7" s="366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0.14394271350499999</v>
      </c>
      <c r="Q7" s="336">
        <f si="0" t="shared"/>
        <v>0.14394271350499999</v>
      </c>
      <c r="T7" s="321">
        <v>5</v>
      </c>
      <c r="U7" s="321" t="s">
        <v>264</v>
      </c>
      <c r="V7" s="321"/>
      <c r="W7" s="321"/>
      <c r="X7" s="321"/>
      <c r="Y7" s="321"/>
    </row>
    <row ht="15.75" r="8" spans="3:25" thickBot="1" x14ac:dyDescent="0.3">
      <c r="C8" s="312" t="s">
        <v>4</v>
      </c>
      <c r="D8" s="313">
        <f>SUM(D4:D7)</f>
        <v>390233.38873174519</v>
      </c>
      <c r="E8" s="314"/>
      <c r="F8" s="312" t="s">
        <v>4</v>
      </c>
      <c r="G8" s="313">
        <f>SUM(G4:G7)</f>
        <v>393783</v>
      </c>
      <c r="H8" s="367"/>
      <c r="I8" s="367"/>
      <c r="J8" s="367" t="s">
        <v>280</v>
      </c>
      <c r="K8" s="378">
        <v>0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0.36721258210199997</v>
      </c>
      <c r="Q8" s="336">
        <f si="0" t="shared"/>
        <v>0.36721258210199997</v>
      </c>
      <c r="T8" s="321"/>
      <c r="U8" s="321"/>
      <c r="V8" s="321"/>
      <c r="W8" s="321"/>
      <c r="X8" s="321"/>
      <c r="Y8" s="321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-6.4918460355300001</v>
      </c>
      <c r="Q9" s="336">
        <f si="0" t="shared"/>
        <v>-6.4918460355300001</v>
      </c>
      <c r="T9" s="321"/>
      <c r="U9" s="359" t="s">
        <v>265</v>
      </c>
      <c r="V9" s="321"/>
      <c r="W9" s="321"/>
      <c r="X9" s="321"/>
      <c r="Y9" s="321"/>
    </row>
    <row ht="15.75" r="10" spans="3:25" thickBot="1" x14ac:dyDescent="0.3">
      <c r="C10" s="315" t="s">
        <v>63</v>
      </c>
      <c r="I10" s="377" t="s">
        <v>279</v>
      </c>
      <c r="J10" s="369"/>
      <c r="K10" s="369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1.39963442933</v>
      </c>
      <c r="Q10" s="336">
        <f si="0" t="shared"/>
        <v>1.39963442933</v>
      </c>
      <c r="T10" s="321">
        <v>1</v>
      </c>
      <c r="U10" s="294" t="s">
        <v>278</v>
      </c>
      <c r="V10" s="321"/>
      <c r="W10" s="321"/>
      <c r="X10" s="321"/>
      <c r="Y10" s="321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5"/>
      <c r="I11" s="301" t="s">
        <v>275</v>
      </c>
      <c r="J11" s="301" t="s">
        <v>276</v>
      </c>
      <c r="K11" s="301" t="s">
        <v>277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0.66317866364400002</v>
      </c>
      <c r="Q11" s="336">
        <f si="0" t="shared"/>
        <v>0.66317866364400002</v>
      </c>
      <c r="T11" s="321">
        <v>2</v>
      </c>
      <c r="U11" s="321" t="s">
        <v>266</v>
      </c>
      <c r="V11" s="321"/>
      <c r="W11" s="321"/>
      <c r="X11" s="321"/>
      <c r="Y11" s="321"/>
    </row>
    <row r="12" spans="3:25" x14ac:dyDescent="0.25">
      <c r="C12" s="303" t="s">
        <v>47</v>
      </c>
      <c r="D12" s="317">
        <f>D4/D$8</f>
        <v>0.25729143195191367</v>
      </c>
      <c r="F12" s="303" t="s">
        <v>47</v>
      </c>
      <c r="G12" s="317">
        <f>G4/G$8</f>
        <v>0.17208462528854723</v>
      </c>
      <c r="H12" s="317"/>
      <c r="I12" s="370">
        <f>D12/G12</f>
        <v>1.4951447958845467</v>
      </c>
      <c r="J12" s="371">
        <f>LN(I12)</f>
        <v>0.40222305558713811</v>
      </c>
      <c r="K12" s="371">
        <f>K8*J12</f>
        <v>0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-0.38108886824999999</v>
      </c>
      <c r="Q12" s="336">
        <f si="0" t="shared"/>
        <v>-0.38108886824999999</v>
      </c>
      <c r="T12" s="321">
        <v>3</v>
      </c>
      <c r="U12" s="321" t="s">
        <v>267</v>
      </c>
      <c r="V12" s="321"/>
      <c r="W12" s="321"/>
      <c r="X12" s="321"/>
      <c r="Y12" s="321"/>
    </row>
    <row r="13" spans="3:25" x14ac:dyDescent="0.25">
      <c r="C13" s="306" t="s">
        <v>50</v>
      </c>
      <c r="D13" s="318">
        <f ref="D13:D16" si="1" t="shared">D5/D$8</f>
        <v>0.28489387287492618</v>
      </c>
      <c r="F13" s="306" t="s">
        <v>50</v>
      </c>
      <c r="G13" s="318">
        <f ref="G13:G16" si="2" t="shared">G5/G$8</f>
        <v>0.35073885871152388</v>
      </c>
      <c r="H13" s="318"/>
      <c r="I13" s="370">
        <f ref="I13:I15" si="3" t="shared">D13/G13</f>
        <v>0.812267776434906</v>
      </c>
      <c r="J13" s="371">
        <f ref="J13:J15" si="4" t="shared">LN(I13)</f>
        <v>-0.20792521924931834</v>
      </c>
      <c r="K13" s="371">
        <f>K8*(J13-J12)</f>
        <v>0</v>
      </c>
      <c r="L13" s="371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-0.73323034645999996</v>
      </c>
      <c r="Q13" s="336">
        <f si="0" t="shared"/>
        <v>-0.73323034645999996</v>
      </c>
      <c r="T13" s="321">
        <v>4</v>
      </c>
      <c r="U13" s="321" t="s">
        <v>268</v>
      </c>
      <c r="V13" s="321"/>
      <c r="W13" s="321"/>
      <c r="X13" s="321"/>
      <c r="Y13" s="321"/>
    </row>
    <row r="14" spans="3:25" x14ac:dyDescent="0.25">
      <c r="C14" s="306" t="s">
        <v>53</v>
      </c>
      <c r="D14" s="318">
        <f si="1" t="shared"/>
        <v>0.33145541901734904</v>
      </c>
      <c r="F14" s="306" t="s">
        <v>53</v>
      </c>
      <c r="G14" s="318">
        <f si="2" t="shared"/>
        <v>0.34265572663116489</v>
      </c>
      <c r="H14" s="318"/>
      <c r="I14" s="370">
        <f si="3" t="shared"/>
        <v>0.96731323382821532</v>
      </c>
      <c r="J14" s="371">
        <f si="4" t="shared"/>
        <v>-3.323291268365041E-2</v>
      </c>
      <c r="K14" s="371">
        <f>K8*(J14-J13-J12)</f>
        <v>0</v>
      </c>
      <c r="L14" s="371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-0.913115187153</v>
      </c>
      <c r="Q14" s="336">
        <f si="0" t="shared"/>
        <v>-0.913115187153</v>
      </c>
      <c r="T14" s="321">
        <v>5</v>
      </c>
      <c r="U14" s="294" t="s">
        <v>271</v>
      </c>
      <c r="V14" s="321"/>
      <c r="W14" s="321"/>
      <c r="X14" s="321"/>
      <c r="Y14" s="321"/>
    </row>
    <row ht="15.75" r="15" spans="3:25" thickBot="1" x14ac:dyDescent="0.3">
      <c r="C15" s="309" t="s">
        <v>56</v>
      </c>
      <c r="D15" s="318">
        <f si="1" t="shared"/>
        <v>0.12635927615581108</v>
      </c>
      <c r="F15" s="309" t="s">
        <v>56</v>
      </c>
      <c r="G15" s="318">
        <f si="2" t="shared"/>
        <v>0.13452078936876402</v>
      </c>
      <c r="H15" s="318"/>
      <c r="I15" s="372">
        <f si="3" t="shared"/>
        <v>0.93932898215026339</v>
      </c>
      <c r="J15" s="373">
        <f si="4" t="shared"/>
        <v>-6.2589507405760067E-2</v>
      </c>
      <c r="K15" s="373">
        <f>K8*(J15-J14-J13-J12)</f>
        <v>0</v>
      </c>
      <c r="L15" s="371"/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-0.56168035354400003</v>
      </c>
      <c r="Q15" s="336">
        <f si="0" t="shared"/>
        <v>-0.56168035354400003</v>
      </c>
      <c r="T15" s="321">
        <v>6</v>
      </c>
      <c r="U15" s="321" t="s">
        <v>273</v>
      </c>
      <c r="V15" s="321"/>
      <c r="W15" s="321"/>
      <c r="X15" s="321"/>
      <c r="Y15" s="321"/>
    </row>
    <row ht="15.75" r="16" spans="3:25" thickBot="1" x14ac:dyDescent="0.3">
      <c r="C16" s="312" t="s">
        <v>4</v>
      </c>
      <c r="D16" s="319">
        <f si="1" t="shared"/>
        <v>1</v>
      </c>
      <c r="E16" s="314"/>
      <c r="F16" s="312" t="s">
        <v>4</v>
      </c>
      <c r="G16" s="319">
        <f si="2" t="shared"/>
        <v>1</v>
      </c>
      <c r="H16" s="368"/>
      <c r="I16" s="370"/>
      <c r="J16" s="370"/>
      <c r="K16" s="370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-0.30132725845199998</v>
      </c>
      <c r="Q16" s="336">
        <f si="0" t="shared"/>
        <v>-0.30132725845199998</v>
      </c>
      <c r="T16" s="321">
        <v>7</v>
      </c>
      <c r="U16" s="321" t="s">
        <v>263</v>
      </c>
      <c r="V16" s="321"/>
      <c r="W16" s="321"/>
      <c r="X16" s="321"/>
      <c r="Y16" s="321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1.97893419319</v>
      </c>
      <c r="Q17" s="336">
        <f si="0" t="shared"/>
        <v>1.97893419319</v>
      </c>
      <c r="T17" s="321">
        <v>8</v>
      </c>
      <c r="U17" s="321" t="s">
        <v>269</v>
      </c>
      <c r="V17" s="321"/>
      <c r="W17" s="321"/>
      <c r="X17" s="321"/>
      <c r="Y17" s="321"/>
    </row>
    <row r="18" spans="2:25" x14ac:dyDescent="0.25">
      <c r="I18" s="374"/>
      <c r="J18" s="374"/>
      <c r="K18" s="371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0.89286126056000004</v>
      </c>
      <c r="Q18" s="336">
        <f si="0" t="shared"/>
        <v>0.89286126056000004</v>
      </c>
    </row>
    <row r="19" spans="2:25" x14ac:dyDescent="0.25">
      <c r="C19" s="320" t="s">
        <v>82</v>
      </c>
      <c r="I19" s="374"/>
      <c r="J19" s="374"/>
      <c r="K19" s="371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6">
        <f si="0" t="shared"/>
        <v>0</v>
      </c>
    </row>
    <row r="20" spans="2:25" x14ac:dyDescent="0.25">
      <c r="C20" s="320" t="s">
        <v>85</v>
      </c>
      <c r="I20" s="374"/>
      <c r="J20" s="374"/>
      <c r="K20" s="371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6">
        <f si="0" t="shared"/>
        <v>0</v>
      </c>
    </row>
    <row ht="15.75" r="21" spans="2:25" thickBot="1" x14ac:dyDescent="0.3">
      <c r="C21" s="321"/>
      <c r="I21" s="374"/>
      <c r="J21" s="374"/>
      <c r="K21" s="371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6">
        <f si="0" t="shared"/>
        <v>0</v>
      </c>
    </row>
    <row r="22" spans="2:25" x14ac:dyDescent="0.25">
      <c r="B22" s="347" t="s">
        <v>255</v>
      </c>
      <c r="C22" s="322" t="s">
        <v>91</v>
      </c>
      <c r="D22" s="323"/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0.55927220197000005</v>
      </c>
      <c r="Q22" s="336">
        <f si="0" t="shared"/>
        <v>0.55927220197000005</v>
      </c>
    </row>
    <row r="23" spans="2:25" x14ac:dyDescent="0.25">
      <c r="B23" s="344">
        <v>50</v>
      </c>
      <c r="C23" s="303" t="s">
        <v>47</v>
      </c>
      <c r="D23" s="360">
        <f>VLOOKUP($B23,$N:$P,3,FALSE)</f>
        <v>-10.020777192745999</v>
      </c>
      <c r="F23" s="306">
        <f>D8</f>
        <v>390233.38873174519</v>
      </c>
      <c r="G23" s="306">
        <f>G8</f>
        <v>393783</v>
      </c>
      <c r="H23" s="380">
        <f>F23/F$23</f>
        <v>1</v>
      </c>
      <c r="I23" s="380">
        <f>G23/G$23</f>
        <v>1</v>
      </c>
      <c r="J23" s="370">
        <f>H23/I23</f>
        <v>1</v>
      </c>
      <c r="K23" s="371">
        <f>LN(J23)</f>
        <v>0</v>
      </c>
      <c r="L23" s="371">
        <f>K8*K23</f>
        <v>0</v>
      </c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-10.6100761267462</v>
      </c>
      <c r="Q23" s="336">
        <f si="0" t="shared"/>
        <v>-10.6100761267462</v>
      </c>
    </row>
    <row r="24" spans="2:25" x14ac:dyDescent="0.25">
      <c r="B24" s="344">
        <v>51</v>
      </c>
      <c r="C24" s="306" t="s">
        <v>50</v>
      </c>
      <c r="D24" s="360">
        <f ref="D24:D26" si="5" t="shared">VLOOKUP($B24,$N:$P,3,FALSE)</f>
        <v>-4.7109881624506</v>
      </c>
      <c r="F24" s="306">
        <f>F23-D4</f>
        <v>289829.68134950672</v>
      </c>
      <c r="G24" s="306">
        <f>G23-G4</f>
        <v>326019</v>
      </c>
      <c r="H24" s="380">
        <f ref="H24:H26" si="6" t="shared">F24/F$23</f>
        <v>0.74270856804808638</v>
      </c>
      <c r="I24" s="380">
        <f ref="I24:I26" si="7" t="shared">G24/G$23</f>
        <v>0.82791537471145271</v>
      </c>
      <c r="J24" s="370">
        <f ref="J24:J26" si="8" t="shared">H24/I24</f>
        <v>0.89708271006192775</v>
      </c>
      <c r="K24" s="371">
        <f ref="K24:K26" si="9" t="shared">LN(J24)</f>
        <v>-0.10860721374728614</v>
      </c>
      <c r="L24" s="296"/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-9.3491031588377993</v>
      </c>
      <c r="Q24" s="336">
        <f si="0" t="shared"/>
        <v>-9.3491031588377993</v>
      </c>
    </row>
    <row r="25" spans="2:25" x14ac:dyDescent="0.25">
      <c r="B25" s="344">
        <v>52</v>
      </c>
      <c r="C25" s="306" t="s">
        <v>53</v>
      </c>
      <c r="D25" s="360">
        <f si="5" t="shared"/>
        <v>-1.2671613377644</v>
      </c>
      <c r="F25" s="306">
        <f>F24-D5</f>
        <v>178654.57990861326</v>
      </c>
      <c r="G25" s="306">
        <f>G24-G5</f>
        <v>187904</v>
      </c>
      <c r="H25" s="380">
        <f si="6" t="shared"/>
        <v>0.4578146951731602</v>
      </c>
      <c r="I25" s="380">
        <f si="7" t="shared"/>
        <v>0.47717651599992889</v>
      </c>
      <c r="J25" s="370">
        <f si="8" t="shared"/>
        <v>0.95942419591585359</v>
      </c>
      <c r="K25" s="371">
        <f si="9" t="shared"/>
        <v>-4.1421970390773312E-2</v>
      </c>
      <c r="L25" s="296"/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-4.0525569260302001</v>
      </c>
      <c r="Q25" s="336">
        <f si="0" t="shared"/>
        <v>-4.0525569260302001</v>
      </c>
    </row>
    <row ht="15.75" r="26" spans="2:25" thickBot="1" x14ac:dyDescent="0.3">
      <c r="B26" s="346">
        <v>53</v>
      </c>
      <c r="C26" s="325" t="s">
        <v>56</v>
      </c>
      <c r="D26" s="361">
        <f si="5" t="shared"/>
        <v>-1.1289015585513</v>
      </c>
      <c r="F26" s="306">
        <f>F25-D6</f>
        <v>49309.608531972597</v>
      </c>
      <c r="G26" s="306">
        <f>G25-G6</f>
        <v>52972</v>
      </c>
      <c r="H26" s="380">
        <f si="6" t="shared"/>
        <v>0.12635927615581116</v>
      </c>
      <c r="I26" s="380">
        <f si="7" t="shared"/>
        <v>0.13452078936876402</v>
      </c>
      <c r="J26" s="370">
        <f si="8" t="shared"/>
        <v>0.93932898215026395</v>
      </c>
      <c r="K26" s="371">
        <f si="9" t="shared"/>
        <v>-6.258950740575947E-2</v>
      </c>
      <c r="L26" s="296"/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0.21220129380800001</v>
      </c>
      <c r="Q26" s="336">
        <f si="0" t="shared"/>
        <v>0.21220129380800001</v>
      </c>
    </row>
    <row r="27" spans="2:25" x14ac:dyDescent="0.25">
      <c r="C27" s="321"/>
      <c r="D27" s="327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-0.156772126135</v>
      </c>
      <c r="Q27" s="336">
        <f si="0" t="shared"/>
        <v>-0.156772126135</v>
      </c>
    </row>
    <row r="28" spans="2:25" x14ac:dyDescent="0.25">
      <c r="C28" s="321"/>
      <c r="D28" s="327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0.78053827557199995</v>
      </c>
      <c r="Q28" s="336">
        <f si="0" t="shared"/>
        <v>0.78053827557199995</v>
      </c>
    </row>
    <row r="29" spans="2:25" x14ac:dyDescent="0.25">
      <c r="C29" s="320" t="s">
        <v>82</v>
      </c>
      <c r="D29" s="328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-10.801432269311199</v>
      </c>
      <c r="Q29" s="336">
        <f si="0" t="shared"/>
        <v>-10.801432269311199</v>
      </c>
    </row>
    <row r="30" spans="2:25" x14ac:dyDescent="0.25">
      <c r="C30" s="320" t="s">
        <v>107</v>
      </c>
      <c r="D30" s="328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-6.3576746947949996</v>
      </c>
      <c r="Q30" s="336">
        <f si="0" t="shared"/>
        <v>-6.3576746947949996</v>
      </c>
    </row>
    <row ht="15.75" r="31" spans="2:25" thickBot="1" x14ac:dyDescent="0.3">
      <c r="C31" s="321"/>
      <c r="D31" s="327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-2.8344072250191998</v>
      </c>
      <c r="Q31" s="336">
        <f si="0" t="shared"/>
        <v>-2.8344072250191998</v>
      </c>
    </row>
    <row r="32" spans="2:25" x14ac:dyDescent="0.25">
      <c r="B32" s="347" t="s">
        <v>255</v>
      </c>
      <c r="C32" s="322" t="s">
        <v>91</v>
      </c>
      <c r="D32" s="323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-1.4822873023622001</v>
      </c>
      <c r="Q32" s="336">
        <f si="0" t="shared"/>
        <v>-1.4822873023622001</v>
      </c>
    </row>
    <row r="33" spans="2:17" x14ac:dyDescent="0.25">
      <c r="B33" s="344">
        <f>B23</f>
        <v>50</v>
      </c>
      <c r="C33" s="303" t="s">
        <v>47</v>
      </c>
      <c r="D33" s="375">
        <f>K12</f>
        <v>0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0.161916660248</v>
      </c>
      <c r="Q33" s="336">
        <f si="0" t="shared"/>
        <v>0.161916660248</v>
      </c>
    </row>
    <row r="34" spans="2:17" x14ac:dyDescent="0.25">
      <c r="B34" s="344">
        <f ref="B34:B36" si="10" t="shared">B24</f>
        <v>51</v>
      </c>
      <c r="C34" s="306" t="s">
        <v>50</v>
      </c>
      <c r="D34" s="376">
        <f ref="D34:D36" si="11" t="shared">K13</f>
        <v>0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-0.164548260329</v>
      </c>
      <c r="Q34" s="336">
        <f si="0" t="shared"/>
        <v>-0.164548260329</v>
      </c>
    </row>
    <row r="35" spans="2:17" x14ac:dyDescent="0.25">
      <c r="B35" s="344">
        <f si="10" t="shared"/>
        <v>52</v>
      </c>
      <c r="C35" s="306" t="s">
        <v>53</v>
      </c>
      <c r="D35" s="376">
        <f si="11" t="shared"/>
        <v>0</v>
      </c>
      <c r="G35" s="329"/>
      <c r="H35" s="329"/>
      <c r="I35" s="329"/>
      <c r="J35" s="329"/>
      <c r="K35" s="329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0.20498917376299999</v>
      </c>
      <c r="Q35" s="336">
        <f si="0" t="shared"/>
        <v>0.20498917376299999</v>
      </c>
    </row>
    <row ht="15.75" r="36" spans="2:17" thickBot="1" x14ac:dyDescent="0.3">
      <c r="B36" s="364">
        <f si="10" t="shared"/>
        <v>53</v>
      </c>
      <c r="C36" s="325" t="s">
        <v>56</v>
      </c>
      <c r="D36" s="326">
        <f si="11" t="shared"/>
        <v>0</v>
      </c>
      <c r="G36" s="330"/>
      <c r="H36" s="330"/>
      <c r="I36" s="330"/>
      <c r="J36" s="330"/>
      <c r="K36" s="330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-0.128001396233</v>
      </c>
      <c r="Q36" s="336">
        <f si="0" t="shared"/>
        <v>-0.128001396233</v>
      </c>
    </row>
    <row ht="15.75" r="37" spans="2:17" thickTop="1" x14ac:dyDescent="0.25">
      <c r="C37" s="321"/>
      <c r="D37" s="324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6.1170505754699997E-2</v>
      </c>
      <c r="Q37" s="336">
        <f si="0" t="shared"/>
        <v>6.1170505754699997E-2</v>
      </c>
    </row>
    <row r="38" spans="2:17" x14ac:dyDescent="0.25">
      <c r="C38" s="321"/>
      <c r="D38" s="324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1.3253567635600001</v>
      </c>
      <c r="Q38" s="336">
        <f si="0" t="shared"/>
        <v>1.3253567635600001</v>
      </c>
    </row>
    <row r="39" spans="2:17" x14ac:dyDescent="0.25">
      <c r="C39" s="320" t="s">
        <v>82</v>
      </c>
      <c r="D39" s="331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-6.8051932741582997</v>
      </c>
      <c r="Q39" s="336">
        <f si="0" t="shared"/>
        <v>-6.8051932741582997</v>
      </c>
    </row>
    <row r="40" spans="2:17" x14ac:dyDescent="0.25">
      <c r="C40" s="320" t="s">
        <v>125</v>
      </c>
      <c r="D40" s="331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-8.2040601552336003</v>
      </c>
      <c r="Q40" s="336">
        <f si="0" t="shared"/>
        <v>-8.2040601552336003</v>
      </c>
    </row>
    <row ht="15.75" r="41" spans="2:17" thickBot="1" x14ac:dyDescent="0.3">
      <c r="B41" s="345"/>
      <c r="C41" s="321"/>
      <c r="D41" s="324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-7.9091539026991002</v>
      </c>
      <c r="Q41" s="336">
        <f si="0" t="shared"/>
        <v>-7.9091539026991002</v>
      </c>
    </row>
    <row r="42" spans="2:17" x14ac:dyDescent="0.25">
      <c r="B42" s="347" t="s">
        <v>255</v>
      </c>
      <c r="C42" s="322" t="s">
        <v>91</v>
      </c>
      <c r="D42" s="332"/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-5.6394867063158003</v>
      </c>
      <c r="Q42" s="336">
        <f si="0" t="shared"/>
        <v>-5.6394867063158003</v>
      </c>
    </row>
    <row r="43" spans="2:17" x14ac:dyDescent="0.25">
      <c r="B43" s="344">
        <f>B33</f>
        <v>50</v>
      </c>
      <c r="C43" s="303" t="s">
        <v>47</v>
      </c>
      <c r="D43" s="362">
        <f>D23+D33</f>
        <v>-10.020777192745999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-0.149205194047</v>
      </c>
      <c r="Q43" s="336">
        <f si="0" t="shared"/>
        <v>-0.149205194047</v>
      </c>
    </row>
    <row r="44" spans="2:17" x14ac:dyDescent="0.25">
      <c r="B44" s="344">
        <f ref="B44:B46" si="12" t="shared">B34</f>
        <v>51</v>
      </c>
      <c r="C44" s="306" t="s">
        <v>50</v>
      </c>
      <c r="D44" s="362">
        <f ref="D44:D46" si="13" t="shared">D24+D34</f>
        <v>-4.7109881624506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0.517393579278</v>
      </c>
      <c r="Q44" s="336">
        <f si="0" t="shared"/>
        <v>0.517393579278</v>
      </c>
    </row>
    <row r="45" spans="2:17" x14ac:dyDescent="0.25">
      <c r="B45" s="344">
        <f si="12" t="shared"/>
        <v>52</v>
      </c>
      <c r="C45" s="306" t="s">
        <v>53</v>
      </c>
      <c r="D45" s="362">
        <f si="13" t="shared"/>
        <v>-1.2671613377644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0.84374741070500003</v>
      </c>
      <c r="Q45" s="336">
        <f si="0" t="shared"/>
        <v>0.84374741070500003</v>
      </c>
    </row>
    <row ht="15.75" r="46" spans="2:17" thickBot="1" x14ac:dyDescent="0.3">
      <c r="B46" s="364">
        <f si="12" t="shared"/>
        <v>53</v>
      </c>
      <c r="C46" s="325" t="s">
        <v>56</v>
      </c>
      <c r="D46" s="363">
        <f si="13" t="shared"/>
        <v>-1.1289015585513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-17.092202073927201</v>
      </c>
      <c r="Q46" s="336">
        <f si="0" t="shared"/>
        <v>-17.092202073927201</v>
      </c>
    </row>
    <row ht="15.75" r="47" spans="2:17" thickTop="1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-4.6499214915950997</v>
      </c>
      <c r="Q47" s="336">
        <f si="0" t="shared"/>
        <v>-4.6499214915950997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0.11007373396759999</v>
      </c>
      <c r="Q48" s="336">
        <f si="0" t="shared"/>
        <v>0.11007373396759999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-2.6006433832395999</v>
      </c>
      <c r="Q49" s="336">
        <f si="0" t="shared"/>
        <v>-2.6006433832395999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0.16683062839400001</v>
      </c>
      <c r="Q50" s="336">
        <f si="0" t="shared"/>
        <v>0.16683062839400001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0.80686039286800004</v>
      </c>
      <c r="Q51" s="336">
        <f si="0" t="shared"/>
        <v>0.80686039286800004</v>
      </c>
    </row>
    <row r="52" spans="13:18" x14ac:dyDescent="0.25">
      <c r="M52" s="297" t="str">
        <f>VLOOKUP(N52,Coeff_Descr!$A:$D,3,FALSE)</f>
        <v>SOCREC</v>
      </c>
      <c r="N52" s="337">
        <f>OtherTourDestination!B60</f>
        <v>50</v>
      </c>
      <c r="O52" s="337" t="str">
        <f>OtherTourDestination!C60</f>
        <v>Beta00050</v>
      </c>
      <c r="P52" s="338">
        <f>OtherTourDestination!E60</f>
        <v>-10.020777192745999</v>
      </c>
      <c r="Q52" s="339">
        <f si="0" t="shared"/>
        <v>-10.020777192745999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7">
        <f>OtherTourDestination!B61</f>
        <v>51</v>
      </c>
      <c r="O53" s="337" t="str">
        <f>OtherTourDestination!C61</f>
        <v>Beta00051</v>
      </c>
      <c r="P53" s="338">
        <f>OtherTourDestination!E61</f>
        <v>-4.7109881624506</v>
      </c>
      <c r="Q53" s="339">
        <f si="0" t="shared"/>
        <v>-4.7109881624506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7">
        <f>OtherTourDestination!B62</f>
        <v>52</v>
      </c>
      <c r="O54" s="337" t="str">
        <f>OtherTourDestination!C62</f>
        <v>Beta00052</v>
      </c>
      <c r="P54" s="338">
        <f>OtherTourDestination!E62</f>
        <v>-1.2671613377644</v>
      </c>
      <c r="Q54" s="339">
        <f si="0" t="shared"/>
        <v>-1.2671613377644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7">
        <f>OtherTourDestination!B63</f>
        <v>53</v>
      </c>
      <c r="O55" s="337" t="str">
        <f>OtherTourDestination!C63</f>
        <v>Beta00053</v>
      </c>
      <c r="P55" s="338">
        <f>OtherTourDestination!E63</f>
        <v>-1.1289015585513</v>
      </c>
      <c r="Q55" s="339">
        <f si="0" t="shared"/>
        <v>-1.1289015585513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0.21306405683599999</v>
      </c>
      <c r="Q56" s="336">
        <f si="0" t="shared"/>
        <v>0.21306405683599999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0.49322187999099998</v>
      </c>
      <c r="Q57" s="336">
        <f si="0" t="shared"/>
        <v>0.49322187999099998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-0.81297460986500003</v>
      </c>
      <c r="Q58" s="336">
        <f si="0" t="shared"/>
        <v>-0.81297460986500003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8.0759501397E-2</v>
      </c>
      <c r="Q59" s="336">
        <f si="0" t="shared"/>
        <v>8.0759501397E-2</v>
      </c>
    </row>
    <row r="60" spans="13:18" x14ac:dyDescent="0.25">
      <c r="M60" s="297" t="str">
        <f>VLOOKUP(N60,Coeff_Descr!$A:$D,3,FALSE)</f>
        <v>ESCORT</v>
      </c>
      <c r="N60" s="297">
        <f>OtherTourDestination!B68</f>
        <v>70</v>
      </c>
      <c r="O60" s="297" t="str">
        <f>OtherTourDestination!C68</f>
        <v>LSM_0070</v>
      </c>
      <c r="P60" s="299">
        <f>OtherTourDestination!E68</f>
        <v>0.29053029913700001</v>
      </c>
      <c r="Q60" s="336">
        <f si="0" t="shared"/>
        <v>0.29053029913700001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71</v>
      </c>
      <c r="O61" s="297" t="str">
        <f>OtherTourDestination!C69</f>
        <v>Gamma071</v>
      </c>
      <c r="P61" s="299">
        <f>OtherTourDestination!E69</f>
        <v>0</v>
      </c>
      <c r="Q61" s="336">
        <f si="0" t="shared"/>
        <v>0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72</v>
      </c>
      <c r="O62" s="297" t="str">
        <f>OtherTourDestination!C70</f>
        <v>Gamma072</v>
      </c>
      <c r="P62" s="299">
        <f>OtherTourDestination!E70</f>
        <v>-3.51218611463</v>
      </c>
      <c r="Q62" s="336">
        <f si="0" t="shared"/>
        <v>-3.51218611463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73</v>
      </c>
      <c r="O63" s="297" t="str">
        <f>OtherTourDestination!C71</f>
        <v>Gamma073</v>
      </c>
      <c r="P63" s="299">
        <f>OtherTourDestination!E71</f>
        <v>-1.9512398226400001</v>
      </c>
      <c r="Q63" s="336">
        <f si="0" t="shared"/>
        <v>-1.9512398226400001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74</v>
      </c>
      <c r="O64" s="297" t="str">
        <f>OtherTourDestination!C72</f>
        <v>Gamma074</v>
      </c>
      <c r="P64" s="299">
        <f>OtherTourDestination!E72</f>
        <v>-2.2875988415099999</v>
      </c>
      <c r="Q64" s="336">
        <f si="0" t="shared"/>
        <v>-2.2875988415099999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75</v>
      </c>
      <c r="O65" s="297" t="str">
        <f>OtherTourDestination!C73</f>
        <v>Gamma075</v>
      </c>
      <c r="P65" s="299">
        <f>OtherTourDestination!E73</f>
        <v>-2.97270473739</v>
      </c>
      <c r="Q65" s="336">
        <f si="0" t="shared"/>
        <v>-2.97270473739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76</v>
      </c>
      <c r="O66" s="297" t="str">
        <f>OtherTourDestination!C74</f>
        <v>Gamma076</v>
      </c>
      <c r="P66" s="299">
        <f>OtherTourDestination!E74</f>
        <v>-2.2065775626700002</v>
      </c>
      <c r="Q66" s="336">
        <f si="0" t="shared"/>
        <v>-2.2065775626700002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77</v>
      </c>
      <c r="O67" s="297" t="str">
        <f>OtherTourDestination!C75</f>
        <v>Gamma077</v>
      </c>
      <c r="P67" s="299">
        <f>OtherTourDestination!E75</f>
        <v>-1.91608314575</v>
      </c>
      <c r="Q67" s="336">
        <f si="0" t="shared"/>
        <v>-1.91608314575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78</v>
      </c>
      <c r="O68" s="297" t="str">
        <f>OtherTourDestination!C76</f>
        <v>Gamma078</v>
      </c>
      <c r="P68" s="299">
        <f>OtherTourDestination!E76</f>
        <v>-2.9941803696</v>
      </c>
      <c r="Q68" s="336">
        <f si="0" t="shared"/>
        <v>-2.9941803696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79</v>
      </c>
      <c r="O69" s="297" t="str">
        <f>OtherTourDestination!C77</f>
        <v>Gamma079</v>
      </c>
      <c r="P69" s="299">
        <f>OtherTourDestination!E77</f>
        <v>-20.893048808300001</v>
      </c>
      <c r="Q69" s="336">
        <f ref="Q69:Q103" si="14" t="shared">_xlfn.IFNA(VLOOKUP(N69,$B$43:$D$46,3,FALSE),P69)</f>
        <v>-20.893048808300001</v>
      </c>
    </row>
    <row r="70" spans="13:17" x14ac:dyDescent="0.25">
      <c r="M70" s="297" t="str">
        <f>VLOOKUP(N70,Coeff_Descr!$A:$D,3,FALSE)</f>
        <v>ESCORT</v>
      </c>
      <c r="N70" s="297">
        <f>OtherTourDestination!B78</f>
        <v>80</v>
      </c>
      <c r="O70" s="297" t="str">
        <f>OtherTourDestination!C78</f>
        <v>Gamma080</v>
      </c>
      <c r="P70" s="299">
        <f>OtherTourDestination!E78</f>
        <v>-0.340851234339</v>
      </c>
      <c r="Q70" s="336">
        <f si="14" t="shared"/>
        <v>-0.340851234339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81</v>
      </c>
      <c r="O71" s="297" t="str">
        <f>OtherTourDestination!C79</f>
        <v>Gamma081</v>
      </c>
      <c r="P71" s="299">
        <f>OtherTourDestination!E79</f>
        <v>-3.5548804977600001</v>
      </c>
      <c r="Q71" s="336">
        <f si="14" t="shared"/>
        <v>-3.5548804977600001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82</v>
      </c>
      <c r="O72" s="297" t="str">
        <f>OtherTourDestination!C80</f>
        <v>Gamma082</v>
      </c>
      <c r="P72" s="299">
        <f>OtherTourDestination!E80</f>
        <v>-2.04042829643</v>
      </c>
      <c r="Q72" s="336">
        <f si="14" t="shared"/>
        <v>-2.04042829643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83</v>
      </c>
      <c r="O73" s="297" t="str">
        <f>OtherTourDestination!C81</f>
        <v>Gamma083</v>
      </c>
      <c r="P73" s="299">
        <f>OtherTourDestination!E81</f>
        <v>-3.1291070048599998</v>
      </c>
      <c r="Q73" s="336">
        <f si="14" t="shared"/>
        <v>-3.1291070048599998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84</v>
      </c>
      <c r="O74" s="297" t="str">
        <f>OtherTourDestination!C82</f>
        <v>Gamma084</v>
      </c>
      <c r="P74" s="299">
        <f>OtherTourDestination!E82</f>
        <v>-1.36058822067</v>
      </c>
      <c r="Q74" s="336">
        <f si="14" t="shared"/>
        <v>-1.36058822067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85</v>
      </c>
      <c r="O75" s="297" t="str">
        <f>OtherTourDestination!C83</f>
        <v>Gamma085</v>
      </c>
      <c r="P75" s="299">
        <f>OtherTourDestination!E83</f>
        <v>-3.7593502074299998</v>
      </c>
      <c r="Q75" s="336">
        <f si="14" t="shared"/>
        <v>-3.7593502074299998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86</v>
      </c>
      <c r="O76" s="297" t="str">
        <f>OtherTourDestination!C84</f>
        <v>Gamma086</v>
      </c>
      <c r="P76" s="299">
        <f>OtherTourDestination!E84</f>
        <v>-2.6162258391100002</v>
      </c>
      <c r="Q76" s="336">
        <f si="14" t="shared"/>
        <v>-2.6162258391100002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87</v>
      </c>
      <c r="O77" s="297" t="str">
        <f>OtherTourDestination!C85</f>
        <v>Gamma087</v>
      </c>
      <c r="P77" s="299">
        <f>OtherTourDestination!E85</f>
        <v>-18.920608679800001</v>
      </c>
      <c r="Q77" s="336">
        <f si="14" t="shared"/>
        <v>-18.920608679800001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88</v>
      </c>
      <c r="O78" s="297" t="str">
        <f>OtherTourDestination!C86</f>
        <v>Gamma088</v>
      </c>
      <c r="P78" s="299">
        <f>OtherTourDestination!E86</f>
        <v>0</v>
      </c>
      <c r="Q78" s="336">
        <f si="14" t="shared"/>
        <v>0</v>
      </c>
    </row>
    <row r="79" spans="13:17" x14ac:dyDescent="0.25">
      <c r="M79" s="297" t="str">
        <f>VLOOKUP(N79,Coeff_Descr!$A:$D,3,FALSE)</f>
        <v>PERSBUS/MED</v>
      </c>
      <c r="N79" s="297">
        <f>OtherTourDestination!B87</f>
        <v>89</v>
      </c>
      <c r="O79" s="297" t="str">
        <f>OtherTourDestination!C87</f>
        <v>Gamma089</v>
      </c>
      <c r="P79" s="299">
        <f>OtherTourDestination!E87</f>
        <v>-6.14284833482</v>
      </c>
      <c r="Q79" s="336">
        <f si="14" t="shared"/>
        <v>-6.14284833482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90</v>
      </c>
      <c r="O80" s="297" t="str">
        <f>OtherTourDestination!C88</f>
        <v>Gamma090</v>
      </c>
      <c r="P80" s="299">
        <f>OtherTourDestination!E88</f>
        <v>-16.4745846271</v>
      </c>
      <c r="Q80" s="336">
        <f si="14" t="shared"/>
        <v>-16.4745846271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91</v>
      </c>
      <c r="O81" s="297" t="str">
        <f>OtherTourDestination!C89</f>
        <v>Gamma091</v>
      </c>
      <c r="P81" s="299">
        <f>OtherTourDestination!E89</f>
        <v>-9.3272520902899991</v>
      </c>
      <c r="Q81" s="336">
        <f si="14" t="shared"/>
        <v>-9.3272520902899991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92</v>
      </c>
      <c r="O82" s="297" t="str">
        <f>OtherTourDestination!C90</f>
        <v>Gamma092</v>
      </c>
      <c r="P82" s="299">
        <f>OtherTourDestination!E90</f>
        <v>-0.748114378523</v>
      </c>
      <c r="Q82" s="336">
        <f si="14" t="shared"/>
        <v>-0.748114378523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93</v>
      </c>
      <c r="O83" s="297" t="str">
        <f>OtherTourDestination!C91</f>
        <v>Gamma093</v>
      </c>
      <c r="P83" s="299">
        <f>OtherTourDestination!E91</f>
        <v>-0.29100107664500002</v>
      </c>
      <c r="Q83" s="336">
        <f si="14" t="shared"/>
        <v>-0.29100107664500002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94</v>
      </c>
      <c r="O84" s="297" t="str">
        <f>OtherTourDestination!C92</f>
        <v>Gamma094</v>
      </c>
      <c r="P84" s="299">
        <f>OtherTourDestination!E92</f>
        <v>0</v>
      </c>
      <c r="Q84" s="336">
        <f si="14" t="shared"/>
        <v>0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95</v>
      </c>
      <c r="O85" s="297" t="str">
        <f>OtherTourDestination!C93</f>
        <v>Gamma095</v>
      </c>
      <c r="P85" s="299">
        <f>OtherTourDestination!E93</f>
        <v>-10.3298280696</v>
      </c>
      <c r="Q85" s="336">
        <f si="14" t="shared"/>
        <v>-10.3298280696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96</v>
      </c>
      <c r="O86" s="297" t="str">
        <f>OtherTourDestination!C94</f>
        <v>Gamma096</v>
      </c>
      <c r="P86" s="299">
        <f>OtherTourDestination!E94</f>
        <v>-16.742935323400001</v>
      </c>
      <c r="Q86" s="336">
        <f si="14" t="shared"/>
        <v>-16.742935323400001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97</v>
      </c>
      <c r="O87" s="297" t="str">
        <f>OtherTourDestination!C95</f>
        <v>Gamma097</v>
      </c>
      <c r="P87" s="299">
        <f>OtherTourDestination!E95</f>
        <v>-6.97234539975</v>
      </c>
      <c r="Q87" s="336">
        <f si="14" t="shared"/>
        <v>-6.97234539975</v>
      </c>
    </row>
    <row r="88" spans="13:17" x14ac:dyDescent="0.25">
      <c r="M88" s="297" t="str">
        <f>VLOOKUP(N88,Coeff_Descr!$A:$D,3,FALSE)</f>
        <v>SHOP</v>
      </c>
      <c r="N88" s="297">
        <f>OtherTourDestination!B96</f>
        <v>98</v>
      </c>
      <c r="O88" s="297" t="str">
        <f>OtherTourDestination!C96</f>
        <v>Gamma098</v>
      </c>
      <c r="P88" s="299">
        <f>OtherTourDestination!E96</f>
        <v>-10.7755348742</v>
      </c>
      <c r="Q88" s="336">
        <f si="14" t="shared"/>
        <v>-10.7755348742</v>
      </c>
    </row>
    <row r="89" spans="13:17" x14ac:dyDescent="0.25">
      <c r="M89" s="297" t="str">
        <f>VLOOKUP(N89,Coeff_Descr!$A:$D,3,FALSE)</f>
        <v>SHOP</v>
      </c>
      <c r="N89" s="297">
        <f>OtherTourDestination!B97</f>
        <v>99</v>
      </c>
      <c r="O89" s="297" t="str">
        <f>OtherTourDestination!C97</f>
        <v>Gamma099</v>
      </c>
      <c r="P89" s="299">
        <f>OtherTourDestination!E97</f>
        <v>-11.547846395100001</v>
      </c>
      <c r="Q89" s="336">
        <f si="14" t="shared"/>
        <v>-11.547846395100001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100</v>
      </c>
      <c r="O90" s="297" t="str">
        <f>OtherTourDestination!C98</f>
        <v>Gamma100</v>
      </c>
      <c r="P90" s="299">
        <f>OtherTourDestination!E98</f>
        <v>0</v>
      </c>
      <c r="Q90" s="336">
        <f si="14" t="shared"/>
        <v>0</v>
      </c>
    </row>
    <row r="91" spans="13:17" x14ac:dyDescent="0.25">
      <c r="M91" s="297" t="str">
        <f>VLOOKUP(N91,Coeff_Descr!$A:$D,3,FALSE)</f>
        <v>SHOP</v>
      </c>
      <c r="N91" s="297">
        <f>OtherTourDestination!B99</f>
        <v>101</v>
      </c>
      <c r="O91" s="297" t="str">
        <f>OtherTourDestination!C99</f>
        <v>Gamma101</v>
      </c>
      <c r="P91" s="299">
        <f>OtherTourDestination!E99</f>
        <v>-11.0962758301</v>
      </c>
      <c r="Q91" s="336">
        <f si="14" t="shared"/>
        <v>-11.0962758301</v>
      </c>
    </row>
    <row r="92" spans="13:17" x14ac:dyDescent="0.25">
      <c r="M92" s="297" t="str">
        <f>VLOOKUP(N92,Coeff_Descr!$A:$D,3,FALSE)</f>
        <v>MEAL</v>
      </c>
      <c r="N92" s="297">
        <f>OtherTourDestination!B100</f>
        <v>102</v>
      </c>
      <c r="O92" s="297" t="str">
        <f>OtherTourDestination!C100</f>
        <v>Gamma102</v>
      </c>
      <c r="P92" s="299">
        <f>OtherTourDestination!E100</f>
        <v>0</v>
      </c>
      <c r="Q92" s="336">
        <f si="14" t="shared"/>
        <v>0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103</v>
      </c>
      <c r="O93" s="297" t="str">
        <f>OtherTourDestination!C101</f>
        <v>Gamma103</v>
      </c>
      <c r="P93" s="299">
        <f>OtherTourDestination!E101</f>
        <v>-12.7257909892</v>
      </c>
      <c r="Q93" s="336">
        <f si="14" t="shared"/>
        <v>-12.7257909892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104</v>
      </c>
      <c r="O94" s="297" t="str">
        <f>OtherTourDestination!C102</f>
        <v>Gamma104</v>
      </c>
      <c r="P94" s="299">
        <f>OtherTourDestination!E102</f>
        <v>-12.5271034041</v>
      </c>
      <c r="Q94" s="336">
        <f si="14" t="shared"/>
        <v>-12.5271034041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105</v>
      </c>
      <c r="O95" s="297" t="str">
        <f>OtherTourDestination!C103</f>
        <v>Gamma105</v>
      </c>
      <c r="P95" s="299">
        <f>OtherTourDestination!E103</f>
        <v>-21.008822510800002</v>
      </c>
      <c r="Q95" s="336">
        <f si="14" t="shared"/>
        <v>-21.008822510800002</v>
      </c>
    </row>
    <row r="96" spans="13:17" x14ac:dyDescent="0.25">
      <c r="M96" s="297" t="str">
        <f>VLOOKUP(N96,Coeff_Descr!$A:$D,3,FALSE)</f>
        <v>SOCREC</v>
      </c>
      <c r="N96" s="297">
        <f>OtherTourDestination!B104</f>
        <v>106</v>
      </c>
      <c r="O96" s="297" t="str">
        <f>OtherTourDestination!C104</f>
        <v>Gamma106</v>
      </c>
      <c r="P96" s="299">
        <f>OtherTourDestination!E104</f>
        <v>-1.63176275226</v>
      </c>
      <c r="Q96" s="336">
        <f si="14" t="shared"/>
        <v>-1.63176275226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107</v>
      </c>
      <c r="O97" s="297" t="str">
        <f>OtherTourDestination!C105</f>
        <v>Gamma107</v>
      </c>
      <c r="P97" s="299">
        <f>OtherTourDestination!E105</f>
        <v>-4.6653914733199997</v>
      </c>
      <c r="Q97" s="336">
        <f si="14" t="shared"/>
        <v>-4.6653914733199997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108</v>
      </c>
      <c r="O98" s="297" t="str">
        <f>OtherTourDestination!C106</f>
        <v>Gamma108</v>
      </c>
      <c r="P98" s="299">
        <f>OtherTourDestination!E106</f>
        <v>-7.5050624753099999</v>
      </c>
      <c r="Q98" s="336">
        <f si="14" t="shared"/>
        <v>-7.5050624753099999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109</v>
      </c>
      <c r="O99" s="297" t="str">
        <f>OtherTourDestination!C107</f>
        <v>Gamma109</v>
      </c>
      <c r="P99" s="299">
        <f>OtherTourDestination!E107</f>
        <v>-7.2217481188799999</v>
      </c>
      <c r="Q99" s="336">
        <f si="14" t="shared"/>
        <v>-7.2217481188799999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110</v>
      </c>
      <c r="O100" s="297" t="str">
        <f>OtherTourDestination!C108</f>
        <v>Gamma110</v>
      </c>
      <c r="P100" s="299">
        <f>OtherTourDestination!E108</f>
        <v>-3.4793464222399999</v>
      </c>
      <c r="Q100" s="336">
        <f si="14" t="shared"/>
        <v>-3.4793464222399999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111</v>
      </c>
      <c r="O101" s="297" t="str">
        <f>OtherTourDestination!C109</f>
        <v>Gamma111</v>
      </c>
      <c r="P101" s="299">
        <f>OtherTourDestination!E109</f>
        <v>0</v>
      </c>
      <c r="Q101" s="336">
        <f si="14" t="shared"/>
        <v>0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112</v>
      </c>
      <c r="O102" s="297" t="str">
        <f>OtherTourDestination!C110</f>
        <v>Gamma112</v>
      </c>
      <c r="P102" s="299">
        <f>OtherTourDestination!E110</f>
        <v>0</v>
      </c>
      <c r="Q102" s="336">
        <f si="14" t="shared"/>
        <v>0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113</v>
      </c>
      <c r="O103" s="297" t="str">
        <f>OtherTourDestination!C111</f>
        <v>Gamma113</v>
      </c>
      <c r="P103" s="299">
        <f>OtherTourDestination!E111</f>
        <v>-2.23577200178</v>
      </c>
      <c r="Q103" s="336">
        <f si="14" t="shared"/>
        <v>-2.23577200178</v>
      </c>
    </row>
    <row r="104" spans="13:17" x14ac:dyDescent="0.25">
      <c r="M104" s="297" t="e">
        <f>VLOOKUP(N104,Coeff_Descr!$A:$D,3,FALSE)</f>
        <v>#N/A</v>
      </c>
      <c r="N104" s="297">
        <f>OtherTourDestination!B112</f>
        <v>120</v>
      </c>
      <c r="O104" s="297" t="str">
        <f>OtherTourDestination!C112</f>
        <v>Gamma120</v>
      </c>
      <c r="P104" s="299">
        <f>OtherTourDestination!E112</f>
        <v>3</v>
      </c>
      <c r="Q104" s="336">
        <f ref="Q104" si="15" t="shared">_xlfn.IFNA(VLOOKUP(N104,$B$43:$D$46,3,FALSE),P104)</f>
        <v>3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2022-03-10T16:22:44Z</dcterms:modified>
</cp:coreProperties>
</file>